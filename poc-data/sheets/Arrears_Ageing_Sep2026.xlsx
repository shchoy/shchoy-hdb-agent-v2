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Unpaid 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$&quot;#,##0.00"/>
    <numFmt numFmtId="165" formatCode="yyyy-mm-dd"/>
    <numFmt numFmtId="166" formatCode="dd-mmm-yyyy"/>
    <numFmt numFmtId="167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1F3A5F"/>
      <sz val="14"/>
    </font>
    <font>
      <i val="1"/>
      <color rgb="00555555"/>
    </font>
    <font>
      <i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RENTAL ARREARS AGEING REPORT</t>
        </is>
      </c>
    </row>
    <row r="2">
      <c r="A2" s="2" t="inlineStr">
        <is>
          <t>As at 30 September 2026 - Finance &amp; Arrears</t>
        </is>
      </c>
    </row>
    <row r="4">
      <c r="A4" s="3" t="inlineStr">
        <is>
          <t>Bucket (days)</t>
        </is>
      </c>
      <c r="B4" s="3" t="inlineStr">
        <is>
          <t>No. of tenancies</t>
        </is>
      </c>
      <c r="C4" s="3" t="inlineStr">
        <is>
          <t>Amount (incl GST)</t>
        </is>
      </c>
      <c r="D4" s="3" t="inlineStr">
        <is>
          <t>% of total</t>
        </is>
      </c>
    </row>
    <row r="5">
      <c r="A5" t="inlineStr">
        <is>
          <t>0-30</t>
        </is>
      </c>
      <c r="B5">
        <f>COUNTIF(Data!L2:L136,"0-30")</f>
        <v/>
      </c>
      <c r="C5" s="4">
        <f>SUMIF(Data!L2:L136,"0-30",Data!J2:J136)</f>
        <v/>
      </c>
      <c r="D5" s="5">
        <f>C5/C9</f>
        <v/>
      </c>
    </row>
    <row r="6">
      <c r="A6" t="inlineStr">
        <is>
          <t>31-60</t>
        </is>
      </c>
      <c r="B6">
        <f>COUNTIF(Data!L2:L136,"31-60")</f>
        <v/>
      </c>
      <c r="C6" s="4">
        <f>SUMIF(Data!L2:L136,"31-60",Data!J2:J136)</f>
        <v/>
      </c>
      <c r="D6" s="5">
        <f>C6/C9</f>
        <v/>
      </c>
    </row>
    <row r="7">
      <c r="A7" t="inlineStr">
        <is>
          <t>61-90</t>
        </is>
      </c>
      <c r="B7">
        <f>COUNTIF(Data!L2:L136,"61-90")</f>
        <v/>
      </c>
      <c r="C7" s="4">
        <f>SUMIF(Data!L2:L136,"61-90",Data!J2:J136)</f>
        <v/>
      </c>
      <c r="D7" s="5">
        <f>C7/C9</f>
        <v/>
      </c>
    </row>
    <row r="8">
      <c r="A8" t="inlineStr">
        <is>
          <t>&gt;90</t>
        </is>
      </c>
      <c r="B8">
        <f>COUNTIF(Data!L2:L136,"&gt;90")</f>
        <v/>
      </c>
      <c r="C8" s="4">
        <f>SUMIF(Data!L2:L136,"&gt;90",Data!J2:J136)</f>
        <v/>
      </c>
      <c r="D8" s="5">
        <f>C8/C9</f>
        <v/>
      </c>
    </row>
    <row r="9">
      <c r="A9" s="6" t="inlineStr">
        <is>
          <t>Total</t>
        </is>
      </c>
      <c r="B9">
        <f>SUM(B5:B8)</f>
        <v/>
      </c>
      <c r="C9" s="4">
        <f>SUM(C5:C8)</f>
        <v/>
      </c>
    </row>
    <row r="11">
      <c r="A11" s="3" t="inlineStr">
        <is>
          <t>Town</t>
        </is>
      </c>
      <c r="B11" s="3" t="inlineStr">
        <is>
          <t>No. of tenancies</t>
        </is>
      </c>
      <c r="C11" s="3" t="inlineStr">
        <is>
          <t>Amount (incl GST)</t>
        </is>
      </c>
      <c r="D11" s="3" t="inlineStr">
        <is>
          <t>&gt; 3 months' rent</t>
        </is>
      </c>
    </row>
    <row r="12">
      <c r="A12" t="inlineStr">
        <is>
          <t>Bayshore Vale</t>
        </is>
      </c>
      <c r="B12">
        <f>COUNTIF(Data!E2:E136,A12)</f>
        <v/>
      </c>
      <c r="C12" s="4">
        <f>SUMIF(Data!E2:E136,A12,Data!J2:J136)</f>
        <v/>
      </c>
      <c r="D12">
        <f>COUNTIFS(Data!E2:E136,A12,Data!M2:M136,"YES")</f>
        <v/>
      </c>
    </row>
    <row r="13">
      <c r="A13" t="inlineStr">
        <is>
          <t>Cendana</t>
        </is>
      </c>
      <c r="B13">
        <f>COUNTIF(Data!E2:E136,A13)</f>
        <v/>
      </c>
      <c r="C13" s="4">
        <f>SUMIF(Data!E2:E136,A13,Data!J2:J136)</f>
        <v/>
      </c>
      <c r="D13">
        <f>COUNTIFS(Data!E2:E136,A13,Data!M2:M136,"YES")</f>
        <v/>
      </c>
    </row>
    <row r="14">
      <c r="A14" t="inlineStr">
        <is>
          <t>Kebun Raya</t>
        </is>
      </c>
      <c r="B14">
        <f>COUNTIF(Data!E2:E136,A14)</f>
        <v/>
      </c>
      <c r="C14" s="4">
        <f>SUMIF(Data!E2:E136,A14,Data!J2:J136)</f>
        <v/>
      </c>
      <c r="D14">
        <f>COUNTIFS(Data!E2:E136,A14,Data!M2:M136,"YES")</f>
        <v/>
      </c>
    </row>
    <row r="15">
      <c r="A15" t="inlineStr">
        <is>
          <t>Rimba Heights</t>
        </is>
      </c>
      <c r="B15">
        <f>COUNTIF(Data!E2:E136,A15)</f>
        <v/>
      </c>
      <c r="C15" s="4">
        <f>SUMIF(Data!E2:E136,A15,Data!J2:J136)</f>
        <v/>
      </c>
      <c r="D15">
        <f>COUNTIFS(Data!E2:E136,A15,Data!M2:M136,"YES")</f>
        <v/>
      </c>
    </row>
    <row r="16">
      <c r="A16" t="inlineStr">
        <is>
          <t>Sungai Tinggi</t>
        </is>
      </c>
      <c r="B16">
        <f>COUNTIF(Data!E2:E136,A16)</f>
        <v/>
      </c>
      <c r="C16" s="4">
        <f>SUMIF(Data!E2:E136,A16,Data!J2:J136)</f>
        <v/>
      </c>
      <c r="D16">
        <f>COUNTIFS(Data!E2:E136,A16,Data!M2:M136,"YES")</f>
        <v/>
      </c>
    </row>
    <row r="17">
      <c r="A17" t="inlineStr">
        <is>
          <t>Pasir Indah</t>
        </is>
      </c>
      <c r="B17">
        <f>COUNTIF(Data!E2:E136,A17)</f>
        <v/>
      </c>
      <c r="C17" s="4">
        <f>SUMIF(Data!E2:E136,A17,Data!J2:J136)</f>
        <v/>
      </c>
      <c r="D17">
        <f>COUNTIFS(Data!E2:E136,A17,Data!M2:M136,"YES")</f>
        <v/>
      </c>
    </row>
    <row r="19">
      <c r="A19" s="7" t="inlineStr">
        <is>
          <t>Notes: Termination threshold = arrears &gt; 3 months' rent incl. GST (PLG-POL-003 v2.0). Interest not included.</t>
        </is>
      </c>
    </row>
    <row r="20">
      <c r="A20" s="7" t="inlineStr">
        <is>
          <t>Static check: 135 tenancies in arrears, total S$962,688.00.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4" customWidth="1" min="3" max="3"/>
    <col width="16" customWidth="1" min="4" max="4"/>
    <col width="14" customWidth="1" min="5" max="5"/>
    <col width="12" customWidth="1" min="6" max="6"/>
    <col width="10" customWidth="1" min="7" max="7"/>
    <col width="13" customWidth="1" min="8" max="8"/>
    <col width="10" customWidth="1" min="9" max="9"/>
    <col width="15" customWidth="1" min="10" max="10"/>
    <col width="10" customWidth="1" min="11" max="11"/>
    <col width="8" customWidth="1" min="12" max="12"/>
    <col width="10" customWidth="1" min="13" max="13"/>
  </cols>
  <sheetData>
    <row r="1">
      <c r="A1" s="3" t="inlineStr">
        <is>
          <t>Tenancy ID</t>
        </is>
      </c>
      <c r="B1" s="3" t="inlineStr">
        <is>
          <t>Tenant ID</t>
        </is>
      </c>
      <c r="C1" s="3" t="inlineStr">
        <is>
          <t>Tenant name</t>
        </is>
      </c>
      <c r="D1" s="3" t="inlineStr">
        <is>
          <t>Unit ID</t>
        </is>
      </c>
      <c r="E1" s="3" t="inlineStr">
        <is>
          <t>Town</t>
        </is>
      </c>
      <c r="F1" s="3" t="inlineStr">
        <is>
          <t>Monthly rent</t>
        </is>
      </c>
      <c r="G1" s="3" t="inlineStr">
        <is>
          <t>Unpaid invoices</t>
        </is>
      </c>
      <c r="H1" s="3" t="inlineStr">
        <is>
          <t>Oldest due date</t>
        </is>
      </c>
      <c r="I1" s="3" t="inlineStr">
        <is>
          <t>Days overdue</t>
        </is>
      </c>
      <c r="J1" s="3" t="inlineStr">
        <is>
          <t>Arrears (incl GST)</t>
        </is>
      </c>
      <c r="K1" s="3" t="inlineStr">
        <is>
          <t>Months of rent</t>
        </is>
      </c>
      <c r="L1" s="3" t="inlineStr">
        <is>
          <t>Bucket</t>
        </is>
      </c>
      <c r="M1" s="3" t="inlineStr">
        <is>
          <t>&gt; 3 months?</t>
        </is>
      </c>
    </row>
    <row r="2">
      <c r="A2" t="inlineStr">
        <is>
          <t>TA-2024-00319</t>
        </is>
      </c>
      <c r="B2" t="inlineStr">
        <is>
          <t>T-10766</t>
        </is>
      </c>
      <c r="C2" t="inlineStr">
        <is>
          <t>Barakah Boba Bar Pte Ltd</t>
        </is>
      </c>
      <c r="D2" t="inlineStr">
        <is>
          <t>U-PI614-01-06</t>
        </is>
      </c>
      <c r="E2" t="inlineStr">
        <is>
          <t>Pasir Indah</t>
        </is>
      </c>
      <c r="F2" s="4" t="n">
        <v>4330</v>
      </c>
      <c r="G2" t="n">
        <v>7</v>
      </c>
      <c r="H2" s="8" t="n">
        <v>46082</v>
      </c>
      <c r="I2" t="n">
        <v>213</v>
      </c>
      <c r="J2" s="4" t="n">
        <v>33037.9</v>
      </c>
      <c r="K2" s="9">
        <f>J2/(F2*1.09)</f>
        <v/>
      </c>
      <c r="L2" t="inlineStr">
        <is>
          <t>&gt;90</t>
        </is>
      </c>
      <c r="M2">
        <f>IF(K2&gt;3,"YES","")</f>
        <v/>
      </c>
    </row>
    <row r="3">
      <c r="A3" t="inlineStr">
        <is>
          <t>TA-2024-00185</t>
        </is>
      </c>
      <c r="B3" t="inlineStr">
        <is>
          <t>T-10549</t>
        </is>
      </c>
      <c r="C3" t="inlineStr">
        <is>
          <t>Hup Seng Learning Centre Pte Ltd</t>
        </is>
      </c>
      <c r="D3" t="inlineStr">
        <is>
          <t>U-KR335-01-03</t>
        </is>
      </c>
      <c r="E3" t="inlineStr">
        <is>
          <t>Kebun Raya</t>
        </is>
      </c>
      <c r="F3" s="4" t="n">
        <v>3350</v>
      </c>
      <c r="G3" t="n">
        <v>7</v>
      </c>
      <c r="H3" s="8" t="n">
        <v>46082</v>
      </c>
      <c r="I3" t="n">
        <v>213</v>
      </c>
      <c r="J3" s="4" t="n">
        <v>25560.5</v>
      </c>
      <c r="K3" s="9">
        <f>J3/(F3*1.09)</f>
        <v/>
      </c>
      <c r="L3" t="inlineStr">
        <is>
          <t>&gt;90</t>
        </is>
      </c>
      <c r="M3">
        <f>IF(K3&gt;3,"YES","")</f>
        <v/>
      </c>
    </row>
    <row r="4">
      <c r="A4" t="inlineStr">
        <is>
          <t>TA-2024-00542</t>
        </is>
      </c>
      <c r="B4" t="inlineStr">
        <is>
          <t>T-11108</t>
        </is>
      </c>
      <c r="C4" t="inlineStr">
        <is>
          <t>Golden Leaf Minimart Pte Ltd</t>
        </is>
      </c>
      <c r="D4" t="inlineStr">
        <is>
          <t>U-BV214-01-32</t>
        </is>
      </c>
      <c r="E4" t="inlineStr">
        <is>
          <t>Bayshore Vale</t>
        </is>
      </c>
      <c r="F4" s="4" t="n">
        <v>5200</v>
      </c>
      <c r="G4" t="n">
        <v>4</v>
      </c>
      <c r="H4" s="8" t="n">
        <v>46174</v>
      </c>
      <c r="I4" t="n">
        <v>121</v>
      </c>
      <c r="J4" s="4" t="n">
        <v>22672</v>
      </c>
      <c r="K4" s="9">
        <f>J4/(F4*1.09)</f>
        <v/>
      </c>
      <c r="L4" t="inlineStr">
        <is>
          <t>&gt;90</t>
        </is>
      </c>
      <c r="M4">
        <f>IF(K4&gt;3,"YES","")</f>
        <v/>
      </c>
    </row>
    <row r="5">
      <c r="A5" t="inlineStr">
        <is>
          <t>TA-2025-00548</t>
        </is>
      </c>
      <c r="B5" t="inlineStr">
        <is>
          <t>T-12418</t>
        </is>
      </c>
      <c r="C5" t="inlineStr">
        <is>
          <t>Little Sprouts Family Clinic</t>
        </is>
      </c>
      <c r="D5" t="inlineStr">
        <is>
          <t>U-PI627-02-23</t>
        </is>
      </c>
      <c r="E5" t="inlineStr">
        <is>
          <t>Pasir Indah</t>
        </is>
      </c>
      <c r="F5" s="4" t="n">
        <v>3200</v>
      </c>
      <c r="G5" t="n">
        <v>6</v>
      </c>
      <c r="H5" s="8" t="n">
        <v>46113</v>
      </c>
      <c r="I5" t="n">
        <v>182</v>
      </c>
      <c r="J5" s="4" t="n">
        <v>20928</v>
      </c>
      <c r="K5" s="9">
        <f>J5/(F5*1.09)</f>
        <v/>
      </c>
      <c r="L5" t="inlineStr">
        <is>
          <t>&gt;90</t>
        </is>
      </c>
      <c r="M5">
        <f>IF(K5&gt;3,"YES","")</f>
        <v/>
      </c>
    </row>
    <row r="6">
      <c r="A6" t="inlineStr">
        <is>
          <t>TA-2025-00106</t>
        </is>
      </c>
      <c r="B6" t="inlineStr">
        <is>
          <t>T-11671</t>
        </is>
      </c>
      <c r="C6" t="inlineStr">
        <is>
          <t>Smart Kids Bookstore</t>
        </is>
      </c>
      <c r="D6" t="inlineStr">
        <is>
          <t>U-KR368-01-10</t>
        </is>
      </c>
      <c r="E6" t="inlineStr">
        <is>
          <t>Kebun Raya</t>
        </is>
      </c>
      <c r="F6" s="4" t="n">
        <v>3680</v>
      </c>
      <c r="G6" t="n">
        <v>5</v>
      </c>
      <c r="H6" s="8" t="n">
        <v>46143</v>
      </c>
      <c r="I6" t="n">
        <v>152</v>
      </c>
      <c r="J6" s="4" t="n">
        <v>20056</v>
      </c>
      <c r="K6" s="9">
        <f>J6/(F6*1.09)</f>
        <v/>
      </c>
      <c r="L6" t="inlineStr">
        <is>
          <t>&gt;90</t>
        </is>
      </c>
      <c r="M6">
        <f>IF(K6&gt;3,"YES","")</f>
        <v/>
      </c>
    </row>
    <row r="7">
      <c r="A7" t="inlineStr">
        <is>
          <t>TA-2026-00054</t>
        </is>
      </c>
      <c r="B7" t="inlineStr">
        <is>
          <t>T-12858</t>
        </is>
      </c>
      <c r="C7" t="inlineStr">
        <is>
          <t>Treasure Mart Pte Ltd</t>
        </is>
      </c>
      <c r="D7" t="inlineStr">
        <is>
          <t>U-RH484-01-03</t>
        </is>
      </c>
      <c r="E7" t="inlineStr">
        <is>
          <t>Rimba Heights</t>
        </is>
      </c>
      <c r="F7" s="4" t="n">
        <v>2560</v>
      </c>
      <c r="G7" t="n">
        <v>7</v>
      </c>
      <c r="H7" s="8" t="n">
        <v>46082</v>
      </c>
      <c r="I7" t="n">
        <v>213</v>
      </c>
      <c r="J7" s="4" t="n">
        <v>19532.8</v>
      </c>
      <c r="K7" s="9">
        <f>J7/(F7*1.09)</f>
        <v/>
      </c>
      <c r="L7" t="inlineStr">
        <is>
          <t>&gt;90</t>
        </is>
      </c>
      <c r="M7">
        <f>IF(K7&gt;3,"YES","")</f>
        <v/>
      </c>
    </row>
    <row r="8">
      <c r="A8" t="inlineStr">
        <is>
          <t>TA-2025-00623</t>
        </is>
      </c>
      <c r="B8" t="inlineStr">
        <is>
          <t>T-12533</t>
        </is>
      </c>
      <c r="C8" t="inlineStr">
        <is>
          <t>Sejahtera Minimart Pte Ltd</t>
        </is>
      </c>
      <c r="D8" t="inlineStr">
        <is>
          <t>U-RH425-01-01</t>
        </is>
      </c>
      <c r="E8" t="inlineStr">
        <is>
          <t>Rimba Heights</t>
        </is>
      </c>
      <c r="F8" s="4" t="n">
        <v>3430</v>
      </c>
      <c r="G8" t="n">
        <v>5</v>
      </c>
      <c r="H8" s="8" t="n">
        <v>46143</v>
      </c>
      <c r="I8" t="n">
        <v>152</v>
      </c>
      <c r="J8" s="4" t="n">
        <v>18693.5</v>
      </c>
      <c r="K8" s="9">
        <f>J8/(F8*1.09)</f>
        <v/>
      </c>
      <c r="L8" t="inlineStr">
        <is>
          <t>&gt;90</t>
        </is>
      </c>
      <c r="M8">
        <f>IF(K8&gt;3,"YES","")</f>
        <v/>
      </c>
    </row>
    <row r="9">
      <c r="A9" t="inlineStr">
        <is>
          <t>TA-2025-00669</t>
        </is>
      </c>
      <c r="B9" t="inlineStr">
        <is>
          <t>T-12604</t>
        </is>
      </c>
      <c r="C9" t="inlineStr">
        <is>
          <t>Thye Hin Mart</t>
        </is>
      </c>
      <c r="D9" t="inlineStr">
        <is>
          <t>U-KR371-01-08</t>
        </is>
      </c>
      <c r="E9" t="inlineStr">
        <is>
          <t>Kebun Raya</t>
        </is>
      </c>
      <c r="F9" s="4" t="n">
        <v>3350</v>
      </c>
      <c r="G9" t="n">
        <v>5</v>
      </c>
      <c r="H9" s="8" t="n">
        <v>46143</v>
      </c>
      <c r="I9" t="n">
        <v>152</v>
      </c>
      <c r="J9" s="4" t="n">
        <v>18257.5</v>
      </c>
      <c r="K9" s="9">
        <f>J9/(F9*1.09)</f>
        <v/>
      </c>
      <c r="L9" t="inlineStr">
        <is>
          <t>&gt;90</t>
        </is>
      </c>
      <c r="M9">
        <f>IF(K9&gt;3,"YES","")</f>
        <v/>
      </c>
    </row>
    <row r="10">
      <c r="A10" t="inlineStr">
        <is>
          <t>TA-2024-00228</t>
        </is>
      </c>
      <c r="B10" t="inlineStr">
        <is>
          <t>T-10613</t>
        </is>
      </c>
      <c r="C10" t="inlineStr">
        <is>
          <t>Cosy Hair Studio</t>
        </is>
      </c>
      <c r="D10" t="inlineStr">
        <is>
          <t>U-CD133-01-08</t>
        </is>
      </c>
      <c r="E10" t="inlineStr">
        <is>
          <t>Cendana</t>
        </is>
      </c>
      <c r="F10" s="4" t="n">
        <v>2640</v>
      </c>
      <c r="G10" t="n">
        <v>6</v>
      </c>
      <c r="H10" s="8" t="n">
        <v>46113</v>
      </c>
      <c r="I10" t="n">
        <v>182</v>
      </c>
      <c r="J10" s="4" t="n">
        <v>17265.6</v>
      </c>
      <c r="K10" s="9">
        <f>J10/(F10*1.09)</f>
        <v/>
      </c>
      <c r="L10" t="inlineStr">
        <is>
          <t>&gt;90</t>
        </is>
      </c>
      <c r="M10">
        <f>IF(K10&gt;3,"YES","")</f>
        <v/>
      </c>
    </row>
    <row r="11">
      <c r="A11" t="inlineStr">
        <is>
          <t>TA-2024-00612</t>
        </is>
      </c>
      <c r="B11" t="inlineStr">
        <is>
          <t>T-11223</t>
        </is>
      </c>
      <c r="C11" t="inlineStr">
        <is>
          <t>Jade Garden Accounting Services Pte Ltd</t>
        </is>
      </c>
      <c r="D11" t="inlineStr">
        <is>
          <t>U-BV231-02-10</t>
        </is>
      </c>
      <c r="E11" t="inlineStr">
        <is>
          <t>Bayshore Vale</t>
        </is>
      </c>
      <c r="F11" s="4" t="n">
        <v>3130</v>
      </c>
      <c r="G11" t="n">
        <v>5</v>
      </c>
      <c r="H11" s="8" t="n">
        <v>46143</v>
      </c>
      <c r="I11" t="n">
        <v>152</v>
      </c>
      <c r="J11" s="4" t="n">
        <v>17058.5</v>
      </c>
      <c r="K11" s="9">
        <f>J11/(F11*1.09)</f>
        <v/>
      </c>
      <c r="L11" t="inlineStr">
        <is>
          <t>&gt;90</t>
        </is>
      </c>
      <c r="M11">
        <f>IF(K11&gt;3,"YES","")</f>
        <v/>
      </c>
    </row>
    <row r="12">
      <c r="A12" t="inlineStr">
        <is>
          <t>TA-2025-00422</t>
        </is>
      </c>
      <c r="B12" t="inlineStr">
        <is>
          <t>T-12213</t>
        </is>
      </c>
      <c r="C12" t="inlineStr">
        <is>
          <t>Old Town Money Changer</t>
        </is>
      </c>
      <c r="D12" t="inlineStr">
        <is>
          <t>U-KR385-01-06</t>
        </is>
      </c>
      <c r="E12" t="inlineStr">
        <is>
          <t>Kebun Raya</t>
        </is>
      </c>
      <c r="F12" s="4" t="n">
        <v>3830</v>
      </c>
      <c r="G12" t="n">
        <v>4</v>
      </c>
      <c r="H12" s="8" t="n">
        <v>46174</v>
      </c>
      <c r="I12" t="n">
        <v>121</v>
      </c>
      <c r="J12" s="4" t="n">
        <v>16698.8</v>
      </c>
      <c r="K12" s="9">
        <f>J12/(F12*1.09)</f>
        <v/>
      </c>
      <c r="L12" t="inlineStr">
        <is>
          <t>&gt;90</t>
        </is>
      </c>
      <c r="M12">
        <f>IF(K12&gt;3,"YES","")</f>
        <v/>
      </c>
    </row>
    <row r="13">
      <c r="A13" t="inlineStr">
        <is>
          <t>TA-2025-00213</t>
        </is>
      </c>
      <c r="B13" t="inlineStr">
        <is>
          <t>T-11869</t>
        </is>
      </c>
      <c r="C13" t="inlineStr">
        <is>
          <t>Old Town Pharmacy</t>
        </is>
      </c>
      <c r="D13" t="inlineStr">
        <is>
          <t>U-KR353-01-07</t>
        </is>
      </c>
      <c r="E13" t="inlineStr">
        <is>
          <t>Kebun Raya</t>
        </is>
      </c>
      <c r="F13" s="4" t="n">
        <v>3020</v>
      </c>
      <c r="G13" t="n">
        <v>5</v>
      </c>
      <c r="H13" s="8" t="n">
        <v>46143</v>
      </c>
      <c r="I13" t="n">
        <v>152</v>
      </c>
      <c r="J13" s="4" t="n">
        <v>16459</v>
      </c>
      <c r="K13" s="9">
        <f>J13/(F13*1.09)</f>
        <v/>
      </c>
      <c r="L13" t="inlineStr">
        <is>
          <t>&gt;90</t>
        </is>
      </c>
      <c r="M13">
        <f>IF(K13&gt;3,"YES","")</f>
        <v/>
      </c>
    </row>
    <row r="14">
      <c r="A14" t="inlineStr">
        <is>
          <t>TA-2026-00284</t>
        </is>
      </c>
      <c r="B14" t="inlineStr">
        <is>
          <t>T-13221</t>
        </is>
      </c>
      <c r="C14" t="inlineStr">
        <is>
          <t>Cosy Supermarket Pte Ltd</t>
        </is>
      </c>
      <c r="D14" t="inlineStr">
        <is>
          <t>U-ST538-01-03</t>
        </is>
      </c>
      <c r="E14" t="inlineStr">
        <is>
          <t>Sungai Tinggi</t>
        </is>
      </c>
      <c r="F14" s="4" t="n">
        <v>3670</v>
      </c>
      <c r="G14" t="n">
        <v>4</v>
      </c>
      <c r="H14" s="8" t="n">
        <v>46174</v>
      </c>
      <c r="I14" t="n">
        <v>121</v>
      </c>
      <c r="J14" s="4" t="n">
        <v>16001.2</v>
      </c>
      <c r="K14" s="9">
        <f>J14/(F14*1.09)</f>
        <v/>
      </c>
      <c r="L14" t="inlineStr">
        <is>
          <t>&gt;90</t>
        </is>
      </c>
      <c r="M14">
        <f>IF(K14&gt;3,"YES","")</f>
        <v/>
      </c>
    </row>
    <row r="15">
      <c r="A15" t="inlineStr">
        <is>
          <t>TA-2024-00194</t>
        </is>
      </c>
      <c r="B15" t="inlineStr">
        <is>
          <t>T-10566</t>
        </is>
      </c>
      <c r="C15" t="inlineStr">
        <is>
          <t>Pinnacle Beauty &amp; Hair Pte Ltd</t>
        </is>
      </c>
      <c r="D15" t="inlineStr">
        <is>
          <t>U-PI678-01-01</t>
        </is>
      </c>
      <c r="E15" t="inlineStr">
        <is>
          <t>Pasir Indah</t>
        </is>
      </c>
      <c r="F15" s="4" t="n">
        <v>3560</v>
      </c>
      <c r="G15" t="n">
        <v>4</v>
      </c>
      <c r="H15" s="8" t="n">
        <v>46174</v>
      </c>
      <c r="I15" t="n">
        <v>121</v>
      </c>
      <c r="J15" s="4" t="n">
        <v>15521.6</v>
      </c>
      <c r="K15" s="9">
        <f>J15/(F15*1.09)</f>
        <v/>
      </c>
      <c r="L15" t="inlineStr">
        <is>
          <t>&gt;90</t>
        </is>
      </c>
      <c r="M15">
        <f>IF(K15&gt;3,"YES","")</f>
        <v/>
      </c>
    </row>
    <row r="16">
      <c r="A16" t="inlineStr">
        <is>
          <t>TA-2025-00491</t>
        </is>
      </c>
      <c r="B16" t="inlineStr">
        <is>
          <t>T-12317</t>
        </is>
      </c>
      <c r="C16" t="inlineStr">
        <is>
          <t>Lakshmi Trading Pte Ltd</t>
        </is>
      </c>
      <c r="D16" t="inlineStr">
        <is>
          <t>U-KR345-01-11</t>
        </is>
      </c>
      <c r="E16" t="inlineStr">
        <is>
          <t>Kebun Raya</t>
        </is>
      </c>
      <c r="F16" s="4" t="n">
        <v>4520</v>
      </c>
      <c r="G16" t="n">
        <v>3</v>
      </c>
      <c r="H16" s="8" t="n">
        <v>46204</v>
      </c>
      <c r="I16" t="n">
        <v>91</v>
      </c>
      <c r="J16" s="4" t="n">
        <v>14780.4</v>
      </c>
      <c r="K16" s="9">
        <f>J16/(F16*1.09)</f>
        <v/>
      </c>
      <c r="L16" t="inlineStr">
        <is>
          <t>&gt;90</t>
        </is>
      </c>
      <c r="M16">
        <f>IF(K16&gt;3,"YES","")</f>
        <v/>
      </c>
    </row>
    <row r="17">
      <c r="A17" t="inlineStr">
        <is>
          <t>TA-2024-00236</t>
        </is>
      </c>
      <c r="B17" t="inlineStr">
        <is>
          <t>T-10629</t>
        </is>
      </c>
      <c r="C17" t="inlineStr">
        <is>
          <t>Chin Lee Beauty &amp; Hair Pte Ltd</t>
        </is>
      </c>
      <c r="D17" t="inlineStr">
        <is>
          <t>U-KR305-01-34</t>
        </is>
      </c>
      <c r="E17" t="inlineStr">
        <is>
          <t>Kebun Raya</t>
        </is>
      </c>
      <c r="F17" s="4" t="n">
        <v>3150</v>
      </c>
      <c r="G17" t="n">
        <v>4</v>
      </c>
      <c r="H17" s="8" t="n">
        <v>46174</v>
      </c>
      <c r="I17" t="n">
        <v>121</v>
      </c>
      <c r="J17" s="4" t="n">
        <v>13734</v>
      </c>
      <c r="K17" s="9">
        <f>J17/(F17*1.09)</f>
        <v/>
      </c>
      <c r="L17" t="inlineStr">
        <is>
          <t>&gt;90</t>
        </is>
      </c>
      <c r="M17">
        <f>IF(K17&gt;3,"YES","")</f>
        <v/>
      </c>
    </row>
    <row r="18">
      <c r="A18" t="inlineStr">
        <is>
          <t>TA-2024-00280</t>
        </is>
      </c>
      <c r="B18" t="inlineStr">
        <is>
          <t>T-10701</t>
        </is>
      </c>
      <c r="C18" t="inlineStr">
        <is>
          <t>Hock Lee Money Changer</t>
        </is>
      </c>
      <c r="D18" t="inlineStr">
        <is>
          <t>U-BV256-01-10</t>
        </is>
      </c>
      <c r="E18" t="inlineStr">
        <is>
          <t>Bayshore Vale</t>
        </is>
      </c>
      <c r="F18" s="4" t="n">
        <v>6300</v>
      </c>
      <c r="G18" t="n">
        <v>2</v>
      </c>
      <c r="H18" s="8" t="n">
        <v>46235</v>
      </c>
      <c r="I18" t="n">
        <v>60</v>
      </c>
      <c r="J18" s="4" t="n">
        <v>13734</v>
      </c>
      <c r="K18" s="9">
        <f>J18/(F18*1.09)</f>
        <v/>
      </c>
      <c r="L18" t="inlineStr">
        <is>
          <t>31-60</t>
        </is>
      </c>
      <c r="M18">
        <f>IF(K18&gt;3,"YES","")</f>
        <v/>
      </c>
    </row>
    <row r="19">
      <c r="A19" t="inlineStr">
        <is>
          <t>TA-2023-00135</t>
        </is>
      </c>
      <c r="B19" t="inlineStr">
        <is>
          <t>T-10192</t>
        </is>
      </c>
      <c r="C19" t="inlineStr">
        <is>
          <t>Kampung Hair Salon</t>
        </is>
      </c>
      <c r="D19" t="inlineStr">
        <is>
          <t>U-CD109-01-12</t>
        </is>
      </c>
      <c r="E19" t="inlineStr">
        <is>
          <t>Cendana</t>
        </is>
      </c>
      <c r="F19" s="4" t="n">
        <v>6290</v>
      </c>
      <c r="G19" t="n">
        <v>2</v>
      </c>
      <c r="H19" s="8" t="n">
        <v>46235</v>
      </c>
      <c r="I19" t="n">
        <v>60</v>
      </c>
      <c r="J19" s="4" t="n">
        <v>13712.2</v>
      </c>
      <c r="K19" s="9">
        <f>J19/(F19*1.09)</f>
        <v/>
      </c>
      <c r="L19" t="inlineStr">
        <is>
          <t>31-60</t>
        </is>
      </c>
      <c r="M19">
        <f>IF(K19&gt;3,"YES","")</f>
        <v/>
      </c>
    </row>
    <row r="20">
      <c r="A20" t="inlineStr">
        <is>
          <t>TA-2024-00182</t>
        </is>
      </c>
      <c r="B20" t="inlineStr">
        <is>
          <t>T-10545</t>
        </is>
      </c>
      <c r="C20" t="inlineStr">
        <is>
          <t>Hup Seng Eating House Pte Ltd</t>
        </is>
      </c>
      <c r="D20" t="inlineStr">
        <is>
          <t>U-KR318-01-01</t>
        </is>
      </c>
      <c r="E20" t="inlineStr">
        <is>
          <t>Kebun Raya</t>
        </is>
      </c>
      <c r="F20" s="4" t="n">
        <v>12270</v>
      </c>
      <c r="G20" t="n">
        <v>1</v>
      </c>
      <c r="H20" s="8" t="n">
        <v>46266</v>
      </c>
      <c r="I20" t="n">
        <v>29</v>
      </c>
      <c r="J20" s="4" t="n">
        <v>13374.3</v>
      </c>
      <c r="K20" s="9">
        <f>J20/(F20*1.09)</f>
        <v/>
      </c>
      <c r="L20" t="inlineStr">
        <is>
          <t>0-30</t>
        </is>
      </c>
      <c r="M20">
        <f>IF(K20&gt;3,"YES","")</f>
        <v/>
      </c>
    </row>
    <row r="21">
      <c r="A21" t="inlineStr">
        <is>
          <t>TA-2024-00722</t>
        </is>
      </c>
      <c r="B21" t="inlineStr">
        <is>
          <t>T-11399</t>
        </is>
      </c>
      <c r="C21" t="inlineStr">
        <is>
          <t>Chin Lee Agency Pte Ltd</t>
        </is>
      </c>
      <c r="D21" t="inlineStr">
        <is>
          <t>U-BV290-02-01</t>
        </is>
      </c>
      <c r="E21" t="inlineStr">
        <is>
          <t>Bayshore Vale</t>
        </is>
      </c>
      <c r="F21" s="4" t="n">
        <v>4060</v>
      </c>
      <c r="G21" t="n">
        <v>3</v>
      </c>
      <c r="H21" s="8" t="n">
        <v>46204</v>
      </c>
      <c r="I21" t="n">
        <v>91</v>
      </c>
      <c r="J21" s="4" t="n">
        <v>13276.2</v>
      </c>
      <c r="K21" s="9">
        <f>J21/(F21*1.09)</f>
        <v/>
      </c>
      <c r="L21" t="inlineStr">
        <is>
          <t>&gt;90</t>
        </is>
      </c>
      <c r="M21">
        <f>IF(K21&gt;3,"YES","")</f>
        <v/>
      </c>
    </row>
    <row r="22">
      <c r="A22" t="inlineStr">
        <is>
          <t>TA-2025-00305</t>
        </is>
      </c>
      <c r="B22" t="inlineStr">
        <is>
          <t>T-12018</t>
        </is>
      </c>
      <c r="C22" t="inlineStr">
        <is>
          <t>Wisdom Education Hub Pte Ltd</t>
        </is>
      </c>
      <c r="D22" t="inlineStr">
        <is>
          <t>U-RH456-01-09</t>
        </is>
      </c>
      <c r="E22" t="inlineStr">
        <is>
          <t>Rimba Heights</t>
        </is>
      </c>
      <c r="F22" s="4" t="n">
        <v>2320</v>
      </c>
      <c r="G22" t="n">
        <v>5</v>
      </c>
      <c r="H22" s="8" t="n">
        <v>46143</v>
      </c>
      <c r="I22" t="n">
        <v>152</v>
      </c>
      <c r="J22" s="4" t="n">
        <v>12644</v>
      </c>
      <c r="K22" s="9">
        <f>J22/(F22*1.09)</f>
        <v/>
      </c>
      <c r="L22" t="inlineStr">
        <is>
          <t>&gt;90</t>
        </is>
      </c>
      <c r="M22">
        <f>IF(K22&gt;3,"YES","")</f>
        <v/>
      </c>
    </row>
    <row r="23">
      <c r="A23" t="inlineStr">
        <is>
          <t>TA-2025-00047</t>
        </is>
      </c>
      <c r="B23" t="inlineStr">
        <is>
          <t>T-11597</t>
        </is>
      </c>
      <c r="C23" t="inlineStr">
        <is>
          <t>Cosy Minimart Pte Ltd</t>
        </is>
      </c>
      <c r="D23" t="inlineStr">
        <is>
          <t>U-PI627-01-33</t>
        </is>
      </c>
      <c r="E23" t="inlineStr">
        <is>
          <t>Pasir Indah</t>
        </is>
      </c>
      <c r="F23" s="4" t="n">
        <v>2880</v>
      </c>
      <c r="G23" t="n">
        <v>4</v>
      </c>
      <c r="H23" s="8" t="n">
        <v>46174</v>
      </c>
      <c r="I23" t="n">
        <v>121</v>
      </c>
      <c r="J23" s="4" t="n">
        <v>12556.8</v>
      </c>
      <c r="K23" s="9">
        <f>J23/(F23*1.09)</f>
        <v/>
      </c>
      <c r="L23" t="inlineStr">
        <is>
          <t>&gt;90</t>
        </is>
      </c>
      <c r="M23">
        <f>IF(K23&gt;3,"YES","")</f>
        <v/>
      </c>
    </row>
    <row r="24">
      <c r="A24" t="inlineStr">
        <is>
          <t>TA-2026-00302</t>
        </is>
      </c>
      <c r="B24" t="inlineStr">
        <is>
          <t>T-13248</t>
        </is>
      </c>
      <c r="C24" t="inlineStr">
        <is>
          <t>Harmony Hair Salon</t>
        </is>
      </c>
      <c r="D24" t="inlineStr">
        <is>
          <t>U-CD105-01-08</t>
        </is>
      </c>
      <c r="E24" t="inlineStr">
        <is>
          <t>Cendana</t>
        </is>
      </c>
      <c r="F24" s="4" t="n">
        <v>5600</v>
      </c>
      <c r="G24" t="n">
        <v>2</v>
      </c>
      <c r="H24" s="8" t="n">
        <v>46235</v>
      </c>
      <c r="I24" t="n">
        <v>60</v>
      </c>
      <c r="J24" s="4" t="n">
        <v>12208</v>
      </c>
      <c r="K24" s="9">
        <f>J24/(F24*1.09)</f>
        <v/>
      </c>
      <c r="L24" t="inlineStr">
        <is>
          <t>31-60</t>
        </is>
      </c>
      <c r="M24">
        <f>IF(K24&gt;3,"YES","")</f>
        <v/>
      </c>
    </row>
    <row r="25">
      <c r="A25" t="inlineStr">
        <is>
          <t>TA-2025-00619</t>
        </is>
      </c>
      <c r="B25" t="inlineStr">
        <is>
          <t>T-12529</t>
        </is>
      </c>
      <c r="C25" t="inlineStr">
        <is>
          <t>Teck Guan Hair Studio Pte Ltd</t>
        </is>
      </c>
      <c r="D25" t="inlineStr">
        <is>
          <t>U-PI675-01-06</t>
        </is>
      </c>
      <c r="E25" t="inlineStr">
        <is>
          <t>Pasir Indah</t>
        </is>
      </c>
      <c r="F25" s="4" t="n">
        <v>5190</v>
      </c>
      <c r="G25" t="n">
        <v>2</v>
      </c>
      <c r="H25" s="8" t="n">
        <v>46235</v>
      </c>
      <c r="I25" t="n">
        <v>60</v>
      </c>
      <c r="J25" s="4" t="n">
        <v>11314.2</v>
      </c>
      <c r="K25" s="9">
        <f>J25/(F25*1.09)</f>
        <v/>
      </c>
      <c r="L25" t="inlineStr">
        <is>
          <t>31-60</t>
        </is>
      </c>
      <c r="M25">
        <f>IF(K25&gt;3,"YES","")</f>
        <v/>
      </c>
    </row>
    <row r="26">
      <c r="A26" t="inlineStr">
        <is>
          <t>TA-2026-00546</t>
        </is>
      </c>
      <c r="B26" t="inlineStr">
        <is>
          <t>T-13626</t>
        </is>
      </c>
      <c r="C26" t="inlineStr">
        <is>
          <t>Unity Mobile Pte Ltd</t>
        </is>
      </c>
      <c r="D26" t="inlineStr">
        <is>
          <t>U-KR368-01-06</t>
        </is>
      </c>
      <c r="E26" t="inlineStr">
        <is>
          <t>Kebun Raya</t>
        </is>
      </c>
      <c r="F26" s="4" t="n">
        <v>4790</v>
      </c>
      <c r="G26" t="n">
        <v>2</v>
      </c>
      <c r="H26" s="8" t="n">
        <v>46235</v>
      </c>
      <c r="I26" t="n">
        <v>60</v>
      </c>
      <c r="J26" s="4" t="n">
        <v>10442.2</v>
      </c>
      <c r="K26" s="9">
        <f>J26/(F26*1.09)</f>
        <v/>
      </c>
      <c r="L26" t="inlineStr">
        <is>
          <t>31-60</t>
        </is>
      </c>
      <c r="M26">
        <f>IF(K26&gt;3,"YES","")</f>
        <v/>
      </c>
    </row>
    <row r="27">
      <c r="A27" t="inlineStr">
        <is>
          <t>TA-2024-00455</t>
        </is>
      </c>
      <c r="B27" t="inlineStr">
        <is>
          <t>T-10977</t>
        </is>
      </c>
      <c r="C27" t="inlineStr">
        <is>
          <t>Seri Murni Hardware</t>
        </is>
      </c>
      <c r="D27" t="inlineStr">
        <is>
          <t>U-ST512-01-23</t>
        </is>
      </c>
      <c r="E27" t="inlineStr">
        <is>
          <t>Sungai Tinggi</t>
        </is>
      </c>
      <c r="F27" s="4" t="n">
        <v>2390</v>
      </c>
      <c r="G27" t="n">
        <v>4</v>
      </c>
      <c r="H27" s="8" t="n">
        <v>46174</v>
      </c>
      <c r="I27" t="n">
        <v>121</v>
      </c>
      <c r="J27" s="4" t="n">
        <v>10420.4</v>
      </c>
      <c r="K27" s="9">
        <f>J27/(F27*1.09)</f>
        <v/>
      </c>
      <c r="L27" t="inlineStr">
        <is>
          <t>&gt;90</t>
        </is>
      </c>
      <c r="M27">
        <f>IF(K27&gt;3,"YES","")</f>
        <v/>
      </c>
    </row>
    <row r="28">
      <c r="A28" t="inlineStr">
        <is>
          <t>TA-2026-00016</t>
        </is>
      </c>
      <c r="B28" t="inlineStr">
        <is>
          <t>T-12795</t>
        </is>
      </c>
      <c r="C28" t="inlineStr">
        <is>
          <t>Lim's Pharmacy</t>
        </is>
      </c>
      <c r="D28" t="inlineStr">
        <is>
          <t>U-CD142-01-05</t>
        </is>
      </c>
      <c r="E28" t="inlineStr">
        <is>
          <t>Cendana</t>
        </is>
      </c>
      <c r="F28" s="4" t="n">
        <v>4730</v>
      </c>
      <c r="G28" t="n">
        <v>2</v>
      </c>
      <c r="H28" s="8" t="n">
        <v>46235</v>
      </c>
      <c r="I28" t="n">
        <v>60</v>
      </c>
      <c r="J28" s="4" t="n">
        <v>10311.4</v>
      </c>
      <c r="K28" s="9">
        <f>J28/(F28*1.09)</f>
        <v/>
      </c>
      <c r="L28" t="inlineStr">
        <is>
          <t>31-60</t>
        </is>
      </c>
      <c r="M28">
        <f>IF(K28&gt;3,"YES","")</f>
        <v/>
      </c>
    </row>
    <row r="29">
      <c r="A29" t="inlineStr">
        <is>
          <t>TA-2026-00370</t>
        </is>
      </c>
      <c r="B29" t="inlineStr">
        <is>
          <t>T-13362</t>
        </is>
      </c>
      <c r="C29" t="inlineStr">
        <is>
          <t>Smart Kids Stationery Pte Ltd</t>
        </is>
      </c>
      <c r="D29" t="inlineStr">
        <is>
          <t>U-BV296-01-05</t>
        </is>
      </c>
      <c r="E29" t="inlineStr">
        <is>
          <t>Bayshore Vale</t>
        </is>
      </c>
      <c r="F29" s="4" t="n">
        <v>2320</v>
      </c>
      <c r="G29" t="n">
        <v>4</v>
      </c>
      <c r="H29" s="8" t="n">
        <v>46174</v>
      </c>
      <c r="I29" t="n">
        <v>121</v>
      </c>
      <c r="J29" s="4" t="n">
        <v>10115.2</v>
      </c>
      <c r="K29" s="9">
        <f>J29/(F29*1.09)</f>
        <v/>
      </c>
      <c r="L29" t="inlineStr">
        <is>
          <t>&gt;90</t>
        </is>
      </c>
      <c r="M29">
        <f>IF(K29&gt;3,"YES","")</f>
        <v/>
      </c>
    </row>
    <row r="30">
      <c r="A30" t="inlineStr">
        <is>
          <t>TA-2024-00217</t>
        </is>
      </c>
      <c r="B30" t="inlineStr">
        <is>
          <t>T-10596</t>
        </is>
      </c>
      <c r="C30" t="inlineStr">
        <is>
          <t>Little Sprouts Dental Care Pte Ltd</t>
        </is>
      </c>
      <c r="D30" t="inlineStr">
        <is>
          <t>U-BV271-02-01</t>
        </is>
      </c>
      <c r="E30" t="inlineStr">
        <is>
          <t>Bayshore Vale</t>
        </is>
      </c>
      <c r="F30" s="4" t="n">
        <v>4530</v>
      </c>
      <c r="G30" t="n">
        <v>2</v>
      </c>
      <c r="H30" s="8" t="n">
        <v>46235</v>
      </c>
      <c r="I30" t="n">
        <v>60</v>
      </c>
      <c r="J30" s="4" t="n">
        <v>9875.4</v>
      </c>
      <c r="K30" s="9">
        <f>J30/(F30*1.09)</f>
        <v/>
      </c>
      <c r="L30" t="inlineStr">
        <is>
          <t>31-60</t>
        </is>
      </c>
      <c r="M30">
        <f>IF(K30&gt;3,"YES","")</f>
        <v/>
      </c>
    </row>
    <row r="31">
      <c r="A31" t="inlineStr">
        <is>
          <t>TA-2025-00340</t>
        </is>
      </c>
      <c r="B31" t="inlineStr">
        <is>
          <t>T-12083</t>
        </is>
      </c>
      <c r="C31" t="inlineStr">
        <is>
          <t>Mutiara Tea House</t>
        </is>
      </c>
      <c r="D31" t="inlineStr">
        <is>
          <t>U-CD152-01-06</t>
        </is>
      </c>
      <c r="E31" t="inlineStr">
        <is>
          <t>Cendana</t>
        </is>
      </c>
      <c r="F31" s="4" t="n">
        <v>4510</v>
      </c>
      <c r="G31" t="n">
        <v>2</v>
      </c>
      <c r="H31" s="8" t="n">
        <v>46235</v>
      </c>
      <c r="I31" t="n">
        <v>60</v>
      </c>
      <c r="J31" s="4" t="n">
        <v>9831.799999999999</v>
      </c>
      <c r="K31" s="9">
        <f>J31/(F31*1.09)</f>
        <v/>
      </c>
      <c r="L31" t="inlineStr">
        <is>
          <t>31-60</t>
        </is>
      </c>
      <c r="M31">
        <f>IF(K31&gt;3,"YES","")</f>
        <v/>
      </c>
    </row>
    <row r="32">
      <c r="A32" t="inlineStr">
        <is>
          <t>TA-2025-00677</t>
        </is>
      </c>
      <c r="B32" t="inlineStr">
        <is>
          <t>T-12614</t>
        </is>
      </c>
      <c r="C32" t="inlineStr">
        <is>
          <t>Green Leaf Minimart</t>
        </is>
      </c>
      <c r="D32" t="inlineStr">
        <is>
          <t>U-PI627-01-32</t>
        </is>
      </c>
      <c r="E32" t="inlineStr">
        <is>
          <t>Pasir Indah</t>
        </is>
      </c>
      <c r="F32" s="4" t="n">
        <v>4450</v>
      </c>
      <c r="G32" t="n">
        <v>2</v>
      </c>
      <c r="H32" s="8" t="n">
        <v>46235</v>
      </c>
      <c r="I32" t="n">
        <v>60</v>
      </c>
      <c r="J32" s="4" t="n">
        <v>9701</v>
      </c>
      <c r="K32" s="9">
        <f>J32/(F32*1.09)</f>
        <v/>
      </c>
      <c r="L32" t="inlineStr">
        <is>
          <t>31-60</t>
        </is>
      </c>
      <c r="M32">
        <f>IF(K32&gt;3,"YES","")</f>
        <v/>
      </c>
    </row>
    <row r="33">
      <c r="A33" t="inlineStr">
        <is>
          <t>TA-2025-00380</t>
        </is>
      </c>
      <c r="B33" t="inlineStr">
        <is>
          <t>T-12146</t>
        </is>
      </c>
      <c r="C33" t="inlineStr">
        <is>
          <t>Cahaya Cake House</t>
        </is>
      </c>
      <c r="D33" t="inlineStr">
        <is>
          <t>U-ST537-01-01</t>
        </is>
      </c>
      <c r="E33" t="inlineStr">
        <is>
          <t>Sungai Tinggi</t>
        </is>
      </c>
      <c r="F33" s="4" t="n">
        <v>4440</v>
      </c>
      <c r="G33" t="n">
        <v>2</v>
      </c>
      <c r="H33" s="8" t="n">
        <v>46235</v>
      </c>
      <c r="I33" t="n">
        <v>60</v>
      </c>
      <c r="J33" s="4" t="n">
        <v>9679.200000000001</v>
      </c>
      <c r="K33" s="9">
        <f>J33/(F33*1.09)</f>
        <v/>
      </c>
      <c r="L33" t="inlineStr">
        <is>
          <t>31-60</t>
        </is>
      </c>
      <c r="M33">
        <f>IF(K33&gt;3,"YES","")</f>
        <v/>
      </c>
    </row>
    <row r="34">
      <c r="A34" t="inlineStr">
        <is>
          <t>TA-2024-00314</t>
        </is>
      </c>
      <c r="B34" t="inlineStr">
        <is>
          <t>T-10759</t>
        </is>
      </c>
      <c r="C34" t="inlineStr">
        <is>
          <t>Al-Ameen Clinic &amp; Surgery</t>
        </is>
      </c>
      <c r="D34" t="inlineStr">
        <is>
          <t>U-KR385-01-03</t>
        </is>
      </c>
      <c r="E34" t="inlineStr">
        <is>
          <t>Kebun Raya</t>
        </is>
      </c>
      <c r="F34" s="4" t="n">
        <v>4430</v>
      </c>
      <c r="G34" t="n">
        <v>2</v>
      </c>
      <c r="H34" s="8" t="n">
        <v>46235</v>
      </c>
      <c r="I34" t="n">
        <v>60</v>
      </c>
      <c r="J34" s="4" t="n">
        <v>9657.4</v>
      </c>
      <c r="K34" s="9">
        <f>J34/(F34*1.09)</f>
        <v/>
      </c>
      <c r="L34" t="inlineStr">
        <is>
          <t>31-60</t>
        </is>
      </c>
      <c r="M34">
        <f>IF(K34&gt;3,"YES","")</f>
        <v/>
      </c>
    </row>
    <row r="35">
      <c r="A35" t="inlineStr">
        <is>
          <t>TA-2025-00673</t>
        </is>
      </c>
      <c r="B35" t="inlineStr">
        <is>
          <t>T-12609</t>
        </is>
      </c>
      <c r="C35" t="inlineStr">
        <is>
          <t>Red Lantern Mart</t>
        </is>
      </c>
      <c r="D35" t="inlineStr">
        <is>
          <t>U-KR372-01-02</t>
        </is>
      </c>
      <c r="E35" t="inlineStr">
        <is>
          <t>Kebun Raya</t>
        </is>
      </c>
      <c r="F35" s="4" t="n">
        <v>4420</v>
      </c>
      <c r="G35" t="n">
        <v>2</v>
      </c>
      <c r="H35" s="8" t="n">
        <v>46235</v>
      </c>
      <c r="I35" t="n">
        <v>60</v>
      </c>
      <c r="J35" s="4" t="n">
        <v>9635.6</v>
      </c>
      <c r="K35" s="9">
        <f>J35/(F35*1.09)</f>
        <v/>
      </c>
      <c r="L35" t="inlineStr">
        <is>
          <t>31-60</t>
        </is>
      </c>
      <c r="M35">
        <f>IF(K35&gt;3,"YES","")</f>
        <v/>
      </c>
    </row>
    <row r="36">
      <c r="A36" t="inlineStr">
        <is>
          <t>TA-2024-00570</t>
        </is>
      </c>
      <c r="B36" t="inlineStr">
        <is>
          <t>T-11163</t>
        </is>
      </c>
      <c r="C36" t="inlineStr">
        <is>
          <t>Hassan Mart</t>
        </is>
      </c>
      <c r="D36" t="inlineStr">
        <is>
          <t>U-PI615-01-12</t>
        </is>
      </c>
      <c r="E36" t="inlineStr">
        <is>
          <t>Pasir Indah</t>
        </is>
      </c>
      <c r="F36" s="4" t="n">
        <v>4360</v>
      </c>
      <c r="G36" t="n">
        <v>2</v>
      </c>
      <c r="H36" s="8" t="n">
        <v>46235</v>
      </c>
      <c r="I36" t="n">
        <v>60</v>
      </c>
      <c r="J36" s="4" t="n">
        <v>9504.799999999999</v>
      </c>
      <c r="K36" s="9">
        <f>J36/(F36*1.09)</f>
        <v/>
      </c>
      <c r="L36" t="inlineStr">
        <is>
          <t>31-60</t>
        </is>
      </c>
      <c r="M36">
        <f>IF(K36&gt;3,"YES","")</f>
        <v/>
      </c>
    </row>
    <row r="37">
      <c r="A37" t="inlineStr">
        <is>
          <t>TA-2026-00036</t>
        </is>
      </c>
      <c r="B37" t="inlineStr">
        <is>
          <t>T-12820</t>
        </is>
      </c>
      <c r="C37" t="inlineStr">
        <is>
          <t>Kumar Bookstore Pte Ltd</t>
        </is>
      </c>
      <c r="D37" t="inlineStr">
        <is>
          <t>U-PI601-01-02</t>
        </is>
      </c>
      <c r="E37" t="inlineStr">
        <is>
          <t>Pasir Indah</t>
        </is>
      </c>
      <c r="F37" s="4" t="n">
        <v>4280</v>
      </c>
      <c r="G37" t="n">
        <v>2</v>
      </c>
      <c r="H37" s="8" t="n">
        <v>46235</v>
      </c>
      <c r="I37" t="n">
        <v>60</v>
      </c>
      <c r="J37" s="4" t="n">
        <v>9330.4</v>
      </c>
      <c r="K37" s="9">
        <f>J37/(F37*1.09)</f>
        <v/>
      </c>
      <c r="L37" t="inlineStr">
        <is>
          <t>31-60</t>
        </is>
      </c>
      <c r="M37">
        <f>IF(K37&gt;3,"YES","")</f>
        <v/>
      </c>
    </row>
    <row r="38">
      <c r="A38" t="inlineStr">
        <is>
          <t>TA-2025-00120</t>
        </is>
      </c>
      <c r="B38" t="inlineStr">
        <is>
          <t>T-11698</t>
        </is>
      </c>
      <c r="C38" t="inlineStr">
        <is>
          <t>Hock Lee Medical Supplies</t>
        </is>
      </c>
      <c r="D38" t="inlineStr">
        <is>
          <t>U-RH455-01-28</t>
        </is>
      </c>
      <c r="E38" t="inlineStr">
        <is>
          <t>Rimba Heights</t>
        </is>
      </c>
      <c r="F38" s="4" t="n">
        <v>3990</v>
      </c>
      <c r="G38" t="n">
        <v>2</v>
      </c>
      <c r="H38" s="8" t="n">
        <v>46235</v>
      </c>
      <c r="I38" t="n">
        <v>60</v>
      </c>
      <c r="J38" s="4" t="n">
        <v>8698.200000000001</v>
      </c>
      <c r="K38" s="9">
        <f>J38/(F38*1.09)</f>
        <v/>
      </c>
      <c r="L38" t="inlineStr">
        <is>
          <t>31-60</t>
        </is>
      </c>
      <c r="M38">
        <f>IF(K38&gt;3,"YES","")</f>
        <v/>
      </c>
    </row>
    <row r="39">
      <c r="A39" t="inlineStr">
        <is>
          <t>TA-2025-00298</t>
        </is>
      </c>
      <c r="B39" t="inlineStr">
        <is>
          <t>T-12010</t>
        </is>
      </c>
      <c r="C39" t="inlineStr">
        <is>
          <t>Joo Chiat Kitchen Pte Ltd</t>
        </is>
      </c>
      <c r="D39" t="inlineStr">
        <is>
          <t>U-PI670-01-01</t>
        </is>
      </c>
      <c r="E39" t="inlineStr">
        <is>
          <t>Pasir Indah</t>
        </is>
      </c>
      <c r="F39" s="4" t="n">
        <v>3950</v>
      </c>
      <c r="G39" t="n">
        <v>2</v>
      </c>
      <c r="H39" s="8" t="n">
        <v>46235</v>
      </c>
      <c r="I39" t="n">
        <v>60</v>
      </c>
      <c r="J39" s="4" t="n">
        <v>8611</v>
      </c>
      <c r="K39" s="9">
        <f>J39/(F39*1.09)</f>
        <v/>
      </c>
      <c r="L39" t="inlineStr">
        <is>
          <t>31-60</t>
        </is>
      </c>
      <c r="M39">
        <f>IF(K39&gt;3,"YES","")</f>
        <v/>
      </c>
    </row>
    <row r="40">
      <c r="A40" t="inlineStr">
        <is>
          <t>TA-2025-00697</t>
        </is>
      </c>
      <c r="B40" t="inlineStr">
        <is>
          <t>T-12664</t>
        </is>
      </c>
      <c r="C40" t="inlineStr">
        <is>
          <t>Soon Hin Optical</t>
        </is>
      </c>
      <c r="D40" t="inlineStr">
        <is>
          <t>U-ST501-01-08</t>
        </is>
      </c>
      <c r="E40" t="inlineStr">
        <is>
          <t>Sungai Tinggi</t>
        </is>
      </c>
      <c r="F40" s="4" t="n">
        <v>3900</v>
      </c>
      <c r="G40" t="n">
        <v>2</v>
      </c>
      <c r="H40" s="8" t="n">
        <v>46235</v>
      </c>
      <c r="I40" t="n">
        <v>60</v>
      </c>
      <c r="J40" s="4" t="n">
        <v>8502</v>
      </c>
      <c r="K40" s="9">
        <f>J40/(F40*1.09)</f>
        <v/>
      </c>
      <c r="L40" t="inlineStr">
        <is>
          <t>31-60</t>
        </is>
      </c>
      <c r="M40">
        <f>IF(K40&gt;3,"YES","")</f>
        <v/>
      </c>
    </row>
    <row r="41">
      <c r="A41" t="inlineStr">
        <is>
          <t>TA-2025-00335</t>
        </is>
      </c>
      <c r="B41" t="inlineStr">
        <is>
          <t>T-12069</t>
        </is>
      </c>
      <c r="C41" t="inlineStr">
        <is>
          <t>Kumar Mart</t>
        </is>
      </c>
      <c r="D41" t="inlineStr">
        <is>
          <t>U-CD109-01-07</t>
        </is>
      </c>
      <c r="E41" t="inlineStr">
        <is>
          <t>Cendana</t>
        </is>
      </c>
      <c r="F41" s="4" t="n">
        <v>3750</v>
      </c>
      <c r="G41" t="n">
        <v>2</v>
      </c>
      <c r="H41" s="8" t="n">
        <v>46235</v>
      </c>
      <c r="I41" t="n">
        <v>60</v>
      </c>
      <c r="J41" s="4" t="n">
        <v>8175</v>
      </c>
      <c r="K41" s="9">
        <f>J41/(F41*1.09)</f>
        <v/>
      </c>
      <c r="L41" t="inlineStr">
        <is>
          <t>31-60</t>
        </is>
      </c>
      <c r="M41">
        <f>IF(K41&gt;3,"YES","")</f>
        <v/>
      </c>
    </row>
    <row r="42">
      <c r="A42" t="inlineStr">
        <is>
          <t>TA-2026-00011</t>
        </is>
      </c>
      <c r="B42" t="inlineStr">
        <is>
          <t>T-12785</t>
        </is>
      </c>
      <c r="C42" t="inlineStr">
        <is>
          <t>Everbright Flowers &amp; Gifts Pte Ltd</t>
        </is>
      </c>
      <c r="D42" t="inlineStr">
        <is>
          <t>U-BV271-01-11</t>
        </is>
      </c>
      <c r="E42" t="inlineStr">
        <is>
          <t>Bayshore Vale</t>
        </is>
      </c>
      <c r="F42" s="4" t="n">
        <v>3680</v>
      </c>
      <c r="G42" t="n">
        <v>2</v>
      </c>
      <c r="H42" s="8" t="n">
        <v>46235</v>
      </c>
      <c r="I42" t="n">
        <v>60</v>
      </c>
      <c r="J42" s="4" t="n">
        <v>8022.4</v>
      </c>
      <c r="K42" s="9">
        <f>J42/(F42*1.09)</f>
        <v/>
      </c>
      <c r="L42" t="inlineStr">
        <is>
          <t>31-60</t>
        </is>
      </c>
      <c r="M42">
        <f>IF(K42&gt;3,"YES","")</f>
        <v/>
      </c>
    </row>
    <row r="43">
      <c r="A43" t="inlineStr">
        <is>
          <t>TA-2024-00516</t>
        </is>
      </c>
      <c r="B43" t="inlineStr">
        <is>
          <t>T-11071</t>
        </is>
      </c>
      <c r="C43" t="inlineStr">
        <is>
          <t>Golden Leaf Mart</t>
        </is>
      </c>
      <c r="D43" t="inlineStr">
        <is>
          <t>U-PI684-01-12</t>
        </is>
      </c>
      <c r="E43" t="inlineStr">
        <is>
          <t>Pasir Indah</t>
        </is>
      </c>
      <c r="F43" s="4" t="n">
        <v>3670</v>
      </c>
      <c r="G43" t="n">
        <v>2</v>
      </c>
      <c r="H43" s="8" t="n">
        <v>46235</v>
      </c>
      <c r="I43" t="n">
        <v>60</v>
      </c>
      <c r="J43" s="4" t="n">
        <v>8000.6</v>
      </c>
      <c r="K43" s="9">
        <f>J43/(F43*1.09)</f>
        <v/>
      </c>
      <c r="L43" t="inlineStr">
        <is>
          <t>31-60</t>
        </is>
      </c>
      <c r="M43">
        <f>IF(K43&gt;3,"YES","")</f>
        <v/>
      </c>
    </row>
    <row r="44">
      <c r="A44" t="inlineStr">
        <is>
          <t>TA-2024-00221</t>
        </is>
      </c>
      <c r="B44" t="inlineStr">
        <is>
          <t>T-10599</t>
        </is>
      </c>
      <c r="C44" t="inlineStr">
        <is>
          <t>Hassan Beauty &amp; Hair</t>
        </is>
      </c>
      <c r="D44" t="inlineStr">
        <is>
          <t>U-BV288-01-04</t>
        </is>
      </c>
      <c r="E44" t="inlineStr">
        <is>
          <t>Bayshore Vale</t>
        </is>
      </c>
      <c r="F44" s="4" t="n">
        <v>6940</v>
      </c>
      <c r="G44" t="n">
        <v>1</v>
      </c>
      <c r="H44" s="8" t="n">
        <v>46266</v>
      </c>
      <c r="I44" t="n">
        <v>29</v>
      </c>
      <c r="J44" s="4" t="n">
        <v>7564.6</v>
      </c>
      <c r="K44" s="9">
        <f>J44/(F44*1.09)</f>
        <v/>
      </c>
      <c r="L44" t="inlineStr">
        <is>
          <t>0-30</t>
        </is>
      </c>
      <c r="M44">
        <f>IF(K44&gt;3,"YES","")</f>
        <v/>
      </c>
    </row>
    <row r="45">
      <c r="A45" t="inlineStr">
        <is>
          <t>TA-2025-00483</t>
        </is>
      </c>
      <c r="B45" t="inlineStr">
        <is>
          <t>T-12310</t>
        </is>
      </c>
      <c r="C45" t="inlineStr">
        <is>
          <t>Wellcare Minimart</t>
        </is>
      </c>
      <c r="D45" t="inlineStr">
        <is>
          <t>U-CD153-01-07</t>
        </is>
      </c>
      <c r="E45" t="inlineStr">
        <is>
          <t>Cendana</t>
        </is>
      </c>
      <c r="F45" s="4" t="n">
        <v>3370</v>
      </c>
      <c r="G45" t="n">
        <v>2</v>
      </c>
      <c r="H45" s="8" t="n">
        <v>46235</v>
      </c>
      <c r="I45" t="n">
        <v>60</v>
      </c>
      <c r="J45" s="4" t="n">
        <v>7346.6</v>
      </c>
      <c r="K45" s="9">
        <f>J45/(F45*1.09)</f>
        <v/>
      </c>
      <c r="L45" t="inlineStr">
        <is>
          <t>31-60</t>
        </is>
      </c>
      <c r="M45">
        <f>IF(K45&gt;3,"YES","")</f>
        <v/>
      </c>
    </row>
    <row r="46">
      <c r="A46" t="inlineStr">
        <is>
          <t>TA-2026-00024</t>
        </is>
      </c>
      <c r="B46" t="inlineStr">
        <is>
          <t>T-12804</t>
        </is>
      </c>
      <c r="C46" t="inlineStr">
        <is>
          <t>Sri Ganesh Family Clinic</t>
        </is>
      </c>
      <c r="D46" t="inlineStr">
        <is>
          <t>U-KR305-02-09</t>
        </is>
      </c>
      <c r="E46" t="inlineStr">
        <is>
          <t>Kebun Raya</t>
        </is>
      </c>
      <c r="F46" s="4" t="n">
        <v>3350</v>
      </c>
      <c r="G46" t="n">
        <v>2</v>
      </c>
      <c r="H46" s="8" t="n">
        <v>46235</v>
      </c>
      <c r="I46" t="n">
        <v>60</v>
      </c>
      <c r="J46" s="4" t="n">
        <v>7303</v>
      </c>
      <c r="K46" s="9">
        <f>J46/(F46*1.09)</f>
        <v/>
      </c>
      <c r="L46" t="inlineStr">
        <is>
          <t>31-60</t>
        </is>
      </c>
      <c r="M46">
        <f>IF(K46&gt;3,"YES","")</f>
        <v/>
      </c>
    </row>
    <row r="47">
      <c r="A47" t="inlineStr">
        <is>
          <t>TA-2024-00477</t>
        </is>
      </c>
      <c r="B47" t="inlineStr">
        <is>
          <t>T-11012</t>
        </is>
      </c>
      <c r="C47" t="inlineStr">
        <is>
          <t>Nur Remittance</t>
        </is>
      </c>
      <c r="D47" t="inlineStr">
        <is>
          <t>U-BV256-01-13</t>
        </is>
      </c>
      <c r="E47" t="inlineStr">
        <is>
          <t>Bayshore Vale</t>
        </is>
      </c>
      <c r="F47" s="4" t="n">
        <v>3290</v>
      </c>
      <c r="G47" t="n">
        <v>2</v>
      </c>
      <c r="H47" s="8" t="n">
        <v>46235</v>
      </c>
      <c r="I47" t="n">
        <v>60</v>
      </c>
      <c r="J47" s="4" t="n">
        <v>7172.2</v>
      </c>
      <c r="K47" s="9">
        <f>J47/(F47*1.09)</f>
        <v/>
      </c>
      <c r="L47" t="inlineStr">
        <is>
          <t>31-60</t>
        </is>
      </c>
      <c r="M47">
        <f>IF(K47&gt;3,"YES","")</f>
        <v/>
      </c>
    </row>
    <row r="48">
      <c r="A48" t="inlineStr">
        <is>
          <t>TA-2026-00507</t>
        </is>
      </c>
      <c r="B48" t="inlineStr">
        <is>
          <t>T-13554</t>
        </is>
      </c>
      <c r="C48" t="inlineStr">
        <is>
          <t>Bayu Remittance</t>
        </is>
      </c>
      <c r="D48" t="inlineStr">
        <is>
          <t>U-BV233-01-04</t>
        </is>
      </c>
      <c r="E48" t="inlineStr">
        <is>
          <t>Bayshore Vale</t>
        </is>
      </c>
      <c r="F48" s="4" t="n">
        <v>6420</v>
      </c>
      <c r="G48" t="n">
        <v>1</v>
      </c>
      <c r="H48" s="8" t="n">
        <v>46266</v>
      </c>
      <c r="I48" t="n">
        <v>29</v>
      </c>
      <c r="J48" s="4" t="n">
        <v>6997.8</v>
      </c>
      <c r="K48" s="9">
        <f>J48/(F48*1.09)</f>
        <v/>
      </c>
      <c r="L48" t="inlineStr">
        <is>
          <t>0-30</t>
        </is>
      </c>
      <c r="M48">
        <f>IF(K48&gt;3,"YES","")</f>
        <v/>
      </c>
    </row>
    <row r="49">
      <c r="A49" t="inlineStr">
        <is>
          <t>TA-2026-00242</t>
        </is>
      </c>
      <c r="B49" t="inlineStr">
        <is>
          <t>T-13154</t>
        </is>
      </c>
      <c r="C49" t="inlineStr">
        <is>
          <t>Wong's Medical Supplies</t>
        </is>
      </c>
      <c r="D49" t="inlineStr">
        <is>
          <t>U-BV277-01-12</t>
        </is>
      </c>
      <c r="E49" t="inlineStr">
        <is>
          <t>Bayshore Vale</t>
        </is>
      </c>
      <c r="F49" s="4" t="n">
        <v>3150</v>
      </c>
      <c r="G49" t="n">
        <v>2</v>
      </c>
      <c r="H49" s="8" t="n">
        <v>46235</v>
      </c>
      <c r="I49" t="n">
        <v>60</v>
      </c>
      <c r="J49" s="4" t="n">
        <v>6867</v>
      </c>
      <c r="K49" s="9">
        <f>J49/(F49*1.09)</f>
        <v/>
      </c>
      <c r="L49" t="inlineStr">
        <is>
          <t>31-60</t>
        </is>
      </c>
      <c r="M49">
        <f>IF(K49&gt;3,"YES","")</f>
        <v/>
      </c>
    </row>
    <row r="50">
      <c r="A50" t="inlineStr">
        <is>
          <t>TA-2025-00323</t>
        </is>
      </c>
      <c r="B50" t="inlineStr">
        <is>
          <t>T-12049</t>
        </is>
      </c>
      <c r="C50" t="inlineStr">
        <is>
          <t>New Life Hardware</t>
        </is>
      </c>
      <c r="D50" t="inlineStr">
        <is>
          <t>U-BV229-01-03</t>
        </is>
      </c>
      <c r="E50" t="inlineStr">
        <is>
          <t>Bayshore Vale</t>
        </is>
      </c>
      <c r="F50" s="4" t="n">
        <v>6150</v>
      </c>
      <c r="G50" t="n">
        <v>1</v>
      </c>
      <c r="H50" s="8" t="n">
        <v>46266</v>
      </c>
      <c r="I50" t="n">
        <v>29</v>
      </c>
      <c r="J50" s="4" t="n">
        <v>6703.5</v>
      </c>
      <c r="K50" s="9">
        <f>J50/(F50*1.09)</f>
        <v/>
      </c>
      <c r="L50" t="inlineStr">
        <is>
          <t>0-30</t>
        </is>
      </c>
      <c r="M50">
        <f>IF(K50&gt;3,"YES","")</f>
        <v/>
      </c>
    </row>
    <row r="51">
      <c r="A51" t="inlineStr">
        <is>
          <t>TA-2024-00364</t>
        </is>
      </c>
      <c r="B51" t="inlineStr">
        <is>
          <t>T-10838</t>
        </is>
      </c>
      <c r="C51" t="inlineStr">
        <is>
          <t>Hometown Minimart</t>
        </is>
      </c>
      <c r="D51" t="inlineStr">
        <is>
          <t>U-CD135-01-07</t>
        </is>
      </c>
      <c r="E51" t="inlineStr">
        <is>
          <t>Cendana</t>
        </is>
      </c>
      <c r="F51" s="4" t="n">
        <v>3050</v>
      </c>
      <c r="G51" t="n">
        <v>2</v>
      </c>
      <c r="H51" s="8" t="n">
        <v>46235</v>
      </c>
      <c r="I51" t="n">
        <v>60</v>
      </c>
      <c r="J51" s="4" t="n">
        <v>6649</v>
      </c>
      <c r="K51" s="9">
        <f>J51/(F51*1.09)</f>
        <v/>
      </c>
      <c r="L51" t="inlineStr">
        <is>
          <t>31-60</t>
        </is>
      </c>
      <c r="M51">
        <f>IF(K51&gt;3,"YES","")</f>
        <v/>
      </c>
    </row>
    <row r="52">
      <c r="A52" t="inlineStr">
        <is>
          <t>TA-2026-00146</t>
        </is>
      </c>
      <c r="B52" t="inlineStr">
        <is>
          <t>T-13005</t>
        </is>
      </c>
      <c r="C52" t="inlineStr">
        <is>
          <t>Sri Ganesh Provision Shop</t>
        </is>
      </c>
      <c r="D52" t="inlineStr">
        <is>
          <t>U-ST501-01-13</t>
        </is>
      </c>
      <c r="E52" t="inlineStr">
        <is>
          <t>Sungai Tinggi</t>
        </is>
      </c>
      <c r="F52" s="4" t="n">
        <v>3040</v>
      </c>
      <c r="G52" t="n">
        <v>2</v>
      </c>
      <c r="H52" s="8" t="n">
        <v>46235</v>
      </c>
      <c r="I52" t="n">
        <v>60</v>
      </c>
      <c r="J52" s="4" t="n">
        <v>6627.2</v>
      </c>
      <c r="K52" s="9">
        <f>J52/(F52*1.09)</f>
        <v/>
      </c>
      <c r="L52" t="inlineStr">
        <is>
          <t>31-60</t>
        </is>
      </c>
      <c r="M52">
        <f>IF(K52&gt;3,"YES","")</f>
        <v/>
      </c>
    </row>
    <row r="53">
      <c r="A53" t="inlineStr">
        <is>
          <t>TA-2024-00551</t>
        </is>
      </c>
      <c r="B53" t="inlineStr">
        <is>
          <t>T-11133</t>
        </is>
      </c>
      <c r="C53" t="inlineStr">
        <is>
          <t>Sin Hock Minimart</t>
        </is>
      </c>
      <c r="D53" t="inlineStr">
        <is>
          <t>U-BV296-01-04</t>
        </is>
      </c>
      <c r="E53" t="inlineStr">
        <is>
          <t>Bayshore Vale</t>
        </is>
      </c>
      <c r="F53" s="4" t="n">
        <v>2950</v>
      </c>
      <c r="G53" t="n">
        <v>2</v>
      </c>
      <c r="H53" s="8" t="n">
        <v>46235</v>
      </c>
      <c r="I53" t="n">
        <v>60</v>
      </c>
      <c r="J53" s="4" t="n">
        <v>6431</v>
      </c>
      <c r="K53" s="9">
        <f>J53/(F53*1.09)</f>
        <v/>
      </c>
      <c r="L53" t="inlineStr">
        <is>
          <t>31-60</t>
        </is>
      </c>
      <c r="M53">
        <f>IF(K53&gt;3,"YES","")</f>
        <v/>
      </c>
    </row>
    <row r="54">
      <c r="A54" t="inlineStr">
        <is>
          <t>TA-2026-00437</t>
        </is>
      </c>
      <c r="B54" t="inlineStr">
        <is>
          <t>T-13451</t>
        </is>
      </c>
      <c r="C54" t="inlineStr">
        <is>
          <t>Mei Ling Learning Centre Pte Ltd</t>
        </is>
      </c>
      <c r="D54" t="inlineStr">
        <is>
          <t>U-CD153-02-09</t>
        </is>
      </c>
      <c r="E54" t="inlineStr">
        <is>
          <t>Cendana</t>
        </is>
      </c>
      <c r="F54" s="4" t="n">
        <v>1880</v>
      </c>
      <c r="G54" t="n">
        <v>3</v>
      </c>
      <c r="H54" s="8" t="n">
        <v>46204</v>
      </c>
      <c r="I54" t="n">
        <v>91</v>
      </c>
      <c r="J54" s="4" t="n">
        <v>6147.6</v>
      </c>
      <c r="K54" s="9">
        <f>J54/(F54*1.09)</f>
        <v/>
      </c>
      <c r="L54" t="inlineStr">
        <is>
          <t>&gt;90</t>
        </is>
      </c>
      <c r="M54">
        <f>IF(K54&gt;3,"YES","")</f>
        <v/>
      </c>
    </row>
    <row r="55">
      <c r="A55" t="inlineStr">
        <is>
          <t>TA-2024-00554</t>
        </is>
      </c>
      <c r="B55" t="inlineStr">
        <is>
          <t>T-11141</t>
        </is>
      </c>
      <c r="C55" t="inlineStr">
        <is>
          <t>Bayu Education Hub Pte Ltd</t>
        </is>
      </c>
      <c r="D55" t="inlineStr">
        <is>
          <t>U-CD131-01-05</t>
        </is>
      </c>
      <c r="E55" t="inlineStr">
        <is>
          <t>Cendana</t>
        </is>
      </c>
      <c r="F55" s="4" t="n">
        <v>5550</v>
      </c>
      <c r="G55" t="n">
        <v>1</v>
      </c>
      <c r="H55" s="8" t="n">
        <v>46266</v>
      </c>
      <c r="I55" t="n">
        <v>29</v>
      </c>
      <c r="J55" s="4" t="n">
        <v>6049.5</v>
      </c>
      <c r="K55" s="9">
        <f>J55/(F55*1.09)</f>
        <v/>
      </c>
      <c r="L55" t="inlineStr">
        <is>
          <t>0-30</t>
        </is>
      </c>
      <c r="M55">
        <f>IF(K55&gt;3,"YES","")</f>
        <v/>
      </c>
    </row>
    <row r="56">
      <c r="A56" t="inlineStr">
        <is>
          <t>TA-2024-00750</t>
        </is>
      </c>
      <c r="B56" t="inlineStr">
        <is>
          <t>T-11444</t>
        </is>
      </c>
      <c r="C56" t="inlineStr">
        <is>
          <t>Lim's Learning Centre Pte Ltd</t>
        </is>
      </c>
      <c r="D56" t="inlineStr">
        <is>
          <t>U-PI609-01-01</t>
        </is>
      </c>
      <c r="E56" t="inlineStr">
        <is>
          <t>Pasir Indah</t>
        </is>
      </c>
      <c r="F56" s="4" t="n">
        <v>5390</v>
      </c>
      <c r="G56" t="n">
        <v>1</v>
      </c>
      <c r="H56" s="8" t="n">
        <v>46266</v>
      </c>
      <c r="I56" t="n">
        <v>29</v>
      </c>
      <c r="J56" s="4" t="n">
        <v>5875.1</v>
      </c>
      <c r="K56" s="9">
        <f>J56/(F56*1.09)</f>
        <v/>
      </c>
      <c r="L56" t="inlineStr">
        <is>
          <t>0-30</t>
        </is>
      </c>
      <c r="M56">
        <f>IF(K56&gt;3,"YES","")</f>
        <v/>
      </c>
    </row>
    <row r="57">
      <c r="A57" t="inlineStr">
        <is>
          <t>TA-2025-00329</t>
        </is>
      </c>
      <c r="B57" t="inlineStr">
        <is>
          <t>T-12063</t>
        </is>
      </c>
      <c r="C57" t="inlineStr">
        <is>
          <t>Nur Bakery Pte Ltd</t>
        </is>
      </c>
      <c r="D57" t="inlineStr">
        <is>
          <t>U-BV273-01-08</t>
        </is>
      </c>
      <c r="E57" t="inlineStr">
        <is>
          <t>Bayshore Vale</t>
        </is>
      </c>
      <c r="F57" s="4" t="n">
        <v>5290</v>
      </c>
      <c r="G57" t="n">
        <v>1</v>
      </c>
      <c r="H57" s="8" t="n">
        <v>46266</v>
      </c>
      <c r="I57" t="n">
        <v>29</v>
      </c>
      <c r="J57" s="4" t="n">
        <v>5766.1</v>
      </c>
      <c r="K57" s="9">
        <f>J57/(F57*1.09)</f>
        <v/>
      </c>
      <c r="L57" t="inlineStr">
        <is>
          <t>0-30</t>
        </is>
      </c>
      <c r="M57">
        <f>IF(K57&gt;3,"YES","")</f>
        <v/>
      </c>
    </row>
    <row r="58">
      <c r="A58" t="inlineStr">
        <is>
          <t>TA-2024-00079</t>
        </is>
      </c>
      <c r="B58" t="inlineStr">
        <is>
          <t>T-10378</t>
        </is>
      </c>
      <c r="C58" t="inlineStr">
        <is>
          <t>Raja Store Pte Ltd</t>
        </is>
      </c>
      <c r="D58" t="inlineStr">
        <is>
          <t>U-ST512-01-33</t>
        </is>
      </c>
      <c r="E58" t="inlineStr">
        <is>
          <t>Sungai Tinggi</t>
        </is>
      </c>
      <c r="F58" s="4" t="n">
        <v>2610</v>
      </c>
      <c r="G58" t="n">
        <v>2</v>
      </c>
      <c r="H58" s="8" t="n">
        <v>46235</v>
      </c>
      <c r="I58" t="n">
        <v>60</v>
      </c>
      <c r="J58" s="4" t="n">
        <v>5689.8</v>
      </c>
      <c r="K58" s="9">
        <f>J58/(F58*1.09)</f>
        <v/>
      </c>
      <c r="L58" t="inlineStr">
        <is>
          <t>31-60</t>
        </is>
      </c>
      <c r="M58">
        <f>IF(K58&gt;3,"YES","")</f>
        <v/>
      </c>
    </row>
    <row r="59">
      <c r="A59" t="inlineStr">
        <is>
          <t>TA-2024-00425</t>
        </is>
      </c>
      <c r="B59" t="inlineStr">
        <is>
          <t>T-10927</t>
        </is>
      </c>
      <c r="C59" t="inlineStr">
        <is>
          <t>Harmony Supermarket Pte Ltd</t>
        </is>
      </c>
      <c r="D59" t="inlineStr">
        <is>
          <t>U-KR341-01-12</t>
        </is>
      </c>
      <c r="E59" t="inlineStr">
        <is>
          <t>Kebun Raya</t>
        </is>
      </c>
      <c r="F59" s="4" t="n">
        <v>5180</v>
      </c>
      <c r="G59" t="n">
        <v>1</v>
      </c>
      <c r="H59" s="8" t="n">
        <v>46266</v>
      </c>
      <c r="I59" t="n">
        <v>29</v>
      </c>
      <c r="J59" s="4" t="n">
        <v>5646.2</v>
      </c>
      <c r="K59" s="9">
        <f>J59/(F59*1.09)</f>
        <v/>
      </c>
      <c r="L59" t="inlineStr">
        <is>
          <t>0-30</t>
        </is>
      </c>
      <c r="M59">
        <f>IF(K59&gt;3,"YES","")</f>
        <v/>
      </c>
    </row>
    <row r="60">
      <c r="A60" t="inlineStr">
        <is>
          <t>TA-2024-00633</t>
        </is>
      </c>
      <c r="B60" t="inlineStr">
        <is>
          <t>T-11248</t>
        </is>
      </c>
      <c r="C60" t="inlineStr">
        <is>
          <t>Evergreen Eating Place</t>
        </is>
      </c>
      <c r="D60" t="inlineStr">
        <is>
          <t>U-CD185-01-09</t>
        </is>
      </c>
      <c r="E60" t="inlineStr">
        <is>
          <t>Cendana</t>
        </is>
      </c>
      <c r="F60" s="4" t="n">
        <v>5160</v>
      </c>
      <c r="G60" t="n">
        <v>1</v>
      </c>
      <c r="H60" s="8" t="n">
        <v>46266</v>
      </c>
      <c r="I60" t="n">
        <v>29</v>
      </c>
      <c r="J60" s="4" t="n">
        <v>5624.4</v>
      </c>
      <c r="K60" s="9">
        <f>J60/(F60*1.09)</f>
        <v/>
      </c>
      <c r="L60" t="inlineStr">
        <is>
          <t>0-30</t>
        </is>
      </c>
      <c r="M60">
        <f>IF(K60&gt;3,"YES","")</f>
        <v/>
      </c>
    </row>
    <row r="61">
      <c r="A61" t="inlineStr">
        <is>
          <t>TA-2025-00596</t>
        </is>
      </c>
      <c r="B61" t="inlineStr">
        <is>
          <t>T-12490</t>
        </is>
      </c>
      <c r="C61" t="inlineStr">
        <is>
          <t>Golden Leaf Medical Supplies Pte Ltd</t>
        </is>
      </c>
      <c r="D61" t="inlineStr">
        <is>
          <t>U-KR335-01-09</t>
        </is>
      </c>
      <c r="E61" t="inlineStr">
        <is>
          <t>Kebun Raya</t>
        </is>
      </c>
      <c r="F61" s="4" t="n">
        <v>5100</v>
      </c>
      <c r="G61" t="n">
        <v>1</v>
      </c>
      <c r="H61" s="8" t="n">
        <v>46266</v>
      </c>
      <c r="I61" t="n">
        <v>29</v>
      </c>
      <c r="J61" s="4" t="n">
        <v>5559</v>
      </c>
      <c r="K61" s="9">
        <f>J61/(F61*1.09)</f>
        <v/>
      </c>
      <c r="L61" t="inlineStr">
        <is>
          <t>0-30</t>
        </is>
      </c>
      <c r="M61">
        <f>IF(K61&gt;3,"YES","")</f>
        <v/>
      </c>
    </row>
    <row r="62">
      <c r="A62" t="inlineStr">
        <is>
          <t>TA-2024-00728</t>
        </is>
      </c>
      <c r="B62" t="inlineStr">
        <is>
          <t>T-11406</t>
        </is>
      </c>
      <c r="C62" t="inlineStr">
        <is>
          <t>Old Town Dental Surgery</t>
        </is>
      </c>
      <c r="D62" t="inlineStr">
        <is>
          <t>U-CD142-01-07</t>
        </is>
      </c>
      <c r="E62" t="inlineStr">
        <is>
          <t>Cendana</t>
        </is>
      </c>
      <c r="F62" s="4" t="n">
        <v>5020</v>
      </c>
      <c r="G62" t="n">
        <v>1</v>
      </c>
      <c r="H62" s="8" t="n">
        <v>46266</v>
      </c>
      <c r="I62" t="n">
        <v>29</v>
      </c>
      <c r="J62" s="4" t="n">
        <v>5471.8</v>
      </c>
      <c r="K62" s="9">
        <f>J62/(F62*1.09)</f>
        <v/>
      </c>
      <c r="L62" t="inlineStr">
        <is>
          <t>0-30</t>
        </is>
      </c>
      <c r="M62">
        <f>IF(K62&gt;3,"YES","")</f>
        <v/>
      </c>
    </row>
    <row r="63">
      <c r="A63" t="inlineStr">
        <is>
          <t>TA-2026-00592</t>
        </is>
      </c>
      <c r="B63" t="inlineStr">
        <is>
          <t>T-13694</t>
        </is>
      </c>
      <c r="C63" t="inlineStr">
        <is>
          <t>Red Lantern Stationery Pte Ltd</t>
        </is>
      </c>
      <c r="D63" t="inlineStr">
        <is>
          <t>U-PI648-01-03</t>
        </is>
      </c>
      <c r="E63" t="inlineStr">
        <is>
          <t>Pasir Indah</t>
        </is>
      </c>
      <c r="F63" s="4" t="n">
        <v>4990</v>
      </c>
      <c r="G63" t="n">
        <v>1</v>
      </c>
      <c r="H63" s="8" t="n">
        <v>46266</v>
      </c>
      <c r="I63" t="n">
        <v>29</v>
      </c>
      <c r="J63" s="4" t="n">
        <v>5439.1</v>
      </c>
      <c r="K63" s="9">
        <f>J63/(F63*1.09)</f>
        <v/>
      </c>
      <c r="L63" t="inlineStr">
        <is>
          <t>0-30</t>
        </is>
      </c>
      <c r="M63">
        <f>IF(K63&gt;3,"YES","")</f>
        <v/>
      </c>
    </row>
    <row r="64">
      <c r="A64" t="inlineStr">
        <is>
          <t>TA-2024-00081</t>
        </is>
      </c>
      <c r="B64" t="inlineStr">
        <is>
          <t>T-10380</t>
        </is>
      </c>
      <c r="C64" t="inlineStr">
        <is>
          <t>Rainbow Flowers &amp; Gifts</t>
        </is>
      </c>
      <c r="D64" t="inlineStr">
        <is>
          <t>U-ST513-01-03</t>
        </is>
      </c>
      <c r="E64" t="inlineStr">
        <is>
          <t>Sungai Tinggi</t>
        </is>
      </c>
      <c r="F64" s="4" t="n">
        <v>4920</v>
      </c>
      <c r="G64" t="n">
        <v>1</v>
      </c>
      <c r="H64" s="8" t="n">
        <v>46266</v>
      </c>
      <c r="I64" t="n">
        <v>29</v>
      </c>
      <c r="J64" s="4" t="n">
        <v>5362.8</v>
      </c>
      <c r="K64" s="9">
        <f>J64/(F64*1.09)</f>
        <v/>
      </c>
      <c r="L64" t="inlineStr">
        <is>
          <t>0-30</t>
        </is>
      </c>
      <c r="M64">
        <f>IF(K64&gt;3,"YES","")</f>
        <v/>
      </c>
    </row>
    <row r="65">
      <c r="A65" t="inlineStr">
        <is>
          <t>TA-2024-00762</t>
        </is>
      </c>
      <c r="B65" t="inlineStr">
        <is>
          <t>T-11465</t>
        </is>
      </c>
      <c r="C65" t="inlineStr">
        <is>
          <t>Little Sprouts Medical Clinic</t>
        </is>
      </c>
      <c r="D65" t="inlineStr">
        <is>
          <t>U-RH434-01-01</t>
        </is>
      </c>
      <c r="E65" t="inlineStr">
        <is>
          <t>Rimba Heights</t>
        </is>
      </c>
      <c r="F65" s="4" t="n">
        <v>4870</v>
      </c>
      <c r="G65" t="n">
        <v>1</v>
      </c>
      <c r="H65" s="8" t="n">
        <v>46266</v>
      </c>
      <c r="I65" t="n">
        <v>29</v>
      </c>
      <c r="J65" s="4" t="n">
        <v>5308.3</v>
      </c>
      <c r="K65" s="9">
        <f>J65/(F65*1.09)</f>
        <v/>
      </c>
      <c r="L65" t="inlineStr">
        <is>
          <t>0-30</t>
        </is>
      </c>
      <c r="M65">
        <f>IF(K65&gt;3,"YES","")</f>
        <v/>
      </c>
    </row>
    <row r="66">
      <c r="A66" t="inlineStr">
        <is>
          <t>TA-2026-00073</t>
        </is>
      </c>
      <c r="B66" t="inlineStr">
        <is>
          <t>T-12883</t>
        </is>
      </c>
      <c r="C66" t="inlineStr">
        <is>
          <t>Hassan Family Clinic Pte Ltd</t>
        </is>
      </c>
      <c r="D66" t="inlineStr">
        <is>
          <t>U-BV214-01-33</t>
        </is>
      </c>
      <c r="E66" t="inlineStr">
        <is>
          <t>Bayshore Vale</t>
        </is>
      </c>
      <c r="F66" s="4" t="n">
        <v>4870</v>
      </c>
      <c r="G66" t="n">
        <v>1</v>
      </c>
      <c r="H66" s="8" t="n">
        <v>46266</v>
      </c>
      <c r="I66" t="n">
        <v>29</v>
      </c>
      <c r="J66" s="4" t="n">
        <v>5308.3</v>
      </c>
      <c r="K66" s="9">
        <f>J66/(F66*1.09)</f>
        <v/>
      </c>
      <c r="L66" t="inlineStr">
        <is>
          <t>0-30</t>
        </is>
      </c>
      <c r="M66">
        <f>IF(K66&gt;3,"YES","")</f>
        <v/>
      </c>
    </row>
    <row r="67">
      <c r="A67" t="inlineStr">
        <is>
          <t>TA-2026-00571</t>
        </is>
      </c>
      <c r="B67" t="inlineStr">
        <is>
          <t>T-13668</t>
        </is>
      </c>
      <c r="C67" t="inlineStr">
        <is>
          <t>Ever Joy TCM Clinic</t>
        </is>
      </c>
      <c r="D67" t="inlineStr">
        <is>
          <t>U-CD105-01-02</t>
        </is>
      </c>
      <c r="E67" t="inlineStr">
        <is>
          <t>Cendana</t>
        </is>
      </c>
      <c r="F67" s="4" t="n">
        <v>4800</v>
      </c>
      <c r="G67" t="n">
        <v>1</v>
      </c>
      <c r="H67" s="8" t="n">
        <v>46266</v>
      </c>
      <c r="I67" t="n">
        <v>29</v>
      </c>
      <c r="J67" s="4" t="n">
        <v>5232</v>
      </c>
      <c r="K67" s="9">
        <f>J67/(F67*1.09)</f>
        <v/>
      </c>
      <c r="L67" t="inlineStr">
        <is>
          <t>0-30</t>
        </is>
      </c>
      <c r="M67">
        <f>IF(K67&gt;3,"YES","")</f>
        <v/>
      </c>
    </row>
    <row r="68">
      <c r="A68" t="inlineStr">
        <is>
          <t>TA-2024-00200</t>
        </is>
      </c>
      <c r="B68" t="inlineStr">
        <is>
          <t>T-10576</t>
        </is>
      </c>
      <c r="C68" t="inlineStr">
        <is>
          <t>Murugan Kitchen</t>
        </is>
      </c>
      <c r="D68" t="inlineStr">
        <is>
          <t>U-RH466-01-05</t>
        </is>
      </c>
      <c r="E68" t="inlineStr">
        <is>
          <t>Rimba Heights</t>
        </is>
      </c>
      <c r="F68" s="4" t="n">
        <v>1590</v>
      </c>
      <c r="G68" t="n">
        <v>3</v>
      </c>
      <c r="H68" s="8" t="n">
        <v>46204</v>
      </c>
      <c r="I68" t="n">
        <v>91</v>
      </c>
      <c r="J68" s="4" t="n">
        <v>5199.3</v>
      </c>
      <c r="K68" s="9">
        <f>J68/(F68*1.09)</f>
        <v/>
      </c>
      <c r="L68" t="inlineStr">
        <is>
          <t>&gt;90</t>
        </is>
      </c>
      <c r="M68">
        <f>IF(K68&gt;3,"YES","")</f>
        <v/>
      </c>
    </row>
    <row r="69">
      <c r="A69" t="inlineStr">
        <is>
          <t>TA-2024-00276</t>
        </is>
      </c>
      <c r="B69" t="inlineStr">
        <is>
          <t>T-10689</t>
        </is>
      </c>
      <c r="C69" t="inlineStr">
        <is>
          <t>Teck Guan Store</t>
        </is>
      </c>
      <c r="D69" t="inlineStr">
        <is>
          <t>U-BV215-01-14</t>
        </is>
      </c>
      <c r="E69" t="inlineStr">
        <is>
          <t>Bayshore Vale</t>
        </is>
      </c>
      <c r="F69" s="4" t="n">
        <v>4750</v>
      </c>
      <c r="G69" t="n">
        <v>1</v>
      </c>
      <c r="H69" s="8" t="n">
        <v>46266</v>
      </c>
      <c r="I69" t="n">
        <v>29</v>
      </c>
      <c r="J69" s="4" t="n">
        <v>5177.5</v>
      </c>
      <c r="K69" s="9">
        <f>J69/(F69*1.09)</f>
        <v/>
      </c>
      <c r="L69" t="inlineStr">
        <is>
          <t>0-30</t>
        </is>
      </c>
      <c r="M69">
        <f>IF(K69&gt;3,"YES","")</f>
        <v/>
      </c>
    </row>
    <row r="70">
      <c r="A70" t="inlineStr">
        <is>
          <t>TA-2025-00725</t>
        </is>
      </c>
      <c r="B70" t="inlineStr">
        <is>
          <t>T-12715</t>
        </is>
      </c>
      <c r="C70" t="inlineStr">
        <is>
          <t>Murugan Money Changer</t>
        </is>
      </c>
      <c r="D70" t="inlineStr">
        <is>
          <t>U-KR318-01-11</t>
        </is>
      </c>
      <c r="E70" t="inlineStr">
        <is>
          <t>Kebun Raya</t>
        </is>
      </c>
      <c r="F70" s="4" t="n">
        <v>4740</v>
      </c>
      <c r="G70" t="n">
        <v>1</v>
      </c>
      <c r="H70" s="8" t="n">
        <v>46266</v>
      </c>
      <c r="I70" t="n">
        <v>29</v>
      </c>
      <c r="J70" s="4" t="n">
        <v>5166.6</v>
      </c>
      <c r="K70" s="9">
        <f>J70/(F70*1.09)</f>
        <v/>
      </c>
      <c r="L70" t="inlineStr">
        <is>
          <t>0-30</t>
        </is>
      </c>
      <c r="M70">
        <f>IF(K70&gt;3,"YES","")</f>
        <v/>
      </c>
    </row>
    <row r="71">
      <c r="A71" t="inlineStr">
        <is>
          <t>TA-2025-00185</t>
        </is>
      </c>
      <c r="B71" t="inlineStr">
        <is>
          <t>T-11811</t>
        </is>
      </c>
      <c r="C71" t="inlineStr">
        <is>
          <t>Lucky Star TCM Clinic Pte Ltd</t>
        </is>
      </c>
      <c r="D71" t="inlineStr">
        <is>
          <t>U-ST512-01-22</t>
        </is>
      </c>
      <c r="E71" t="inlineStr">
        <is>
          <t>Sungai Tinggi</t>
        </is>
      </c>
      <c r="F71" s="4" t="n">
        <v>2360</v>
      </c>
      <c r="G71" t="n">
        <v>2</v>
      </c>
      <c r="H71" s="8" t="n">
        <v>46235</v>
      </c>
      <c r="I71" t="n">
        <v>60</v>
      </c>
      <c r="J71" s="4" t="n">
        <v>5144.8</v>
      </c>
      <c r="K71" s="9">
        <f>J71/(F71*1.09)</f>
        <v/>
      </c>
      <c r="L71" t="inlineStr">
        <is>
          <t>31-60</t>
        </is>
      </c>
      <c r="M71">
        <f>IF(K71&gt;3,"YES","")</f>
        <v/>
      </c>
    </row>
    <row r="72">
      <c r="A72" t="inlineStr">
        <is>
          <t>TA-2026-00373</t>
        </is>
      </c>
      <c r="B72" t="inlineStr">
        <is>
          <t>T-13368</t>
        </is>
      </c>
      <c r="C72" t="inlineStr">
        <is>
          <t>Sri Ganesh Minimart Pte Ltd</t>
        </is>
      </c>
      <c r="D72" t="inlineStr">
        <is>
          <t>U-CD118-01-03</t>
        </is>
      </c>
      <c r="E72" t="inlineStr">
        <is>
          <t>Cendana</t>
        </is>
      </c>
      <c r="F72" s="4" t="n">
        <v>2360</v>
      </c>
      <c r="G72" t="n">
        <v>2</v>
      </c>
      <c r="H72" s="8" t="n">
        <v>46235</v>
      </c>
      <c r="I72" t="n">
        <v>60</v>
      </c>
      <c r="J72" s="4" t="n">
        <v>5144.8</v>
      </c>
      <c r="K72" s="9">
        <f>J72/(F72*1.09)</f>
        <v/>
      </c>
      <c r="L72" t="inlineStr">
        <is>
          <t>31-60</t>
        </is>
      </c>
      <c r="M72">
        <f>IF(K72&gt;3,"YES","")</f>
        <v/>
      </c>
    </row>
    <row r="73">
      <c r="A73" t="inlineStr">
        <is>
          <t>TA-2023-00045</t>
        </is>
      </c>
      <c r="B73" t="inlineStr">
        <is>
          <t>T-10060</t>
        </is>
      </c>
      <c r="C73" t="inlineStr">
        <is>
          <t>Peng Kee Fruit Trading</t>
        </is>
      </c>
      <c r="D73" t="inlineStr">
        <is>
          <t>U-ST528-01-07</t>
        </is>
      </c>
      <c r="E73" t="inlineStr">
        <is>
          <t>Sungai Tinggi</t>
        </is>
      </c>
      <c r="F73" s="4" t="n">
        <v>900</v>
      </c>
      <c r="G73" t="n">
        <v>5</v>
      </c>
      <c r="H73" s="8" t="n">
        <v>46143</v>
      </c>
      <c r="I73" t="n">
        <v>152</v>
      </c>
      <c r="J73" s="4" t="n">
        <v>4905</v>
      </c>
      <c r="K73" s="9">
        <f>J73/(F73*1.09)</f>
        <v/>
      </c>
      <c r="L73" t="inlineStr">
        <is>
          <t>&gt;90</t>
        </is>
      </c>
      <c r="M73">
        <f>IF(K73&gt;3,"YES","")</f>
        <v/>
      </c>
    </row>
    <row r="74">
      <c r="A74" t="inlineStr">
        <is>
          <t>TA-2026-00338</t>
        </is>
      </c>
      <c r="B74" t="inlineStr">
        <is>
          <t>T-13301</t>
        </is>
      </c>
      <c r="C74" t="inlineStr">
        <is>
          <t>Fresh Valley Telecom</t>
        </is>
      </c>
      <c r="D74" t="inlineStr">
        <is>
          <t>U-PI627-01-07</t>
        </is>
      </c>
      <c r="E74" t="inlineStr">
        <is>
          <t>Pasir Indah</t>
        </is>
      </c>
      <c r="F74" s="4" t="n">
        <v>900</v>
      </c>
      <c r="G74" t="n">
        <v>5</v>
      </c>
      <c r="H74" s="8" t="n">
        <v>46143</v>
      </c>
      <c r="I74" t="n">
        <v>152</v>
      </c>
      <c r="J74" s="4" t="n">
        <v>4905</v>
      </c>
      <c r="K74" s="9">
        <f>J74/(F74*1.09)</f>
        <v/>
      </c>
      <c r="L74" t="inlineStr">
        <is>
          <t>&gt;90</t>
        </is>
      </c>
      <c r="M74">
        <f>IF(K74&gt;3,"YES","")</f>
        <v/>
      </c>
    </row>
    <row r="75">
      <c r="A75" t="inlineStr">
        <is>
          <t>TA-2025-00413</t>
        </is>
      </c>
      <c r="B75" t="inlineStr">
        <is>
          <t>T-12197</t>
        </is>
      </c>
      <c r="C75" t="inlineStr">
        <is>
          <t>Green Leaf Mart Pte Ltd</t>
        </is>
      </c>
      <c r="D75" t="inlineStr">
        <is>
          <t>U-KR310-01-05</t>
        </is>
      </c>
      <c r="E75" t="inlineStr">
        <is>
          <t>Kebun Raya</t>
        </is>
      </c>
      <c r="F75" s="4" t="n">
        <v>4490</v>
      </c>
      <c r="G75" t="n">
        <v>1</v>
      </c>
      <c r="H75" s="8" t="n">
        <v>46266</v>
      </c>
      <c r="I75" t="n">
        <v>29</v>
      </c>
      <c r="J75" s="4" t="n">
        <v>4894.1</v>
      </c>
      <c r="K75" s="9">
        <f>J75/(F75*1.09)</f>
        <v/>
      </c>
      <c r="L75" t="inlineStr">
        <is>
          <t>0-30</t>
        </is>
      </c>
      <c r="M75">
        <f>IF(K75&gt;3,"YES","")</f>
        <v/>
      </c>
    </row>
    <row r="76">
      <c r="A76" t="inlineStr">
        <is>
          <t>TA-2025-00737</t>
        </is>
      </c>
      <c r="B76" t="inlineStr">
        <is>
          <t>T-12738</t>
        </is>
      </c>
      <c r="C76" t="inlineStr">
        <is>
          <t>Bloom Confectionery Pte Ltd</t>
        </is>
      </c>
      <c r="D76" t="inlineStr">
        <is>
          <t>U-PI626-01-05</t>
        </is>
      </c>
      <c r="E76" t="inlineStr">
        <is>
          <t>Pasir Indah</t>
        </is>
      </c>
      <c r="F76" s="4" t="n">
        <v>2160</v>
      </c>
      <c r="G76" t="n">
        <v>2</v>
      </c>
      <c r="H76" s="8" t="n">
        <v>46235</v>
      </c>
      <c r="I76" t="n">
        <v>60</v>
      </c>
      <c r="J76" s="4" t="n">
        <v>4708.8</v>
      </c>
      <c r="K76" s="9">
        <f>J76/(F76*1.09)</f>
        <v/>
      </c>
      <c r="L76" t="inlineStr">
        <is>
          <t>31-60</t>
        </is>
      </c>
      <c r="M76">
        <f>IF(K76&gt;3,"YES","")</f>
        <v/>
      </c>
    </row>
    <row r="77">
      <c r="A77" t="inlineStr">
        <is>
          <t>TA-2025-00080</t>
        </is>
      </c>
      <c r="B77" t="inlineStr">
        <is>
          <t>T-11646</t>
        </is>
      </c>
      <c r="C77" t="inlineStr">
        <is>
          <t>Murugan Trading</t>
        </is>
      </c>
      <c r="D77" t="inlineStr">
        <is>
          <t>U-BV215-01-01</t>
        </is>
      </c>
      <c r="E77" t="inlineStr">
        <is>
          <t>Bayshore Vale</t>
        </is>
      </c>
      <c r="F77" s="4" t="n">
        <v>4320</v>
      </c>
      <c r="G77" t="n">
        <v>1</v>
      </c>
      <c r="H77" s="8" t="n">
        <v>46266</v>
      </c>
      <c r="I77" t="n">
        <v>29</v>
      </c>
      <c r="J77" s="4" t="n">
        <v>4708.8</v>
      </c>
      <c r="K77" s="9">
        <f>J77/(F77*1.09)</f>
        <v/>
      </c>
      <c r="L77" t="inlineStr">
        <is>
          <t>0-30</t>
        </is>
      </c>
      <c r="M77">
        <f>IF(K77&gt;3,"YES","")</f>
        <v/>
      </c>
    </row>
    <row r="78">
      <c r="A78" t="inlineStr">
        <is>
          <t>TA-2023-00537</t>
        </is>
      </c>
      <c r="B78" t="inlineStr">
        <is>
          <t>T-13722</t>
        </is>
      </c>
      <c r="C78" t="inlineStr">
        <is>
          <t>Hock Lee Flowers &amp; Gifts Pte Ltd</t>
        </is>
      </c>
      <c r="D78" t="inlineStr">
        <is>
          <t>U-ST512-01-26</t>
        </is>
      </c>
      <c r="E78" t="inlineStr">
        <is>
          <t>Sungai Tinggi</t>
        </is>
      </c>
      <c r="F78" s="4" t="n">
        <v>860</v>
      </c>
      <c r="G78" t="n">
        <v>5</v>
      </c>
      <c r="H78" s="8" t="n">
        <v>46113</v>
      </c>
      <c r="I78" t="n">
        <v>182</v>
      </c>
      <c r="J78" s="4" t="n">
        <v>4687</v>
      </c>
      <c r="K78" s="9">
        <f>J78/(F78*1.09)</f>
        <v/>
      </c>
      <c r="L78" t="inlineStr">
        <is>
          <t>&gt;90</t>
        </is>
      </c>
      <c r="M78">
        <f>IF(K78&gt;3,"YES","")</f>
        <v/>
      </c>
    </row>
    <row r="79">
      <c r="A79" t="inlineStr">
        <is>
          <t>TA-2023-00034</t>
        </is>
      </c>
      <c r="B79" t="inlineStr">
        <is>
          <t>T-10050</t>
        </is>
      </c>
      <c r="C79" t="inlineStr">
        <is>
          <t>Wisdom Store Pte Ltd</t>
        </is>
      </c>
      <c r="D79" t="inlineStr">
        <is>
          <t>U-RH437-01-07</t>
        </is>
      </c>
      <c r="E79" t="inlineStr">
        <is>
          <t>Rimba Heights</t>
        </is>
      </c>
      <c r="F79" s="4" t="n">
        <v>2140</v>
      </c>
      <c r="G79" t="n">
        <v>2</v>
      </c>
      <c r="H79" s="8" t="n">
        <v>46235</v>
      </c>
      <c r="I79" t="n">
        <v>60</v>
      </c>
      <c r="J79" s="4" t="n">
        <v>4665.2</v>
      </c>
      <c r="K79" s="9">
        <f>J79/(F79*1.09)</f>
        <v/>
      </c>
      <c r="L79" t="inlineStr">
        <is>
          <t>31-60</t>
        </is>
      </c>
      <c r="M79">
        <f>IF(K79&gt;3,"YES","")</f>
        <v/>
      </c>
    </row>
    <row r="80">
      <c r="A80" t="inlineStr">
        <is>
          <t>TA-2025-00255</t>
        </is>
      </c>
      <c r="B80" t="inlineStr">
        <is>
          <t>T-11938</t>
        </is>
      </c>
      <c r="C80" t="inlineStr">
        <is>
          <t>Hup Seng Learning Centre</t>
        </is>
      </c>
      <c r="D80" t="inlineStr">
        <is>
          <t>U-BV212-01-10</t>
        </is>
      </c>
      <c r="E80" t="inlineStr">
        <is>
          <t>Bayshore Vale</t>
        </is>
      </c>
      <c r="F80" s="4" t="n">
        <v>4280</v>
      </c>
      <c r="G80" t="n">
        <v>1</v>
      </c>
      <c r="H80" s="8" t="n">
        <v>46266</v>
      </c>
      <c r="I80" t="n">
        <v>29</v>
      </c>
      <c r="J80" s="4" t="n">
        <v>4665.2</v>
      </c>
      <c r="K80" s="9">
        <f>J80/(F80*1.09)</f>
        <v/>
      </c>
      <c r="L80" t="inlineStr">
        <is>
          <t>0-30</t>
        </is>
      </c>
      <c r="M80">
        <f>IF(K80&gt;3,"YES","")</f>
        <v/>
      </c>
    </row>
    <row r="81">
      <c r="A81" t="inlineStr">
        <is>
          <t>TA-2024-00180</t>
        </is>
      </c>
      <c r="B81" t="inlineStr">
        <is>
          <t>T-10542</t>
        </is>
      </c>
      <c r="C81" t="inlineStr">
        <is>
          <t>Red Lantern Store Pte Ltd</t>
        </is>
      </c>
      <c r="D81" t="inlineStr">
        <is>
          <t>U-KR305-01-22</t>
        </is>
      </c>
      <c r="E81" t="inlineStr">
        <is>
          <t>Kebun Raya</t>
        </is>
      </c>
      <c r="F81" s="4" t="n">
        <v>4240</v>
      </c>
      <c r="G81" t="n">
        <v>1</v>
      </c>
      <c r="H81" s="8" t="n">
        <v>46266</v>
      </c>
      <c r="I81" t="n">
        <v>29</v>
      </c>
      <c r="J81" s="4" t="n">
        <v>4621.6</v>
      </c>
      <c r="K81" s="9">
        <f>J81/(F81*1.09)</f>
        <v/>
      </c>
      <c r="L81" t="inlineStr">
        <is>
          <t>0-30</t>
        </is>
      </c>
      <c r="M81">
        <f>IF(K81&gt;3,"YES","")</f>
        <v/>
      </c>
    </row>
    <row r="82">
      <c r="A82" t="inlineStr">
        <is>
          <t>TA-2025-00454</t>
        </is>
      </c>
      <c r="B82" t="inlineStr">
        <is>
          <t>T-12270</t>
        </is>
      </c>
      <c r="C82" t="inlineStr">
        <is>
          <t>Bayu Medical Clinic</t>
        </is>
      </c>
      <c r="D82" t="inlineStr">
        <is>
          <t>U-ST591-01-06</t>
        </is>
      </c>
      <c r="E82" t="inlineStr">
        <is>
          <t>Sungai Tinggi</t>
        </is>
      </c>
      <c r="F82" s="4" t="n">
        <v>4240</v>
      </c>
      <c r="G82" t="n">
        <v>1</v>
      </c>
      <c r="H82" s="8" t="n">
        <v>46266</v>
      </c>
      <c r="I82" t="n">
        <v>29</v>
      </c>
      <c r="J82" s="4" t="n">
        <v>4621.6</v>
      </c>
      <c r="K82" s="9">
        <f>J82/(F82*1.09)</f>
        <v/>
      </c>
      <c r="L82" t="inlineStr">
        <is>
          <t>0-30</t>
        </is>
      </c>
      <c r="M82">
        <f>IF(K82&gt;3,"YES","")</f>
        <v/>
      </c>
    </row>
    <row r="83">
      <c r="A83" t="inlineStr">
        <is>
          <t>TA-2025-00231</t>
        </is>
      </c>
      <c r="B83" t="inlineStr">
        <is>
          <t>T-11898</t>
        </is>
      </c>
      <c r="C83" t="inlineStr">
        <is>
          <t>Smart Kids Dental Surgery Pte Ltd</t>
        </is>
      </c>
      <c r="D83" t="inlineStr">
        <is>
          <t>U-PI684-01-08</t>
        </is>
      </c>
      <c r="E83" t="inlineStr">
        <is>
          <t>Pasir Indah</t>
        </is>
      </c>
      <c r="F83" s="4" t="n">
        <v>2090</v>
      </c>
      <c r="G83" t="n">
        <v>2</v>
      </c>
      <c r="H83" s="8" t="n">
        <v>46235</v>
      </c>
      <c r="I83" t="n">
        <v>60</v>
      </c>
      <c r="J83" s="4" t="n">
        <v>4556.2</v>
      </c>
      <c r="K83" s="9">
        <f>J83/(F83*1.09)</f>
        <v/>
      </c>
      <c r="L83" t="inlineStr">
        <is>
          <t>31-60</t>
        </is>
      </c>
      <c r="M83">
        <f>IF(K83&gt;3,"YES","")</f>
        <v/>
      </c>
    </row>
    <row r="84">
      <c r="A84" t="inlineStr">
        <is>
          <t>TA-2025-00360</t>
        </is>
      </c>
      <c r="B84" t="inlineStr">
        <is>
          <t>T-12115</t>
        </is>
      </c>
      <c r="C84" t="inlineStr">
        <is>
          <t>Kampung Provision Shop</t>
        </is>
      </c>
      <c r="D84" t="inlineStr">
        <is>
          <t>U-PI626-01-12</t>
        </is>
      </c>
      <c r="E84" t="inlineStr">
        <is>
          <t>Pasir Indah</t>
        </is>
      </c>
      <c r="F84" s="4" t="n">
        <v>4140</v>
      </c>
      <c r="G84" t="n">
        <v>1</v>
      </c>
      <c r="H84" s="8" t="n">
        <v>46266</v>
      </c>
      <c r="I84" t="n">
        <v>29</v>
      </c>
      <c r="J84" s="4" t="n">
        <v>4512.6</v>
      </c>
      <c r="K84" s="9">
        <f>J84/(F84*1.09)</f>
        <v/>
      </c>
      <c r="L84" t="inlineStr">
        <is>
          <t>0-30</t>
        </is>
      </c>
      <c r="M84">
        <f>IF(K84&gt;3,"YES","")</f>
        <v/>
      </c>
    </row>
    <row r="85">
      <c r="A85" t="inlineStr">
        <is>
          <t>TA-2025-00715</t>
        </is>
      </c>
      <c r="B85" t="inlineStr">
        <is>
          <t>T-12701</t>
        </is>
      </c>
      <c r="C85" t="inlineStr">
        <is>
          <t>Barakah Minimart Pte Ltd</t>
        </is>
      </c>
      <c r="D85" t="inlineStr">
        <is>
          <t>U-CD120-01-06</t>
        </is>
      </c>
      <c r="E85" t="inlineStr">
        <is>
          <t>Cendana</t>
        </is>
      </c>
      <c r="F85" s="4" t="n">
        <v>4140</v>
      </c>
      <c r="G85" t="n">
        <v>1</v>
      </c>
      <c r="H85" s="8" t="n">
        <v>46266</v>
      </c>
      <c r="I85" t="n">
        <v>29</v>
      </c>
      <c r="J85" s="4" t="n">
        <v>4512.6</v>
      </c>
      <c r="K85" s="9">
        <f>J85/(F85*1.09)</f>
        <v/>
      </c>
      <c r="L85" t="inlineStr">
        <is>
          <t>0-30</t>
        </is>
      </c>
      <c r="M85">
        <f>IF(K85&gt;3,"YES","")</f>
        <v/>
      </c>
    </row>
    <row r="86">
      <c r="A86" t="inlineStr">
        <is>
          <t>TA-2024-00587</t>
        </is>
      </c>
      <c r="B86" t="inlineStr">
        <is>
          <t>T-11195</t>
        </is>
      </c>
      <c r="C86" t="inlineStr">
        <is>
          <t>Sejahtera Mart</t>
        </is>
      </c>
      <c r="D86" t="inlineStr">
        <is>
          <t>U-RH466-01-06</t>
        </is>
      </c>
      <c r="E86" t="inlineStr">
        <is>
          <t>Rimba Heights</t>
        </is>
      </c>
      <c r="F86" s="4" t="n">
        <v>2020</v>
      </c>
      <c r="G86" t="n">
        <v>2</v>
      </c>
      <c r="H86" s="8" t="n">
        <v>46235</v>
      </c>
      <c r="I86" t="n">
        <v>60</v>
      </c>
      <c r="J86" s="4" t="n">
        <v>4403.6</v>
      </c>
      <c r="K86" s="9">
        <f>J86/(F86*1.09)</f>
        <v/>
      </c>
      <c r="L86" t="inlineStr">
        <is>
          <t>31-60</t>
        </is>
      </c>
      <c r="M86">
        <f>IF(K86&gt;3,"YES","")</f>
        <v/>
      </c>
    </row>
    <row r="87">
      <c r="A87" t="inlineStr">
        <is>
          <t>TA-2024-00003</t>
        </is>
      </c>
      <c r="B87" t="inlineStr">
        <is>
          <t>T-10255</t>
        </is>
      </c>
      <c r="C87" t="inlineStr">
        <is>
          <t>Smart Kids Clinic &amp; Surgery</t>
        </is>
      </c>
      <c r="D87" t="inlineStr">
        <is>
          <t>U-BV215-01-08</t>
        </is>
      </c>
      <c r="E87" t="inlineStr">
        <is>
          <t>Bayshore Vale</t>
        </is>
      </c>
      <c r="F87" s="4" t="n">
        <v>4010</v>
      </c>
      <c r="G87" t="n">
        <v>1</v>
      </c>
      <c r="H87" s="8" t="n">
        <v>46266</v>
      </c>
      <c r="I87" t="n">
        <v>29</v>
      </c>
      <c r="J87" s="4" t="n">
        <v>4370.9</v>
      </c>
      <c r="K87" s="9">
        <f>J87/(F87*1.09)</f>
        <v/>
      </c>
      <c r="L87" t="inlineStr">
        <is>
          <t>0-30</t>
        </is>
      </c>
      <c r="M87">
        <f>IF(K87&gt;3,"YES","")</f>
        <v/>
      </c>
    </row>
    <row r="88">
      <c r="A88" t="inlineStr">
        <is>
          <t>TA-2026-00135</t>
        </is>
      </c>
      <c r="B88" t="inlineStr">
        <is>
          <t>T-12986</t>
        </is>
      </c>
      <c r="C88" t="inlineStr">
        <is>
          <t>Old Town Consultancy</t>
        </is>
      </c>
      <c r="D88" t="inlineStr">
        <is>
          <t>U-PI657-02-01</t>
        </is>
      </c>
      <c r="E88" t="inlineStr">
        <is>
          <t>Pasir Indah</t>
        </is>
      </c>
      <c r="F88" s="4" t="n">
        <v>3940</v>
      </c>
      <c r="G88" t="n">
        <v>1</v>
      </c>
      <c r="H88" s="8" t="n">
        <v>46266</v>
      </c>
      <c r="I88" t="n">
        <v>29</v>
      </c>
      <c r="J88" s="4" t="n">
        <v>4294.6</v>
      </c>
      <c r="K88" s="9">
        <f>J88/(F88*1.09)</f>
        <v/>
      </c>
      <c r="L88" t="inlineStr">
        <is>
          <t>0-30</t>
        </is>
      </c>
      <c r="M88">
        <f>IF(K88&gt;3,"YES","")</f>
        <v/>
      </c>
    </row>
    <row r="89">
      <c r="A89" t="inlineStr">
        <is>
          <t>TA-2025-00092</t>
        </is>
      </c>
      <c r="B89" t="inlineStr">
        <is>
          <t>T-11657</t>
        </is>
      </c>
      <c r="C89" t="inlineStr">
        <is>
          <t>Daily Fresh Medical Hall Pte Ltd</t>
        </is>
      </c>
      <c r="D89" t="inlineStr">
        <is>
          <t>U-CD136-02-01</t>
        </is>
      </c>
      <c r="E89" t="inlineStr">
        <is>
          <t>Cendana</t>
        </is>
      </c>
      <c r="F89" s="4" t="n">
        <v>3810</v>
      </c>
      <c r="G89" t="n">
        <v>1</v>
      </c>
      <c r="H89" s="8" t="n">
        <v>46266</v>
      </c>
      <c r="I89" t="n">
        <v>29</v>
      </c>
      <c r="J89" s="4" t="n">
        <v>4152.9</v>
      </c>
      <c r="K89" s="9">
        <f>J89/(F89*1.09)</f>
        <v/>
      </c>
      <c r="L89" t="inlineStr">
        <is>
          <t>0-30</t>
        </is>
      </c>
      <c r="M89">
        <f>IF(K89&gt;3,"YES","")</f>
        <v/>
      </c>
    </row>
    <row r="90">
      <c r="A90" t="inlineStr">
        <is>
          <t>TA-2025-00053</t>
        </is>
      </c>
      <c r="B90" t="inlineStr">
        <is>
          <t>T-11603</t>
        </is>
      </c>
      <c r="C90" t="inlineStr">
        <is>
          <t>Joo Chiat Minimart Pte Ltd</t>
        </is>
      </c>
      <c r="D90" t="inlineStr">
        <is>
          <t>U-PI668-01-10</t>
        </is>
      </c>
      <c r="E90" t="inlineStr">
        <is>
          <t>Pasir Indah</t>
        </is>
      </c>
      <c r="F90" s="4" t="n">
        <v>3790</v>
      </c>
      <c r="G90" t="n">
        <v>1</v>
      </c>
      <c r="H90" s="8" t="n">
        <v>46266</v>
      </c>
      <c r="I90" t="n">
        <v>29</v>
      </c>
      <c r="J90" s="4" t="n">
        <v>4131.1</v>
      </c>
      <c r="K90" s="9">
        <f>J90/(F90*1.09)</f>
        <v/>
      </c>
      <c r="L90" t="inlineStr">
        <is>
          <t>0-30</t>
        </is>
      </c>
      <c r="M90">
        <f>IF(K90&gt;3,"YES","")</f>
        <v/>
      </c>
    </row>
    <row r="91">
      <c r="A91" t="inlineStr">
        <is>
          <t>TA-2026-00492</t>
        </is>
      </c>
      <c r="B91" t="inlineStr">
        <is>
          <t>T-13529</t>
        </is>
      </c>
      <c r="C91" t="inlineStr">
        <is>
          <t>Hup Seng Mart Pte Ltd</t>
        </is>
      </c>
      <c r="D91" t="inlineStr">
        <is>
          <t>U-ST589-01-05</t>
        </is>
      </c>
      <c r="E91" t="inlineStr">
        <is>
          <t>Sungai Tinggi</t>
        </is>
      </c>
      <c r="F91" s="4" t="n">
        <v>1890</v>
      </c>
      <c r="G91" t="n">
        <v>2</v>
      </c>
      <c r="H91" s="8" t="n">
        <v>46235</v>
      </c>
      <c r="I91" t="n">
        <v>60</v>
      </c>
      <c r="J91" s="4" t="n">
        <v>4120.2</v>
      </c>
      <c r="K91" s="9">
        <f>J91/(F91*1.09)</f>
        <v/>
      </c>
      <c r="L91" t="inlineStr">
        <is>
          <t>31-60</t>
        </is>
      </c>
      <c r="M91">
        <f>IF(K91&gt;3,"YES","")</f>
        <v/>
      </c>
    </row>
    <row r="92">
      <c r="A92" t="inlineStr">
        <is>
          <t>TA-2023-00473</t>
        </is>
      </c>
      <c r="B92" t="inlineStr">
        <is>
          <t>T-13529</t>
        </is>
      </c>
      <c r="C92" t="inlineStr">
        <is>
          <t>Hup Seng Mart Pte Ltd</t>
        </is>
      </c>
      <c r="D92" t="inlineStr">
        <is>
          <t>U-ST589-01-05</t>
        </is>
      </c>
      <c r="E92" t="inlineStr">
        <is>
          <t>Sungai Tinggi</t>
        </is>
      </c>
      <c r="F92" s="4" t="n">
        <v>1820</v>
      </c>
      <c r="G92" t="n">
        <v>2</v>
      </c>
      <c r="H92" s="8" t="n">
        <v>46143</v>
      </c>
      <c r="I92" t="n">
        <v>152</v>
      </c>
      <c r="J92" s="4" t="n">
        <v>3967.6</v>
      </c>
      <c r="K92" s="9">
        <f>J92/(F92*1.09)</f>
        <v/>
      </c>
      <c r="L92" t="inlineStr">
        <is>
          <t>&gt;90</t>
        </is>
      </c>
      <c r="M92">
        <f>IF(K92&gt;3,"YES","")</f>
        <v/>
      </c>
    </row>
    <row r="93">
      <c r="A93" t="inlineStr">
        <is>
          <t>TA-2023-00093</t>
        </is>
      </c>
      <c r="B93" t="inlineStr">
        <is>
          <t>T-10128</t>
        </is>
      </c>
      <c r="C93" t="inlineStr">
        <is>
          <t>Golden Leaf Hardware &amp; Electrical Pte Ltd</t>
        </is>
      </c>
      <c r="D93" t="inlineStr">
        <is>
          <t>U-KR379-01-07</t>
        </is>
      </c>
      <c r="E93" t="inlineStr">
        <is>
          <t>Kebun Raya</t>
        </is>
      </c>
      <c r="F93" s="4" t="n">
        <v>3600</v>
      </c>
      <c r="G93" t="n">
        <v>1</v>
      </c>
      <c r="H93" s="8" t="n">
        <v>46266</v>
      </c>
      <c r="I93" t="n">
        <v>29</v>
      </c>
      <c r="J93" s="4" t="n">
        <v>3924</v>
      </c>
      <c r="K93" s="9">
        <f>J93/(F93*1.09)</f>
        <v/>
      </c>
      <c r="L93" t="inlineStr">
        <is>
          <t>0-30</t>
        </is>
      </c>
      <c r="M93">
        <f>IF(K93&gt;3,"YES","")</f>
        <v/>
      </c>
    </row>
    <row r="94">
      <c r="A94" t="inlineStr">
        <is>
          <t>TA-2025-00701</t>
        </is>
      </c>
      <c r="B94" t="inlineStr">
        <is>
          <t>T-12669</t>
        </is>
      </c>
      <c r="C94" t="inlineStr">
        <is>
          <t>Nur Mart Pte Ltd</t>
        </is>
      </c>
      <c r="D94" t="inlineStr">
        <is>
          <t>U-ST522-01-05</t>
        </is>
      </c>
      <c r="E94" t="inlineStr">
        <is>
          <t>Sungai Tinggi</t>
        </is>
      </c>
      <c r="F94" s="4" t="n">
        <v>3600</v>
      </c>
      <c r="G94" t="n">
        <v>1</v>
      </c>
      <c r="H94" s="8" t="n">
        <v>46266</v>
      </c>
      <c r="I94" t="n">
        <v>29</v>
      </c>
      <c r="J94" s="4" t="n">
        <v>3924</v>
      </c>
      <c r="K94" s="9">
        <f>J94/(F94*1.09)</f>
        <v/>
      </c>
      <c r="L94" t="inlineStr">
        <is>
          <t>0-30</t>
        </is>
      </c>
      <c r="M94">
        <f>IF(K94&gt;3,"YES","")</f>
        <v/>
      </c>
    </row>
    <row r="95">
      <c r="A95" t="inlineStr">
        <is>
          <t>TA-2025-00032</t>
        </is>
      </c>
      <c r="B95" t="inlineStr">
        <is>
          <t>T-11573</t>
        </is>
      </c>
      <c r="C95" t="inlineStr">
        <is>
          <t>Amanah Supermarket Pte Ltd</t>
        </is>
      </c>
      <c r="D95" t="inlineStr">
        <is>
          <t>U-KR323-01-01</t>
        </is>
      </c>
      <c r="E95" t="inlineStr">
        <is>
          <t>Kebun Raya</t>
        </is>
      </c>
      <c r="F95" s="4" t="n">
        <v>3590</v>
      </c>
      <c r="G95" t="n">
        <v>1</v>
      </c>
      <c r="H95" s="8" t="n">
        <v>46266</v>
      </c>
      <c r="I95" t="n">
        <v>29</v>
      </c>
      <c r="J95" s="4" t="n">
        <v>3913.1</v>
      </c>
      <c r="K95" s="9">
        <f>J95/(F95*1.09)</f>
        <v/>
      </c>
      <c r="L95" t="inlineStr">
        <is>
          <t>0-30</t>
        </is>
      </c>
      <c r="M95">
        <f>IF(K95&gt;3,"YES","")</f>
        <v/>
      </c>
    </row>
    <row r="96">
      <c r="A96" t="inlineStr">
        <is>
          <t>TA-2024-00786</t>
        </is>
      </c>
      <c r="B96" t="inlineStr">
        <is>
          <t>T-11519</t>
        </is>
      </c>
      <c r="C96" t="inlineStr">
        <is>
          <t>Starlight Optical Pte Ltd</t>
        </is>
      </c>
      <c r="D96" t="inlineStr">
        <is>
          <t>U-ST528-01-11</t>
        </is>
      </c>
      <c r="E96" t="inlineStr">
        <is>
          <t>Sungai Tinggi</t>
        </is>
      </c>
      <c r="F96" s="4" t="n">
        <v>3580</v>
      </c>
      <c r="G96" t="n">
        <v>1</v>
      </c>
      <c r="H96" s="8" t="n">
        <v>46266</v>
      </c>
      <c r="I96" t="n">
        <v>29</v>
      </c>
      <c r="J96" s="4" t="n">
        <v>3902.2</v>
      </c>
      <c r="K96" s="9">
        <f>J96/(F96*1.09)</f>
        <v/>
      </c>
      <c r="L96" t="inlineStr">
        <is>
          <t>0-30</t>
        </is>
      </c>
      <c r="M96">
        <f>IF(K96&gt;3,"YES","")</f>
        <v/>
      </c>
    </row>
    <row r="97">
      <c r="A97" t="inlineStr">
        <is>
          <t>TA-2024-00204</t>
        </is>
      </c>
      <c r="B97" t="inlineStr">
        <is>
          <t>T-10580</t>
        </is>
      </c>
      <c r="C97" t="inlineStr">
        <is>
          <t>Heng Ann Hair Salon</t>
        </is>
      </c>
      <c r="D97" t="inlineStr">
        <is>
          <t>U-RH484-01-04</t>
        </is>
      </c>
      <c r="E97" t="inlineStr">
        <is>
          <t>Rimba Heights</t>
        </is>
      </c>
      <c r="F97" s="4" t="n">
        <v>3540</v>
      </c>
      <c r="G97" t="n">
        <v>1</v>
      </c>
      <c r="H97" s="8" t="n">
        <v>46266</v>
      </c>
      <c r="I97" t="n">
        <v>29</v>
      </c>
      <c r="J97" s="4" t="n">
        <v>3858.6</v>
      </c>
      <c r="K97" s="9">
        <f>J97/(F97*1.09)</f>
        <v/>
      </c>
      <c r="L97" t="inlineStr">
        <is>
          <t>0-30</t>
        </is>
      </c>
      <c r="M97">
        <f>IF(K97&gt;3,"YES","")</f>
        <v/>
      </c>
    </row>
    <row r="98">
      <c r="A98" t="inlineStr">
        <is>
          <t>TA-2026-00056</t>
        </is>
      </c>
      <c r="B98" t="inlineStr">
        <is>
          <t>T-12859</t>
        </is>
      </c>
      <c r="C98" t="inlineStr">
        <is>
          <t>Murugan Supermarket Pte Ltd</t>
        </is>
      </c>
      <c r="D98" t="inlineStr">
        <is>
          <t>U-RH484-01-08</t>
        </is>
      </c>
      <c r="E98" t="inlineStr">
        <is>
          <t>Rimba Heights</t>
        </is>
      </c>
      <c r="F98" s="4" t="n">
        <v>3520</v>
      </c>
      <c r="G98" t="n">
        <v>1</v>
      </c>
      <c r="H98" s="8" t="n">
        <v>46266</v>
      </c>
      <c r="I98" t="n">
        <v>29</v>
      </c>
      <c r="J98" s="4" t="n">
        <v>3836.8</v>
      </c>
      <c r="K98" s="9">
        <f>J98/(F98*1.09)</f>
        <v/>
      </c>
      <c r="L98" t="inlineStr">
        <is>
          <t>0-30</t>
        </is>
      </c>
      <c r="M98">
        <f>IF(K98&gt;3,"YES","")</f>
        <v/>
      </c>
    </row>
    <row r="99">
      <c r="A99" t="inlineStr">
        <is>
          <t>TA-2025-00386</t>
        </is>
      </c>
      <c r="B99" t="inlineStr">
        <is>
          <t>T-12158</t>
        </is>
      </c>
      <c r="C99" t="inlineStr">
        <is>
          <t>Value Store</t>
        </is>
      </c>
      <c r="D99" t="inlineStr">
        <is>
          <t>U-ST591-01-03</t>
        </is>
      </c>
      <c r="E99" t="inlineStr">
        <is>
          <t>Sungai Tinggi</t>
        </is>
      </c>
      <c r="F99" s="4" t="n">
        <v>3480</v>
      </c>
      <c r="G99" t="n">
        <v>1</v>
      </c>
      <c r="H99" s="8" t="n">
        <v>46266</v>
      </c>
      <c r="I99" t="n">
        <v>29</v>
      </c>
      <c r="J99" s="4" t="n">
        <v>3793.2</v>
      </c>
      <c r="K99" s="9">
        <f>J99/(F99*1.09)</f>
        <v/>
      </c>
      <c r="L99" t="inlineStr">
        <is>
          <t>0-30</t>
        </is>
      </c>
      <c r="M99">
        <f>IF(K99&gt;3,"YES","")</f>
        <v/>
      </c>
    </row>
    <row r="100">
      <c r="A100" t="inlineStr">
        <is>
          <t>TA-2025-00453</t>
        </is>
      </c>
      <c r="B100" t="inlineStr">
        <is>
          <t>T-12268</t>
        </is>
      </c>
      <c r="C100" t="inlineStr">
        <is>
          <t>Gold Coin Stationery Pte Ltd</t>
        </is>
      </c>
      <c r="D100" t="inlineStr">
        <is>
          <t>U-ST590-01-09</t>
        </is>
      </c>
      <c r="E100" t="inlineStr">
        <is>
          <t>Sungai Tinggi</t>
        </is>
      </c>
      <c r="F100" s="4" t="n">
        <v>3390</v>
      </c>
      <c r="G100" t="n">
        <v>1</v>
      </c>
      <c r="H100" s="8" t="n">
        <v>46266</v>
      </c>
      <c r="I100" t="n">
        <v>29</v>
      </c>
      <c r="J100" s="4" t="n">
        <v>3695.1</v>
      </c>
      <c r="K100" s="9">
        <f>J100/(F100*1.09)</f>
        <v/>
      </c>
      <c r="L100" t="inlineStr">
        <is>
          <t>0-30</t>
        </is>
      </c>
      <c r="M100">
        <f>IF(K100&gt;3,"YES","")</f>
        <v/>
      </c>
    </row>
    <row r="101">
      <c r="A101" t="inlineStr">
        <is>
          <t>TA-2026-00192</t>
        </is>
      </c>
      <c r="B101" t="inlineStr">
        <is>
          <t>T-13078</t>
        </is>
      </c>
      <c r="C101" t="inlineStr">
        <is>
          <t>Bayu Mobile Pte Ltd</t>
        </is>
      </c>
      <c r="D101" t="inlineStr">
        <is>
          <t>U-PI627-01-30</t>
        </is>
      </c>
      <c r="E101" t="inlineStr">
        <is>
          <t>Pasir Indah</t>
        </is>
      </c>
      <c r="F101" s="4" t="n">
        <v>3370</v>
      </c>
      <c r="G101" t="n">
        <v>1</v>
      </c>
      <c r="H101" s="8" t="n">
        <v>46266</v>
      </c>
      <c r="I101" t="n">
        <v>29</v>
      </c>
      <c r="J101" s="4" t="n">
        <v>3673.3</v>
      </c>
      <c r="K101" s="9">
        <f>J101/(F101*1.09)</f>
        <v/>
      </c>
      <c r="L101" t="inlineStr">
        <is>
          <t>0-30</t>
        </is>
      </c>
      <c r="M101">
        <f>IF(K101&gt;3,"YES","")</f>
        <v/>
      </c>
    </row>
    <row r="102">
      <c r="A102" t="inlineStr">
        <is>
          <t>TA-2026-00456</t>
        </is>
      </c>
      <c r="B102" t="inlineStr">
        <is>
          <t>T-13478</t>
        </is>
      </c>
      <c r="C102" t="inlineStr">
        <is>
          <t>Happy Paws Education Hub Pte Ltd</t>
        </is>
      </c>
      <c r="D102" t="inlineStr">
        <is>
          <t>U-KR358-01-03</t>
        </is>
      </c>
      <c r="E102" t="inlineStr">
        <is>
          <t>Kebun Raya</t>
        </is>
      </c>
      <c r="F102" s="4" t="n">
        <v>3270</v>
      </c>
      <c r="G102" t="n">
        <v>1</v>
      </c>
      <c r="H102" s="8" t="n">
        <v>46266</v>
      </c>
      <c r="I102" t="n">
        <v>29</v>
      </c>
      <c r="J102" s="4" t="n">
        <v>3564.3</v>
      </c>
      <c r="K102" s="9">
        <f>J102/(F102*1.09)</f>
        <v/>
      </c>
      <c r="L102" t="inlineStr">
        <is>
          <t>0-30</t>
        </is>
      </c>
      <c r="M102">
        <f>IF(K102&gt;3,"YES","")</f>
        <v/>
      </c>
    </row>
    <row r="103">
      <c r="A103" t="inlineStr">
        <is>
          <t>TA-2024-00268</t>
        </is>
      </c>
      <c r="B103" t="inlineStr">
        <is>
          <t>T-10676</t>
        </is>
      </c>
      <c r="C103" t="inlineStr">
        <is>
          <t>Fortune Clinic &amp; Surgery Pte Ltd</t>
        </is>
      </c>
      <c r="D103" t="inlineStr">
        <is>
          <t>U-ST590-01-01</t>
        </is>
      </c>
      <c r="E103" t="inlineStr">
        <is>
          <t>Sungai Tinggi</t>
        </is>
      </c>
      <c r="F103" s="4" t="n">
        <v>3220</v>
      </c>
      <c r="G103" t="n">
        <v>1</v>
      </c>
      <c r="H103" s="8" t="n">
        <v>46266</v>
      </c>
      <c r="I103" t="n">
        <v>29</v>
      </c>
      <c r="J103" s="4" t="n">
        <v>3509.8</v>
      </c>
      <c r="K103" s="9">
        <f>J103/(F103*1.09)</f>
        <v/>
      </c>
      <c r="L103" t="inlineStr">
        <is>
          <t>0-30</t>
        </is>
      </c>
      <c r="M103">
        <f>IF(K103&gt;3,"YES","")</f>
        <v/>
      </c>
    </row>
    <row r="104">
      <c r="A104" t="inlineStr">
        <is>
          <t>TA-2024-00192</t>
        </is>
      </c>
      <c r="B104" t="inlineStr">
        <is>
          <t>T-10565</t>
        </is>
      </c>
      <c r="C104" t="inlineStr">
        <is>
          <t>Silver Moon Money Changer</t>
        </is>
      </c>
      <c r="D104" t="inlineStr">
        <is>
          <t>U-PI670-01-06</t>
        </is>
      </c>
      <c r="E104" t="inlineStr">
        <is>
          <t>Pasir Indah</t>
        </is>
      </c>
      <c r="F104" s="4" t="n">
        <v>3190</v>
      </c>
      <c r="G104" t="n">
        <v>1</v>
      </c>
      <c r="H104" s="8" t="n">
        <v>46266</v>
      </c>
      <c r="I104" t="n">
        <v>29</v>
      </c>
      <c r="J104" s="4" t="n">
        <v>3477.1</v>
      </c>
      <c r="K104" s="9">
        <f>J104/(F104*1.09)</f>
        <v/>
      </c>
      <c r="L104" t="inlineStr">
        <is>
          <t>0-30</t>
        </is>
      </c>
      <c r="M104">
        <f>IF(K104&gt;3,"YES","")</f>
        <v/>
      </c>
    </row>
    <row r="105">
      <c r="A105" t="inlineStr">
        <is>
          <t>TA-2026-00537</t>
        </is>
      </c>
      <c r="B105" t="inlineStr">
        <is>
          <t>T-13607</t>
        </is>
      </c>
      <c r="C105" t="inlineStr">
        <is>
          <t>Hometown Tea House Pte Ltd</t>
        </is>
      </c>
      <c r="D105" t="inlineStr">
        <is>
          <t>U-KR333-01-07</t>
        </is>
      </c>
      <c r="E105" t="inlineStr">
        <is>
          <t>Kebun Raya</t>
        </is>
      </c>
      <c r="F105" s="4" t="n">
        <v>3010</v>
      </c>
      <c r="G105" t="n">
        <v>1</v>
      </c>
      <c r="H105" s="8" t="n">
        <v>46266</v>
      </c>
      <c r="I105" t="n">
        <v>29</v>
      </c>
      <c r="J105" s="4" t="n">
        <v>3280.9</v>
      </c>
      <c r="K105" s="9">
        <f>J105/(F105*1.09)</f>
        <v/>
      </c>
      <c r="L105" t="inlineStr">
        <is>
          <t>0-30</t>
        </is>
      </c>
      <c r="M105">
        <f>IF(K105&gt;3,"YES","")</f>
        <v/>
      </c>
    </row>
    <row r="106">
      <c r="A106" t="inlineStr">
        <is>
          <t>TA-2026-00475</t>
        </is>
      </c>
      <c r="B106" t="inlineStr">
        <is>
          <t>T-13510</t>
        </is>
      </c>
      <c r="C106" t="inlineStr">
        <is>
          <t>Raja Clinic &amp; Surgery Pte Ltd</t>
        </is>
      </c>
      <c r="D106" t="inlineStr">
        <is>
          <t>U-RH401-02-04</t>
        </is>
      </c>
      <c r="E106" t="inlineStr">
        <is>
          <t>Rimba Heights</t>
        </is>
      </c>
      <c r="F106" s="4" t="n">
        <v>2950</v>
      </c>
      <c r="G106" t="n">
        <v>1</v>
      </c>
      <c r="H106" s="8" t="n">
        <v>46266</v>
      </c>
      <c r="I106" t="n">
        <v>29</v>
      </c>
      <c r="J106" s="4" t="n">
        <v>3215.5</v>
      </c>
      <c r="K106" s="9">
        <f>J106/(F106*1.09)</f>
        <v/>
      </c>
      <c r="L106" t="inlineStr">
        <is>
          <t>0-30</t>
        </is>
      </c>
      <c r="M106">
        <f>IF(K106&gt;3,"YES","")</f>
        <v/>
      </c>
    </row>
    <row r="107">
      <c r="A107" t="inlineStr">
        <is>
          <t>TA-2026-00096</t>
        </is>
      </c>
      <c r="B107" t="inlineStr">
        <is>
          <t>T-12918</t>
        </is>
      </c>
      <c r="C107" t="inlineStr">
        <is>
          <t>Kian Huat Trading</t>
        </is>
      </c>
      <c r="D107" t="inlineStr">
        <is>
          <t>U-CD153-01-06</t>
        </is>
      </c>
      <c r="E107" t="inlineStr">
        <is>
          <t>Cendana</t>
        </is>
      </c>
      <c r="F107" s="4" t="n">
        <v>2930</v>
      </c>
      <c r="G107" t="n">
        <v>1</v>
      </c>
      <c r="H107" s="8" t="n">
        <v>46266</v>
      </c>
      <c r="I107" t="n">
        <v>29</v>
      </c>
      <c r="J107" s="4" t="n">
        <v>3193.7</v>
      </c>
      <c r="K107" s="9">
        <f>J107/(F107*1.09)</f>
        <v/>
      </c>
      <c r="L107" t="inlineStr">
        <is>
          <t>0-30</t>
        </is>
      </c>
      <c r="M107">
        <f>IF(K107&gt;3,"YES","")</f>
        <v/>
      </c>
    </row>
    <row r="108">
      <c r="A108" t="inlineStr">
        <is>
          <t>TA-2023-00153</t>
        </is>
      </c>
      <c r="B108" t="inlineStr">
        <is>
          <t>T-10218</t>
        </is>
      </c>
      <c r="C108" t="inlineStr">
        <is>
          <t>Sunflower Dental Surgery</t>
        </is>
      </c>
      <c r="D108" t="inlineStr">
        <is>
          <t>U-KR359-01-12</t>
        </is>
      </c>
      <c r="E108" t="inlineStr">
        <is>
          <t>Kebun Raya</t>
        </is>
      </c>
      <c r="F108" s="4" t="n">
        <v>2860</v>
      </c>
      <c r="G108" t="n">
        <v>1</v>
      </c>
      <c r="H108" s="8" t="n">
        <v>46266</v>
      </c>
      <c r="I108" t="n">
        <v>29</v>
      </c>
      <c r="J108" s="4" t="n">
        <v>3117.4</v>
      </c>
      <c r="K108" s="9">
        <f>J108/(F108*1.09)</f>
        <v/>
      </c>
      <c r="L108" t="inlineStr">
        <is>
          <t>0-30</t>
        </is>
      </c>
      <c r="M108">
        <f>IF(K108&gt;3,"YES","")</f>
        <v/>
      </c>
    </row>
    <row r="109">
      <c r="A109" t="inlineStr">
        <is>
          <t>TA-2026-00535</t>
        </is>
      </c>
      <c r="B109" t="inlineStr">
        <is>
          <t>T-13605</t>
        </is>
      </c>
      <c r="C109" t="inlineStr">
        <is>
          <t>Amanah Hair Studio Pte Ltd</t>
        </is>
      </c>
      <c r="D109" t="inlineStr">
        <is>
          <t>U-KR329-01-09</t>
        </is>
      </c>
      <c r="E109" t="inlineStr">
        <is>
          <t>Kebun Raya</t>
        </is>
      </c>
      <c r="F109" s="4" t="n">
        <v>2850</v>
      </c>
      <c r="G109" t="n">
        <v>1</v>
      </c>
      <c r="H109" s="8" t="n">
        <v>46266</v>
      </c>
      <c r="I109" t="n">
        <v>29</v>
      </c>
      <c r="J109" s="4" t="n">
        <v>3106.5</v>
      </c>
      <c r="K109" s="9">
        <f>J109/(F109*1.09)</f>
        <v/>
      </c>
      <c r="L109" t="inlineStr">
        <is>
          <t>0-30</t>
        </is>
      </c>
      <c r="M109">
        <f>IF(K109&gt;3,"YES","")</f>
        <v/>
      </c>
    </row>
    <row r="110">
      <c r="A110" t="inlineStr">
        <is>
          <t>TA-2025-00301</t>
        </is>
      </c>
      <c r="B110" t="inlineStr">
        <is>
          <t>T-12014</t>
        </is>
      </c>
      <c r="C110" t="inlineStr">
        <is>
          <t>Silver Moon Hardware &amp; Electrical Pte Ltd</t>
        </is>
      </c>
      <c r="D110" t="inlineStr">
        <is>
          <t>U-PI678-01-06</t>
        </is>
      </c>
      <c r="E110" t="inlineStr">
        <is>
          <t>Pasir Indah</t>
        </is>
      </c>
      <c r="F110" s="4" t="n">
        <v>2830</v>
      </c>
      <c r="G110" t="n">
        <v>1</v>
      </c>
      <c r="H110" s="8" t="n">
        <v>46266</v>
      </c>
      <c r="I110" t="n">
        <v>29</v>
      </c>
      <c r="J110" s="4" t="n">
        <v>3084.7</v>
      </c>
      <c r="K110" s="9">
        <f>J110/(F110*1.09)</f>
        <v/>
      </c>
      <c r="L110" t="inlineStr">
        <is>
          <t>0-30</t>
        </is>
      </c>
      <c r="M110">
        <f>IF(K110&gt;3,"YES","")</f>
        <v/>
      </c>
    </row>
    <row r="111">
      <c r="A111" t="inlineStr">
        <is>
          <t>TA-2026-00605</t>
        </is>
      </c>
      <c r="B111" t="inlineStr">
        <is>
          <t>T-13717</t>
        </is>
      </c>
      <c r="C111" t="inlineStr">
        <is>
          <t>Red Lantern Florist Pte Ltd</t>
        </is>
      </c>
      <c r="D111" t="inlineStr">
        <is>
          <t>U-RH491-01-06</t>
        </is>
      </c>
      <c r="E111" t="inlineStr">
        <is>
          <t>Rimba Heights</t>
        </is>
      </c>
      <c r="F111" s="4" t="n">
        <v>2800</v>
      </c>
      <c r="G111" t="n">
        <v>1</v>
      </c>
      <c r="H111" s="8" t="n">
        <v>46266</v>
      </c>
      <c r="I111" t="n">
        <v>29</v>
      </c>
      <c r="J111" s="4" t="n">
        <v>3052</v>
      </c>
      <c r="K111" s="9">
        <f>J111/(F111*1.09)</f>
        <v/>
      </c>
      <c r="L111" t="inlineStr">
        <is>
          <t>0-30</t>
        </is>
      </c>
      <c r="M111">
        <f>IF(K111&gt;3,"YES","")</f>
        <v/>
      </c>
    </row>
    <row r="112">
      <c r="A112" t="inlineStr">
        <is>
          <t>TA-2025-00288</t>
        </is>
      </c>
      <c r="B112" t="inlineStr">
        <is>
          <t>T-11991</t>
        </is>
      </c>
      <c r="C112" t="inlineStr">
        <is>
          <t>Kampung Hardware &amp; Electrical Pte Ltd</t>
        </is>
      </c>
      <c r="D112" t="inlineStr">
        <is>
          <t>U-KR353-01-02</t>
        </is>
      </c>
      <c r="E112" t="inlineStr">
        <is>
          <t>Kebun Raya</t>
        </is>
      </c>
      <c r="F112" s="4" t="n">
        <v>2760</v>
      </c>
      <c r="G112" t="n">
        <v>1</v>
      </c>
      <c r="H112" s="8" t="n">
        <v>46266</v>
      </c>
      <c r="I112" t="n">
        <v>29</v>
      </c>
      <c r="J112" s="4" t="n">
        <v>3008.4</v>
      </c>
      <c r="K112" s="9">
        <f>J112/(F112*1.09)</f>
        <v/>
      </c>
      <c r="L112" t="inlineStr">
        <is>
          <t>0-30</t>
        </is>
      </c>
      <c r="M112">
        <f>IF(K112&gt;3,"YES","")</f>
        <v/>
      </c>
    </row>
    <row r="113">
      <c r="A113" t="inlineStr">
        <is>
          <t>TA-2024-00258</t>
        </is>
      </c>
      <c r="B113" t="inlineStr">
        <is>
          <t>T-10660</t>
        </is>
      </c>
      <c r="C113" t="inlineStr">
        <is>
          <t>Ong &amp; Sons Hardware Pte Ltd</t>
        </is>
      </c>
      <c r="D113" t="inlineStr">
        <is>
          <t>U-RH455-01-03</t>
        </is>
      </c>
      <c r="E113" t="inlineStr">
        <is>
          <t>Rimba Heights</t>
        </is>
      </c>
      <c r="F113" s="4" t="n">
        <v>2720</v>
      </c>
      <c r="G113" t="n">
        <v>1</v>
      </c>
      <c r="H113" s="8" t="n">
        <v>46266</v>
      </c>
      <c r="I113" t="n">
        <v>29</v>
      </c>
      <c r="J113" s="4" t="n">
        <v>2964.8</v>
      </c>
      <c r="K113" s="9">
        <f>J113/(F113*1.09)</f>
        <v/>
      </c>
      <c r="L113" t="inlineStr">
        <is>
          <t>0-30</t>
        </is>
      </c>
      <c r="M113">
        <f>IF(K113&gt;3,"YES","")</f>
        <v/>
      </c>
    </row>
    <row r="114">
      <c r="A114" t="inlineStr">
        <is>
          <t>TA-2025-00075</t>
        </is>
      </c>
      <c r="B114" t="inlineStr">
        <is>
          <t>T-11639</t>
        </is>
      </c>
      <c r="C114" t="inlineStr">
        <is>
          <t>Ah Seng Hardware &amp; Electrical Pte Ltd</t>
        </is>
      </c>
      <c r="D114" t="inlineStr">
        <is>
          <t>U-ST556-01-06</t>
        </is>
      </c>
      <c r="E114" t="inlineStr">
        <is>
          <t>Sungai Tinggi</t>
        </is>
      </c>
      <c r="F114" s="4" t="n">
        <v>2720</v>
      </c>
      <c r="G114" t="n">
        <v>1</v>
      </c>
      <c r="H114" s="8" t="n">
        <v>46266</v>
      </c>
      <c r="I114" t="n">
        <v>29</v>
      </c>
      <c r="J114" s="4" t="n">
        <v>2964.8</v>
      </c>
      <c r="K114" s="9">
        <f>J114/(F114*1.09)</f>
        <v/>
      </c>
      <c r="L114" t="inlineStr">
        <is>
          <t>0-30</t>
        </is>
      </c>
      <c r="M114">
        <f>IF(K114&gt;3,"YES","")</f>
        <v/>
      </c>
    </row>
    <row r="115">
      <c r="A115" t="inlineStr">
        <is>
          <t>TA-2024-00559</t>
        </is>
      </c>
      <c r="B115" t="inlineStr">
        <is>
          <t>T-11148</t>
        </is>
      </c>
      <c r="C115" t="inlineStr">
        <is>
          <t>Nanyang Medical Clinic</t>
        </is>
      </c>
      <c r="D115" t="inlineStr">
        <is>
          <t>U-CD189-01-06</t>
        </is>
      </c>
      <c r="E115" t="inlineStr">
        <is>
          <t>Cendana</t>
        </is>
      </c>
      <c r="F115" s="4" t="n">
        <v>2630</v>
      </c>
      <c r="G115" t="n">
        <v>1</v>
      </c>
      <c r="H115" s="8" t="n">
        <v>46266</v>
      </c>
      <c r="I115" t="n">
        <v>29</v>
      </c>
      <c r="J115" s="4" t="n">
        <v>2866.7</v>
      </c>
      <c r="K115" s="9">
        <f>J115/(F115*1.09)</f>
        <v/>
      </c>
      <c r="L115" t="inlineStr">
        <is>
          <t>0-30</t>
        </is>
      </c>
      <c r="M115">
        <f>IF(K115&gt;3,"YES","")</f>
        <v/>
      </c>
    </row>
    <row r="116">
      <c r="A116" t="inlineStr">
        <is>
          <t>TA-2026-00022</t>
        </is>
      </c>
      <c r="B116" t="inlineStr">
        <is>
          <t>T-12799</t>
        </is>
      </c>
      <c r="C116" t="inlineStr">
        <is>
          <t>Teck Guan Beauty &amp; Hair Pte Ltd</t>
        </is>
      </c>
      <c r="D116" t="inlineStr">
        <is>
          <t>U-KR305-01-15</t>
        </is>
      </c>
      <c r="E116" t="inlineStr">
        <is>
          <t>Kebun Raya</t>
        </is>
      </c>
      <c r="F116" s="4" t="n">
        <v>2630</v>
      </c>
      <c r="G116" t="n">
        <v>1</v>
      </c>
      <c r="H116" s="8" t="n">
        <v>46266</v>
      </c>
      <c r="I116" t="n">
        <v>29</v>
      </c>
      <c r="J116" s="4" t="n">
        <v>2866.7</v>
      </c>
      <c r="K116" s="9">
        <f>J116/(F116*1.09)</f>
        <v/>
      </c>
      <c r="L116" t="inlineStr">
        <is>
          <t>0-30</t>
        </is>
      </c>
      <c r="M116">
        <f>IF(K116&gt;3,"YES","")</f>
        <v/>
      </c>
    </row>
    <row r="117">
      <c r="A117" t="inlineStr">
        <is>
          <t>TA-2025-00469</t>
        </is>
      </c>
      <c r="B117" t="inlineStr">
        <is>
          <t>T-12291</t>
        </is>
      </c>
      <c r="C117" t="inlineStr">
        <is>
          <t>Kampung Supermarket</t>
        </is>
      </c>
      <c r="D117" t="inlineStr">
        <is>
          <t>U-BV279-01-06</t>
        </is>
      </c>
      <c r="E117" t="inlineStr">
        <is>
          <t>Bayshore Vale</t>
        </is>
      </c>
      <c r="F117" s="4" t="n">
        <v>2620</v>
      </c>
      <c r="G117" t="n">
        <v>1</v>
      </c>
      <c r="H117" s="8" t="n">
        <v>46266</v>
      </c>
      <c r="I117" t="n">
        <v>29</v>
      </c>
      <c r="J117" s="4" t="n">
        <v>2855.8</v>
      </c>
      <c r="K117" s="9">
        <f>J117/(F117*1.09)</f>
        <v/>
      </c>
      <c r="L117" t="inlineStr">
        <is>
          <t>0-30</t>
        </is>
      </c>
      <c r="M117">
        <f>IF(K117&gt;3,"YES","")</f>
        <v/>
      </c>
    </row>
    <row r="118">
      <c r="A118" t="inlineStr">
        <is>
          <t>TA-2023-00184</t>
        </is>
      </c>
      <c r="B118" t="inlineStr">
        <is>
          <t>T-10247</t>
        </is>
      </c>
      <c r="C118" t="inlineStr">
        <is>
          <t>Kumar Fruits Pte Ltd</t>
        </is>
      </c>
      <c r="D118" t="inlineStr">
        <is>
          <t>U-ST537-01-04</t>
        </is>
      </c>
      <c r="E118" t="inlineStr">
        <is>
          <t>Sungai Tinggi</t>
        </is>
      </c>
      <c r="F118" s="4" t="n">
        <v>2580</v>
      </c>
      <c r="G118" t="n">
        <v>1</v>
      </c>
      <c r="H118" s="8" t="n">
        <v>46266</v>
      </c>
      <c r="I118" t="n">
        <v>29</v>
      </c>
      <c r="J118" s="4" t="n">
        <v>2812.2</v>
      </c>
      <c r="K118" s="9">
        <f>J118/(F118*1.09)</f>
        <v/>
      </c>
      <c r="L118" t="inlineStr">
        <is>
          <t>0-30</t>
        </is>
      </c>
      <c r="M118">
        <f>IF(K118&gt;3,"YES","")</f>
        <v/>
      </c>
    </row>
    <row r="119">
      <c r="A119" t="inlineStr">
        <is>
          <t>TA-2025-00731</t>
        </is>
      </c>
      <c r="B119" t="inlineStr">
        <is>
          <t>T-12731</t>
        </is>
      </c>
      <c r="C119" t="inlineStr">
        <is>
          <t>Barakah Fruit Trading</t>
        </is>
      </c>
      <c r="D119" t="inlineStr">
        <is>
          <t>U-PI605-01-05</t>
        </is>
      </c>
      <c r="E119" t="inlineStr">
        <is>
          <t>Pasir Indah</t>
        </is>
      </c>
      <c r="F119" s="4" t="n">
        <v>2550</v>
      </c>
      <c r="G119" t="n">
        <v>1</v>
      </c>
      <c r="H119" s="8" t="n">
        <v>46266</v>
      </c>
      <c r="I119" t="n">
        <v>29</v>
      </c>
      <c r="J119" s="4" t="n">
        <v>2779.5</v>
      </c>
      <c r="K119" s="9">
        <f>J119/(F119*1.09)</f>
        <v/>
      </c>
      <c r="L119" t="inlineStr">
        <is>
          <t>0-30</t>
        </is>
      </c>
      <c r="M119">
        <f>IF(K119&gt;3,"YES","")</f>
        <v/>
      </c>
    </row>
    <row r="120">
      <c r="A120" t="inlineStr">
        <is>
          <t>TA-2024-00457</t>
        </is>
      </c>
      <c r="B120" t="inlineStr">
        <is>
          <t>T-10980</t>
        </is>
      </c>
      <c r="C120" t="inlineStr">
        <is>
          <t>Ever Joy Tuition Centre Pte Ltd</t>
        </is>
      </c>
      <c r="D120" t="inlineStr">
        <is>
          <t>U-ST512-01-25</t>
        </is>
      </c>
      <c r="E120" t="inlineStr">
        <is>
          <t>Sungai Tinggi</t>
        </is>
      </c>
      <c r="F120" s="4" t="n">
        <v>2540</v>
      </c>
      <c r="G120" t="n">
        <v>1</v>
      </c>
      <c r="H120" s="8" t="n">
        <v>46266</v>
      </c>
      <c r="I120" t="n">
        <v>29</v>
      </c>
      <c r="J120" s="4" t="n">
        <v>2768.6</v>
      </c>
      <c r="K120" s="9">
        <f>J120/(F120*1.09)</f>
        <v/>
      </c>
      <c r="L120" t="inlineStr">
        <is>
          <t>0-30</t>
        </is>
      </c>
      <c r="M120">
        <f>IF(K120&gt;3,"YES","")</f>
        <v/>
      </c>
    </row>
    <row r="121">
      <c r="A121" t="inlineStr">
        <is>
          <t>TA-2026-00374</t>
        </is>
      </c>
      <c r="B121" t="inlineStr">
        <is>
          <t>T-13370</t>
        </is>
      </c>
      <c r="C121" t="inlineStr">
        <is>
          <t>Fortune Kitchen</t>
        </is>
      </c>
      <c r="D121" t="inlineStr">
        <is>
          <t>U-CD119-01-04</t>
        </is>
      </c>
      <c r="E121" t="inlineStr">
        <is>
          <t>Cendana</t>
        </is>
      </c>
      <c r="F121" s="4" t="n">
        <v>2540</v>
      </c>
      <c r="G121" t="n">
        <v>1</v>
      </c>
      <c r="H121" s="8" t="n">
        <v>46266</v>
      </c>
      <c r="I121" t="n">
        <v>29</v>
      </c>
      <c r="J121" s="4" t="n">
        <v>2768.6</v>
      </c>
      <c r="K121" s="9">
        <f>J121/(F121*1.09)</f>
        <v/>
      </c>
      <c r="L121" t="inlineStr">
        <is>
          <t>0-30</t>
        </is>
      </c>
      <c r="M121">
        <f>IF(K121&gt;3,"YES","")</f>
        <v/>
      </c>
    </row>
    <row r="122">
      <c r="A122" t="inlineStr">
        <is>
          <t>TA-2026-00538</t>
        </is>
      </c>
      <c r="B122" t="inlineStr">
        <is>
          <t>T-13610</t>
        </is>
      </c>
      <c r="C122" t="inlineStr">
        <is>
          <t>Swee Heng Optical Pte Ltd</t>
        </is>
      </c>
      <c r="D122" t="inlineStr">
        <is>
          <t>U-KR345-01-13</t>
        </is>
      </c>
      <c r="E122" t="inlineStr">
        <is>
          <t>Kebun Raya</t>
        </is>
      </c>
      <c r="F122" s="4" t="n">
        <v>2370</v>
      </c>
      <c r="G122" t="n">
        <v>1</v>
      </c>
      <c r="H122" s="8" t="n">
        <v>46266</v>
      </c>
      <c r="I122" t="n">
        <v>29</v>
      </c>
      <c r="J122" s="4" t="n">
        <v>2583.3</v>
      </c>
      <c r="K122" s="9">
        <f>J122/(F122*1.09)</f>
        <v/>
      </c>
      <c r="L122" t="inlineStr">
        <is>
          <t>0-30</t>
        </is>
      </c>
      <c r="M122">
        <f>IF(K122&gt;3,"YES","")</f>
        <v/>
      </c>
    </row>
    <row r="123">
      <c r="A123" t="inlineStr">
        <is>
          <t>TA-2025-00247</t>
        </is>
      </c>
      <c r="B123" t="inlineStr">
        <is>
          <t>T-11923</t>
        </is>
      </c>
      <c r="C123" t="inlineStr">
        <is>
          <t>Evergreen Medical Clinic Pte Ltd</t>
        </is>
      </c>
      <c r="D123" t="inlineStr">
        <is>
          <t>U-ST556-01-05</t>
        </is>
      </c>
      <c r="E123" t="inlineStr">
        <is>
          <t>Sungai Tinggi</t>
        </is>
      </c>
      <c r="F123" s="4" t="n">
        <v>2140</v>
      </c>
      <c r="G123" t="n">
        <v>1</v>
      </c>
      <c r="H123" s="8" t="n">
        <v>46266</v>
      </c>
      <c r="I123" t="n">
        <v>29</v>
      </c>
      <c r="J123" s="4" t="n">
        <v>2332.6</v>
      </c>
      <c r="K123" s="9">
        <f>J123/(F123*1.09)</f>
        <v/>
      </c>
      <c r="L123" t="inlineStr">
        <is>
          <t>0-30</t>
        </is>
      </c>
      <c r="M123">
        <f>IF(K123&gt;3,"YES","")</f>
        <v/>
      </c>
    </row>
    <row r="124">
      <c r="A124" t="inlineStr">
        <is>
          <t>TA-2024-00676</t>
        </is>
      </c>
      <c r="B124" t="inlineStr">
        <is>
          <t>T-11327</t>
        </is>
      </c>
      <c r="C124" t="inlineStr">
        <is>
          <t>Hometown Agency</t>
        </is>
      </c>
      <c r="D124" t="inlineStr">
        <is>
          <t>U-BV290-01-07</t>
        </is>
      </c>
      <c r="E124" t="inlineStr">
        <is>
          <t>Bayshore Vale</t>
        </is>
      </c>
      <c r="F124" s="4" t="n">
        <v>1870</v>
      </c>
      <c r="G124" t="n">
        <v>1</v>
      </c>
      <c r="H124" s="8" t="n">
        <v>46266</v>
      </c>
      <c r="I124" t="n">
        <v>29</v>
      </c>
      <c r="J124" s="4" t="n">
        <v>2038.3</v>
      </c>
      <c r="K124" s="9">
        <f>J124/(F124*1.09)</f>
        <v/>
      </c>
      <c r="L124" t="inlineStr">
        <is>
          <t>0-30</t>
        </is>
      </c>
      <c r="M124">
        <f>IF(K124&gt;3,"YES","")</f>
        <v/>
      </c>
    </row>
    <row r="125">
      <c r="A125" t="inlineStr">
        <is>
          <t>TA-2024-00070</t>
        </is>
      </c>
      <c r="B125" t="inlineStr">
        <is>
          <t>T-10369</t>
        </is>
      </c>
      <c r="C125" t="inlineStr">
        <is>
          <t>Siva Florist</t>
        </is>
      </c>
      <c r="D125" t="inlineStr">
        <is>
          <t>U-RH455-01-19</t>
        </is>
      </c>
      <c r="E125" t="inlineStr">
        <is>
          <t>Rimba Heights</t>
        </is>
      </c>
      <c r="F125" s="4" t="n">
        <v>900</v>
      </c>
      <c r="G125" t="n">
        <v>2</v>
      </c>
      <c r="H125" s="8" t="n">
        <v>46235</v>
      </c>
      <c r="I125" t="n">
        <v>60</v>
      </c>
      <c r="J125" s="4" t="n">
        <v>1962</v>
      </c>
      <c r="K125" s="9">
        <f>J125/(F125*1.09)</f>
        <v/>
      </c>
      <c r="L125" t="inlineStr">
        <is>
          <t>31-60</t>
        </is>
      </c>
      <c r="M125">
        <f>IF(K125&gt;3,"YES","")</f>
        <v/>
      </c>
    </row>
    <row r="126">
      <c r="A126" t="inlineStr">
        <is>
          <t>TA-2024-00436</t>
        </is>
      </c>
      <c r="B126" t="inlineStr">
        <is>
          <t>T-10942</t>
        </is>
      </c>
      <c r="C126" t="inlineStr">
        <is>
          <t>Wong's TCM Clinic Pte Ltd</t>
        </is>
      </c>
      <c r="D126" t="inlineStr">
        <is>
          <t>U-PI657-01-07</t>
        </is>
      </c>
      <c r="E126" t="inlineStr">
        <is>
          <t>Pasir Indah</t>
        </is>
      </c>
      <c r="F126" s="4" t="n">
        <v>1710</v>
      </c>
      <c r="G126" t="n">
        <v>1</v>
      </c>
      <c r="H126" s="8" t="n">
        <v>46266</v>
      </c>
      <c r="I126" t="n">
        <v>29</v>
      </c>
      <c r="J126" s="4" t="n">
        <v>1863.9</v>
      </c>
      <c r="K126" s="9">
        <f>J126/(F126*1.09)</f>
        <v/>
      </c>
      <c r="L126" t="inlineStr">
        <is>
          <t>0-30</t>
        </is>
      </c>
      <c r="M126">
        <f>IF(K126&gt;3,"YES","")</f>
        <v/>
      </c>
    </row>
    <row r="127">
      <c r="A127" t="inlineStr">
        <is>
          <t>TA-2025-00131</t>
        </is>
      </c>
      <c r="B127" t="inlineStr">
        <is>
          <t>T-11717</t>
        </is>
      </c>
      <c r="C127" t="inlineStr">
        <is>
          <t>Lim's Medical Supplies Pte Ltd</t>
        </is>
      </c>
      <c r="D127" t="inlineStr">
        <is>
          <t>U-ST528-01-06</t>
        </is>
      </c>
      <c r="E127" t="inlineStr">
        <is>
          <t>Sungai Tinggi</t>
        </is>
      </c>
      <c r="F127" s="4" t="n">
        <v>1710</v>
      </c>
      <c r="G127" t="n">
        <v>1</v>
      </c>
      <c r="H127" s="8" t="n">
        <v>46266</v>
      </c>
      <c r="I127" t="n">
        <v>29</v>
      </c>
      <c r="J127" s="4" t="n">
        <v>1863.9</v>
      </c>
      <c r="K127" s="9">
        <f>J127/(F127*1.09)</f>
        <v/>
      </c>
      <c r="L127" t="inlineStr">
        <is>
          <t>0-30</t>
        </is>
      </c>
      <c r="M127">
        <f>IF(K127&gt;3,"YES","")</f>
        <v/>
      </c>
    </row>
    <row r="128">
      <c r="A128" t="inlineStr">
        <is>
          <t>TA-2024-00064</t>
        </is>
      </c>
      <c r="B128" t="inlineStr">
        <is>
          <t>T-10358</t>
        </is>
      </c>
      <c r="C128" t="inlineStr">
        <is>
          <t>Sunflower Medical Clinic</t>
        </is>
      </c>
      <c r="D128" t="inlineStr">
        <is>
          <t>U-RH428-01-03</t>
        </is>
      </c>
      <c r="E128" t="inlineStr">
        <is>
          <t>Rimba Heights</t>
        </is>
      </c>
      <c r="F128" s="4" t="n">
        <v>1700</v>
      </c>
      <c r="G128" t="n">
        <v>1</v>
      </c>
      <c r="H128" s="8" t="n">
        <v>46266</v>
      </c>
      <c r="I128" t="n">
        <v>29</v>
      </c>
      <c r="J128" s="4" t="n">
        <v>1853</v>
      </c>
      <c r="K128" s="9">
        <f>J128/(F128*1.09)</f>
        <v/>
      </c>
      <c r="L128" t="inlineStr">
        <is>
          <t>0-30</t>
        </is>
      </c>
      <c r="M128">
        <f>IF(K128&gt;3,"YES","")</f>
        <v/>
      </c>
    </row>
    <row r="129">
      <c r="A129" t="inlineStr">
        <is>
          <t>TA-2026-00204</t>
        </is>
      </c>
      <c r="B129" t="inlineStr">
        <is>
          <t>T-13097</t>
        </is>
      </c>
      <c r="C129" t="inlineStr">
        <is>
          <t>Unity Telecom</t>
        </is>
      </c>
      <c r="D129" t="inlineStr">
        <is>
          <t>U-RH464-01-01</t>
        </is>
      </c>
      <c r="E129" t="inlineStr">
        <is>
          <t>Rimba Heights</t>
        </is>
      </c>
      <c r="F129" s="4" t="n">
        <v>1680</v>
      </c>
      <c r="G129" t="n">
        <v>1</v>
      </c>
      <c r="H129" s="8" t="n">
        <v>46266</v>
      </c>
      <c r="I129" t="n">
        <v>29</v>
      </c>
      <c r="J129" s="4" t="n">
        <v>1831.2</v>
      </c>
      <c r="K129" s="9">
        <f>J129/(F129*1.09)</f>
        <v/>
      </c>
      <c r="L129" t="inlineStr">
        <is>
          <t>0-30</t>
        </is>
      </c>
      <c r="M129">
        <f>IF(K129&gt;3,"YES","")</f>
        <v/>
      </c>
    </row>
    <row r="130">
      <c r="A130" t="inlineStr">
        <is>
          <t>TA-2025-00344</t>
        </is>
      </c>
      <c r="B130" t="inlineStr">
        <is>
          <t>T-12086</t>
        </is>
      </c>
      <c r="C130" t="inlineStr">
        <is>
          <t>Lucky Star Remittance</t>
        </is>
      </c>
      <c r="D130" t="inlineStr">
        <is>
          <t>U-CD160-01-09</t>
        </is>
      </c>
      <c r="E130" t="inlineStr">
        <is>
          <t>Cendana</t>
        </is>
      </c>
      <c r="F130" s="4" t="n">
        <v>1620</v>
      </c>
      <c r="G130" t="n">
        <v>1</v>
      </c>
      <c r="H130" s="8" t="n">
        <v>46266</v>
      </c>
      <c r="I130" t="n">
        <v>29</v>
      </c>
      <c r="J130" s="4" t="n">
        <v>1765.8</v>
      </c>
      <c r="K130" s="9">
        <f>J130/(F130*1.09)</f>
        <v/>
      </c>
      <c r="L130" t="inlineStr">
        <is>
          <t>0-30</t>
        </is>
      </c>
      <c r="M130">
        <f>IF(K130&gt;3,"YES","")</f>
        <v/>
      </c>
    </row>
    <row r="131">
      <c r="A131" t="inlineStr">
        <is>
          <t>TA-2024-00499</t>
        </is>
      </c>
      <c r="B131" t="inlineStr">
        <is>
          <t>T-11045</t>
        </is>
      </c>
      <c r="C131" t="inlineStr">
        <is>
          <t>Treasure Tea House Pte Ltd</t>
        </is>
      </c>
      <c r="D131" t="inlineStr">
        <is>
          <t>U-KR353-01-04</t>
        </is>
      </c>
      <c r="E131" t="inlineStr">
        <is>
          <t>Kebun Raya</t>
        </is>
      </c>
      <c r="F131" s="4" t="n">
        <v>1380</v>
      </c>
      <c r="G131" t="n">
        <v>1</v>
      </c>
      <c r="H131" s="8" t="n">
        <v>46266</v>
      </c>
      <c r="I131" t="n">
        <v>29</v>
      </c>
      <c r="J131" s="4" t="n">
        <v>1504.2</v>
      </c>
      <c r="K131" s="9">
        <f>J131/(F131*1.09)</f>
        <v/>
      </c>
      <c r="L131" t="inlineStr">
        <is>
          <t>0-30</t>
        </is>
      </c>
      <c r="M131">
        <f>IF(K131&gt;3,"YES","")</f>
        <v/>
      </c>
    </row>
    <row r="132">
      <c r="A132" t="inlineStr">
        <is>
          <t>TA-2024-00018</t>
        </is>
      </c>
      <c r="B132" t="inlineStr">
        <is>
          <t>T-10276</t>
        </is>
      </c>
      <c r="C132" t="inlineStr">
        <is>
          <t>Prima Locksmith</t>
        </is>
      </c>
      <c r="D132" t="inlineStr">
        <is>
          <t>U-CD133-01-03</t>
        </is>
      </c>
      <c r="E132" t="inlineStr">
        <is>
          <t>Cendana</t>
        </is>
      </c>
      <c r="F132" s="4" t="n">
        <v>1300</v>
      </c>
      <c r="G132" t="n">
        <v>1</v>
      </c>
      <c r="H132" s="8" t="n">
        <v>46266</v>
      </c>
      <c r="I132" t="n">
        <v>29</v>
      </c>
      <c r="J132" s="4" t="n">
        <v>1417</v>
      </c>
      <c r="K132" s="9">
        <f>J132/(F132*1.09)</f>
        <v/>
      </c>
      <c r="L132" t="inlineStr">
        <is>
          <t>0-30</t>
        </is>
      </c>
      <c r="M132">
        <f>IF(K132&gt;3,"YES","")</f>
        <v/>
      </c>
    </row>
    <row r="133">
      <c r="A133" t="inlineStr">
        <is>
          <t>TA-2023-00106</t>
        </is>
      </c>
      <c r="B133" t="inlineStr">
        <is>
          <t>T-10156</t>
        </is>
      </c>
      <c r="C133" t="inlineStr">
        <is>
          <t>Evergreen Kueh Corner</t>
        </is>
      </c>
      <c r="D133" t="inlineStr">
        <is>
          <t>U-RH455-01-06</t>
        </is>
      </c>
      <c r="E133" t="inlineStr">
        <is>
          <t>Rimba Heights</t>
        </is>
      </c>
      <c r="F133" s="4" t="n">
        <v>900</v>
      </c>
      <c r="G133" t="n">
        <v>1</v>
      </c>
      <c r="H133" s="8" t="n">
        <v>46266</v>
      </c>
      <c r="I133" t="n">
        <v>29</v>
      </c>
      <c r="J133" s="4" t="n">
        <v>981</v>
      </c>
      <c r="K133" s="9">
        <f>J133/(F133*1.09)</f>
        <v/>
      </c>
      <c r="L133" t="inlineStr">
        <is>
          <t>0-30</t>
        </is>
      </c>
      <c r="M133">
        <f>IF(K133&gt;3,"YES","")</f>
        <v/>
      </c>
    </row>
    <row r="134">
      <c r="A134" t="inlineStr">
        <is>
          <t>TA-2025-00375</t>
        </is>
      </c>
      <c r="B134" t="inlineStr">
        <is>
          <t>T-12139</t>
        </is>
      </c>
      <c r="C134" t="inlineStr">
        <is>
          <t>Harmony Telecom</t>
        </is>
      </c>
      <c r="D134" t="inlineStr">
        <is>
          <t>U-ST512-01-08</t>
        </is>
      </c>
      <c r="E134" t="inlineStr">
        <is>
          <t>Sungai Tinggi</t>
        </is>
      </c>
      <c r="F134" s="4" t="n">
        <v>900</v>
      </c>
      <c r="G134" t="n">
        <v>1</v>
      </c>
      <c r="H134" s="8" t="n">
        <v>46266</v>
      </c>
      <c r="I134" t="n">
        <v>29</v>
      </c>
      <c r="J134" s="4" t="n">
        <v>981</v>
      </c>
      <c r="K134" s="9">
        <f>J134/(F134*1.09)</f>
        <v/>
      </c>
      <c r="L134" t="inlineStr">
        <is>
          <t>0-30</t>
        </is>
      </c>
      <c r="M134">
        <f>IF(K134&gt;3,"YES","")</f>
        <v/>
      </c>
    </row>
    <row r="135">
      <c r="A135" t="inlineStr">
        <is>
          <t>TA-2026-00044</t>
        </is>
      </c>
      <c r="B135" t="inlineStr">
        <is>
          <t>T-12837</t>
        </is>
      </c>
      <c r="C135" t="inlineStr">
        <is>
          <t>Wong's Fruits</t>
        </is>
      </c>
      <c r="D135" t="inlineStr">
        <is>
          <t>U-PI657-01-06</t>
        </is>
      </c>
      <c r="E135" t="inlineStr">
        <is>
          <t>Pasir Indah</t>
        </is>
      </c>
      <c r="F135" s="4" t="n">
        <v>900</v>
      </c>
      <c r="G135" t="n">
        <v>1</v>
      </c>
      <c r="H135" s="8" t="n">
        <v>46266</v>
      </c>
      <c r="I135" t="n">
        <v>29</v>
      </c>
      <c r="J135" s="4" t="n">
        <v>981</v>
      </c>
      <c r="K135" s="9">
        <f>J135/(F135*1.09)</f>
        <v/>
      </c>
      <c r="L135" t="inlineStr">
        <is>
          <t>0-30</t>
        </is>
      </c>
      <c r="M135">
        <f>IF(K135&gt;3,"YES","")</f>
        <v/>
      </c>
    </row>
    <row r="136">
      <c r="A136" t="inlineStr">
        <is>
          <t>TA-2026-00608</t>
        </is>
      </c>
      <c r="B136" t="inlineStr">
        <is>
          <t>T-13722</t>
        </is>
      </c>
      <c r="C136" t="inlineStr">
        <is>
          <t>Hock Lee Flowers &amp; Gifts Pte Ltd</t>
        </is>
      </c>
      <c r="D136" t="inlineStr">
        <is>
          <t>U-ST512-01-26</t>
        </is>
      </c>
      <c r="E136" t="inlineStr">
        <is>
          <t>Sungai Tinggi</t>
        </is>
      </c>
      <c r="F136" s="4" t="n">
        <v>900</v>
      </c>
      <c r="G136" t="n">
        <v>1</v>
      </c>
      <c r="H136" s="8" t="n">
        <v>46266</v>
      </c>
      <c r="I136" t="n">
        <v>29</v>
      </c>
      <c r="J136" s="4" t="n">
        <v>981</v>
      </c>
      <c r="K136" s="9">
        <f>J136/(F136*1.09)</f>
        <v/>
      </c>
      <c r="L136" t="inlineStr">
        <is>
          <t>0-30</t>
        </is>
      </c>
      <c r="M136">
        <f>IF(K136&gt;3,"YES","")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3" customWidth="1" min="4" max="4"/>
    <col width="15" customWidth="1" min="5" max="5"/>
  </cols>
  <sheetData>
    <row r="1">
      <c r="A1" s="3" t="inlineStr">
        <is>
          <t>Invoice ID</t>
        </is>
      </c>
      <c r="B1" s="3" t="inlineStr">
        <is>
          <t>Tenancy ID</t>
        </is>
      </c>
      <c r="C1" s="3" t="inlineStr">
        <is>
          <t>Period</t>
        </is>
      </c>
      <c r="D1" s="3" t="inlineStr">
        <is>
          <t>Due date</t>
        </is>
      </c>
      <c r="E1" s="3" t="inlineStr">
        <is>
          <t>Total (incl GST)</t>
        </is>
      </c>
    </row>
    <row r="2">
      <c r="A2" t="inlineStr">
        <is>
          <t>INV-2603-000249</t>
        </is>
      </c>
      <c r="B2" t="inlineStr">
        <is>
          <t>TA-2024-00185</t>
        </is>
      </c>
      <c r="C2" t="inlineStr">
        <is>
          <t>2026-03</t>
        </is>
      </c>
      <c r="D2" s="8" t="n">
        <v>46082</v>
      </c>
      <c r="E2" s="4" t="n">
        <v>3651.5</v>
      </c>
    </row>
    <row r="3">
      <c r="A3" t="inlineStr">
        <is>
          <t>INV-2603-000344</t>
        </is>
      </c>
      <c r="B3" t="inlineStr">
        <is>
          <t>TA-2024-00319</t>
        </is>
      </c>
      <c r="C3" t="inlineStr">
        <is>
          <t>2026-03</t>
        </is>
      </c>
      <c r="D3" s="8" t="n">
        <v>46082</v>
      </c>
      <c r="E3" s="4" t="n">
        <v>4719.7</v>
      </c>
    </row>
    <row r="4">
      <c r="A4" t="inlineStr">
        <is>
          <t>INV-2603-001217</t>
        </is>
      </c>
      <c r="B4" t="inlineStr">
        <is>
          <t>TA-2026-00054</t>
        </is>
      </c>
      <c r="C4" t="inlineStr">
        <is>
          <t>2026-03</t>
        </is>
      </c>
      <c r="D4" s="8" t="n">
        <v>46082</v>
      </c>
      <c r="E4" s="4" t="n">
        <v>2790.4</v>
      </c>
    </row>
    <row r="5">
      <c r="A5" t="inlineStr">
        <is>
          <t>INV-2604-000249</t>
        </is>
      </c>
      <c r="B5" t="inlineStr">
        <is>
          <t>TA-2024-00185</t>
        </is>
      </c>
      <c r="C5" t="inlineStr">
        <is>
          <t>2026-04</t>
        </is>
      </c>
      <c r="D5" s="8" t="n">
        <v>46113</v>
      </c>
      <c r="E5" s="4" t="n">
        <v>3651.5</v>
      </c>
    </row>
    <row r="6">
      <c r="A6" t="inlineStr">
        <is>
          <t>INV-2604-000280</t>
        </is>
      </c>
      <c r="B6" t="inlineStr">
        <is>
          <t>TA-2024-00228</t>
        </is>
      </c>
      <c r="C6" t="inlineStr">
        <is>
          <t>2026-04</t>
        </is>
      </c>
      <c r="D6" s="8" t="n">
        <v>46113</v>
      </c>
      <c r="E6" s="4" t="n">
        <v>2877.6</v>
      </c>
    </row>
    <row r="7">
      <c r="A7" t="inlineStr">
        <is>
          <t>INV-2604-000344</t>
        </is>
      </c>
      <c r="B7" t="inlineStr">
        <is>
          <t>TA-2024-00319</t>
        </is>
      </c>
      <c r="C7" t="inlineStr">
        <is>
          <t>2026-04</t>
        </is>
      </c>
      <c r="D7" s="8" t="n">
        <v>46113</v>
      </c>
      <c r="E7" s="4" t="n">
        <v>4719.7</v>
      </c>
    </row>
    <row r="8">
      <c r="A8" t="inlineStr">
        <is>
          <t>INV-2604-001041</t>
        </is>
      </c>
      <c r="B8" t="inlineStr">
        <is>
          <t>TA-2025-00548</t>
        </is>
      </c>
      <c r="C8" t="inlineStr">
        <is>
          <t>2026-04</t>
        </is>
      </c>
      <c r="D8" s="8" t="n">
        <v>46113</v>
      </c>
      <c r="E8" s="4" t="n">
        <v>3488</v>
      </c>
    </row>
    <row r="9">
      <c r="A9" t="inlineStr">
        <is>
          <t>INV-2604-001217</t>
        </is>
      </c>
      <c r="B9" t="inlineStr">
        <is>
          <t>TA-2026-00054</t>
        </is>
      </c>
      <c r="C9" t="inlineStr">
        <is>
          <t>2026-04</t>
        </is>
      </c>
      <c r="D9" s="8" t="n">
        <v>46113</v>
      </c>
      <c r="E9" s="4" t="n">
        <v>2790.4</v>
      </c>
    </row>
    <row r="10">
      <c r="A10" t="inlineStr">
        <is>
          <t>INV-2604-001461</t>
        </is>
      </c>
      <c r="B10" t="inlineStr">
        <is>
          <t>TA-2023-00537</t>
        </is>
      </c>
      <c r="C10" t="inlineStr">
        <is>
          <t>2026-04</t>
        </is>
      </c>
      <c r="D10" s="8" t="n">
        <v>46113</v>
      </c>
      <c r="E10" s="4" t="n">
        <v>937.4</v>
      </c>
    </row>
    <row r="11">
      <c r="A11" t="inlineStr">
        <is>
          <t>INV-2605-000031</t>
        </is>
      </c>
      <c r="B11" t="inlineStr">
        <is>
          <t>TA-2023-00045</t>
        </is>
      </c>
      <c r="C11" t="inlineStr">
        <is>
          <t>2026-05</t>
        </is>
      </c>
      <c r="D11" s="8" t="n">
        <v>46143</v>
      </c>
      <c r="E11" s="4" t="n">
        <v>981</v>
      </c>
    </row>
    <row r="12">
      <c r="A12" t="inlineStr">
        <is>
          <t>INV-2605-000249</t>
        </is>
      </c>
      <c r="B12" t="inlineStr">
        <is>
          <t>TA-2024-00185</t>
        </is>
      </c>
      <c r="C12" t="inlineStr">
        <is>
          <t>2026-05</t>
        </is>
      </c>
      <c r="D12" s="8" t="n">
        <v>46143</v>
      </c>
      <c r="E12" s="4" t="n">
        <v>3651.5</v>
      </c>
    </row>
    <row r="13">
      <c r="A13" t="inlineStr">
        <is>
          <t>INV-2605-000280</t>
        </is>
      </c>
      <c r="B13" t="inlineStr">
        <is>
          <t>TA-2024-00228</t>
        </is>
      </c>
      <c r="C13" t="inlineStr">
        <is>
          <t>2026-05</t>
        </is>
      </c>
      <c r="D13" s="8" t="n">
        <v>46143</v>
      </c>
      <c r="E13" s="4" t="n">
        <v>2877.6</v>
      </c>
    </row>
    <row r="14">
      <c r="A14" t="inlineStr">
        <is>
          <t>INV-2605-000344</t>
        </is>
      </c>
      <c r="B14" t="inlineStr">
        <is>
          <t>TA-2024-00319</t>
        </is>
      </c>
      <c r="C14" t="inlineStr">
        <is>
          <t>2026-05</t>
        </is>
      </c>
      <c r="D14" s="8" t="n">
        <v>46143</v>
      </c>
      <c r="E14" s="4" t="n">
        <v>4719.7</v>
      </c>
    </row>
    <row r="15">
      <c r="A15" t="inlineStr">
        <is>
          <t>INV-2605-000542</t>
        </is>
      </c>
      <c r="B15" t="inlineStr">
        <is>
          <t>TA-2024-00612</t>
        </is>
      </c>
      <c r="C15" t="inlineStr">
        <is>
          <t>2026-05</t>
        </is>
      </c>
      <c r="D15" s="8" t="n">
        <v>46143</v>
      </c>
      <c r="E15" s="4" t="n">
        <v>3411.7</v>
      </c>
    </row>
    <row r="16">
      <c r="A16" t="inlineStr">
        <is>
          <t>INV-2605-000732</t>
        </is>
      </c>
      <c r="B16" t="inlineStr">
        <is>
          <t>TA-2025-00106</t>
        </is>
      </c>
      <c r="C16" t="inlineStr">
        <is>
          <t>2026-05</t>
        </is>
      </c>
      <c r="D16" s="8" t="n">
        <v>46143</v>
      </c>
      <c r="E16" s="4" t="n">
        <v>4011.2</v>
      </c>
    </row>
    <row r="17">
      <c r="A17" t="inlineStr">
        <is>
          <t>INV-2605-000809</t>
        </is>
      </c>
      <c r="B17" t="inlineStr">
        <is>
          <t>TA-2025-00213</t>
        </is>
      </c>
      <c r="C17" t="inlineStr">
        <is>
          <t>2026-05</t>
        </is>
      </c>
      <c r="D17" s="8" t="n">
        <v>46143</v>
      </c>
      <c r="E17" s="4" t="n">
        <v>3291.8</v>
      </c>
    </row>
    <row r="18">
      <c r="A18" t="inlineStr">
        <is>
          <t>INV-2605-000869</t>
        </is>
      </c>
      <c r="B18" t="inlineStr">
        <is>
          <t>TA-2025-00305</t>
        </is>
      </c>
      <c r="C18" t="inlineStr">
        <is>
          <t>2026-05</t>
        </is>
      </c>
      <c r="D18" s="8" t="n">
        <v>46143</v>
      </c>
      <c r="E18" s="4" t="n">
        <v>2528.8</v>
      </c>
    </row>
    <row r="19">
      <c r="A19" t="inlineStr">
        <is>
          <t>INV-2605-001041</t>
        </is>
      </c>
      <c r="B19" t="inlineStr">
        <is>
          <t>TA-2025-00548</t>
        </is>
      </c>
      <c r="C19" t="inlineStr">
        <is>
          <t>2026-05</t>
        </is>
      </c>
      <c r="D19" s="8" t="n">
        <v>46143</v>
      </c>
      <c r="E19" s="4" t="n">
        <v>3488</v>
      </c>
    </row>
    <row r="20">
      <c r="A20" t="inlineStr">
        <is>
          <t>INV-2605-001088</t>
        </is>
      </c>
      <c r="B20" t="inlineStr">
        <is>
          <t>TA-2025-00623</t>
        </is>
      </c>
      <c r="C20" t="inlineStr">
        <is>
          <t>2026-05</t>
        </is>
      </c>
      <c r="D20" s="8" t="n">
        <v>46143</v>
      </c>
      <c r="E20" s="4" t="n">
        <v>3738.7</v>
      </c>
    </row>
    <row r="21">
      <c r="A21" t="inlineStr">
        <is>
          <t>INV-2605-001117</t>
        </is>
      </c>
      <c r="B21" t="inlineStr">
        <is>
          <t>TA-2025-00669</t>
        </is>
      </c>
      <c r="C21" t="inlineStr">
        <is>
          <t>2026-05</t>
        </is>
      </c>
      <c r="D21" s="8" t="n">
        <v>46143</v>
      </c>
      <c r="E21" s="4" t="n">
        <v>3651.5</v>
      </c>
    </row>
    <row r="22">
      <c r="A22" t="inlineStr">
        <is>
          <t>INV-2605-001217</t>
        </is>
      </c>
      <c r="B22" t="inlineStr">
        <is>
          <t>TA-2026-00054</t>
        </is>
      </c>
      <c r="C22" t="inlineStr">
        <is>
          <t>2026-05</t>
        </is>
      </c>
      <c r="D22" s="8" t="n">
        <v>46143</v>
      </c>
      <c r="E22" s="4" t="n">
        <v>2790.4</v>
      </c>
    </row>
    <row r="23">
      <c r="A23" t="inlineStr">
        <is>
          <t>INV-2605-001404</t>
        </is>
      </c>
      <c r="B23" t="inlineStr">
        <is>
          <t>TA-2026-00338</t>
        </is>
      </c>
      <c r="C23" t="inlineStr">
        <is>
          <t>2026-05</t>
        </is>
      </c>
      <c r="D23" s="8" t="n">
        <v>46143</v>
      </c>
      <c r="E23" s="4" t="n">
        <v>981</v>
      </c>
    </row>
    <row r="24">
      <c r="A24" t="inlineStr">
        <is>
          <t>INV-2605-001453</t>
        </is>
      </c>
      <c r="B24" t="inlineStr">
        <is>
          <t>TA-2023-00473</t>
        </is>
      </c>
      <c r="C24" t="inlineStr">
        <is>
          <t>2026-05</t>
        </is>
      </c>
      <c r="D24" s="8" t="n">
        <v>46143</v>
      </c>
      <c r="E24" s="4" t="n">
        <v>1983.8</v>
      </c>
    </row>
    <row r="25">
      <c r="A25" t="inlineStr">
        <is>
          <t>INV-2605-001485</t>
        </is>
      </c>
      <c r="B25" t="inlineStr">
        <is>
          <t>TA-2023-00537</t>
        </is>
      </c>
      <c r="C25" t="inlineStr">
        <is>
          <t>2026-05</t>
        </is>
      </c>
      <c r="D25" s="8" t="n">
        <v>46143</v>
      </c>
      <c r="E25" s="4" t="n">
        <v>937.4</v>
      </c>
    </row>
    <row r="26">
      <c r="A26" t="inlineStr">
        <is>
          <t>INV-2606-000031</t>
        </is>
      </c>
      <c r="B26" t="inlineStr">
        <is>
          <t>TA-2023-00045</t>
        </is>
      </c>
      <c r="C26" t="inlineStr">
        <is>
          <t>2026-06</t>
        </is>
      </c>
      <c r="D26" s="8" t="n">
        <v>46174</v>
      </c>
      <c r="E26" s="4" t="n">
        <v>981</v>
      </c>
    </row>
    <row r="27">
      <c r="A27" t="inlineStr">
        <is>
          <t>INV-2606-000249</t>
        </is>
      </c>
      <c r="B27" t="inlineStr">
        <is>
          <t>TA-2024-00185</t>
        </is>
      </c>
      <c r="C27" t="inlineStr">
        <is>
          <t>2026-06</t>
        </is>
      </c>
      <c r="D27" s="8" t="n">
        <v>46174</v>
      </c>
      <c r="E27" s="4" t="n">
        <v>3651.5</v>
      </c>
    </row>
    <row r="28">
      <c r="A28" t="inlineStr">
        <is>
          <t>INV-2606-000257</t>
        </is>
      </c>
      <c r="B28" t="inlineStr">
        <is>
          <t>TA-2024-00194</t>
        </is>
      </c>
      <c r="C28" t="inlineStr">
        <is>
          <t>2026-06</t>
        </is>
      </c>
      <c r="D28" s="8" t="n">
        <v>46174</v>
      </c>
      <c r="E28" s="4" t="n">
        <v>3880.4</v>
      </c>
    </row>
    <row r="29">
      <c r="A29" t="inlineStr">
        <is>
          <t>INV-2606-000280</t>
        </is>
      </c>
      <c r="B29" t="inlineStr">
        <is>
          <t>TA-2024-00228</t>
        </is>
      </c>
      <c r="C29" t="inlineStr">
        <is>
          <t>2026-06</t>
        </is>
      </c>
      <c r="D29" s="8" t="n">
        <v>46174</v>
      </c>
      <c r="E29" s="4" t="n">
        <v>2877.6</v>
      </c>
    </row>
    <row r="30">
      <c r="A30" t="inlineStr">
        <is>
          <t>INV-2606-000286</t>
        </is>
      </c>
      <c r="B30" t="inlineStr">
        <is>
          <t>TA-2024-00236</t>
        </is>
      </c>
      <c r="C30" t="inlineStr">
        <is>
          <t>2026-06</t>
        </is>
      </c>
      <c r="D30" s="8" t="n">
        <v>46174</v>
      </c>
      <c r="E30" s="4" t="n">
        <v>3433.5</v>
      </c>
    </row>
    <row r="31">
      <c r="A31" t="inlineStr">
        <is>
          <t>INV-2606-000344</t>
        </is>
      </c>
      <c r="B31" t="inlineStr">
        <is>
          <t>TA-2024-00319</t>
        </is>
      </c>
      <c r="C31" t="inlineStr">
        <is>
          <t>2026-06</t>
        </is>
      </c>
      <c r="D31" s="8" t="n">
        <v>46174</v>
      </c>
      <c r="E31" s="4" t="n">
        <v>4719.7</v>
      </c>
    </row>
    <row r="32">
      <c r="A32" t="inlineStr">
        <is>
          <t>INV-2606-000433</t>
        </is>
      </c>
      <c r="B32" t="inlineStr">
        <is>
          <t>TA-2024-00455</t>
        </is>
      </c>
      <c r="C32" t="inlineStr">
        <is>
          <t>2026-06</t>
        </is>
      </c>
      <c r="D32" s="8" t="n">
        <v>46174</v>
      </c>
      <c r="E32" s="4" t="n">
        <v>2605.1</v>
      </c>
    </row>
    <row r="33">
      <c r="A33" t="inlineStr">
        <is>
          <t>INV-2606-000492</t>
        </is>
      </c>
      <c r="B33" t="inlineStr">
        <is>
          <t>TA-2024-00542</t>
        </is>
      </c>
      <c r="C33" t="inlineStr">
        <is>
          <t>2026-06</t>
        </is>
      </c>
      <c r="D33" s="8" t="n">
        <v>46174</v>
      </c>
      <c r="E33" s="4" t="n">
        <v>5668</v>
      </c>
    </row>
    <row r="34">
      <c r="A34" t="inlineStr">
        <is>
          <t>INV-2606-000542</t>
        </is>
      </c>
      <c r="B34" t="inlineStr">
        <is>
          <t>TA-2024-00612</t>
        </is>
      </c>
      <c r="C34" t="inlineStr">
        <is>
          <t>2026-06</t>
        </is>
      </c>
      <c r="D34" s="8" t="n">
        <v>46174</v>
      </c>
      <c r="E34" s="4" t="n">
        <v>3411.7</v>
      </c>
    </row>
    <row r="35">
      <c r="A35" t="inlineStr">
        <is>
          <t>INV-2606-000692</t>
        </is>
      </c>
      <c r="B35" t="inlineStr">
        <is>
          <t>TA-2025-00047</t>
        </is>
      </c>
      <c r="C35" t="inlineStr">
        <is>
          <t>2026-06</t>
        </is>
      </c>
      <c r="D35" s="8" t="n">
        <v>46174</v>
      </c>
      <c r="E35" s="4" t="n">
        <v>3139.2</v>
      </c>
    </row>
    <row r="36">
      <c r="A36" t="inlineStr">
        <is>
          <t>INV-2606-000732</t>
        </is>
      </c>
      <c r="B36" t="inlineStr">
        <is>
          <t>TA-2025-00106</t>
        </is>
      </c>
      <c r="C36" t="inlineStr">
        <is>
          <t>2026-06</t>
        </is>
      </c>
      <c r="D36" s="8" t="n">
        <v>46174</v>
      </c>
      <c r="E36" s="4" t="n">
        <v>4011.2</v>
      </c>
    </row>
    <row r="37">
      <c r="A37" t="inlineStr">
        <is>
          <t>INV-2606-000809</t>
        </is>
      </c>
      <c r="B37" t="inlineStr">
        <is>
          <t>TA-2025-00213</t>
        </is>
      </c>
      <c r="C37" t="inlineStr">
        <is>
          <t>2026-06</t>
        </is>
      </c>
      <c r="D37" s="8" t="n">
        <v>46174</v>
      </c>
      <c r="E37" s="4" t="n">
        <v>3291.8</v>
      </c>
    </row>
    <row r="38">
      <c r="A38" t="inlineStr">
        <is>
          <t>INV-2606-000869</t>
        </is>
      </c>
      <c r="B38" t="inlineStr">
        <is>
          <t>TA-2025-00305</t>
        </is>
      </c>
      <c r="C38" t="inlineStr">
        <is>
          <t>2026-06</t>
        </is>
      </c>
      <c r="D38" s="8" t="n">
        <v>46174</v>
      </c>
      <c r="E38" s="4" t="n">
        <v>2528.8</v>
      </c>
    </row>
    <row r="39">
      <c r="A39" t="inlineStr">
        <is>
          <t>INV-2606-000953</t>
        </is>
      </c>
      <c r="B39" t="inlineStr">
        <is>
          <t>TA-2025-00422</t>
        </is>
      </c>
      <c r="C39" t="inlineStr">
        <is>
          <t>2026-06</t>
        </is>
      </c>
      <c r="D39" s="8" t="n">
        <v>46174</v>
      </c>
      <c r="E39" s="4" t="n">
        <v>4174.7</v>
      </c>
    </row>
    <row r="40">
      <c r="A40" t="inlineStr">
        <is>
          <t>INV-2606-001041</t>
        </is>
      </c>
      <c r="B40" t="inlineStr">
        <is>
          <t>TA-2025-00548</t>
        </is>
      </c>
      <c r="C40" t="inlineStr">
        <is>
          <t>2026-06</t>
        </is>
      </c>
      <c r="D40" s="8" t="n">
        <v>46174</v>
      </c>
      <c r="E40" s="4" t="n">
        <v>3488</v>
      </c>
    </row>
    <row r="41">
      <c r="A41" t="inlineStr">
        <is>
          <t>INV-2606-001088</t>
        </is>
      </c>
      <c r="B41" t="inlineStr">
        <is>
          <t>TA-2025-00623</t>
        </is>
      </c>
      <c r="C41" t="inlineStr">
        <is>
          <t>2026-06</t>
        </is>
      </c>
      <c r="D41" s="8" t="n">
        <v>46174</v>
      </c>
      <c r="E41" s="4" t="n">
        <v>3738.7</v>
      </c>
    </row>
    <row r="42">
      <c r="A42" t="inlineStr">
        <is>
          <t>INV-2606-001117</t>
        </is>
      </c>
      <c r="B42" t="inlineStr">
        <is>
          <t>TA-2025-00669</t>
        </is>
      </c>
      <c r="C42" t="inlineStr">
        <is>
          <t>2026-06</t>
        </is>
      </c>
      <c r="D42" s="8" t="n">
        <v>46174</v>
      </c>
      <c r="E42" s="4" t="n">
        <v>3651.5</v>
      </c>
    </row>
    <row r="43">
      <c r="A43" t="inlineStr">
        <is>
          <t>INV-2606-001217</t>
        </is>
      </c>
      <c r="B43" t="inlineStr">
        <is>
          <t>TA-2026-00054</t>
        </is>
      </c>
      <c r="C43" t="inlineStr">
        <is>
          <t>2026-06</t>
        </is>
      </c>
      <c r="D43" s="8" t="n">
        <v>46174</v>
      </c>
      <c r="E43" s="4" t="n">
        <v>2790.4</v>
      </c>
    </row>
    <row r="44">
      <c r="A44" t="inlineStr">
        <is>
          <t>INV-2606-001369</t>
        </is>
      </c>
      <c r="B44" t="inlineStr">
        <is>
          <t>TA-2026-00284</t>
        </is>
      </c>
      <c r="C44" t="inlineStr">
        <is>
          <t>2026-06</t>
        </is>
      </c>
      <c r="D44" s="8" t="n">
        <v>46174</v>
      </c>
      <c r="E44" s="4" t="n">
        <v>4000.3</v>
      </c>
    </row>
    <row r="45">
      <c r="A45" t="inlineStr">
        <is>
          <t>INV-2606-001404</t>
        </is>
      </c>
      <c r="B45" t="inlineStr">
        <is>
          <t>TA-2026-00338</t>
        </is>
      </c>
      <c r="C45" t="inlineStr">
        <is>
          <t>2026-06</t>
        </is>
      </c>
      <c r="D45" s="8" t="n">
        <v>46174</v>
      </c>
      <c r="E45" s="4" t="n">
        <v>981</v>
      </c>
    </row>
    <row r="46">
      <c r="A46" t="inlineStr">
        <is>
          <t>INV-2606-001427</t>
        </is>
      </c>
      <c r="B46" t="inlineStr">
        <is>
          <t>TA-2026-00370</t>
        </is>
      </c>
      <c r="C46" t="inlineStr">
        <is>
          <t>2026-06</t>
        </is>
      </c>
      <c r="D46" s="8" t="n">
        <v>46174</v>
      </c>
      <c r="E46" s="4" t="n">
        <v>2528.8</v>
      </c>
    </row>
    <row r="47">
      <c r="A47" t="inlineStr">
        <is>
          <t>INV-2606-001481</t>
        </is>
      </c>
      <c r="B47" t="inlineStr">
        <is>
          <t>TA-2023-00473</t>
        </is>
      </c>
      <c r="C47" t="inlineStr">
        <is>
          <t>2026-06</t>
        </is>
      </c>
      <c r="D47" s="8" t="n">
        <v>46174</v>
      </c>
      <c r="E47" s="4" t="n">
        <v>1983.8</v>
      </c>
    </row>
    <row r="48">
      <c r="A48" t="inlineStr">
        <is>
          <t>INV-2606-001511</t>
        </is>
      </c>
      <c r="B48" t="inlineStr">
        <is>
          <t>TA-2023-00537</t>
        </is>
      </c>
      <c r="C48" t="inlineStr">
        <is>
          <t>2026-06</t>
        </is>
      </c>
      <c r="D48" s="8" t="n">
        <v>46174</v>
      </c>
      <c r="E48" s="4" t="n">
        <v>937.4</v>
      </c>
    </row>
    <row r="49">
      <c r="A49" t="inlineStr">
        <is>
          <t>INV-2607-000031</t>
        </is>
      </c>
      <c r="B49" t="inlineStr">
        <is>
          <t>TA-2023-00045</t>
        </is>
      </c>
      <c r="C49" t="inlineStr">
        <is>
          <t>2026-07</t>
        </is>
      </c>
      <c r="D49" s="8" t="n">
        <v>46204</v>
      </c>
      <c r="E49" s="4" t="n">
        <v>981</v>
      </c>
    </row>
    <row r="50">
      <c r="A50" t="inlineStr">
        <is>
          <t>INV-2607-000249</t>
        </is>
      </c>
      <c r="B50" t="inlineStr">
        <is>
          <t>TA-2024-00185</t>
        </is>
      </c>
      <c r="C50" t="inlineStr">
        <is>
          <t>2026-07</t>
        </is>
      </c>
      <c r="D50" s="8" t="n">
        <v>46204</v>
      </c>
      <c r="E50" s="4" t="n">
        <v>3651.5</v>
      </c>
    </row>
    <row r="51">
      <c r="A51" t="inlineStr">
        <is>
          <t>INV-2607-000257</t>
        </is>
      </c>
      <c r="B51" t="inlineStr">
        <is>
          <t>TA-2024-00194</t>
        </is>
      </c>
      <c r="C51" t="inlineStr">
        <is>
          <t>2026-07</t>
        </is>
      </c>
      <c r="D51" s="8" t="n">
        <v>46204</v>
      </c>
      <c r="E51" s="4" t="n">
        <v>3880.4</v>
      </c>
    </row>
    <row r="52">
      <c r="A52" t="inlineStr">
        <is>
          <t>INV-2607-000261</t>
        </is>
      </c>
      <c r="B52" t="inlineStr">
        <is>
          <t>TA-2024-00200</t>
        </is>
      </c>
      <c r="C52" t="inlineStr">
        <is>
          <t>2026-07</t>
        </is>
      </c>
      <c r="D52" s="8" t="n">
        <v>46204</v>
      </c>
      <c r="E52" s="4" t="n">
        <v>1733.1</v>
      </c>
    </row>
    <row r="53">
      <c r="A53" t="inlineStr">
        <is>
          <t>INV-2607-000280</t>
        </is>
      </c>
      <c r="B53" t="inlineStr">
        <is>
          <t>TA-2024-00228</t>
        </is>
      </c>
      <c r="C53" t="inlineStr">
        <is>
          <t>2026-07</t>
        </is>
      </c>
      <c r="D53" s="8" t="n">
        <v>46204</v>
      </c>
      <c r="E53" s="4" t="n">
        <v>2877.6</v>
      </c>
    </row>
    <row r="54">
      <c r="A54" t="inlineStr">
        <is>
          <t>INV-2607-000286</t>
        </is>
      </c>
      <c r="B54" t="inlineStr">
        <is>
          <t>TA-2024-00236</t>
        </is>
      </c>
      <c r="C54" t="inlineStr">
        <is>
          <t>2026-07</t>
        </is>
      </c>
      <c r="D54" s="8" t="n">
        <v>46204</v>
      </c>
      <c r="E54" s="4" t="n">
        <v>3433.5</v>
      </c>
    </row>
    <row r="55">
      <c r="A55" t="inlineStr">
        <is>
          <t>INV-2607-000344</t>
        </is>
      </c>
      <c r="B55" t="inlineStr">
        <is>
          <t>TA-2024-00319</t>
        </is>
      </c>
      <c r="C55" t="inlineStr">
        <is>
          <t>2026-07</t>
        </is>
      </c>
      <c r="D55" s="8" t="n">
        <v>46204</v>
      </c>
      <c r="E55" s="4" t="n">
        <v>4719.7</v>
      </c>
    </row>
    <row r="56">
      <c r="A56" t="inlineStr">
        <is>
          <t>INV-2607-000433</t>
        </is>
      </c>
      <c r="B56" t="inlineStr">
        <is>
          <t>TA-2024-00455</t>
        </is>
      </c>
      <c r="C56" t="inlineStr">
        <is>
          <t>2026-07</t>
        </is>
      </c>
      <c r="D56" s="8" t="n">
        <v>46204</v>
      </c>
      <c r="E56" s="4" t="n">
        <v>2605.1</v>
      </c>
    </row>
    <row r="57">
      <c r="A57" t="inlineStr">
        <is>
          <t>INV-2607-000492</t>
        </is>
      </c>
      <c r="B57" t="inlineStr">
        <is>
          <t>TA-2024-00542</t>
        </is>
      </c>
      <c r="C57" t="inlineStr">
        <is>
          <t>2026-07</t>
        </is>
      </c>
      <c r="D57" s="8" t="n">
        <v>46204</v>
      </c>
      <c r="E57" s="4" t="n">
        <v>5668</v>
      </c>
    </row>
    <row r="58">
      <c r="A58" t="inlineStr">
        <is>
          <t>INV-2607-000542</t>
        </is>
      </c>
      <c r="B58" t="inlineStr">
        <is>
          <t>TA-2024-00612</t>
        </is>
      </c>
      <c r="C58" t="inlineStr">
        <is>
          <t>2026-07</t>
        </is>
      </c>
      <c r="D58" s="8" t="n">
        <v>46204</v>
      </c>
      <c r="E58" s="4" t="n">
        <v>3411.7</v>
      </c>
    </row>
    <row r="59">
      <c r="A59" t="inlineStr">
        <is>
          <t>INV-2607-000619</t>
        </is>
      </c>
      <c r="B59" t="inlineStr">
        <is>
          <t>TA-2024-00722</t>
        </is>
      </c>
      <c r="C59" t="inlineStr">
        <is>
          <t>2026-07</t>
        </is>
      </c>
      <c r="D59" s="8" t="n">
        <v>46204</v>
      </c>
      <c r="E59" s="4" t="n">
        <v>4425.4</v>
      </c>
    </row>
    <row r="60">
      <c r="A60" t="inlineStr">
        <is>
          <t>INV-2607-000692</t>
        </is>
      </c>
      <c r="B60" t="inlineStr">
        <is>
          <t>TA-2025-00047</t>
        </is>
      </c>
      <c r="C60" t="inlineStr">
        <is>
          <t>2026-07</t>
        </is>
      </c>
      <c r="D60" s="8" t="n">
        <v>46204</v>
      </c>
      <c r="E60" s="4" t="n">
        <v>3139.2</v>
      </c>
    </row>
    <row r="61">
      <c r="A61" t="inlineStr">
        <is>
          <t>INV-2607-000732</t>
        </is>
      </c>
      <c r="B61" t="inlineStr">
        <is>
          <t>TA-2025-00106</t>
        </is>
      </c>
      <c r="C61" t="inlineStr">
        <is>
          <t>2026-07</t>
        </is>
      </c>
      <c r="D61" s="8" t="n">
        <v>46204</v>
      </c>
      <c r="E61" s="4" t="n">
        <v>4011.2</v>
      </c>
    </row>
    <row r="62">
      <c r="A62" t="inlineStr">
        <is>
          <t>INV-2607-000809</t>
        </is>
      </c>
      <c r="B62" t="inlineStr">
        <is>
          <t>TA-2025-00213</t>
        </is>
      </c>
      <c r="C62" t="inlineStr">
        <is>
          <t>2026-07</t>
        </is>
      </c>
      <c r="D62" s="8" t="n">
        <v>46204</v>
      </c>
      <c r="E62" s="4" t="n">
        <v>3291.8</v>
      </c>
    </row>
    <row r="63">
      <c r="A63" t="inlineStr">
        <is>
          <t>INV-2607-000869</t>
        </is>
      </c>
      <c r="B63" t="inlineStr">
        <is>
          <t>TA-2025-00305</t>
        </is>
      </c>
      <c r="C63" t="inlineStr">
        <is>
          <t>2026-07</t>
        </is>
      </c>
      <c r="D63" s="8" t="n">
        <v>46204</v>
      </c>
      <c r="E63" s="4" t="n">
        <v>2528.8</v>
      </c>
    </row>
    <row r="64">
      <c r="A64" t="inlineStr">
        <is>
          <t>INV-2607-000953</t>
        </is>
      </c>
      <c r="B64" t="inlineStr">
        <is>
          <t>TA-2025-00422</t>
        </is>
      </c>
      <c r="C64" t="inlineStr">
        <is>
          <t>2026-07</t>
        </is>
      </c>
      <c r="D64" s="8" t="n">
        <v>46204</v>
      </c>
      <c r="E64" s="4" t="n">
        <v>4174.7</v>
      </c>
    </row>
    <row r="65">
      <c r="A65" t="inlineStr">
        <is>
          <t>INV-2607-001000</t>
        </is>
      </c>
      <c r="B65" t="inlineStr">
        <is>
          <t>TA-2025-00491</t>
        </is>
      </c>
      <c r="C65" t="inlineStr">
        <is>
          <t>2026-07</t>
        </is>
      </c>
      <c r="D65" s="8" t="n">
        <v>46204</v>
      </c>
      <c r="E65" s="4" t="n">
        <v>4926.8</v>
      </c>
    </row>
    <row r="66">
      <c r="A66" t="inlineStr">
        <is>
          <t>INV-2607-001041</t>
        </is>
      </c>
      <c r="B66" t="inlineStr">
        <is>
          <t>TA-2025-00548</t>
        </is>
      </c>
      <c r="C66" t="inlineStr">
        <is>
          <t>2026-07</t>
        </is>
      </c>
      <c r="D66" s="8" t="n">
        <v>46204</v>
      </c>
      <c r="E66" s="4" t="n">
        <v>3488</v>
      </c>
    </row>
    <row r="67">
      <c r="A67" t="inlineStr">
        <is>
          <t>INV-2607-001088</t>
        </is>
      </c>
      <c r="B67" t="inlineStr">
        <is>
          <t>TA-2025-00623</t>
        </is>
      </c>
      <c r="C67" t="inlineStr">
        <is>
          <t>2026-07</t>
        </is>
      </c>
      <c r="D67" s="8" t="n">
        <v>46204</v>
      </c>
      <c r="E67" s="4" t="n">
        <v>3738.7</v>
      </c>
    </row>
    <row r="68">
      <c r="A68" t="inlineStr">
        <is>
          <t>INV-2607-001117</t>
        </is>
      </c>
      <c r="B68" t="inlineStr">
        <is>
          <t>TA-2025-00669</t>
        </is>
      </c>
      <c r="C68" t="inlineStr">
        <is>
          <t>2026-07</t>
        </is>
      </c>
      <c r="D68" s="8" t="n">
        <v>46204</v>
      </c>
      <c r="E68" s="4" t="n">
        <v>3651.5</v>
      </c>
    </row>
    <row r="69">
      <c r="A69" t="inlineStr">
        <is>
          <t>INV-2607-001217</t>
        </is>
      </c>
      <c r="B69" t="inlineStr">
        <is>
          <t>TA-2026-00054</t>
        </is>
      </c>
      <c r="C69" t="inlineStr">
        <is>
          <t>2026-07</t>
        </is>
      </c>
      <c r="D69" s="8" t="n">
        <v>46204</v>
      </c>
      <c r="E69" s="4" t="n">
        <v>2790.4</v>
      </c>
    </row>
    <row r="70">
      <c r="A70" t="inlineStr">
        <is>
          <t>INV-2607-001369</t>
        </is>
      </c>
      <c r="B70" t="inlineStr">
        <is>
          <t>TA-2026-00284</t>
        </is>
      </c>
      <c r="C70" t="inlineStr">
        <is>
          <t>2026-07</t>
        </is>
      </c>
      <c r="D70" s="8" t="n">
        <v>46204</v>
      </c>
      <c r="E70" s="4" t="n">
        <v>4000.3</v>
      </c>
    </row>
    <row r="71">
      <c r="A71" t="inlineStr">
        <is>
          <t>INV-2607-001404</t>
        </is>
      </c>
      <c r="B71" t="inlineStr">
        <is>
          <t>TA-2026-00338</t>
        </is>
      </c>
      <c r="C71" t="inlineStr">
        <is>
          <t>2026-07</t>
        </is>
      </c>
      <c r="D71" s="8" t="n">
        <v>46204</v>
      </c>
      <c r="E71" s="4" t="n">
        <v>981</v>
      </c>
    </row>
    <row r="72">
      <c r="A72" t="inlineStr">
        <is>
          <t>INV-2607-001427</t>
        </is>
      </c>
      <c r="B72" t="inlineStr">
        <is>
          <t>TA-2026-00370</t>
        </is>
      </c>
      <c r="C72" t="inlineStr">
        <is>
          <t>2026-07</t>
        </is>
      </c>
      <c r="D72" s="8" t="n">
        <v>46204</v>
      </c>
      <c r="E72" s="4" t="n">
        <v>2528.8</v>
      </c>
    </row>
    <row r="73">
      <c r="A73" t="inlineStr">
        <is>
          <t>INV-2607-001471</t>
        </is>
      </c>
      <c r="B73" t="inlineStr">
        <is>
          <t>TA-2026-00437</t>
        </is>
      </c>
      <c r="C73" t="inlineStr">
        <is>
          <t>2026-07</t>
        </is>
      </c>
      <c r="D73" s="8" t="n">
        <v>46204</v>
      </c>
      <c r="E73" s="4" t="n">
        <v>2049.2</v>
      </c>
    </row>
    <row r="74">
      <c r="A74" t="inlineStr">
        <is>
          <t>INV-2607-001539</t>
        </is>
      </c>
      <c r="B74" t="inlineStr">
        <is>
          <t>TA-2023-00537</t>
        </is>
      </c>
      <c r="C74" t="inlineStr">
        <is>
          <t>2026-07</t>
        </is>
      </c>
      <c r="D74" s="8" t="n">
        <v>46204</v>
      </c>
      <c r="E74" s="4" t="n">
        <v>937.4</v>
      </c>
    </row>
    <row r="75">
      <c r="A75" t="inlineStr">
        <is>
          <t>INV-2608-000024</t>
        </is>
      </c>
      <c r="B75" t="inlineStr">
        <is>
          <t>TA-2023-00034</t>
        </is>
      </c>
      <c r="C75" t="inlineStr">
        <is>
          <t>2026-08</t>
        </is>
      </c>
      <c r="D75" s="8" t="n">
        <v>46235</v>
      </c>
      <c r="E75" s="4" t="n">
        <v>2332.6</v>
      </c>
    </row>
    <row r="76">
      <c r="A76" t="inlineStr">
        <is>
          <t>INV-2608-000031</t>
        </is>
      </c>
      <c r="B76" t="inlineStr">
        <is>
          <t>TA-2023-00045</t>
        </is>
      </c>
      <c r="C76" t="inlineStr">
        <is>
          <t>2026-08</t>
        </is>
      </c>
      <c r="D76" s="8" t="n">
        <v>46235</v>
      </c>
      <c r="E76" s="4" t="n">
        <v>981</v>
      </c>
    </row>
    <row r="77">
      <c r="A77" t="inlineStr">
        <is>
          <t>INV-2608-000094</t>
        </is>
      </c>
      <c r="B77" t="inlineStr">
        <is>
          <t>TA-2023-00135</t>
        </is>
      </c>
      <c r="C77" t="inlineStr">
        <is>
          <t>2026-08</t>
        </is>
      </c>
      <c r="D77" s="8" t="n">
        <v>46235</v>
      </c>
      <c r="E77" s="4" t="n">
        <v>6856.1</v>
      </c>
    </row>
    <row r="78">
      <c r="A78" t="inlineStr">
        <is>
          <t>INV-2608-000173</t>
        </is>
      </c>
      <c r="B78" t="inlineStr">
        <is>
          <t>TA-2024-00070</t>
        </is>
      </c>
      <c r="C78" t="inlineStr">
        <is>
          <t>2026-08</t>
        </is>
      </c>
      <c r="D78" s="8" t="n">
        <v>46235</v>
      </c>
      <c r="E78" s="4" t="n">
        <v>981</v>
      </c>
    </row>
    <row r="79">
      <c r="A79" t="inlineStr">
        <is>
          <t>INV-2608-000178</t>
        </is>
      </c>
      <c r="B79" t="inlineStr">
        <is>
          <t>TA-2024-00079</t>
        </is>
      </c>
      <c r="C79" t="inlineStr">
        <is>
          <t>2026-08</t>
        </is>
      </c>
      <c r="D79" s="8" t="n">
        <v>46235</v>
      </c>
      <c r="E79" s="4" t="n">
        <v>2844.9</v>
      </c>
    </row>
    <row r="80">
      <c r="A80" t="inlineStr">
        <is>
          <t>INV-2608-000249</t>
        </is>
      </c>
      <c r="B80" t="inlineStr">
        <is>
          <t>TA-2024-00185</t>
        </is>
      </c>
      <c r="C80" t="inlineStr">
        <is>
          <t>2026-08</t>
        </is>
      </c>
      <c r="D80" s="8" t="n">
        <v>46235</v>
      </c>
      <c r="E80" s="4" t="n">
        <v>3651.5</v>
      </c>
    </row>
    <row r="81">
      <c r="A81" t="inlineStr">
        <is>
          <t>INV-2608-000257</t>
        </is>
      </c>
      <c r="B81" t="inlineStr">
        <is>
          <t>TA-2024-00194</t>
        </is>
      </c>
      <c r="C81" t="inlineStr">
        <is>
          <t>2026-08</t>
        </is>
      </c>
      <c r="D81" s="8" t="n">
        <v>46235</v>
      </c>
      <c r="E81" s="4" t="n">
        <v>3880.4</v>
      </c>
    </row>
    <row r="82">
      <c r="A82" t="inlineStr">
        <is>
          <t>INV-2608-000261</t>
        </is>
      </c>
      <c r="B82" t="inlineStr">
        <is>
          <t>TA-2024-00200</t>
        </is>
      </c>
      <c r="C82" t="inlineStr">
        <is>
          <t>2026-08</t>
        </is>
      </c>
      <c r="D82" s="8" t="n">
        <v>46235</v>
      </c>
      <c r="E82" s="4" t="n">
        <v>1733.1</v>
      </c>
    </row>
    <row r="83">
      <c r="A83" t="inlineStr">
        <is>
          <t>INV-2608-000273</t>
        </is>
      </c>
      <c r="B83" t="inlineStr">
        <is>
          <t>TA-2024-00217</t>
        </is>
      </c>
      <c r="C83" t="inlineStr">
        <is>
          <t>2026-08</t>
        </is>
      </c>
      <c r="D83" s="8" t="n">
        <v>46235</v>
      </c>
      <c r="E83" s="4" t="n">
        <v>4937.7</v>
      </c>
    </row>
    <row r="84">
      <c r="A84" t="inlineStr">
        <is>
          <t>INV-2608-000280</t>
        </is>
      </c>
      <c r="B84" t="inlineStr">
        <is>
          <t>TA-2024-00228</t>
        </is>
      </c>
      <c r="C84" t="inlineStr">
        <is>
          <t>2026-08</t>
        </is>
      </c>
      <c r="D84" s="8" t="n">
        <v>46235</v>
      </c>
      <c r="E84" s="4" t="n">
        <v>2877.6</v>
      </c>
    </row>
    <row r="85">
      <c r="A85" t="inlineStr">
        <is>
          <t>INV-2608-000286</t>
        </is>
      </c>
      <c r="B85" t="inlineStr">
        <is>
          <t>TA-2024-00236</t>
        </is>
      </c>
      <c r="C85" t="inlineStr">
        <is>
          <t>2026-08</t>
        </is>
      </c>
      <c r="D85" s="8" t="n">
        <v>46235</v>
      </c>
      <c r="E85" s="4" t="n">
        <v>3433.5</v>
      </c>
    </row>
    <row r="86">
      <c r="A86" t="inlineStr">
        <is>
          <t>INV-2608-000317</t>
        </is>
      </c>
      <c r="B86" t="inlineStr">
        <is>
          <t>TA-2024-00280</t>
        </is>
      </c>
      <c r="C86" t="inlineStr">
        <is>
          <t>2026-08</t>
        </is>
      </c>
      <c r="D86" s="8" t="n">
        <v>46235</v>
      </c>
      <c r="E86" s="4" t="n">
        <v>6867</v>
      </c>
    </row>
    <row r="87">
      <c r="A87" t="inlineStr">
        <is>
          <t>INV-2608-000341</t>
        </is>
      </c>
      <c r="B87" t="inlineStr">
        <is>
          <t>TA-2024-00314</t>
        </is>
      </c>
      <c r="C87" t="inlineStr">
        <is>
          <t>2026-08</t>
        </is>
      </c>
      <c r="D87" s="8" t="n">
        <v>46235</v>
      </c>
      <c r="E87" s="4" t="n">
        <v>4828.7</v>
      </c>
    </row>
    <row r="88">
      <c r="A88" t="inlineStr">
        <is>
          <t>INV-2608-000344</t>
        </is>
      </c>
      <c r="B88" t="inlineStr">
        <is>
          <t>TA-2024-00319</t>
        </is>
      </c>
      <c r="C88" t="inlineStr">
        <is>
          <t>2026-08</t>
        </is>
      </c>
      <c r="D88" s="8" t="n">
        <v>46235</v>
      </c>
      <c r="E88" s="4" t="n">
        <v>4719.7</v>
      </c>
    </row>
    <row r="89">
      <c r="A89" t="inlineStr">
        <is>
          <t>INV-2608-000372</t>
        </is>
      </c>
      <c r="B89" t="inlineStr">
        <is>
          <t>TA-2024-00364</t>
        </is>
      </c>
      <c r="C89" t="inlineStr">
        <is>
          <t>2026-08</t>
        </is>
      </c>
      <c r="D89" s="8" t="n">
        <v>46235</v>
      </c>
      <c r="E89" s="4" t="n">
        <v>3324.5</v>
      </c>
    </row>
    <row r="90">
      <c r="A90" t="inlineStr">
        <is>
          <t>INV-2608-000433</t>
        </is>
      </c>
      <c r="B90" t="inlineStr">
        <is>
          <t>TA-2024-00455</t>
        </is>
      </c>
      <c r="C90" t="inlineStr">
        <is>
          <t>2026-08</t>
        </is>
      </c>
      <c r="D90" s="8" t="n">
        <v>46235</v>
      </c>
      <c r="E90" s="4" t="n">
        <v>2605.1</v>
      </c>
    </row>
    <row r="91">
      <c r="A91" t="inlineStr">
        <is>
          <t>INV-2608-000448</t>
        </is>
      </c>
      <c r="B91" t="inlineStr">
        <is>
          <t>TA-2024-00477</t>
        </is>
      </c>
      <c r="C91" t="inlineStr">
        <is>
          <t>2026-08</t>
        </is>
      </c>
      <c r="D91" s="8" t="n">
        <v>46235</v>
      </c>
      <c r="E91" s="4" t="n">
        <v>3586.1</v>
      </c>
    </row>
    <row r="92">
      <c r="A92" t="inlineStr">
        <is>
          <t>INV-2608-000476</t>
        </is>
      </c>
      <c r="B92" t="inlineStr">
        <is>
          <t>TA-2024-00516</t>
        </is>
      </c>
      <c r="C92" t="inlineStr">
        <is>
          <t>2026-08</t>
        </is>
      </c>
      <c r="D92" s="8" t="n">
        <v>46235</v>
      </c>
      <c r="E92" s="4" t="n">
        <v>4000.3</v>
      </c>
    </row>
    <row r="93">
      <c r="A93" t="inlineStr">
        <is>
          <t>INV-2608-000492</t>
        </is>
      </c>
      <c r="B93" t="inlineStr">
        <is>
          <t>TA-2024-00542</t>
        </is>
      </c>
      <c r="C93" t="inlineStr">
        <is>
          <t>2026-08</t>
        </is>
      </c>
      <c r="D93" s="8" t="n">
        <v>46235</v>
      </c>
      <c r="E93" s="4" t="n">
        <v>5668</v>
      </c>
    </row>
    <row r="94">
      <c r="A94" t="inlineStr">
        <is>
          <t>INV-2608-000499</t>
        </is>
      </c>
      <c r="B94" t="inlineStr">
        <is>
          <t>TA-2024-00551</t>
        </is>
      </c>
      <c r="C94" t="inlineStr">
        <is>
          <t>2026-08</t>
        </is>
      </c>
      <c r="D94" s="8" t="n">
        <v>46235</v>
      </c>
      <c r="E94" s="4" t="n">
        <v>3215.5</v>
      </c>
    </row>
    <row r="95">
      <c r="A95" t="inlineStr">
        <is>
          <t>INV-2608-000513</t>
        </is>
      </c>
      <c r="B95" t="inlineStr">
        <is>
          <t>TA-2024-00570</t>
        </is>
      </c>
      <c r="C95" t="inlineStr">
        <is>
          <t>2026-08</t>
        </is>
      </c>
      <c r="D95" s="8" t="n">
        <v>46235</v>
      </c>
      <c r="E95" s="4" t="n">
        <v>4752.4</v>
      </c>
    </row>
    <row r="96">
      <c r="A96" t="inlineStr">
        <is>
          <t>INV-2608-000526</t>
        </is>
      </c>
      <c r="B96" t="inlineStr">
        <is>
          <t>TA-2024-00587</t>
        </is>
      </c>
      <c r="C96" t="inlineStr">
        <is>
          <t>2026-08</t>
        </is>
      </c>
      <c r="D96" s="8" t="n">
        <v>46235</v>
      </c>
      <c r="E96" s="4" t="n">
        <v>2201.8</v>
      </c>
    </row>
    <row r="97">
      <c r="A97" t="inlineStr">
        <is>
          <t>INV-2608-000542</t>
        </is>
      </c>
      <c r="B97" t="inlineStr">
        <is>
          <t>TA-2024-00612</t>
        </is>
      </c>
      <c r="C97" t="inlineStr">
        <is>
          <t>2026-08</t>
        </is>
      </c>
      <c r="D97" s="8" t="n">
        <v>46235</v>
      </c>
      <c r="E97" s="4" t="n">
        <v>3411.7</v>
      </c>
    </row>
    <row r="98">
      <c r="A98" t="inlineStr">
        <is>
          <t>INV-2608-000619</t>
        </is>
      </c>
      <c r="B98" t="inlineStr">
        <is>
          <t>TA-2024-00722</t>
        </is>
      </c>
      <c r="C98" t="inlineStr">
        <is>
          <t>2026-08</t>
        </is>
      </c>
      <c r="D98" s="8" t="n">
        <v>46235</v>
      </c>
      <c r="E98" s="4" t="n">
        <v>4425.4</v>
      </c>
    </row>
    <row r="99">
      <c r="A99" t="inlineStr">
        <is>
          <t>INV-2608-000692</t>
        </is>
      </c>
      <c r="B99" t="inlineStr">
        <is>
          <t>TA-2025-00047</t>
        </is>
      </c>
      <c r="C99" t="inlineStr">
        <is>
          <t>2026-08</t>
        </is>
      </c>
      <c r="D99" s="8" t="n">
        <v>46235</v>
      </c>
      <c r="E99" s="4" t="n">
        <v>3139.2</v>
      </c>
    </row>
    <row r="100">
      <c r="A100" t="inlineStr">
        <is>
          <t>INV-2608-000732</t>
        </is>
      </c>
      <c r="B100" t="inlineStr">
        <is>
          <t>TA-2025-00106</t>
        </is>
      </c>
      <c r="C100" t="inlineStr">
        <is>
          <t>2026-08</t>
        </is>
      </c>
      <c r="D100" s="8" t="n">
        <v>46235</v>
      </c>
      <c r="E100" s="4" t="n">
        <v>4011.2</v>
      </c>
    </row>
    <row r="101">
      <c r="A101" t="inlineStr">
        <is>
          <t>INV-2608-000742</t>
        </is>
      </c>
      <c r="B101" t="inlineStr">
        <is>
          <t>TA-2025-00120</t>
        </is>
      </c>
      <c r="C101" t="inlineStr">
        <is>
          <t>2026-08</t>
        </is>
      </c>
      <c r="D101" s="8" t="n">
        <v>46235</v>
      </c>
      <c r="E101" s="4" t="n">
        <v>4349.1</v>
      </c>
    </row>
    <row r="102">
      <c r="A102" t="inlineStr">
        <is>
          <t>INV-2608-000788</t>
        </is>
      </c>
      <c r="B102" t="inlineStr">
        <is>
          <t>TA-2025-00185</t>
        </is>
      </c>
      <c r="C102" t="inlineStr">
        <is>
          <t>2026-08</t>
        </is>
      </c>
      <c r="D102" s="8" t="n">
        <v>46235</v>
      </c>
      <c r="E102" s="4" t="n">
        <v>2572.4</v>
      </c>
    </row>
    <row r="103">
      <c r="A103" t="inlineStr">
        <is>
          <t>INV-2608-000809</t>
        </is>
      </c>
      <c r="B103" t="inlineStr">
        <is>
          <t>TA-2025-00213</t>
        </is>
      </c>
      <c r="C103" t="inlineStr">
        <is>
          <t>2026-08</t>
        </is>
      </c>
      <c r="D103" s="8" t="n">
        <v>46235</v>
      </c>
      <c r="E103" s="4" t="n">
        <v>3291.8</v>
      </c>
    </row>
    <row r="104">
      <c r="A104" t="inlineStr">
        <is>
          <t>INV-2608-000822</t>
        </is>
      </c>
      <c r="B104" t="inlineStr">
        <is>
          <t>TA-2025-00231</t>
        </is>
      </c>
      <c r="C104" t="inlineStr">
        <is>
          <t>2026-08</t>
        </is>
      </c>
      <c r="D104" s="8" t="n">
        <v>46235</v>
      </c>
      <c r="E104" s="4" t="n">
        <v>2278.1</v>
      </c>
    </row>
    <row r="105">
      <c r="A105" t="inlineStr">
        <is>
          <t>INV-2608-000865</t>
        </is>
      </c>
      <c r="B105" t="inlineStr">
        <is>
          <t>TA-2025-00298</t>
        </is>
      </c>
      <c r="C105" t="inlineStr">
        <is>
          <t>2026-08</t>
        </is>
      </c>
      <c r="D105" s="8" t="n">
        <v>46235</v>
      </c>
      <c r="E105" s="4" t="n">
        <v>4305.5</v>
      </c>
    </row>
    <row r="106">
      <c r="A106" t="inlineStr">
        <is>
          <t>INV-2608-000869</t>
        </is>
      </c>
      <c r="B106" t="inlineStr">
        <is>
          <t>TA-2025-00305</t>
        </is>
      </c>
      <c r="C106" t="inlineStr">
        <is>
          <t>2026-08</t>
        </is>
      </c>
      <c r="D106" s="8" t="n">
        <v>46235</v>
      </c>
      <c r="E106" s="4" t="n">
        <v>2528.8</v>
      </c>
    </row>
    <row r="107">
      <c r="A107" t="inlineStr">
        <is>
          <t>INV-2608-000890</t>
        </is>
      </c>
      <c r="B107" t="inlineStr">
        <is>
          <t>TA-2025-00335</t>
        </is>
      </c>
      <c r="C107" t="inlineStr">
        <is>
          <t>2026-08</t>
        </is>
      </c>
      <c r="D107" s="8" t="n">
        <v>46235</v>
      </c>
      <c r="E107" s="4" t="n">
        <v>4087.5</v>
      </c>
    </row>
    <row r="108">
      <c r="A108" t="inlineStr">
        <is>
          <t>INV-2608-000894</t>
        </is>
      </c>
      <c r="B108" t="inlineStr">
        <is>
          <t>TA-2025-00340</t>
        </is>
      </c>
      <c r="C108" t="inlineStr">
        <is>
          <t>2026-08</t>
        </is>
      </c>
      <c r="D108" s="8" t="n">
        <v>46235</v>
      </c>
      <c r="E108" s="4" t="n">
        <v>4915.9</v>
      </c>
    </row>
    <row r="109">
      <c r="A109" t="inlineStr">
        <is>
          <t>INV-2608-000923</t>
        </is>
      </c>
      <c r="B109" t="inlineStr">
        <is>
          <t>TA-2025-00380</t>
        </is>
      </c>
      <c r="C109" t="inlineStr">
        <is>
          <t>2026-08</t>
        </is>
      </c>
      <c r="D109" s="8" t="n">
        <v>46235</v>
      </c>
      <c r="E109" s="4" t="n">
        <v>4839.6</v>
      </c>
    </row>
    <row r="110">
      <c r="A110" t="inlineStr">
        <is>
          <t>INV-2608-000953</t>
        </is>
      </c>
      <c r="B110" t="inlineStr">
        <is>
          <t>TA-2025-00422</t>
        </is>
      </c>
      <c r="C110" t="inlineStr">
        <is>
          <t>2026-08</t>
        </is>
      </c>
      <c r="D110" s="8" t="n">
        <v>46235</v>
      </c>
      <c r="E110" s="4" t="n">
        <v>4174.7</v>
      </c>
    </row>
    <row r="111">
      <c r="A111" t="inlineStr">
        <is>
          <t>INV-2608-000995</t>
        </is>
      </c>
      <c r="B111" t="inlineStr">
        <is>
          <t>TA-2025-00483</t>
        </is>
      </c>
      <c r="C111" t="inlineStr">
        <is>
          <t>2026-08</t>
        </is>
      </c>
      <c r="D111" s="8" t="n">
        <v>46235</v>
      </c>
      <c r="E111" s="4" t="n">
        <v>3673.3</v>
      </c>
    </row>
    <row r="112">
      <c r="A112" t="inlineStr">
        <is>
          <t>INV-2608-001000</t>
        </is>
      </c>
      <c r="B112" t="inlineStr">
        <is>
          <t>TA-2025-00491</t>
        </is>
      </c>
      <c r="C112" t="inlineStr">
        <is>
          <t>2026-08</t>
        </is>
      </c>
      <c r="D112" s="8" t="n">
        <v>46235</v>
      </c>
      <c r="E112" s="4" t="n">
        <v>4926.8</v>
      </c>
    </row>
    <row r="113">
      <c r="A113" t="inlineStr">
        <is>
          <t>INV-2608-001041</t>
        </is>
      </c>
      <c r="B113" t="inlineStr">
        <is>
          <t>TA-2025-00548</t>
        </is>
      </c>
      <c r="C113" t="inlineStr">
        <is>
          <t>2026-08</t>
        </is>
      </c>
      <c r="D113" s="8" t="n">
        <v>46235</v>
      </c>
      <c r="E113" s="4" t="n">
        <v>3488</v>
      </c>
    </row>
    <row r="114">
      <c r="A114" t="inlineStr">
        <is>
          <t>INV-2608-001085</t>
        </is>
      </c>
      <c r="B114" t="inlineStr">
        <is>
          <t>TA-2025-00619</t>
        </is>
      </c>
      <c r="C114" t="inlineStr">
        <is>
          <t>2026-08</t>
        </is>
      </c>
      <c r="D114" s="8" t="n">
        <v>46235</v>
      </c>
      <c r="E114" s="4" t="n">
        <v>5657.1</v>
      </c>
    </row>
    <row r="115">
      <c r="A115" t="inlineStr">
        <is>
          <t>INV-2608-001088</t>
        </is>
      </c>
      <c r="B115" t="inlineStr">
        <is>
          <t>TA-2025-00623</t>
        </is>
      </c>
      <c r="C115" t="inlineStr">
        <is>
          <t>2026-08</t>
        </is>
      </c>
      <c r="D115" s="8" t="n">
        <v>46235</v>
      </c>
      <c r="E115" s="4" t="n">
        <v>3738.7</v>
      </c>
    </row>
    <row r="116">
      <c r="A116" t="inlineStr">
        <is>
          <t>INV-2608-001117</t>
        </is>
      </c>
      <c r="B116" t="inlineStr">
        <is>
          <t>TA-2025-00669</t>
        </is>
      </c>
      <c r="C116" t="inlineStr">
        <is>
          <t>2026-08</t>
        </is>
      </c>
      <c r="D116" s="8" t="n">
        <v>46235</v>
      </c>
      <c r="E116" s="4" t="n">
        <v>3651.5</v>
      </c>
    </row>
    <row r="117">
      <c r="A117" t="inlineStr">
        <is>
          <t>INV-2608-001119</t>
        </is>
      </c>
      <c r="B117" t="inlineStr">
        <is>
          <t>TA-2025-00673</t>
        </is>
      </c>
      <c r="C117" t="inlineStr">
        <is>
          <t>2026-08</t>
        </is>
      </c>
      <c r="D117" s="8" t="n">
        <v>46235</v>
      </c>
      <c r="E117" s="4" t="n">
        <v>4817.8</v>
      </c>
    </row>
    <row r="118">
      <c r="A118" t="inlineStr">
        <is>
          <t>INV-2608-001122</t>
        </is>
      </c>
      <c r="B118" t="inlineStr">
        <is>
          <t>TA-2025-00677</t>
        </is>
      </c>
      <c r="C118" t="inlineStr">
        <is>
          <t>2026-08</t>
        </is>
      </c>
      <c r="D118" s="8" t="n">
        <v>46235</v>
      </c>
      <c r="E118" s="4" t="n">
        <v>4850.5</v>
      </c>
    </row>
    <row r="119">
      <c r="A119" t="inlineStr">
        <is>
          <t>INV-2608-001138</t>
        </is>
      </c>
      <c r="B119" t="inlineStr">
        <is>
          <t>TA-2025-00697</t>
        </is>
      </c>
      <c r="C119" t="inlineStr">
        <is>
          <t>2026-08</t>
        </is>
      </c>
      <c r="D119" s="8" t="n">
        <v>46235</v>
      </c>
      <c r="E119" s="4" t="n">
        <v>4251</v>
      </c>
    </row>
    <row r="120">
      <c r="A120" t="inlineStr">
        <is>
          <t>INV-2608-001165</t>
        </is>
      </c>
      <c r="B120" t="inlineStr">
        <is>
          <t>TA-2025-00737</t>
        </is>
      </c>
      <c r="C120" t="inlineStr">
        <is>
          <t>2026-08</t>
        </is>
      </c>
      <c r="D120" s="8" t="n">
        <v>46235</v>
      </c>
      <c r="E120" s="4" t="n">
        <v>2354.4</v>
      </c>
    </row>
    <row r="121">
      <c r="A121" t="inlineStr">
        <is>
          <t>INV-2608-001187</t>
        </is>
      </c>
      <c r="B121" t="inlineStr">
        <is>
          <t>TA-2026-00011</t>
        </is>
      </c>
      <c r="C121" t="inlineStr">
        <is>
          <t>2026-08</t>
        </is>
      </c>
      <c r="D121" s="8" t="n">
        <v>46235</v>
      </c>
      <c r="E121" s="4" t="n">
        <v>4011.2</v>
      </c>
    </row>
    <row r="122">
      <c r="A122" t="inlineStr">
        <is>
          <t>INV-2608-001191</t>
        </is>
      </c>
      <c r="B122" t="inlineStr">
        <is>
          <t>TA-2026-00016</t>
        </is>
      </c>
      <c r="C122" t="inlineStr">
        <is>
          <t>2026-08</t>
        </is>
      </c>
      <c r="D122" s="8" t="n">
        <v>46235</v>
      </c>
      <c r="E122" s="4" t="n">
        <v>5155.7</v>
      </c>
    </row>
    <row r="123">
      <c r="A123" t="inlineStr">
        <is>
          <t>INV-2608-001196</t>
        </is>
      </c>
      <c r="B123" t="inlineStr">
        <is>
          <t>TA-2026-00024</t>
        </is>
      </c>
      <c r="C123" t="inlineStr">
        <is>
          <t>2026-08</t>
        </is>
      </c>
      <c r="D123" s="8" t="n">
        <v>46235</v>
      </c>
      <c r="E123" s="4" t="n">
        <v>3651.5</v>
      </c>
    </row>
    <row r="124">
      <c r="A124" t="inlineStr">
        <is>
          <t>INV-2608-001204</t>
        </is>
      </c>
      <c r="B124" t="inlineStr">
        <is>
          <t>TA-2026-00036</t>
        </is>
      </c>
      <c r="C124" t="inlineStr">
        <is>
          <t>2026-08</t>
        </is>
      </c>
      <c r="D124" s="8" t="n">
        <v>46235</v>
      </c>
      <c r="E124" s="4" t="n">
        <v>4665.2</v>
      </c>
    </row>
    <row r="125">
      <c r="A125" t="inlineStr">
        <is>
          <t>INV-2608-001217</t>
        </is>
      </c>
      <c r="B125" t="inlineStr">
        <is>
          <t>TA-2026-00054</t>
        </is>
      </c>
      <c r="C125" t="inlineStr">
        <is>
          <t>2026-08</t>
        </is>
      </c>
      <c r="D125" s="8" t="n">
        <v>46235</v>
      </c>
      <c r="E125" s="4" t="n">
        <v>2790.4</v>
      </c>
    </row>
    <row r="126">
      <c r="A126" t="inlineStr">
        <is>
          <t>INV-2608-001279</t>
        </is>
      </c>
      <c r="B126" t="inlineStr">
        <is>
          <t>TA-2026-00146</t>
        </is>
      </c>
      <c r="C126" t="inlineStr">
        <is>
          <t>2026-08</t>
        </is>
      </c>
      <c r="D126" s="8" t="n">
        <v>46235</v>
      </c>
      <c r="E126" s="4" t="n">
        <v>3313.6</v>
      </c>
    </row>
    <row r="127">
      <c r="A127" t="inlineStr">
        <is>
          <t>INV-2608-001341</t>
        </is>
      </c>
      <c r="B127" t="inlineStr">
        <is>
          <t>TA-2026-00242</t>
        </is>
      </c>
      <c r="C127" t="inlineStr">
        <is>
          <t>2026-08</t>
        </is>
      </c>
      <c r="D127" s="8" t="n">
        <v>46235</v>
      </c>
      <c r="E127" s="4" t="n">
        <v>3433.5</v>
      </c>
    </row>
    <row r="128">
      <c r="A128" t="inlineStr">
        <is>
          <t>INV-2608-001369</t>
        </is>
      </c>
      <c r="B128" t="inlineStr">
        <is>
          <t>TA-2026-00284</t>
        </is>
      </c>
      <c r="C128" t="inlineStr">
        <is>
          <t>2026-08</t>
        </is>
      </c>
      <c r="D128" s="8" t="n">
        <v>46235</v>
      </c>
      <c r="E128" s="4" t="n">
        <v>4000.3</v>
      </c>
    </row>
    <row r="129">
      <c r="A129" t="inlineStr">
        <is>
          <t>INV-2608-001381</t>
        </is>
      </c>
      <c r="B129" t="inlineStr">
        <is>
          <t>TA-2026-00302</t>
        </is>
      </c>
      <c r="C129" t="inlineStr">
        <is>
          <t>2026-08</t>
        </is>
      </c>
      <c r="D129" s="8" t="n">
        <v>46235</v>
      </c>
      <c r="E129" s="4" t="n">
        <v>6104</v>
      </c>
    </row>
    <row r="130">
      <c r="A130" t="inlineStr">
        <is>
          <t>INV-2608-001404</t>
        </is>
      </c>
      <c r="B130" t="inlineStr">
        <is>
          <t>TA-2026-00338</t>
        </is>
      </c>
      <c r="C130" t="inlineStr">
        <is>
          <t>2026-08</t>
        </is>
      </c>
      <c r="D130" s="8" t="n">
        <v>46235</v>
      </c>
      <c r="E130" s="4" t="n">
        <v>981</v>
      </c>
    </row>
    <row r="131">
      <c r="A131" t="inlineStr">
        <is>
          <t>INV-2608-001427</t>
        </is>
      </c>
      <c r="B131" t="inlineStr">
        <is>
          <t>TA-2026-00370</t>
        </is>
      </c>
      <c r="C131" t="inlineStr">
        <is>
          <t>2026-08</t>
        </is>
      </c>
      <c r="D131" s="8" t="n">
        <v>46235</v>
      </c>
      <c r="E131" s="4" t="n">
        <v>2528.8</v>
      </c>
    </row>
    <row r="132">
      <c r="A132" t="inlineStr">
        <is>
          <t>INV-2608-001429</t>
        </is>
      </c>
      <c r="B132" t="inlineStr">
        <is>
          <t>TA-2026-00373</t>
        </is>
      </c>
      <c r="C132" t="inlineStr">
        <is>
          <t>2026-08</t>
        </is>
      </c>
      <c r="D132" s="8" t="n">
        <v>46235</v>
      </c>
      <c r="E132" s="4" t="n">
        <v>2572.4</v>
      </c>
    </row>
    <row r="133">
      <c r="A133" t="inlineStr">
        <is>
          <t>INV-2608-001471</t>
        </is>
      </c>
      <c r="B133" t="inlineStr">
        <is>
          <t>TA-2026-00437</t>
        </is>
      </c>
      <c r="C133" t="inlineStr">
        <is>
          <t>2026-08</t>
        </is>
      </c>
      <c r="D133" s="8" t="n">
        <v>46235</v>
      </c>
      <c r="E133" s="4" t="n">
        <v>2049.2</v>
      </c>
    </row>
    <row r="134">
      <c r="A134" t="inlineStr">
        <is>
          <t>INV-2608-001509</t>
        </is>
      </c>
      <c r="B134" t="inlineStr">
        <is>
          <t>TA-2026-00492</t>
        </is>
      </c>
      <c r="C134" t="inlineStr">
        <is>
          <t>2026-08</t>
        </is>
      </c>
      <c r="D134" s="8" t="n">
        <v>46235</v>
      </c>
      <c r="E134" s="4" t="n">
        <v>2060.1</v>
      </c>
    </row>
    <row r="135">
      <c r="A135" t="inlineStr">
        <is>
          <t>INV-2608-001545</t>
        </is>
      </c>
      <c r="B135" t="inlineStr">
        <is>
          <t>TA-2026-00546</t>
        </is>
      </c>
      <c r="C135" t="inlineStr">
        <is>
          <t>2026-08</t>
        </is>
      </c>
      <c r="D135" s="8" t="n">
        <v>46235</v>
      </c>
      <c r="E135" s="4" t="n">
        <v>5221.1</v>
      </c>
    </row>
    <row r="136">
      <c r="A136" t="inlineStr">
        <is>
          <t>INV-2608-001567</t>
        </is>
      </c>
      <c r="B136" t="inlineStr">
        <is>
          <t>TA-2023-00537</t>
        </is>
      </c>
      <c r="C136" t="inlineStr">
        <is>
          <t>2026-08</t>
        </is>
      </c>
      <c r="D136" s="8" t="n">
        <v>46235</v>
      </c>
      <c r="E136" s="4" t="n">
        <v>937.4</v>
      </c>
    </row>
    <row r="137">
      <c r="A137" t="inlineStr">
        <is>
          <t>INV-2609-000024</t>
        </is>
      </c>
      <c r="B137" t="inlineStr">
        <is>
          <t>TA-2023-00034</t>
        </is>
      </c>
      <c r="C137" t="inlineStr">
        <is>
          <t>2026-09</t>
        </is>
      </c>
      <c r="D137" s="8" t="n">
        <v>46266</v>
      </c>
      <c r="E137" s="4" t="n">
        <v>2332.6</v>
      </c>
    </row>
    <row r="138">
      <c r="A138" t="inlineStr">
        <is>
          <t>INV-2609-000031</t>
        </is>
      </c>
      <c r="B138" t="inlineStr">
        <is>
          <t>TA-2023-00045</t>
        </is>
      </c>
      <c r="C138" t="inlineStr">
        <is>
          <t>2026-09</t>
        </is>
      </c>
      <c r="D138" s="8" t="n">
        <v>46266</v>
      </c>
      <c r="E138" s="4" t="n">
        <v>981</v>
      </c>
    </row>
    <row r="139">
      <c r="A139" t="inlineStr">
        <is>
          <t>INV-2609-000064</t>
        </is>
      </c>
      <c r="B139" t="inlineStr">
        <is>
          <t>TA-2023-00093</t>
        </is>
      </c>
      <c r="C139" t="inlineStr">
        <is>
          <t>2026-09</t>
        </is>
      </c>
      <c r="D139" s="8" t="n">
        <v>46266</v>
      </c>
      <c r="E139" s="4" t="n">
        <v>3924</v>
      </c>
    </row>
    <row r="140">
      <c r="A140" t="inlineStr">
        <is>
          <t>INV-2609-000075</t>
        </is>
      </c>
      <c r="B140" t="inlineStr">
        <is>
          <t>TA-2023-00106</t>
        </is>
      </c>
      <c r="C140" t="inlineStr">
        <is>
          <t>2026-09</t>
        </is>
      </c>
      <c r="D140" s="8" t="n">
        <v>46266</v>
      </c>
      <c r="E140" s="4" t="n">
        <v>981</v>
      </c>
    </row>
    <row r="141">
      <c r="A141" t="inlineStr">
        <is>
          <t>INV-2609-000094</t>
        </is>
      </c>
      <c r="B141" t="inlineStr">
        <is>
          <t>TA-2023-00135</t>
        </is>
      </c>
      <c r="C141" t="inlineStr">
        <is>
          <t>2026-09</t>
        </is>
      </c>
      <c r="D141" s="8" t="n">
        <v>46266</v>
      </c>
      <c r="E141" s="4" t="n">
        <v>6856.1</v>
      </c>
    </row>
    <row r="142">
      <c r="A142" t="inlineStr">
        <is>
          <t>INV-2609-000106</t>
        </is>
      </c>
      <c r="B142" t="inlineStr">
        <is>
          <t>TA-2023-00153</t>
        </is>
      </c>
      <c r="C142" t="inlineStr">
        <is>
          <t>2026-09</t>
        </is>
      </c>
      <c r="D142" s="8" t="n">
        <v>46266</v>
      </c>
      <c r="E142" s="4" t="n">
        <v>3117.4</v>
      </c>
    </row>
    <row r="143">
      <c r="A143" t="inlineStr">
        <is>
          <t>INV-2609-000126</t>
        </is>
      </c>
      <c r="B143" t="inlineStr">
        <is>
          <t>TA-2023-00184</t>
        </is>
      </c>
      <c r="C143" t="inlineStr">
        <is>
          <t>2026-09</t>
        </is>
      </c>
      <c r="D143" s="8" t="n">
        <v>46266</v>
      </c>
      <c r="E143" s="4" t="n">
        <v>2812.2</v>
      </c>
    </row>
    <row r="144">
      <c r="A144" t="inlineStr">
        <is>
          <t>INV-2609-000129</t>
        </is>
      </c>
      <c r="B144" t="inlineStr">
        <is>
          <t>TA-2024-00003</t>
        </is>
      </c>
      <c r="C144" t="inlineStr">
        <is>
          <t>2026-09</t>
        </is>
      </c>
      <c r="D144" s="8" t="n">
        <v>46266</v>
      </c>
      <c r="E144" s="4" t="n">
        <v>4370.9</v>
      </c>
    </row>
    <row r="145">
      <c r="A145" t="inlineStr">
        <is>
          <t>INV-2609-000140</t>
        </is>
      </c>
      <c r="B145" t="inlineStr">
        <is>
          <t>TA-2024-00018</t>
        </is>
      </c>
      <c r="C145" t="inlineStr">
        <is>
          <t>2026-09</t>
        </is>
      </c>
      <c r="D145" s="8" t="n">
        <v>46266</v>
      </c>
      <c r="E145" s="4" t="n">
        <v>1417</v>
      </c>
    </row>
    <row r="146">
      <c r="A146" t="inlineStr">
        <is>
          <t>INV-2609-000169</t>
        </is>
      </c>
      <c r="B146" t="inlineStr">
        <is>
          <t>TA-2024-00064</t>
        </is>
      </c>
      <c r="C146" t="inlineStr">
        <is>
          <t>2026-09</t>
        </is>
      </c>
      <c r="D146" s="8" t="n">
        <v>46266</v>
      </c>
      <c r="E146" s="4" t="n">
        <v>1853</v>
      </c>
    </row>
    <row r="147">
      <c r="A147" t="inlineStr">
        <is>
          <t>INV-2609-000173</t>
        </is>
      </c>
      <c r="B147" t="inlineStr">
        <is>
          <t>TA-2024-00070</t>
        </is>
      </c>
      <c r="C147" t="inlineStr">
        <is>
          <t>2026-09</t>
        </is>
      </c>
      <c r="D147" s="8" t="n">
        <v>46266</v>
      </c>
      <c r="E147" s="4" t="n">
        <v>981</v>
      </c>
    </row>
    <row r="148">
      <c r="A148" t="inlineStr">
        <is>
          <t>INV-2609-000178</t>
        </is>
      </c>
      <c r="B148" t="inlineStr">
        <is>
          <t>TA-2024-00079</t>
        </is>
      </c>
      <c r="C148" t="inlineStr">
        <is>
          <t>2026-09</t>
        </is>
      </c>
      <c r="D148" s="8" t="n">
        <v>46266</v>
      </c>
      <c r="E148" s="4" t="n">
        <v>2844.9</v>
      </c>
    </row>
    <row r="149">
      <c r="A149" t="inlineStr">
        <is>
          <t>INV-2609-000179</t>
        </is>
      </c>
      <c r="B149" t="inlineStr">
        <is>
          <t>TA-2024-00081</t>
        </is>
      </c>
      <c r="C149" t="inlineStr">
        <is>
          <t>2026-09</t>
        </is>
      </c>
      <c r="D149" s="8" t="n">
        <v>46266</v>
      </c>
      <c r="E149" s="4" t="n">
        <v>5362.8</v>
      </c>
    </row>
    <row r="150">
      <c r="A150" t="inlineStr">
        <is>
          <t>INV-2609-000246</t>
        </is>
      </c>
      <c r="B150" t="inlineStr">
        <is>
          <t>TA-2024-00180</t>
        </is>
      </c>
      <c r="C150" t="inlineStr">
        <is>
          <t>2026-09</t>
        </is>
      </c>
      <c r="D150" s="8" t="n">
        <v>46266</v>
      </c>
      <c r="E150" s="4" t="n">
        <v>4621.6</v>
      </c>
    </row>
    <row r="151">
      <c r="A151" t="inlineStr">
        <is>
          <t>INV-2609-000247</t>
        </is>
      </c>
      <c r="B151" t="inlineStr">
        <is>
          <t>TA-2024-00182</t>
        </is>
      </c>
      <c r="C151" t="inlineStr">
        <is>
          <t>2026-09</t>
        </is>
      </c>
      <c r="D151" s="8" t="n">
        <v>46266</v>
      </c>
      <c r="E151" s="4" t="n">
        <v>13374.3</v>
      </c>
    </row>
    <row r="152">
      <c r="A152" t="inlineStr">
        <is>
          <t>INV-2609-000249</t>
        </is>
      </c>
      <c r="B152" t="inlineStr">
        <is>
          <t>TA-2024-00185</t>
        </is>
      </c>
      <c r="C152" t="inlineStr">
        <is>
          <t>2026-09</t>
        </is>
      </c>
      <c r="D152" s="8" t="n">
        <v>46266</v>
      </c>
      <c r="E152" s="4" t="n">
        <v>3651.5</v>
      </c>
    </row>
    <row r="153">
      <c r="A153" t="inlineStr">
        <is>
          <t>INV-2609-000256</t>
        </is>
      </c>
      <c r="B153" t="inlineStr">
        <is>
          <t>TA-2024-00192</t>
        </is>
      </c>
      <c r="C153" t="inlineStr">
        <is>
          <t>2026-09</t>
        </is>
      </c>
      <c r="D153" s="8" t="n">
        <v>46266</v>
      </c>
      <c r="E153" s="4" t="n">
        <v>3477.1</v>
      </c>
    </row>
    <row r="154">
      <c r="A154" t="inlineStr">
        <is>
          <t>INV-2609-000257</t>
        </is>
      </c>
      <c r="B154" t="inlineStr">
        <is>
          <t>TA-2024-00194</t>
        </is>
      </c>
      <c r="C154" t="inlineStr">
        <is>
          <t>2026-09</t>
        </is>
      </c>
      <c r="D154" s="8" t="n">
        <v>46266</v>
      </c>
      <c r="E154" s="4" t="n">
        <v>3880.4</v>
      </c>
    </row>
    <row r="155">
      <c r="A155" t="inlineStr">
        <is>
          <t>INV-2609-000261</t>
        </is>
      </c>
      <c r="B155" t="inlineStr">
        <is>
          <t>TA-2024-00200</t>
        </is>
      </c>
      <c r="C155" t="inlineStr">
        <is>
          <t>2026-09</t>
        </is>
      </c>
      <c r="D155" s="8" t="n">
        <v>46266</v>
      </c>
      <c r="E155" s="4" t="n">
        <v>1733.1</v>
      </c>
    </row>
    <row r="156">
      <c r="A156" t="inlineStr">
        <is>
          <t>INV-2609-000263</t>
        </is>
      </c>
      <c r="B156" t="inlineStr">
        <is>
          <t>TA-2024-00204</t>
        </is>
      </c>
      <c r="C156" t="inlineStr">
        <is>
          <t>2026-09</t>
        </is>
      </c>
      <c r="D156" s="8" t="n">
        <v>46266</v>
      </c>
      <c r="E156" s="4" t="n">
        <v>3858.6</v>
      </c>
    </row>
    <row r="157">
      <c r="A157" t="inlineStr">
        <is>
          <t>INV-2609-000273</t>
        </is>
      </c>
      <c r="B157" t="inlineStr">
        <is>
          <t>TA-2024-00217</t>
        </is>
      </c>
      <c r="C157" t="inlineStr">
        <is>
          <t>2026-09</t>
        </is>
      </c>
      <c r="D157" s="8" t="n">
        <v>46266</v>
      </c>
      <c r="E157" s="4" t="n">
        <v>4937.7</v>
      </c>
    </row>
    <row r="158">
      <c r="A158" t="inlineStr">
        <is>
          <t>INV-2609-000275</t>
        </is>
      </c>
      <c r="B158" t="inlineStr">
        <is>
          <t>TA-2024-00221</t>
        </is>
      </c>
      <c r="C158" t="inlineStr">
        <is>
          <t>2026-09</t>
        </is>
      </c>
      <c r="D158" s="8" t="n">
        <v>46266</v>
      </c>
      <c r="E158" s="4" t="n">
        <v>7564.6</v>
      </c>
    </row>
    <row r="159">
      <c r="A159" t="inlineStr">
        <is>
          <t>INV-2609-000280</t>
        </is>
      </c>
      <c r="B159" t="inlineStr">
        <is>
          <t>TA-2024-00228</t>
        </is>
      </c>
      <c r="C159" t="inlineStr">
        <is>
          <t>2026-09</t>
        </is>
      </c>
      <c r="D159" s="8" t="n">
        <v>46266</v>
      </c>
      <c r="E159" s="4" t="n">
        <v>2877.6</v>
      </c>
    </row>
    <row r="160">
      <c r="A160" t="inlineStr">
        <is>
          <t>INV-2609-000286</t>
        </is>
      </c>
      <c r="B160" t="inlineStr">
        <is>
          <t>TA-2024-00236</t>
        </is>
      </c>
      <c r="C160" t="inlineStr">
        <is>
          <t>2026-09</t>
        </is>
      </c>
      <c r="D160" s="8" t="n">
        <v>46266</v>
      </c>
      <c r="E160" s="4" t="n">
        <v>3433.5</v>
      </c>
    </row>
    <row r="161">
      <c r="A161" t="inlineStr">
        <is>
          <t>INV-2609-000301</t>
        </is>
      </c>
      <c r="B161" t="inlineStr">
        <is>
          <t>TA-2024-00258</t>
        </is>
      </c>
      <c r="C161" t="inlineStr">
        <is>
          <t>2026-09</t>
        </is>
      </c>
      <c r="D161" s="8" t="n">
        <v>46266</v>
      </c>
      <c r="E161" s="4" t="n">
        <v>2964.8</v>
      </c>
    </row>
    <row r="162">
      <c r="A162" t="inlineStr">
        <is>
          <t>INV-2609-000309</t>
        </is>
      </c>
      <c r="B162" t="inlineStr">
        <is>
          <t>TA-2024-00268</t>
        </is>
      </c>
      <c r="C162" t="inlineStr">
        <is>
          <t>2026-09</t>
        </is>
      </c>
      <c r="D162" s="8" t="n">
        <v>46266</v>
      </c>
      <c r="E162" s="4" t="n">
        <v>3509.8</v>
      </c>
    </row>
    <row r="163">
      <c r="A163" t="inlineStr">
        <is>
          <t>INV-2609-000314</t>
        </is>
      </c>
      <c r="B163" t="inlineStr">
        <is>
          <t>TA-2024-00276</t>
        </is>
      </c>
      <c r="C163" t="inlineStr">
        <is>
          <t>2026-09</t>
        </is>
      </c>
      <c r="D163" s="8" t="n">
        <v>46266</v>
      </c>
      <c r="E163" s="4" t="n">
        <v>5177.5</v>
      </c>
    </row>
    <row r="164">
      <c r="A164" t="inlineStr">
        <is>
          <t>INV-2609-000317</t>
        </is>
      </c>
      <c r="B164" t="inlineStr">
        <is>
          <t>TA-2024-00280</t>
        </is>
      </c>
      <c r="C164" t="inlineStr">
        <is>
          <t>2026-09</t>
        </is>
      </c>
      <c r="D164" s="8" t="n">
        <v>46266</v>
      </c>
      <c r="E164" s="4" t="n">
        <v>6867</v>
      </c>
    </row>
    <row r="165">
      <c r="A165" t="inlineStr">
        <is>
          <t>INV-2609-000341</t>
        </is>
      </c>
      <c r="B165" t="inlineStr">
        <is>
          <t>TA-2024-00314</t>
        </is>
      </c>
      <c r="C165" t="inlineStr">
        <is>
          <t>2026-09</t>
        </is>
      </c>
      <c r="D165" s="8" t="n">
        <v>46266</v>
      </c>
      <c r="E165" s="4" t="n">
        <v>4828.7</v>
      </c>
    </row>
    <row r="166">
      <c r="A166" t="inlineStr">
        <is>
          <t>INV-2609-000344</t>
        </is>
      </c>
      <c r="B166" t="inlineStr">
        <is>
          <t>TA-2024-00319</t>
        </is>
      </c>
      <c r="C166" t="inlineStr">
        <is>
          <t>2026-09</t>
        </is>
      </c>
      <c r="D166" s="8" t="n">
        <v>46266</v>
      </c>
      <c r="E166" s="4" t="n">
        <v>4719.7</v>
      </c>
    </row>
    <row r="167">
      <c r="A167" t="inlineStr">
        <is>
          <t>INV-2609-000372</t>
        </is>
      </c>
      <c r="B167" t="inlineStr">
        <is>
          <t>TA-2024-00364</t>
        </is>
      </c>
      <c r="C167" t="inlineStr">
        <is>
          <t>2026-09</t>
        </is>
      </c>
      <c r="D167" s="8" t="n">
        <v>46266</v>
      </c>
      <c r="E167" s="4" t="n">
        <v>3324.5</v>
      </c>
    </row>
    <row r="168">
      <c r="A168" t="inlineStr">
        <is>
          <t>INV-2609-000413</t>
        </is>
      </c>
      <c r="B168" t="inlineStr">
        <is>
          <t>TA-2024-00425</t>
        </is>
      </c>
      <c r="C168" t="inlineStr">
        <is>
          <t>2026-09</t>
        </is>
      </c>
      <c r="D168" s="8" t="n">
        <v>46266</v>
      </c>
      <c r="E168" s="4" t="n">
        <v>5646.2</v>
      </c>
    </row>
    <row r="169">
      <c r="A169" t="inlineStr">
        <is>
          <t>INV-2609-000420</t>
        </is>
      </c>
      <c r="B169" t="inlineStr">
        <is>
          <t>TA-2024-00436</t>
        </is>
      </c>
      <c r="C169" t="inlineStr">
        <is>
          <t>2026-09</t>
        </is>
      </c>
      <c r="D169" s="8" t="n">
        <v>46266</v>
      </c>
      <c r="E169" s="4" t="n">
        <v>1863.9</v>
      </c>
    </row>
    <row r="170">
      <c r="A170" t="inlineStr">
        <is>
          <t>INV-2609-000433</t>
        </is>
      </c>
      <c r="B170" t="inlineStr">
        <is>
          <t>TA-2024-00455</t>
        </is>
      </c>
      <c r="C170" t="inlineStr">
        <is>
          <t>2026-09</t>
        </is>
      </c>
      <c r="D170" s="8" t="n">
        <v>46266</v>
      </c>
      <c r="E170" s="4" t="n">
        <v>2605.1</v>
      </c>
    </row>
    <row r="171">
      <c r="A171" t="inlineStr">
        <is>
          <t>INV-2609-000434</t>
        </is>
      </c>
      <c r="B171" t="inlineStr">
        <is>
          <t>TA-2024-00457</t>
        </is>
      </c>
      <c r="C171" t="inlineStr">
        <is>
          <t>2026-09</t>
        </is>
      </c>
      <c r="D171" s="8" t="n">
        <v>46266</v>
      </c>
      <c r="E171" s="4" t="n">
        <v>2768.6</v>
      </c>
    </row>
    <row r="172">
      <c r="A172" t="inlineStr">
        <is>
          <t>INV-2609-000448</t>
        </is>
      </c>
      <c r="B172" t="inlineStr">
        <is>
          <t>TA-2024-00477</t>
        </is>
      </c>
      <c r="C172" t="inlineStr">
        <is>
          <t>2026-09</t>
        </is>
      </c>
      <c r="D172" s="8" t="n">
        <v>46266</v>
      </c>
      <c r="E172" s="4" t="n">
        <v>3586.1</v>
      </c>
    </row>
    <row r="173">
      <c r="A173" t="inlineStr">
        <is>
          <t>INV-2609-000463</t>
        </is>
      </c>
      <c r="B173" t="inlineStr">
        <is>
          <t>TA-2024-00499</t>
        </is>
      </c>
      <c r="C173" t="inlineStr">
        <is>
          <t>2026-09</t>
        </is>
      </c>
      <c r="D173" s="8" t="n">
        <v>46266</v>
      </c>
      <c r="E173" s="4" t="n">
        <v>1504.2</v>
      </c>
    </row>
    <row r="174">
      <c r="A174" t="inlineStr">
        <is>
          <t>INV-2609-000476</t>
        </is>
      </c>
      <c r="B174" t="inlineStr">
        <is>
          <t>TA-2024-00516</t>
        </is>
      </c>
      <c r="C174" t="inlineStr">
        <is>
          <t>2026-09</t>
        </is>
      </c>
      <c r="D174" s="8" t="n">
        <v>46266</v>
      </c>
      <c r="E174" s="4" t="n">
        <v>4000.3</v>
      </c>
    </row>
    <row r="175">
      <c r="A175" t="inlineStr">
        <is>
          <t>INV-2609-000492</t>
        </is>
      </c>
      <c r="B175" t="inlineStr">
        <is>
          <t>TA-2024-00542</t>
        </is>
      </c>
      <c r="C175" t="inlineStr">
        <is>
          <t>2026-09</t>
        </is>
      </c>
      <c r="D175" s="8" t="n">
        <v>46266</v>
      </c>
      <c r="E175" s="4" t="n">
        <v>5668</v>
      </c>
    </row>
    <row r="176">
      <c r="A176" t="inlineStr">
        <is>
          <t>INV-2609-000499</t>
        </is>
      </c>
      <c r="B176" t="inlineStr">
        <is>
          <t>TA-2024-00551</t>
        </is>
      </c>
      <c r="C176" t="inlineStr">
        <is>
          <t>2026-09</t>
        </is>
      </c>
      <c r="D176" s="8" t="n">
        <v>46266</v>
      </c>
      <c r="E176" s="4" t="n">
        <v>3215.5</v>
      </c>
    </row>
    <row r="177">
      <c r="A177" t="inlineStr">
        <is>
          <t>INV-2609-000502</t>
        </is>
      </c>
      <c r="B177" t="inlineStr">
        <is>
          <t>TA-2024-00554</t>
        </is>
      </c>
      <c r="C177" t="inlineStr">
        <is>
          <t>2026-09</t>
        </is>
      </c>
      <c r="D177" s="8" t="n">
        <v>46266</v>
      </c>
      <c r="E177" s="4" t="n">
        <v>6049.5</v>
      </c>
    </row>
    <row r="178">
      <c r="A178" t="inlineStr">
        <is>
          <t>INV-2609-000505</t>
        </is>
      </c>
      <c r="B178" t="inlineStr">
        <is>
          <t>TA-2024-00559</t>
        </is>
      </c>
      <c r="C178" t="inlineStr">
        <is>
          <t>2026-09</t>
        </is>
      </c>
      <c r="D178" s="8" t="n">
        <v>46266</v>
      </c>
      <c r="E178" s="4" t="n">
        <v>2866.7</v>
      </c>
    </row>
    <row r="179">
      <c r="A179" t="inlineStr">
        <is>
          <t>INV-2609-000513</t>
        </is>
      </c>
      <c r="B179" t="inlineStr">
        <is>
          <t>TA-2024-00570</t>
        </is>
      </c>
      <c r="C179" t="inlineStr">
        <is>
          <t>2026-09</t>
        </is>
      </c>
      <c r="D179" s="8" t="n">
        <v>46266</v>
      </c>
      <c r="E179" s="4" t="n">
        <v>4752.4</v>
      </c>
    </row>
    <row r="180">
      <c r="A180" t="inlineStr">
        <is>
          <t>INV-2609-000526</t>
        </is>
      </c>
      <c r="B180" t="inlineStr">
        <is>
          <t>TA-2024-00587</t>
        </is>
      </c>
      <c r="C180" t="inlineStr">
        <is>
          <t>2026-09</t>
        </is>
      </c>
      <c r="D180" s="8" t="n">
        <v>46266</v>
      </c>
      <c r="E180" s="4" t="n">
        <v>2201.8</v>
      </c>
    </row>
    <row r="181">
      <c r="A181" t="inlineStr">
        <is>
          <t>INV-2609-000542</t>
        </is>
      </c>
      <c r="B181" t="inlineStr">
        <is>
          <t>TA-2024-00612</t>
        </is>
      </c>
      <c r="C181" t="inlineStr">
        <is>
          <t>2026-09</t>
        </is>
      </c>
      <c r="D181" s="8" t="n">
        <v>46266</v>
      </c>
      <c r="E181" s="4" t="n">
        <v>3411.7</v>
      </c>
    </row>
    <row r="182">
      <c r="A182" t="inlineStr">
        <is>
          <t>INV-2609-000556</t>
        </is>
      </c>
      <c r="B182" t="inlineStr">
        <is>
          <t>TA-2024-00633</t>
        </is>
      </c>
      <c r="C182" t="inlineStr">
        <is>
          <t>2026-09</t>
        </is>
      </c>
      <c r="D182" s="8" t="n">
        <v>46266</v>
      </c>
      <c r="E182" s="4" t="n">
        <v>5624.4</v>
      </c>
    </row>
    <row r="183">
      <c r="A183" t="inlineStr">
        <is>
          <t>INV-2609-000588</t>
        </is>
      </c>
      <c r="B183" t="inlineStr">
        <is>
          <t>TA-2024-00676</t>
        </is>
      </c>
      <c r="C183" t="inlineStr">
        <is>
          <t>2026-09</t>
        </is>
      </c>
      <c r="D183" s="8" t="n">
        <v>46266</v>
      </c>
      <c r="E183" s="4" t="n">
        <v>2038.3</v>
      </c>
    </row>
    <row r="184">
      <c r="A184" t="inlineStr">
        <is>
          <t>INV-2609-000619</t>
        </is>
      </c>
      <c r="B184" t="inlineStr">
        <is>
          <t>TA-2024-00722</t>
        </is>
      </c>
      <c r="C184" t="inlineStr">
        <is>
          <t>2026-09</t>
        </is>
      </c>
      <c r="D184" s="8" t="n">
        <v>46266</v>
      </c>
      <c r="E184" s="4" t="n">
        <v>4425.4</v>
      </c>
    </row>
    <row r="185">
      <c r="A185" t="inlineStr">
        <is>
          <t>INV-2609-000622</t>
        </is>
      </c>
      <c r="B185" t="inlineStr">
        <is>
          <t>TA-2024-00728</t>
        </is>
      </c>
      <c r="C185" t="inlineStr">
        <is>
          <t>2026-09</t>
        </is>
      </c>
      <c r="D185" s="8" t="n">
        <v>46266</v>
      </c>
      <c r="E185" s="4" t="n">
        <v>5471.8</v>
      </c>
    </row>
    <row r="186">
      <c r="A186" t="inlineStr">
        <is>
          <t>INV-2609-000635</t>
        </is>
      </c>
      <c r="B186" t="inlineStr">
        <is>
          <t>TA-2024-00750</t>
        </is>
      </c>
      <c r="C186" t="inlineStr">
        <is>
          <t>2026-09</t>
        </is>
      </c>
      <c r="D186" s="8" t="n">
        <v>46266</v>
      </c>
      <c r="E186" s="4" t="n">
        <v>5875.1</v>
      </c>
    </row>
    <row r="187">
      <c r="A187" t="inlineStr">
        <is>
          <t>INV-2609-000643</t>
        </is>
      </c>
      <c r="B187" t="inlineStr">
        <is>
          <t>TA-2024-00762</t>
        </is>
      </c>
      <c r="C187" t="inlineStr">
        <is>
          <t>2026-09</t>
        </is>
      </c>
      <c r="D187" s="8" t="n">
        <v>46266</v>
      </c>
      <c r="E187" s="4" t="n">
        <v>5308.3</v>
      </c>
    </row>
    <row r="188">
      <c r="A188" t="inlineStr">
        <is>
          <t>INV-2609-000659</t>
        </is>
      </c>
      <c r="B188" t="inlineStr">
        <is>
          <t>TA-2024-00786</t>
        </is>
      </c>
      <c r="C188" t="inlineStr">
        <is>
          <t>2026-09</t>
        </is>
      </c>
      <c r="D188" s="8" t="n">
        <v>46266</v>
      </c>
      <c r="E188" s="4" t="n">
        <v>3902.2</v>
      </c>
    </row>
    <row r="189">
      <c r="A189" t="inlineStr">
        <is>
          <t>INV-2609-000682</t>
        </is>
      </c>
      <c r="B189" t="inlineStr">
        <is>
          <t>TA-2025-00032</t>
        </is>
      </c>
      <c r="C189" t="inlineStr">
        <is>
          <t>2026-09</t>
        </is>
      </c>
      <c r="D189" s="8" t="n">
        <v>46266</v>
      </c>
      <c r="E189" s="4" t="n">
        <v>3913.1</v>
      </c>
    </row>
    <row r="190">
      <c r="A190" t="inlineStr">
        <is>
          <t>INV-2609-000692</t>
        </is>
      </c>
      <c r="B190" t="inlineStr">
        <is>
          <t>TA-2025-00047</t>
        </is>
      </c>
      <c r="C190" t="inlineStr">
        <is>
          <t>2026-09</t>
        </is>
      </c>
      <c r="D190" s="8" t="n">
        <v>46266</v>
      </c>
      <c r="E190" s="4" t="n">
        <v>3139.2</v>
      </c>
    </row>
    <row r="191">
      <c r="A191" t="inlineStr">
        <is>
          <t>INV-2609-000695</t>
        </is>
      </c>
      <c r="B191" t="inlineStr">
        <is>
          <t>TA-2025-00053</t>
        </is>
      </c>
      <c r="C191" t="inlineStr">
        <is>
          <t>2026-09</t>
        </is>
      </c>
      <c r="D191" s="8" t="n">
        <v>46266</v>
      </c>
      <c r="E191" s="4" t="n">
        <v>4131.1</v>
      </c>
    </row>
    <row r="192">
      <c r="A192" t="inlineStr">
        <is>
          <t>INV-2609-000712</t>
        </is>
      </c>
      <c r="B192" t="inlineStr">
        <is>
          <t>TA-2025-00075</t>
        </is>
      </c>
      <c r="C192" t="inlineStr">
        <is>
          <t>2026-09</t>
        </is>
      </c>
      <c r="D192" s="8" t="n">
        <v>46266</v>
      </c>
      <c r="E192" s="4" t="n">
        <v>2964.8</v>
      </c>
    </row>
    <row r="193">
      <c r="A193" t="inlineStr">
        <is>
          <t>INV-2609-000716</t>
        </is>
      </c>
      <c r="B193" t="inlineStr">
        <is>
          <t>TA-2025-00080</t>
        </is>
      </c>
      <c r="C193" t="inlineStr">
        <is>
          <t>2026-09</t>
        </is>
      </c>
      <c r="D193" s="8" t="n">
        <v>46266</v>
      </c>
      <c r="E193" s="4" t="n">
        <v>4708.8</v>
      </c>
    </row>
    <row r="194">
      <c r="A194" t="inlineStr">
        <is>
          <t>INV-2609-000724</t>
        </is>
      </c>
      <c r="B194" t="inlineStr">
        <is>
          <t>TA-2025-00092</t>
        </is>
      </c>
      <c r="C194" t="inlineStr">
        <is>
          <t>2026-09</t>
        </is>
      </c>
      <c r="D194" s="8" t="n">
        <v>46266</v>
      </c>
      <c r="E194" s="4" t="n">
        <v>4152.9</v>
      </c>
    </row>
    <row r="195">
      <c r="A195" t="inlineStr">
        <is>
          <t>INV-2609-000732</t>
        </is>
      </c>
      <c r="B195" t="inlineStr">
        <is>
          <t>TA-2025-00106</t>
        </is>
      </c>
      <c r="C195" t="inlineStr">
        <is>
          <t>2026-09</t>
        </is>
      </c>
      <c r="D195" s="8" t="n">
        <v>46266</v>
      </c>
      <c r="E195" s="4" t="n">
        <v>4011.2</v>
      </c>
    </row>
    <row r="196">
      <c r="A196" t="inlineStr">
        <is>
          <t>INV-2609-000742</t>
        </is>
      </c>
      <c r="B196" t="inlineStr">
        <is>
          <t>TA-2025-00120</t>
        </is>
      </c>
      <c r="C196" t="inlineStr">
        <is>
          <t>2026-09</t>
        </is>
      </c>
      <c r="D196" s="8" t="n">
        <v>46266</v>
      </c>
      <c r="E196" s="4" t="n">
        <v>4349.1</v>
      </c>
    </row>
    <row r="197">
      <c r="A197" t="inlineStr">
        <is>
          <t>INV-2609-000749</t>
        </is>
      </c>
      <c r="B197" t="inlineStr">
        <is>
          <t>TA-2025-00131</t>
        </is>
      </c>
      <c r="C197" t="inlineStr">
        <is>
          <t>2026-09</t>
        </is>
      </c>
      <c r="D197" s="8" t="n">
        <v>46266</v>
      </c>
      <c r="E197" s="4" t="n">
        <v>1863.9</v>
      </c>
    </row>
    <row r="198">
      <c r="A198" t="inlineStr">
        <is>
          <t>INV-2609-000788</t>
        </is>
      </c>
      <c r="B198" t="inlineStr">
        <is>
          <t>TA-2025-00185</t>
        </is>
      </c>
      <c r="C198" t="inlineStr">
        <is>
          <t>2026-09</t>
        </is>
      </c>
      <c r="D198" s="8" t="n">
        <v>46266</v>
      </c>
      <c r="E198" s="4" t="n">
        <v>2572.4</v>
      </c>
    </row>
    <row r="199">
      <c r="A199" t="inlineStr">
        <is>
          <t>INV-2609-000809</t>
        </is>
      </c>
      <c r="B199" t="inlineStr">
        <is>
          <t>TA-2025-00213</t>
        </is>
      </c>
      <c r="C199" t="inlineStr">
        <is>
          <t>2026-09</t>
        </is>
      </c>
      <c r="D199" s="8" t="n">
        <v>46266</v>
      </c>
      <c r="E199" s="4" t="n">
        <v>3291.8</v>
      </c>
    </row>
    <row r="200">
      <c r="A200" t="inlineStr">
        <is>
          <t>INV-2609-000822</t>
        </is>
      </c>
      <c r="B200" t="inlineStr">
        <is>
          <t>TA-2025-00231</t>
        </is>
      </c>
      <c r="C200" t="inlineStr">
        <is>
          <t>2026-09</t>
        </is>
      </c>
      <c r="D200" s="8" t="n">
        <v>46266</v>
      </c>
      <c r="E200" s="4" t="n">
        <v>2278.1</v>
      </c>
    </row>
    <row r="201">
      <c r="A201" t="inlineStr">
        <is>
          <t>INV-2609-000833</t>
        </is>
      </c>
      <c r="B201" t="inlineStr">
        <is>
          <t>TA-2025-00247</t>
        </is>
      </c>
      <c r="C201" t="inlineStr">
        <is>
          <t>2026-09</t>
        </is>
      </c>
      <c r="D201" s="8" t="n">
        <v>46266</v>
      </c>
      <c r="E201" s="4" t="n">
        <v>2332.6</v>
      </c>
    </row>
    <row r="202">
      <c r="A202" t="inlineStr">
        <is>
          <t>INV-2609-000839</t>
        </is>
      </c>
      <c r="B202" t="inlineStr">
        <is>
          <t>TA-2025-00255</t>
        </is>
      </c>
      <c r="C202" t="inlineStr">
        <is>
          <t>2026-09</t>
        </is>
      </c>
      <c r="D202" s="8" t="n">
        <v>46266</v>
      </c>
      <c r="E202" s="4" t="n">
        <v>4665.2</v>
      </c>
    </row>
    <row r="203">
      <c r="A203" t="inlineStr">
        <is>
          <t>INV-2609-000859</t>
        </is>
      </c>
      <c r="B203" t="inlineStr">
        <is>
          <t>TA-2025-00288</t>
        </is>
      </c>
      <c r="C203" t="inlineStr">
        <is>
          <t>2026-09</t>
        </is>
      </c>
      <c r="D203" s="8" t="n">
        <v>46266</v>
      </c>
      <c r="E203" s="4" t="n">
        <v>3008.4</v>
      </c>
    </row>
    <row r="204">
      <c r="A204" t="inlineStr">
        <is>
          <t>INV-2609-000865</t>
        </is>
      </c>
      <c r="B204" t="inlineStr">
        <is>
          <t>TA-2025-00298</t>
        </is>
      </c>
      <c r="C204" t="inlineStr">
        <is>
          <t>2026-09</t>
        </is>
      </c>
      <c r="D204" s="8" t="n">
        <v>46266</v>
      </c>
      <c r="E204" s="4" t="n">
        <v>4305.5</v>
      </c>
    </row>
    <row r="205">
      <c r="A205" t="inlineStr">
        <is>
          <t>INV-2609-000867</t>
        </is>
      </c>
      <c r="B205" t="inlineStr">
        <is>
          <t>TA-2025-00301</t>
        </is>
      </c>
      <c r="C205" t="inlineStr">
        <is>
          <t>2026-09</t>
        </is>
      </c>
      <c r="D205" s="8" t="n">
        <v>46266</v>
      </c>
      <c r="E205" s="4" t="n">
        <v>3084.7</v>
      </c>
    </row>
    <row r="206">
      <c r="A206" t="inlineStr">
        <is>
          <t>INV-2609-000869</t>
        </is>
      </c>
      <c r="B206" t="inlineStr">
        <is>
          <t>TA-2025-00305</t>
        </is>
      </c>
      <c r="C206" t="inlineStr">
        <is>
          <t>2026-09</t>
        </is>
      </c>
      <c r="D206" s="8" t="n">
        <v>46266</v>
      </c>
      <c r="E206" s="4" t="n">
        <v>2528.8</v>
      </c>
    </row>
    <row r="207">
      <c r="A207" t="inlineStr">
        <is>
          <t>INV-2609-000881</t>
        </is>
      </c>
      <c r="B207" t="inlineStr">
        <is>
          <t>TA-2025-00323</t>
        </is>
      </c>
      <c r="C207" t="inlineStr">
        <is>
          <t>2026-09</t>
        </is>
      </c>
      <c r="D207" s="8" t="n">
        <v>46266</v>
      </c>
      <c r="E207" s="4" t="n">
        <v>6703.5</v>
      </c>
    </row>
    <row r="208">
      <c r="A208" t="inlineStr">
        <is>
          <t>INV-2609-000886</t>
        </is>
      </c>
      <c r="B208" t="inlineStr">
        <is>
          <t>TA-2025-00329</t>
        </is>
      </c>
      <c r="C208" t="inlineStr">
        <is>
          <t>2026-09</t>
        </is>
      </c>
      <c r="D208" s="8" t="n">
        <v>46266</v>
      </c>
      <c r="E208" s="4" t="n">
        <v>5766.1</v>
      </c>
    </row>
    <row r="209">
      <c r="A209" t="inlineStr">
        <is>
          <t>INV-2609-000890</t>
        </is>
      </c>
      <c r="B209" t="inlineStr">
        <is>
          <t>TA-2025-00335</t>
        </is>
      </c>
      <c r="C209" t="inlineStr">
        <is>
          <t>2026-09</t>
        </is>
      </c>
      <c r="D209" s="8" t="n">
        <v>46266</v>
      </c>
      <c r="E209" s="4" t="n">
        <v>4087.5</v>
      </c>
    </row>
    <row r="210">
      <c r="A210" t="inlineStr">
        <is>
          <t>INV-2609-000894</t>
        </is>
      </c>
      <c r="B210" t="inlineStr">
        <is>
          <t>TA-2025-00340</t>
        </is>
      </c>
      <c r="C210" t="inlineStr">
        <is>
          <t>2026-09</t>
        </is>
      </c>
      <c r="D210" s="8" t="n">
        <v>46266</v>
      </c>
      <c r="E210" s="4" t="n">
        <v>4915.9</v>
      </c>
    </row>
    <row r="211">
      <c r="A211" t="inlineStr">
        <is>
          <t>INV-2609-000897</t>
        </is>
      </c>
      <c r="B211" t="inlineStr">
        <is>
          <t>TA-2025-00344</t>
        </is>
      </c>
      <c r="C211" t="inlineStr">
        <is>
          <t>2026-09</t>
        </is>
      </c>
      <c r="D211" s="8" t="n">
        <v>46266</v>
      </c>
      <c r="E211" s="4" t="n">
        <v>1765.8</v>
      </c>
    </row>
    <row r="212">
      <c r="A212" t="inlineStr">
        <is>
          <t>INV-2609-000908</t>
        </is>
      </c>
      <c r="B212" t="inlineStr">
        <is>
          <t>TA-2025-00360</t>
        </is>
      </c>
      <c r="C212" t="inlineStr">
        <is>
          <t>2026-09</t>
        </is>
      </c>
      <c r="D212" s="8" t="n">
        <v>46266</v>
      </c>
      <c r="E212" s="4" t="n">
        <v>4512.6</v>
      </c>
    </row>
    <row r="213">
      <c r="A213" t="inlineStr">
        <is>
          <t>INV-2609-000920</t>
        </is>
      </c>
      <c r="B213" t="inlineStr">
        <is>
          <t>TA-2025-00375</t>
        </is>
      </c>
      <c r="C213" t="inlineStr">
        <is>
          <t>2026-09</t>
        </is>
      </c>
      <c r="D213" s="8" t="n">
        <v>46266</v>
      </c>
      <c r="E213" s="4" t="n">
        <v>981</v>
      </c>
    </row>
    <row r="214">
      <c r="A214" t="inlineStr">
        <is>
          <t>INV-2609-000923</t>
        </is>
      </c>
      <c r="B214" t="inlineStr">
        <is>
          <t>TA-2025-00380</t>
        </is>
      </c>
      <c r="C214" t="inlineStr">
        <is>
          <t>2026-09</t>
        </is>
      </c>
      <c r="D214" s="8" t="n">
        <v>46266</v>
      </c>
      <c r="E214" s="4" t="n">
        <v>4839.6</v>
      </c>
    </row>
    <row r="215">
      <c r="A215" t="inlineStr">
        <is>
          <t>INV-2609-000927</t>
        </is>
      </c>
      <c r="B215" t="inlineStr">
        <is>
          <t>TA-2025-00386</t>
        </is>
      </c>
      <c r="C215" t="inlineStr">
        <is>
          <t>2026-09</t>
        </is>
      </c>
      <c r="D215" s="8" t="n">
        <v>46266</v>
      </c>
      <c r="E215" s="4" t="n">
        <v>3793.2</v>
      </c>
    </row>
    <row r="216">
      <c r="A216" t="inlineStr">
        <is>
          <t>INV-2609-000946</t>
        </is>
      </c>
      <c r="B216" t="inlineStr">
        <is>
          <t>TA-2025-00413</t>
        </is>
      </c>
      <c r="C216" t="inlineStr">
        <is>
          <t>2026-09</t>
        </is>
      </c>
      <c r="D216" s="8" t="n">
        <v>46266</v>
      </c>
      <c r="E216" s="4" t="n">
        <v>4894.1</v>
      </c>
    </row>
    <row r="217">
      <c r="A217" t="inlineStr">
        <is>
          <t>INV-2609-000953</t>
        </is>
      </c>
      <c r="B217" t="inlineStr">
        <is>
          <t>TA-2025-00422</t>
        </is>
      </c>
      <c r="C217" t="inlineStr">
        <is>
          <t>2026-09</t>
        </is>
      </c>
      <c r="D217" s="8" t="n">
        <v>46266</v>
      </c>
      <c r="E217" s="4" t="n">
        <v>4174.7</v>
      </c>
    </row>
    <row r="218">
      <c r="A218" t="inlineStr">
        <is>
          <t>INV-2609-000974</t>
        </is>
      </c>
      <c r="B218" t="inlineStr">
        <is>
          <t>TA-2025-00453</t>
        </is>
      </c>
      <c r="C218" t="inlineStr">
        <is>
          <t>2026-09</t>
        </is>
      </c>
      <c r="D218" s="8" t="n">
        <v>46266</v>
      </c>
      <c r="E218" s="4" t="n">
        <v>3695.1</v>
      </c>
    </row>
    <row r="219">
      <c r="A219" t="inlineStr">
        <is>
          <t>INV-2609-000975</t>
        </is>
      </c>
      <c r="B219" t="inlineStr">
        <is>
          <t>TA-2025-00454</t>
        </is>
      </c>
      <c r="C219" t="inlineStr">
        <is>
          <t>2026-09</t>
        </is>
      </c>
      <c r="D219" s="8" t="n">
        <v>46266</v>
      </c>
      <c r="E219" s="4" t="n">
        <v>4621.6</v>
      </c>
    </row>
    <row r="220">
      <c r="A220" t="inlineStr">
        <is>
          <t>INV-2609-000986</t>
        </is>
      </c>
      <c r="B220" t="inlineStr">
        <is>
          <t>TA-2025-00469</t>
        </is>
      </c>
      <c r="C220" t="inlineStr">
        <is>
          <t>2026-09</t>
        </is>
      </c>
      <c r="D220" s="8" t="n">
        <v>46266</v>
      </c>
      <c r="E220" s="4" t="n">
        <v>2855.8</v>
      </c>
    </row>
    <row r="221">
      <c r="A221" t="inlineStr">
        <is>
          <t>INV-2609-000995</t>
        </is>
      </c>
      <c r="B221" t="inlineStr">
        <is>
          <t>TA-2025-00483</t>
        </is>
      </c>
      <c r="C221" t="inlineStr">
        <is>
          <t>2026-09</t>
        </is>
      </c>
      <c r="D221" s="8" t="n">
        <v>46266</v>
      </c>
      <c r="E221" s="4" t="n">
        <v>3673.3</v>
      </c>
    </row>
    <row r="222">
      <c r="A222" t="inlineStr">
        <is>
          <t>INV-2609-001000</t>
        </is>
      </c>
      <c r="B222" t="inlineStr">
        <is>
          <t>TA-2025-00491</t>
        </is>
      </c>
      <c r="C222" t="inlineStr">
        <is>
          <t>2026-09</t>
        </is>
      </c>
      <c r="D222" s="8" t="n">
        <v>46266</v>
      </c>
      <c r="E222" s="4" t="n">
        <v>4926.8</v>
      </c>
    </row>
    <row r="223">
      <c r="A223" t="inlineStr">
        <is>
          <t>INV-2609-001041</t>
        </is>
      </c>
      <c r="B223" t="inlineStr">
        <is>
          <t>TA-2025-00548</t>
        </is>
      </c>
      <c r="C223" t="inlineStr">
        <is>
          <t>2026-09</t>
        </is>
      </c>
      <c r="D223" s="8" t="n">
        <v>46266</v>
      </c>
      <c r="E223" s="4" t="n">
        <v>3488</v>
      </c>
    </row>
    <row r="224">
      <c r="A224" t="inlineStr">
        <is>
          <t>INV-2609-001070</t>
        </is>
      </c>
      <c r="B224" t="inlineStr">
        <is>
          <t>TA-2025-00596</t>
        </is>
      </c>
      <c r="C224" t="inlineStr">
        <is>
          <t>2026-09</t>
        </is>
      </c>
      <c r="D224" s="8" t="n">
        <v>46266</v>
      </c>
      <c r="E224" s="4" t="n">
        <v>5559</v>
      </c>
    </row>
    <row r="225">
      <c r="A225" t="inlineStr">
        <is>
          <t>INV-2609-001085</t>
        </is>
      </c>
      <c r="B225" t="inlineStr">
        <is>
          <t>TA-2025-00619</t>
        </is>
      </c>
      <c r="C225" t="inlineStr">
        <is>
          <t>2026-09</t>
        </is>
      </c>
      <c r="D225" s="8" t="n">
        <v>46266</v>
      </c>
      <c r="E225" s="4" t="n">
        <v>5657.1</v>
      </c>
    </row>
    <row r="226">
      <c r="A226" t="inlineStr">
        <is>
          <t>INV-2609-001088</t>
        </is>
      </c>
      <c r="B226" t="inlineStr">
        <is>
          <t>TA-2025-00623</t>
        </is>
      </c>
      <c r="C226" t="inlineStr">
        <is>
          <t>2026-09</t>
        </is>
      </c>
      <c r="D226" s="8" t="n">
        <v>46266</v>
      </c>
      <c r="E226" s="4" t="n">
        <v>3738.7</v>
      </c>
    </row>
    <row r="227">
      <c r="A227" t="inlineStr">
        <is>
          <t>INV-2609-001117</t>
        </is>
      </c>
      <c r="B227" t="inlineStr">
        <is>
          <t>TA-2025-00669</t>
        </is>
      </c>
      <c r="C227" t="inlineStr">
        <is>
          <t>2026-09</t>
        </is>
      </c>
      <c r="D227" s="8" t="n">
        <v>46266</v>
      </c>
      <c r="E227" s="4" t="n">
        <v>3651.5</v>
      </c>
    </row>
    <row r="228">
      <c r="A228" t="inlineStr">
        <is>
          <t>INV-2609-001119</t>
        </is>
      </c>
      <c r="B228" t="inlineStr">
        <is>
          <t>TA-2025-00673</t>
        </is>
      </c>
      <c r="C228" t="inlineStr">
        <is>
          <t>2026-09</t>
        </is>
      </c>
      <c r="D228" s="8" t="n">
        <v>46266</v>
      </c>
      <c r="E228" s="4" t="n">
        <v>4817.8</v>
      </c>
    </row>
    <row r="229">
      <c r="A229" t="inlineStr">
        <is>
          <t>INV-2609-001122</t>
        </is>
      </c>
      <c r="B229" t="inlineStr">
        <is>
          <t>TA-2025-00677</t>
        </is>
      </c>
      <c r="C229" t="inlineStr">
        <is>
          <t>2026-09</t>
        </is>
      </c>
      <c r="D229" s="8" t="n">
        <v>46266</v>
      </c>
      <c r="E229" s="4" t="n">
        <v>4850.5</v>
      </c>
    </row>
    <row r="230">
      <c r="A230" t="inlineStr">
        <is>
          <t>INV-2609-001138</t>
        </is>
      </c>
      <c r="B230" t="inlineStr">
        <is>
          <t>TA-2025-00697</t>
        </is>
      </c>
      <c r="C230" t="inlineStr">
        <is>
          <t>2026-09</t>
        </is>
      </c>
      <c r="D230" s="8" t="n">
        <v>46266</v>
      </c>
      <c r="E230" s="4" t="n">
        <v>4251</v>
      </c>
    </row>
    <row r="231">
      <c r="A231" t="inlineStr">
        <is>
          <t>INV-2609-001141</t>
        </is>
      </c>
      <c r="B231" t="inlineStr">
        <is>
          <t>TA-2025-00701</t>
        </is>
      </c>
      <c r="C231" t="inlineStr">
        <is>
          <t>2026-09</t>
        </is>
      </c>
      <c r="D231" s="8" t="n">
        <v>46266</v>
      </c>
      <c r="E231" s="4" t="n">
        <v>3924</v>
      </c>
    </row>
    <row r="232">
      <c r="A232" t="inlineStr">
        <is>
          <t>INV-2609-001150</t>
        </is>
      </c>
      <c r="B232" t="inlineStr">
        <is>
          <t>TA-2025-00715</t>
        </is>
      </c>
      <c r="C232" t="inlineStr">
        <is>
          <t>2026-09</t>
        </is>
      </c>
      <c r="D232" s="8" t="n">
        <v>46266</v>
      </c>
      <c r="E232" s="4" t="n">
        <v>4512.6</v>
      </c>
    </row>
    <row r="233">
      <c r="A233" t="inlineStr">
        <is>
          <t>INV-2609-001157</t>
        </is>
      </c>
      <c r="B233" t="inlineStr">
        <is>
          <t>TA-2025-00725</t>
        </is>
      </c>
      <c r="C233" t="inlineStr">
        <is>
          <t>2026-09</t>
        </is>
      </c>
      <c r="D233" s="8" t="n">
        <v>46266</v>
      </c>
      <c r="E233" s="4" t="n">
        <v>5166.6</v>
      </c>
    </row>
    <row r="234">
      <c r="A234" t="inlineStr">
        <is>
          <t>INV-2609-001161</t>
        </is>
      </c>
      <c r="B234" t="inlineStr">
        <is>
          <t>TA-2025-00731</t>
        </is>
      </c>
      <c r="C234" t="inlineStr">
        <is>
          <t>2026-09</t>
        </is>
      </c>
      <c r="D234" s="8" t="n">
        <v>46266</v>
      </c>
      <c r="E234" s="4" t="n">
        <v>2779.5</v>
      </c>
    </row>
    <row r="235">
      <c r="A235" t="inlineStr">
        <is>
          <t>INV-2609-001165</t>
        </is>
      </c>
      <c r="B235" t="inlineStr">
        <is>
          <t>TA-2025-00737</t>
        </is>
      </c>
      <c r="C235" t="inlineStr">
        <is>
          <t>2026-09</t>
        </is>
      </c>
      <c r="D235" s="8" t="n">
        <v>46266</v>
      </c>
      <c r="E235" s="4" t="n">
        <v>2354.4</v>
      </c>
    </row>
    <row r="236">
      <c r="A236" t="inlineStr">
        <is>
          <t>INV-2609-001187</t>
        </is>
      </c>
      <c r="B236" t="inlineStr">
        <is>
          <t>TA-2026-00011</t>
        </is>
      </c>
      <c r="C236" t="inlineStr">
        <is>
          <t>2026-09</t>
        </is>
      </c>
      <c r="D236" s="8" t="n">
        <v>46266</v>
      </c>
      <c r="E236" s="4" t="n">
        <v>4011.2</v>
      </c>
    </row>
    <row r="237">
      <c r="A237" t="inlineStr">
        <is>
          <t>INV-2609-001191</t>
        </is>
      </c>
      <c r="B237" t="inlineStr">
        <is>
          <t>TA-2026-00016</t>
        </is>
      </c>
      <c r="C237" t="inlineStr">
        <is>
          <t>2026-09</t>
        </is>
      </c>
      <c r="D237" s="8" t="n">
        <v>46266</v>
      </c>
      <c r="E237" s="4" t="n">
        <v>5155.7</v>
      </c>
    </row>
    <row r="238">
      <c r="A238" t="inlineStr">
        <is>
          <t>INV-2609-001194</t>
        </is>
      </c>
      <c r="B238" t="inlineStr">
        <is>
          <t>TA-2026-00022</t>
        </is>
      </c>
      <c r="C238" t="inlineStr">
        <is>
          <t>2026-09</t>
        </is>
      </c>
      <c r="D238" s="8" t="n">
        <v>46266</v>
      </c>
      <c r="E238" s="4" t="n">
        <v>2866.7</v>
      </c>
    </row>
    <row r="239">
      <c r="A239" t="inlineStr">
        <is>
          <t>INV-2609-001196</t>
        </is>
      </c>
      <c r="B239" t="inlineStr">
        <is>
          <t>TA-2026-00024</t>
        </is>
      </c>
      <c r="C239" t="inlineStr">
        <is>
          <t>2026-09</t>
        </is>
      </c>
      <c r="D239" s="8" t="n">
        <v>46266</v>
      </c>
      <c r="E239" s="4" t="n">
        <v>3651.5</v>
      </c>
    </row>
    <row r="240">
      <c r="A240" t="inlineStr">
        <is>
          <t>INV-2609-001204</t>
        </is>
      </c>
      <c r="B240" t="inlineStr">
        <is>
          <t>TA-2026-00036</t>
        </is>
      </c>
      <c r="C240" t="inlineStr">
        <is>
          <t>2026-09</t>
        </is>
      </c>
      <c r="D240" s="8" t="n">
        <v>46266</v>
      </c>
      <c r="E240" s="4" t="n">
        <v>4665.2</v>
      </c>
    </row>
    <row r="241">
      <c r="A241" t="inlineStr">
        <is>
          <t>INV-2609-001210</t>
        </is>
      </c>
      <c r="B241" t="inlineStr">
        <is>
          <t>TA-2026-00044</t>
        </is>
      </c>
      <c r="C241" t="inlineStr">
        <is>
          <t>2026-09</t>
        </is>
      </c>
      <c r="D241" s="8" t="n">
        <v>46266</v>
      </c>
      <c r="E241" s="4" t="n">
        <v>981</v>
      </c>
    </row>
    <row r="242">
      <c r="A242" t="inlineStr">
        <is>
          <t>INV-2609-001217</t>
        </is>
      </c>
      <c r="B242" t="inlineStr">
        <is>
          <t>TA-2026-00054</t>
        </is>
      </c>
      <c r="C242" t="inlineStr">
        <is>
          <t>2026-09</t>
        </is>
      </c>
      <c r="D242" s="8" t="n">
        <v>46266</v>
      </c>
      <c r="E242" s="4" t="n">
        <v>2790.4</v>
      </c>
    </row>
    <row r="243">
      <c r="A243" t="inlineStr">
        <is>
          <t>INV-2609-001218</t>
        </is>
      </c>
      <c r="B243" t="inlineStr">
        <is>
          <t>TA-2026-00056</t>
        </is>
      </c>
      <c r="C243" t="inlineStr">
        <is>
          <t>2026-09</t>
        </is>
      </c>
      <c r="D243" s="8" t="n">
        <v>46266</v>
      </c>
      <c r="E243" s="4" t="n">
        <v>3836.8</v>
      </c>
    </row>
    <row r="244">
      <c r="A244" t="inlineStr">
        <is>
          <t>INV-2609-001229</t>
        </is>
      </c>
      <c r="B244" t="inlineStr">
        <is>
          <t>TA-2026-00073</t>
        </is>
      </c>
      <c r="C244" t="inlineStr">
        <is>
          <t>2026-09</t>
        </is>
      </c>
      <c r="D244" s="8" t="n">
        <v>46266</v>
      </c>
      <c r="E244" s="4" t="n">
        <v>5308.3</v>
      </c>
    </row>
    <row r="245">
      <c r="A245" t="inlineStr">
        <is>
          <t>INV-2609-001244</t>
        </is>
      </c>
      <c r="B245" t="inlineStr">
        <is>
          <t>TA-2026-00096</t>
        </is>
      </c>
      <c r="C245" t="inlineStr">
        <is>
          <t>2026-09</t>
        </is>
      </c>
      <c r="D245" s="8" t="n">
        <v>46266</v>
      </c>
      <c r="E245" s="4" t="n">
        <v>3193.7</v>
      </c>
    </row>
    <row r="246">
      <c r="A246" t="inlineStr">
        <is>
          <t>INV-2609-001271</t>
        </is>
      </c>
      <c r="B246" t="inlineStr">
        <is>
          <t>TA-2026-00135</t>
        </is>
      </c>
      <c r="C246" t="inlineStr">
        <is>
          <t>2026-09</t>
        </is>
      </c>
      <c r="D246" s="8" t="n">
        <v>46266</v>
      </c>
      <c r="E246" s="4" t="n">
        <v>4294.6</v>
      </c>
    </row>
    <row r="247">
      <c r="A247" t="inlineStr">
        <is>
          <t>INV-2609-001279</t>
        </is>
      </c>
      <c r="B247" t="inlineStr">
        <is>
          <t>TA-2026-00146</t>
        </is>
      </c>
      <c r="C247" t="inlineStr">
        <is>
          <t>2026-09</t>
        </is>
      </c>
      <c r="D247" s="8" t="n">
        <v>46266</v>
      </c>
      <c r="E247" s="4" t="n">
        <v>3313.6</v>
      </c>
    </row>
    <row r="248">
      <c r="A248" t="inlineStr">
        <is>
          <t>INV-2609-001308</t>
        </is>
      </c>
      <c r="B248" t="inlineStr">
        <is>
          <t>TA-2026-00192</t>
        </is>
      </c>
      <c r="C248" t="inlineStr">
        <is>
          <t>2026-09</t>
        </is>
      </c>
      <c r="D248" s="8" t="n">
        <v>46266</v>
      </c>
      <c r="E248" s="4" t="n">
        <v>3673.3</v>
      </c>
    </row>
    <row r="249">
      <c r="A249" t="inlineStr">
        <is>
          <t>INV-2609-001317</t>
        </is>
      </c>
      <c r="B249" t="inlineStr">
        <is>
          <t>TA-2026-00204</t>
        </is>
      </c>
      <c r="C249" t="inlineStr">
        <is>
          <t>2026-09</t>
        </is>
      </c>
      <c r="D249" s="8" t="n">
        <v>46266</v>
      </c>
      <c r="E249" s="4" t="n">
        <v>1831.2</v>
      </c>
    </row>
    <row r="250">
      <c r="A250" t="inlineStr">
        <is>
          <t>INV-2609-001341</t>
        </is>
      </c>
      <c r="B250" t="inlineStr">
        <is>
          <t>TA-2026-00242</t>
        </is>
      </c>
      <c r="C250" t="inlineStr">
        <is>
          <t>2026-09</t>
        </is>
      </c>
      <c r="D250" s="8" t="n">
        <v>46266</v>
      </c>
      <c r="E250" s="4" t="n">
        <v>3433.5</v>
      </c>
    </row>
    <row r="251">
      <c r="A251" t="inlineStr">
        <is>
          <t>INV-2609-001369</t>
        </is>
      </c>
      <c r="B251" t="inlineStr">
        <is>
          <t>TA-2026-00284</t>
        </is>
      </c>
      <c r="C251" t="inlineStr">
        <is>
          <t>2026-09</t>
        </is>
      </c>
      <c r="D251" s="8" t="n">
        <v>46266</v>
      </c>
      <c r="E251" s="4" t="n">
        <v>4000.3</v>
      </c>
    </row>
    <row r="252">
      <c r="A252" t="inlineStr">
        <is>
          <t>INV-2609-001381</t>
        </is>
      </c>
      <c r="B252" t="inlineStr">
        <is>
          <t>TA-2026-00302</t>
        </is>
      </c>
      <c r="C252" t="inlineStr">
        <is>
          <t>2026-09</t>
        </is>
      </c>
      <c r="D252" s="8" t="n">
        <v>46266</v>
      </c>
      <c r="E252" s="4" t="n">
        <v>6104</v>
      </c>
    </row>
    <row r="253">
      <c r="A253" t="inlineStr">
        <is>
          <t>INV-2609-001404</t>
        </is>
      </c>
      <c r="B253" t="inlineStr">
        <is>
          <t>TA-2026-00338</t>
        </is>
      </c>
      <c r="C253" t="inlineStr">
        <is>
          <t>2026-09</t>
        </is>
      </c>
      <c r="D253" s="8" t="n">
        <v>46266</v>
      </c>
      <c r="E253" s="4" t="n">
        <v>981</v>
      </c>
    </row>
    <row r="254">
      <c r="A254" t="inlineStr">
        <is>
          <t>INV-2609-001427</t>
        </is>
      </c>
      <c r="B254" t="inlineStr">
        <is>
          <t>TA-2026-00370</t>
        </is>
      </c>
      <c r="C254" t="inlineStr">
        <is>
          <t>2026-09</t>
        </is>
      </c>
      <c r="D254" s="8" t="n">
        <v>46266</v>
      </c>
      <c r="E254" s="4" t="n">
        <v>2528.8</v>
      </c>
    </row>
    <row r="255">
      <c r="A255" t="inlineStr">
        <is>
          <t>INV-2609-001429</t>
        </is>
      </c>
      <c r="B255" t="inlineStr">
        <is>
          <t>TA-2026-00373</t>
        </is>
      </c>
      <c r="C255" t="inlineStr">
        <is>
          <t>2026-09</t>
        </is>
      </c>
      <c r="D255" s="8" t="n">
        <v>46266</v>
      </c>
      <c r="E255" s="4" t="n">
        <v>2572.4</v>
      </c>
    </row>
    <row r="256">
      <c r="A256" t="inlineStr">
        <is>
          <t>INV-2609-001430</t>
        </is>
      </c>
      <c r="B256" t="inlineStr">
        <is>
          <t>TA-2026-00374</t>
        </is>
      </c>
      <c r="C256" t="inlineStr">
        <is>
          <t>2026-09</t>
        </is>
      </c>
      <c r="D256" s="8" t="n">
        <v>46266</v>
      </c>
      <c r="E256" s="4" t="n">
        <v>2768.6</v>
      </c>
    </row>
    <row r="257">
      <c r="A257" t="inlineStr">
        <is>
          <t>INV-2609-001471</t>
        </is>
      </c>
      <c r="B257" t="inlineStr">
        <is>
          <t>TA-2026-00437</t>
        </is>
      </c>
      <c r="C257" t="inlineStr">
        <is>
          <t>2026-09</t>
        </is>
      </c>
      <c r="D257" s="8" t="n">
        <v>46266</v>
      </c>
      <c r="E257" s="4" t="n">
        <v>2049.2</v>
      </c>
    </row>
    <row r="258">
      <c r="A258" t="inlineStr">
        <is>
          <t>INV-2609-001483</t>
        </is>
      </c>
      <c r="B258" t="inlineStr">
        <is>
          <t>TA-2026-00456</t>
        </is>
      </c>
      <c r="C258" t="inlineStr">
        <is>
          <t>2026-09</t>
        </is>
      </c>
      <c r="D258" s="8" t="n">
        <v>46266</v>
      </c>
      <c r="E258" s="4" t="n">
        <v>3564.3</v>
      </c>
    </row>
    <row r="259">
      <c r="A259" t="inlineStr">
        <is>
          <t>INV-2609-001497</t>
        </is>
      </c>
      <c r="B259" t="inlineStr">
        <is>
          <t>TA-2026-00475</t>
        </is>
      </c>
      <c r="C259" t="inlineStr">
        <is>
          <t>2026-09</t>
        </is>
      </c>
      <c r="D259" s="8" t="n">
        <v>46266</v>
      </c>
      <c r="E259" s="4" t="n">
        <v>3215.5</v>
      </c>
    </row>
    <row r="260">
      <c r="A260" t="inlineStr">
        <is>
          <t>INV-2609-001509</t>
        </is>
      </c>
      <c r="B260" t="inlineStr">
        <is>
          <t>TA-2026-00492</t>
        </is>
      </c>
      <c r="C260" t="inlineStr">
        <is>
          <t>2026-09</t>
        </is>
      </c>
      <c r="D260" s="8" t="n">
        <v>46266</v>
      </c>
      <c r="E260" s="4" t="n">
        <v>2060.1</v>
      </c>
    </row>
    <row r="261">
      <c r="A261" t="inlineStr">
        <is>
          <t>INV-2609-001519</t>
        </is>
      </c>
      <c r="B261" t="inlineStr">
        <is>
          <t>TA-2026-00507</t>
        </is>
      </c>
      <c r="C261" t="inlineStr">
        <is>
          <t>2026-09</t>
        </is>
      </c>
      <c r="D261" s="8" t="n">
        <v>46266</v>
      </c>
      <c r="E261" s="4" t="n">
        <v>6997.8</v>
      </c>
    </row>
    <row r="262">
      <c r="A262" t="inlineStr">
        <is>
          <t>INV-2609-001538</t>
        </is>
      </c>
      <c r="B262" t="inlineStr">
        <is>
          <t>TA-2026-00535</t>
        </is>
      </c>
      <c r="C262" t="inlineStr">
        <is>
          <t>2026-09</t>
        </is>
      </c>
      <c r="D262" s="8" t="n">
        <v>46266</v>
      </c>
      <c r="E262" s="4" t="n">
        <v>3106.5</v>
      </c>
    </row>
    <row r="263">
      <c r="A263" t="inlineStr">
        <is>
          <t>INV-2609-001539</t>
        </is>
      </c>
      <c r="B263" t="inlineStr">
        <is>
          <t>TA-2026-00537</t>
        </is>
      </c>
      <c r="C263" t="inlineStr">
        <is>
          <t>2026-09</t>
        </is>
      </c>
      <c r="D263" s="8" t="n">
        <v>46266</v>
      </c>
      <c r="E263" s="4" t="n">
        <v>3280.9</v>
      </c>
    </row>
    <row r="264">
      <c r="A264" t="inlineStr">
        <is>
          <t>INV-2609-001540</t>
        </is>
      </c>
      <c r="B264" t="inlineStr">
        <is>
          <t>TA-2026-00538</t>
        </is>
      </c>
      <c r="C264" t="inlineStr">
        <is>
          <t>2026-09</t>
        </is>
      </c>
      <c r="D264" s="8" t="n">
        <v>46266</v>
      </c>
      <c r="E264" s="4" t="n">
        <v>2583.3</v>
      </c>
    </row>
    <row r="265">
      <c r="A265" t="inlineStr">
        <is>
          <t>INV-2609-001545</t>
        </is>
      </c>
      <c r="B265" t="inlineStr">
        <is>
          <t>TA-2026-00546</t>
        </is>
      </c>
      <c r="C265" t="inlineStr">
        <is>
          <t>2026-09</t>
        </is>
      </c>
      <c r="D265" s="8" t="n">
        <v>46266</v>
      </c>
      <c r="E265" s="4" t="n">
        <v>5221.1</v>
      </c>
    </row>
    <row r="266">
      <c r="A266" t="inlineStr">
        <is>
          <t>INV-2609-001562</t>
        </is>
      </c>
      <c r="B266" t="inlineStr">
        <is>
          <t>TA-2026-00571</t>
        </is>
      </c>
      <c r="C266" t="inlineStr">
        <is>
          <t>2026-09</t>
        </is>
      </c>
      <c r="D266" s="8" t="n">
        <v>46266</v>
      </c>
      <c r="E266" s="4" t="n">
        <v>5232</v>
      </c>
    </row>
    <row r="267">
      <c r="A267" t="inlineStr">
        <is>
          <t>INV-2609-001574</t>
        </is>
      </c>
      <c r="B267" t="inlineStr">
        <is>
          <t>TA-2026-00592</t>
        </is>
      </c>
      <c r="C267" t="inlineStr">
        <is>
          <t>2026-09</t>
        </is>
      </c>
      <c r="D267" s="8" t="n">
        <v>46266</v>
      </c>
      <c r="E267" s="4" t="n">
        <v>5439.1</v>
      </c>
    </row>
    <row r="268">
      <c r="A268" t="inlineStr">
        <is>
          <t>INV-2609-001582</t>
        </is>
      </c>
      <c r="B268" t="inlineStr">
        <is>
          <t>TA-2026-00605</t>
        </is>
      </c>
      <c r="C268" t="inlineStr">
        <is>
          <t>2026-09</t>
        </is>
      </c>
      <c r="D268" s="8" t="n">
        <v>46266</v>
      </c>
      <c r="E268" s="4" t="n">
        <v>3052</v>
      </c>
    </row>
    <row r="269">
      <c r="A269" t="inlineStr">
        <is>
          <t>INV-2609-001584</t>
        </is>
      </c>
      <c r="B269" t="inlineStr">
        <is>
          <t>TA-2026-00608</t>
        </is>
      </c>
      <c r="C269" t="inlineStr">
        <is>
          <t>2026-09</t>
        </is>
      </c>
      <c r="D269" s="8" t="n">
        <v>46266</v>
      </c>
      <c r="E269" s="4" t="n">
        <v>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Menon</dc:creator>
  <dc:title xmlns:dc="http://purl.org/dc/elements/1.1/">Arrears Ageing Sep 2026</dc:title>
  <dcterms:created xmlns:dcterms="http://purl.org/dc/terms/" xmlns:xsi="http://www.w3.org/2001/XMLSchema-instance" xsi:type="dcterms:W3CDTF">2026-10-02T09:00:00Z</dcterms:created>
  <dcterms:modified xmlns:dcterms="http://purl.org/dc/terms/" xmlns:xsi="http://www.w3.org/2001/XMLSchema-instance" xsi:type="dcterms:W3CDTF">2026-10-10T09:29:40Z</dcterms:modified>
  <cp:lastModifiedBy>Priya Menon</cp:lastModifiedBy>
</cp:coreProperties>
</file>