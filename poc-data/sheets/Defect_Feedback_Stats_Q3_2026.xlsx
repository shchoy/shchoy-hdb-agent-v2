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ategory" sheetId="1" state="visible" r:id="rId1"/>
    <sheet xmlns:r="http://schemas.openxmlformats.org/officeDocument/2006/relationships" name="Feedback Q3" sheetId="2" state="visible" r:id="rId2"/>
    <sheet xmlns:r="http://schemas.openxmlformats.org/officeDocument/2006/relationships" name="i-EMS SL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1F3A5F"/>
      <sz val="14"/>
    </font>
    <font>
      <i val="1"/>
      <color rgb="00555555"/>
    </font>
    <font>
      <i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0" borderId="0" pivotButton="0" quotePrefix="0" xfId="0"/>
    <xf numFmtId="0" fontId="4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  <col width="8" customWidth="1" min="4" max="4"/>
    <col width="10" customWidth="1" min="5" max="5"/>
  </cols>
  <sheetData>
    <row r="1">
      <c r="A1" s="1" t="inlineStr">
        <is>
          <t>PUBLIC FEEDBACK &amp; DEFECT STATISTICS - Q3 2026</t>
        </is>
      </c>
    </row>
    <row r="2">
      <c r="A2" s="2" t="inlineStr">
        <is>
          <t>Jul-Sep 2026</t>
        </is>
      </c>
    </row>
    <row r="4">
      <c r="A4" s="3" t="inlineStr">
        <is>
          <t>Category</t>
        </is>
      </c>
      <c r="B4" s="3" t="inlineStr">
        <is>
          <t>Jul</t>
        </is>
      </c>
      <c r="C4" s="3" t="inlineStr">
        <is>
          <t>Aug</t>
        </is>
      </c>
      <c r="D4" s="3" t="inlineStr">
        <is>
          <t>Sep</t>
        </is>
      </c>
      <c r="E4" s="3" t="inlineStr">
        <is>
          <t>Q3 total</t>
        </is>
      </c>
    </row>
    <row r="5">
      <c r="A5" t="inlineStr">
        <is>
          <t>Structural</t>
        </is>
      </c>
      <c r="B5">
        <f>COUNTIFS('Feedback Q3'!$F$2:$F$316,$A5,'Feedback Q3'!$B$2:$B$316,"&gt;="&amp;DATE(2026,7,1),'Feedback Q3'!$B$2:$B$316,"&lt;"&amp;DATE(2026,8,1))</f>
        <v/>
      </c>
      <c r="C5">
        <f>COUNTIFS('Feedback Q3'!$F$2:$F$316,$A5,'Feedback Q3'!$B$2:$B$316,"&gt;="&amp;DATE(2026,8,1),'Feedback Q3'!$B$2:$B$316,"&lt;"&amp;DATE(2026,9,1))</f>
        <v/>
      </c>
      <c r="D5">
        <f>COUNTIFS('Feedback Q3'!$F$2:$F$316,$A5,'Feedback Q3'!$B$2:$B$316,"&gt;="&amp;DATE(2026,9,1),'Feedback Q3'!$B$2:$B$316,"&lt;"&amp;DATE(2026,10,1))</f>
        <v/>
      </c>
      <c r="E5">
        <f>SUM(B5:D5)</f>
        <v/>
      </c>
    </row>
    <row r="6">
      <c r="A6" t="inlineStr">
        <is>
          <t>Water Seepage / Leak</t>
        </is>
      </c>
      <c r="B6">
        <f>COUNTIFS('Feedback Q3'!$F$2:$F$316,$A6,'Feedback Q3'!$B$2:$B$316,"&gt;="&amp;DATE(2026,7,1),'Feedback Q3'!$B$2:$B$316,"&lt;"&amp;DATE(2026,8,1))</f>
        <v/>
      </c>
      <c r="C6">
        <f>COUNTIFS('Feedback Q3'!$F$2:$F$316,$A6,'Feedback Q3'!$B$2:$B$316,"&gt;="&amp;DATE(2026,8,1),'Feedback Q3'!$B$2:$B$316,"&lt;"&amp;DATE(2026,9,1))</f>
        <v/>
      </c>
      <c r="D6">
        <f>COUNTIFS('Feedback Q3'!$F$2:$F$316,$A6,'Feedback Q3'!$B$2:$B$316,"&gt;="&amp;DATE(2026,9,1),'Feedback Q3'!$B$2:$B$316,"&lt;"&amp;DATE(2026,10,1))</f>
        <v/>
      </c>
      <c r="E6">
        <f>SUM(B6:D6)</f>
        <v/>
      </c>
    </row>
    <row r="7">
      <c r="A7" t="inlineStr">
        <is>
          <t>Plumbing &amp; Sanitary</t>
        </is>
      </c>
      <c r="B7">
        <f>COUNTIFS('Feedback Q3'!$F$2:$F$316,$A7,'Feedback Q3'!$B$2:$B$316,"&gt;="&amp;DATE(2026,7,1),'Feedback Q3'!$B$2:$B$316,"&lt;"&amp;DATE(2026,8,1))</f>
        <v/>
      </c>
      <c r="C7">
        <f>COUNTIFS('Feedback Q3'!$F$2:$F$316,$A7,'Feedback Q3'!$B$2:$B$316,"&gt;="&amp;DATE(2026,8,1),'Feedback Q3'!$B$2:$B$316,"&lt;"&amp;DATE(2026,9,1))</f>
        <v/>
      </c>
      <c r="D7">
        <f>COUNTIFS('Feedback Q3'!$F$2:$F$316,$A7,'Feedback Q3'!$B$2:$B$316,"&gt;="&amp;DATE(2026,9,1),'Feedback Q3'!$B$2:$B$316,"&lt;"&amp;DATE(2026,10,1))</f>
        <v/>
      </c>
      <c r="E7">
        <f>SUM(B7:D7)</f>
        <v/>
      </c>
    </row>
    <row r="8">
      <c r="A8" t="inlineStr">
        <is>
          <t>Electrical</t>
        </is>
      </c>
      <c r="B8">
        <f>COUNTIFS('Feedback Q3'!$F$2:$F$316,$A8,'Feedback Q3'!$B$2:$B$316,"&gt;="&amp;DATE(2026,7,1),'Feedback Q3'!$B$2:$B$316,"&lt;"&amp;DATE(2026,8,1))</f>
        <v/>
      </c>
      <c r="C8">
        <f>COUNTIFS('Feedback Q3'!$F$2:$F$316,$A8,'Feedback Q3'!$B$2:$B$316,"&gt;="&amp;DATE(2026,8,1),'Feedback Q3'!$B$2:$B$316,"&lt;"&amp;DATE(2026,9,1))</f>
        <v/>
      </c>
      <c r="D8">
        <f>COUNTIFS('Feedback Q3'!$F$2:$F$316,$A8,'Feedback Q3'!$B$2:$B$316,"&gt;="&amp;DATE(2026,9,1),'Feedback Q3'!$B$2:$B$316,"&lt;"&amp;DATE(2026,10,1))</f>
        <v/>
      </c>
      <c r="E8">
        <f>SUM(B8:D8)</f>
        <v/>
      </c>
    </row>
    <row r="9">
      <c r="A9" t="inlineStr">
        <is>
          <t>Fire Safety</t>
        </is>
      </c>
      <c r="B9">
        <f>COUNTIFS('Feedback Q3'!$F$2:$F$316,$A9,'Feedback Q3'!$B$2:$B$316,"&gt;="&amp;DATE(2026,7,1),'Feedback Q3'!$B$2:$B$316,"&lt;"&amp;DATE(2026,8,1))</f>
        <v/>
      </c>
      <c r="C9">
        <f>COUNTIFS('Feedback Q3'!$F$2:$F$316,$A9,'Feedback Q3'!$B$2:$B$316,"&gt;="&amp;DATE(2026,8,1),'Feedback Q3'!$B$2:$B$316,"&lt;"&amp;DATE(2026,9,1))</f>
        <v/>
      </c>
      <c r="D9">
        <f>COUNTIFS('Feedback Q3'!$F$2:$F$316,$A9,'Feedback Q3'!$B$2:$B$316,"&gt;="&amp;DATE(2026,9,1),'Feedback Q3'!$B$2:$B$316,"&lt;"&amp;DATE(2026,10,1))</f>
        <v/>
      </c>
      <c r="E9">
        <f>SUM(B9:D9)</f>
        <v/>
      </c>
    </row>
    <row r="10">
      <c r="A10" t="inlineStr">
        <is>
          <t>Pest</t>
        </is>
      </c>
      <c r="B10">
        <f>COUNTIFS('Feedback Q3'!$F$2:$F$316,$A10,'Feedback Q3'!$B$2:$B$316,"&gt;="&amp;DATE(2026,7,1),'Feedback Q3'!$B$2:$B$316,"&lt;"&amp;DATE(2026,8,1))</f>
        <v/>
      </c>
      <c r="C10">
        <f>COUNTIFS('Feedback Q3'!$F$2:$F$316,$A10,'Feedback Q3'!$B$2:$B$316,"&gt;="&amp;DATE(2026,8,1),'Feedback Q3'!$B$2:$B$316,"&lt;"&amp;DATE(2026,9,1))</f>
        <v/>
      </c>
      <c r="D10">
        <f>COUNTIFS('Feedback Q3'!$F$2:$F$316,$A10,'Feedback Q3'!$B$2:$B$316,"&gt;="&amp;DATE(2026,9,1),'Feedback Q3'!$B$2:$B$316,"&lt;"&amp;DATE(2026,10,1))</f>
        <v/>
      </c>
      <c r="E10">
        <f>SUM(B10:D10)</f>
        <v/>
      </c>
    </row>
    <row r="11">
      <c r="A11" t="inlineStr">
        <is>
          <t>Hygiene (Tenant)</t>
        </is>
      </c>
      <c r="B11">
        <f>COUNTIFS('Feedback Q3'!$F$2:$F$316,$A11,'Feedback Q3'!$B$2:$B$316,"&gt;="&amp;DATE(2026,7,1),'Feedback Q3'!$B$2:$B$316,"&lt;"&amp;DATE(2026,8,1))</f>
        <v/>
      </c>
      <c r="C11">
        <f>COUNTIFS('Feedback Q3'!$F$2:$F$316,$A11,'Feedback Q3'!$B$2:$B$316,"&gt;="&amp;DATE(2026,8,1),'Feedback Q3'!$B$2:$B$316,"&lt;"&amp;DATE(2026,9,1))</f>
        <v/>
      </c>
      <c r="D11">
        <f>COUNTIFS('Feedback Q3'!$F$2:$F$316,$A11,'Feedback Q3'!$B$2:$B$316,"&gt;="&amp;DATE(2026,9,1),'Feedback Q3'!$B$2:$B$316,"&lt;"&amp;DATE(2026,10,1))</f>
        <v/>
      </c>
      <c r="E11">
        <f>SUM(B11:D11)</f>
        <v/>
      </c>
    </row>
    <row r="12">
      <c r="A12" t="inlineStr">
        <is>
          <t>Obstruction / Encroachment</t>
        </is>
      </c>
      <c r="B12">
        <f>COUNTIFS('Feedback Q3'!$F$2:$F$316,$A12,'Feedback Q3'!$B$2:$B$316,"&gt;="&amp;DATE(2026,7,1),'Feedback Q3'!$B$2:$B$316,"&lt;"&amp;DATE(2026,8,1))</f>
        <v/>
      </c>
      <c r="C12">
        <f>COUNTIFS('Feedback Q3'!$F$2:$F$316,$A12,'Feedback Q3'!$B$2:$B$316,"&gt;="&amp;DATE(2026,8,1),'Feedback Q3'!$B$2:$B$316,"&lt;"&amp;DATE(2026,9,1))</f>
        <v/>
      </c>
      <c r="D12">
        <f>COUNTIFS('Feedback Q3'!$F$2:$F$316,$A12,'Feedback Q3'!$B$2:$B$316,"&gt;="&amp;DATE(2026,9,1),'Feedback Q3'!$B$2:$B$316,"&lt;"&amp;DATE(2026,10,1))</f>
        <v/>
      </c>
      <c r="E12">
        <f>SUM(B12:D12)</f>
        <v/>
      </c>
    </row>
    <row r="13">
      <c r="A13" t="inlineStr">
        <is>
          <t>Noise / Nuisance</t>
        </is>
      </c>
      <c r="B13">
        <f>COUNTIFS('Feedback Q3'!$F$2:$F$316,$A13,'Feedback Q3'!$B$2:$B$316,"&gt;="&amp;DATE(2026,7,1),'Feedback Q3'!$B$2:$B$316,"&lt;"&amp;DATE(2026,8,1))</f>
        <v/>
      </c>
      <c r="C13">
        <f>COUNTIFS('Feedback Q3'!$F$2:$F$316,$A13,'Feedback Q3'!$B$2:$B$316,"&gt;="&amp;DATE(2026,8,1),'Feedback Q3'!$B$2:$B$316,"&lt;"&amp;DATE(2026,9,1))</f>
        <v/>
      </c>
      <c r="D13">
        <f>COUNTIFS('Feedback Q3'!$F$2:$F$316,$A13,'Feedback Q3'!$B$2:$B$316,"&gt;="&amp;DATE(2026,9,1),'Feedback Q3'!$B$2:$B$316,"&lt;"&amp;DATE(2026,10,1))</f>
        <v/>
      </c>
      <c r="E13">
        <f>SUM(B13:D13)</f>
        <v/>
      </c>
    </row>
    <row r="14">
      <c r="A14" t="inlineStr">
        <is>
          <t>Common Area (Town Council)</t>
        </is>
      </c>
      <c r="B14">
        <f>COUNTIFS('Feedback Q3'!$F$2:$F$316,$A14,'Feedback Q3'!$B$2:$B$316,"&gt;="&amp;DATE(2026,7,1),'Feedback Q3'!$B$2:$B$316,"&lt;"&amp;DATE(2026,8,1))</f>
        <v/>
      </c>
      <c r="C14">
        <f>COUNTIFS('Feedback Q3'!$F$2:$F$316,$A14,'Feedback Q3'!$B$2:$B$316,"&gt;="&amp;DATE(2026,8,1),'Feedback Q3'!$B$2:$B$316,"&lt;"&amp;DATE(2026,9,1))</f>
        <v/>
      </c>
      <c r="D14">
        <f>COUNTIFS('Feedback Q3'!$F$2:$F$316,$A14,'Feedback Q3'!$B$2:$B$316,"&gt;="&amp;DATE(2026,9,1),'Feedback Q3'!$B$2:$B$316,"&lt;"&amp;DATE(2026,10,1))</f>
        <v/>
      </c>
      <c r="E14">
        <f>SUM(B14:D14)</f>
        <v/>
      </c>
    </row>
    <row r="15">
      <c r="A15" t="inlineStr">
        <is>
          <t>General Enquiry / Non-defect</t>
        </is>
      </c>
      <c r="B15">
        <f>COUNTIFS('Feedback Q3'!$F$2:$F$316,$A15,'Feedback Q3'!$B$2:$B$316,"&gt;="&amp;DATE(2026,7,1),'Feedback Q3'!$B$2:$B$316,"&lt;"&amp;DATE(2026,8,1))</f>
        <v/>
      </c>
      <c r="C15">
        <f>COUNTIFS('Feedback Q3'!$F$2:$F$316,$A15,'Feedback Q3'!$B$2:$B$316,"&gt;="&amp;DATE(2026,8,1),'Feedback Q3'!$B$2:$B$316,"&lt;"&amp;DATE(2026,9,1))</f>
        <v/>
      </c>
      <c r="D15">
        <f>COUNTIFS('Feedback Q3'!$F$2:$F$316,$A15,'Feedback Q3'!$B$2:$B$316,"&gt;="&amp;DATE(2026,9,1),'Feedback Q3'!$B$2:$B$316,"&lt;"&amp;DATE(2026,10,1))</f>
        <v/>
      </c>
      <c r="E15">
        <f>SUM(B15:D15)</f>
        <v/>
      </c>
    </row>
    <row r="16">
      <c r="A16" s="4" t="inlineStr">
        <is>
          <t>Total</t>
        </is>
      </c>
      <c r="B16">
        <f>SUM(B5:B15)</f>
        <v/>
      </c>
      <c r="C16">
        <f>SUM(C5:C15)</f>
        <v/>
      </c>
      <c r="D16">
        <f>SUM(D5:D15)</f>
        <v/>
      </c>
      <c r="E16">
        <f>SUM(E5:E15)</f>
        <v/>
      </c>
    </row>
    <row r="17">
      <c r="A17" s="5" t="inlineStr">
        <is>
          <t>(Static count: 315 cases received in Q3)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8" customWidth="1" min="5" max="5"/>
    <col width="26" customWidth="1" min="6" max="6"/>
    <col width="9" customWidth="1" min="7" max="7"/>
    <col width="20" customWidth="1" min="8" max="8"/>
    <col width="15" customWidth="1" min="9" max="9"/>
    <col width="11" customWidth="1" min="10" max="10"/>
    <col width="80" customWidth="1" min="11" max="11"/>
  </cols>
  <sheetData>
    <row r="1">
      <c r="A1" s="3" t="inlineStr">
        <is>
          <t>Feedback ID</t>
        </is>
      </c>
      <c r="B1" s="3" t="inlineStr">
        <is>
          <t>Received</t>
        </is>
      </c>
      <c r="C1" s="3" t="inlineStr">
        <is>
          <t>Channel</t>
        </is>
      </c>
      <c r="D1" s="3" t="inlineStr">
        <is>
          <t>Unit</t>
        </is>
      </c>
      <c r="E1" s="3" t="inlineStr">
        <is>
          <t>Category code</t>
        </is>
      </c>
      <c r="F1" s="3" t="inlineStr">
        <is>
          <t>Category</t>
        </is>
      </c>
      <c r="G1" s="3" t="inlineStr">
        <is>
          <t>Severity</t>
        </is>
      </c>
      <c r="H1" s="3" t="inlineStr">
        <is>
          <t>Team</t>
        </is>
      </c>
      <c r="I1" s="3" t="inlineStr">
        <is>
          <t>i-EMS ticket</t>
        </is>
      </c>
      <c r="J1" s="3" t="inlineStr">
        <is>
          <t>Status</t>
        </is>
      </c>
      <c r="K1" s="3" t="inlineStr">
        <is>
          <t>Description</t>
        </is>
      </c>
    </row>
    <row r="2">
      <c r="A2" t="inlineStr">
        <is>
          <t>FB-2026-00573</t>
        </is>
      </c>
      <c r="B2" s="6" t="n">
        <v>46204</v>
      </c>
      <c r="C2" t="inlineStr">
        <is>
          <t>Walk-in</t>
        </is>
      </c>
      <c r="D2" t="inlineStr">
        <is>
          <t>U-CD108-01-07</t>
        </is>
      </c>
      <c r="E2" t="inlineStr">
        <is>
          <t>PLB</t>
        </is>
      </c>
      <c r="F2" t="inlineStr">
        <is>
          <t>Plumbing &amp; Sanitary</t>
        </is>
      </c>
      <c r="G2" t="inlineStr">
        <is>
          <t>Medium</t>
        </is>
      </c>
      <c r="H2" t="inlineStr">
        <is>
          <t>M&amp;E</t>
        </is>
      </c>
      <c r="I2" t="inlineStr">
        <is>
          <t>IEMS-2607-0006</t>
        </is>
      </c>
      <c r="J2" t="inlineStr">
        <is>
          <t>Closed</t>
        </is>
      </c>
      <c r="K2" t="inlineStr">
        <is>
          <t>Floor trap at teh back of Suria Bookstore Pte Ltd choked, dirty water overflowing to common corridor Blk 108.</t>
        </is>
      </c>
    </row>
    <row r="3">
      <c r="A3" t="inlineStr">
        <is>
          <t>FB-2026-00574</t>
        </is>
      </c>
      <c r="B3" s="6" t="n">
        <v>46204</v>
      </c>
      <c r="C3" t="inlineStr">
        <is>
          <t>CityFix App</t>
        </is>
      </c>
      <c r="D3" t="inlineStr">
        <is>
          <t>U-BV266-01-04</t>
        </is>
      </c>
      <c r="E3" t="inlineStr">
        <is>
          <t>PLB</t>
        </is>
      </c>
      <c r="F3" t="inlineStr">
        <is>
          <t>Plumbing &amp; Sanitary</t>
        </is>
      </c>
      <c r="G3" t="inlineStr">
        <is>
          <t>Medium</t>
        </is>
      </c>
      <c r="H3" t="inlineStr">
        <is>
          <t>M&amp;E</t>
        </is>
      </c>
      <c r="I3" t="inlineStr">
        <is>
          <t>IEMS-2607-0007</t>
        </is>
      </c>
      <c r="J3" t="inlineStr">
        <is>
          <t>Closed</t>
        </is>
      </c>
      <c r="K3" t="inlineStr">
        <is>
          <t>Floor trap at the back of Ever Joy Education Hub choked, dirty water overflowing to common corridor Blk 266.</t>
        </is>
      </c>
    </row>
    <row r="4">
      <c r="A4" t="inlineStr">
        <is>
          <t>FB-2026-00575</t>
        </is>
      </c>
      <c r="B4" s="6" t="n">
        <v>46204</v>
      </c>
      <c r="C4" t="inlineStr">
        <is>
          <t>CityFix App</t>
        </is>
      </c>
      <c r="D4" t="inlineStr">
        <is>
          <t>U-RH491-01-01</t>
        </is>
      </c>
      <c r="E4" t="inlineStr">
        <is>
          <t>PLB</t>
        </is>
      </c>
      <c r="F4" t="inlineStr">
        <is>
          <t>Plumbing &amp; Sanitary</t>
        </is>
      </c>
      <c r="G4" t="inlineStr">
        <is>
          <t>Medium</t>
        </is>
      </c>
      <c r="H4" t="inlineStr">
        <is>
          <t>M&amp;E</t>
        </is>
      </c>
      <c r="I4" t="inlineStr">
        <is>
          <t>IEMS-2607-0008</t>
        </is>
      </c>
      <c r="J4" t="inlineStr">
        <is>
          <t>Closed</t>
        </is>
      </c>
      <c r="K4" t="inlineStr">
        <is>
          <t>Burst pipe near #01-01 Rimba Walk, water gushing out. Please send plumber asap.</t>
        </is>
      </c>
    </row>
    <row r="5">
      <c r="A5" t="inlineStr">
        <is>
          <t>FB-2026-00576</t>
        </is>
      </c>
      <c r="B5" s="6" t="n">
        <v>46204</v>
      </c>
      <c r="C5" t="inlineStr">
        <is>
          <t>Email</t>
        </is>
      </c>
      <c r="D5" t="inlineStr">
        <is>
          <t>U-RH484-01-05</t>
        </is>
      </c>
      <c r="E5" t="inlineStr">
        <is>
          <t>CMN</t>
        </is>
      </c>
      <c r="F5" t="inlineStr">
        <is>
          <t>Common Area (Town Council)</t>
        </is>
      </c>
      <c r="G5" t="inlineStr">
        <is>
          <t>Low</t>
        </is>
      </c>
      <c r="H5" t="inlineStr">
        <is>
          <t>Town Council Liaison</t>
        </is>
      </c>
      <c r="J5" t="inlineStr">
        <is>
          <t>Closed</t>
        </is>
      </c>
      <c r="K5" t="inlineStr">
        <is>
          <t>Litter and stains along the 5-foot way at Rimba Walk Blk 484.</t>
        </is>
      </c>
    </row>
    <row r="6">
      <c r="A6" t="inlineStr">
        <is>
          <t>FB-2026-00577</t>
        </is>
      </c>
      <c r="B6" s="6" t="n">
        <v>46204</v>
      </c>
      <c r="C6" t="inlineStr">
        <is>
          <t>Walk-in</t>
        </is>
      </c>
      <c r="D6" t="inlineStr">
        <is>
          <t>U-CD181-01-07</t>
        </is>
      </c>
      <c r="E6" t="inlineStr">
        <is>
          <t>HYG</t>
        </is>
      </c>
      <c r="F6" t="inlineStr">
        <is>
          <t>Hygiene (Tenant)</t>
        </is>
      </c>
      <c r="G6" t="inlineStr">
        <is>
          <t>Low</t>
        </is>
      </c>
      <c r="H6" t="inlineStr">
        <is>
          <t>Estate Compliance</t>
        </is>
      </c>
      <c r="J6" t="inlineStr">
        <is>
          <t>Closed</t>
        </is>
      </c>
      <c r="K6" t="inlineStr">
        <is>
          <t>New Life Hair Studio leaves rubbish bags outside the shop overnight, smelly and attracts flies. Blk 181.</t>
        </is>
      </c>
    </row>
    <row r="7">
      <c r="A7" t="inlineStr">
        <is>
          <t>FB-2026-00578</t>
        </is>
      </c>
      <c r="B7" s="6" t="n">
        <v>46204</v>
      </c>
      <c r="C7" t="inlineStr">
        <is>
          <t>CityFix App</t>
        </is>
      </c>
      <c r="D7" t="inlineStr">
        <is>
          <t>U-CD108-01-07</t>
        </is>
      </c>
      <c r="E7" t="inlineStr">
        <is>
          <t>NOI</t>
        </is>
      </c>
      <c r="F7" t="inlineStr">
        <is>
          <t>Noise / Nuisance</t>
        </is>
      </c>
      <c r="G7" t="inlineStr">
        <is>
          <t>Low</t>
        </is>
      </c>
      <c r="H7" t="inlineStr">
        <is>
          <t>Estate Compliance</t>
        </is>
      </c>
      <c r="J7" t="inlineStr">
        <is>
          <t>Closed</t>
        </is>
      </c>
      <c r="K7" t="inlineStr">
        <is>
          <t>Delivery lorry unloading at 5am for Suria Bookstore Pte Ltd, very noisy.</t>
        </is>
      </c>
    </row>
    <row r="8">
      <c r="A8" t="inlineStr">
        <is>
          <t>FB-2026-00579</t>
        </is>
      </c>
      <c r="B8" s="6" t="n">
        <v>46205</v>
      </c>
      <c r="C8" t="inlineStr">
        <is>
          <t>Walk-in</t>
        </is>
      </c>
      <c r="D8" t="inlineStr">
        <is>
          <t>U-BV214-01-23</t>
        </is>
      </c>
      <c r="E8" t="inlineStr">
        <is>
          <t>HYG</t>
        </is>
      </c>
      <c r="F8" t="inlineStr">
        <is>
          <t>Hygiene (Tenant)</t>
        </is>
      </c>
      <c r="G8" t="inlineStr">
        <is>
          <t>Medium</t>
        </is>
      </c>
      <c r="H8" t="inlineStr">
        <is>
          <t>Estate Compliance</t>
        </is>
      </c>
      <c r="J8" t="inlineStr">
        <is>
          <t>Closed</t>
        </is>
      </c>
      <c r="K8" t="inlineStr">
        <is>
          <t>SHOPFRONT OF #01-23 BLK 214 VERY DIRTY, OIL STAINS ON THE FLOOR.</t>
        </is>
      </c>
    </row>
    <row r="9">
      <c r="A9" t="inlineStr">
        <is>
          <t>FB-2026-00580</t>
        </is>
      </c>
      <c r="B9" s="6" t="n">
        <v>46205</v>
      </c>
      <c r="C9" t="inlineStr">
        <is>
          <t>MP Letter</t>
        </is>
      </c>
      <c r="D9" t="inlineStr">
        <is>
          <t>U-CD118-01-26</t>
        </is>
      </c>
      <c r="E9" t="inlineStr">
        <is>
          <t>PLB</t>
        </is>
      </c>
      <c r="F9" t="inlineStr">
        <is>
          <t>Plumbing &amp; Sanitary</t>
        </is>
      </c>
      <c r="G9" t="inlineStr">
        <is>
          <t>Medium</t>
        </is>
      </c>
      <c r="H9" t="inlineStr">
        <is>
          <t>M&amp;E</t>
        </is>
      </c>
      <c r="I9" t="inlineStr">
        <is>
          <t>IEMS-2607-0009</t>
        </is>
      </c>
      <c r="J9" t="inlineStr">
        <is>
          <t>Closed</t>
        </is>
      </c>
      <c r="K9" t="inlineStr">
        <is>
          <t>Burst pipe near #01-26 Cendana Road, water gushing out. Please send plumber asap.</t>
        </is>
      </c>
    </row>
    <row r="10">
      <c r="A10" t="inlineStr">
        <is>
          <t>FB-2026-00581</t>
        </is>
      </c>
      <c r="B10" s="6" t="n">
        <v>46205</v>
      </c>
      <c r="C10" t="inlineStr">
        <is>
          <t>Walk-in</t>
        </is>
      </c>
      <c r="D10" t="inlineStr">
        <is>
          <t>U-CD143-01-01</t>
        </is>
      </c>
      <c r="E10" t="inlineStr">
        <is>
          <t>HYG</t>
        </is>
      </c>
      <c r="F10" t="inlineStr">
        <is>
          <t>Hygiene (Tenant)</t>
        </is>
      </c>
      <c r="G10" t="inlineStr">
        <is>
          <t>Low</t>
        </is>
      </c>
      <c r="H10" t="inlineStr">
        <is>
          <t>Estate Compliance</t>
        </is>
      </c>
      <c r="J10" t="inlineStr">
        <is>
          <t>Closed</t>
        </is>
      </c>
      <c r="K10" t="inlineStr">
        <is>
          <t>Shopfront of #01-01 Blk 143 very dirty, oil stains on teh floor.</t>
        </is>
      </c>
    </row>
    <row r="11">
      <c r="A11" t="inlineStr">
        <is>
          <t>FB-2026-00582</t>
        </is>
      </c>
      <c r="B11" s="6" t="n">
        <v>46206</v>
      </c>
      <c r="C11" t="inlineStr">
        <is>
          <t>Email</t>
        </is>
      </c>
      <c r="D11" t="inlineStr">
        <is>
          <t>U-CD189-01-04</t>
        </is>
      </c>
      <c r="E11" t="inlineStr">
        <is>
          <t>PST</t>
        </is>
      </c>
      <c r="F11" t="inlineStr">
        <is>
          <t>Pest</t>
        </is>
      </c>
      <c r="G11" t="inlineStr">
        <is>
          <t>Low</t>
        </is>
      </c>
      <c r="H11" t="inlineStr">
        <is>
          <t>Pest Control</t>
        </is>
      </c>
      <c r="I11" t="inlineStr">
        <is>
          <t>IEMS-2607-0010</t>
        </is>
      </c>
      <c r="J11" t="inlineStr">
        <is>
          <t>Closed</t>
        </is>
      </c>
      <c r="K11" t="inlineStr">
        <is>
          <t>Many rats running around the bin area behind Brilliant Eye Centre Pte Ltd, Blk 189.</t>
        </is>
      </c>
    </row>
    <row r="12">
      <c r="A12" t="inlineStr">
        <is>
          <t>FB-2026-00583</t>
        </is>
      </c>
      <c r="B12" s="6" t="n">
        <v>46206</v>
      </c>
      <c r="C12" t="inlineStr">
        <is>
          <t>CityFix App</t>
        </is>
      </c>
      <c r="D12" t="inlineStr">
        <is>
          <t>U-RH401-01-03</t>
        </is>
      </c>
      <c r="E12" t="inlineStr">
        <is>
          <t>PST</t>
        </is>
      </c>
      <c r="F12" t="inlineStr">
        <is>
          <t>Pest</t>
        </is>
      </c>
      <c r="G12" t="inlineStr">
        <is>
          <t>Medium</t>
        </is>
      </c>
      <c r="H12" t="inlineStr">
        <is>
          <t>Pest Control</t>
        </is>
      </c>
      <c r="I12" t="inlineStr">
        <is>
          <t>IEMS-2607-0011</t>
        </is>
      </c>
      <c r="J12" t="inlineStr">
        <is>
          <t>Closed</t>
        </is>
      </c>
      <c r="K12" t="inlineStr">
        <is>
          <t>Many rats running around the bin area behind Ananda Florist, Blk 401.</t>
        </is>
      </c>
    </row>
    <row r="13">
      <c r="A13" t="inlineStr">
        <is>
          <t>FB-2026-00584</t>
        </is>
      </c>
      <c r="B13" s="6" t="n">
        <v>46206</v>
      </c>
      <c r="C13" t="inlineStr">
        <is>
          <t>CityFix App</t>
        </is>
      </c>
      <c r="D13" t="inlineStr">
        <is>
          <t>U-BV290-01-11</t>
        </is>
      </c>
      <c r="E13" t="inlineStr">
        <is>
          <t>HYG</t>
        </is>
      </c>
      <c r="F13" t="inlineStr">
        <is>
          <t>Hygiene (Tenant)</t>
        </is>
      </c>
      <c r="G13" t="inlineStr">
        <is>
          <t>Low</t>
        </is>
      </c>
      <c r="H13" t="inlineStr">
        <is>
          <t>Estate Compliance</t>
        </is>
      </c>
      <c r="J13" t="inlineStr">
        <is>
          <t>Closed</t>
        </is>
      </c>
      <c r="K13" t="inlineStr">
        <is>
          <t>STRONG GREASE SMELL FROM BAYU STORE PTE LTD KITCHEN EXHAUST, RESIDENTS ABOVE COMPLAINING.</t>
        </is>
      </c>
    </row>
    <row r="14">
      <c r="A14" t="inlineStr">
        <is>
          <t>FB-2026-00585</t>
        </is>
      </c>
      <c r="B14" s="6" t="n">
        <v>46206</v>
      </c>
      <c r="C14" t="inlineStr">
        <is>
          <t>Email</t>
        </is>
      </c>
      <c r="D14" t="inlineStr">
        <is>
          <t>U-ST589-01-02</t>
        </is>
      </c>
      <c r="E14" t="inlineStr">
        <is>
          <t>CMN</t>
        </is>
      </c>
      <c r="F14" t="inlineStr">
        <is>
          <t>Common Area (Town Council)</t>
        </is>
      </c>
      <c r="G14" t="inlineStr">
        <is>
          <t>Low</t>
        </is>
      </c>
      <c r="H14" t="inlineStr">
        <is>
          <t>Town Council Liaison</t>
        </is>
      </c>
      <c r="J14" t="inlineStr">
        <is>
          <t>Closed</t>
        </is>
      </c>
      <c r="K14" t="inlineStr">
        <is>
          <t>LIFT LOBBY LIGHTS NEAR THE SHOPS AT BLK 589 FAULTY.</t>
        </is>
      </c>
    </row>
    <row r="15">
      <c r="A15" t="inlineStr">
        <is>
          <t>FB-2026-00586</t>
        </is>
      </c>
      <c r="B15" s="6" t="n">
        <v>46206</v>
      </c>
      <c r="C15" t="inlineStr">
        <is>
          <t>Walk-in</t>
        </is>
      </c>
      <c r="D15" t="inlineStr">
        <is>
          <t>U-CD185-01-07</t>
        </is>
      </c>
      <c r="E15" t="inlineStr">
        <is>
          <t>ELE</t>
        </is>
      </c>
      <c r="F15" t="inlineStr">
        <is>
          <t>Electrical</t>
        </is>
      </c>
      <c r="G15" t="inlineStr">
        <is>
          <t>Medium</t>
        </is>
      </c>
      <c r="H15" t="inlineStr">
        <is>
          <t>M&amp;E</t>
        </is>
      </c>
      <c r="I15" t="inlineStr">
        <is>
          <t>IEMS-2607-0012</t>
        </is>
      </c>
      <c r="J15" t="inlineStr">
        <is>
          <t>Closed</t>
        </is>
      </c>
      <c r="K15" t="inlineStr">
        <is>
          <t>Power keeps tripping for the row of shops at Blk 185 incl Tian Fu Clinic &amp; Surgery. Fridges affected, food spoiling.</t>
        </is>
      </c>
    </row>
    <row r="16">
      <c r="A16" t="inlineStr">
        <is>
          <t>FB-2026-00587</t>
        </is>
      </c>
      <c r="B16" s="6" t="n">
        <v>46206</v>
      </c>
      <c r="C16" t="inlineStr">
        <is>
          <t>CityFix App</t>
        </is>
      </c>
      <c r="D16" t="inlineStr">
        <is>
          <t>U-KR305-02-19</t>
        </is>
      </c>
      <c r="E16" t="inlineStr">
        <is>
          <t>HYG</t>
        </is>
      </c>
      <c r="F16" t="inlineStr">
        <is>
          <t>Hygiene (Tenant)</t>
        </is>
      </c>
      <c r="G16" t="inlineStr">
        <is>
          <t>Low</t>
        </is>
      </c>
      <c r="H16" t="inlineStr">
        <is>
          <t>Estate Compliance</t>
        </is>
      </c>
      <c r="J16" t="inlineStr">
        <is>
          <t>Closed</t>
        </is>
      </c>
      <c r="K16" t="inlineStr">
        <is>
          <t>Strong grease smell from Pinnacle Clinic &amp; Surgery kitchen exhaust, residents above complaining.</t>
        </is>
      </c>
    </row>
    <row r="17">
      <c r="A17" t="inlineStr">
        <is>
          <t>FB-2026-00588</t>
        </is>
      </c>
      <c r="B17" s="6" t="n">
        <v>46207</v>
      </c>
      <c r="C17" t="inlineStr">
        <is>
          <t>MP Letter</t>
        </is>
      </c>
      <c r="D17" t="inlineStr">
        <is>
          <t>U-CD118-01-26</t>
        </is>
      </c>
      <c r="E17" t="inlineStr">
        <is>
          <t>PST</t>
        </is>
      </c>
      <c r="F17" t="inlineStr">
        <is>
          <t>Pest</t>
        </is>
      </c>
      <c r="G17" t="inlineStr">
        <is>
          <t>Medium</t>
        </is>
      </c>
      <c r="H17" t="inlineStr">
        <is>
          <t>Pest Control</t>
        </is>
      </c>
      <c r="I17" t="inlineStr">
        <is>
          <t>IEMS-2607-0013</t>
        </is>
      </c>
      <c r="J17" t="inlineStr">
        <is>
          <t>Closed</t>
        </is>
      </c>
      <c r="K17" t="inlineStr">
        <is>
          <t>Something wrong with Lotus Family Clinic Pte Ltd at Blk 118, water and smell all over the back lane. Please look into it.</t>
        </is>
      </c>
    </row>
    <row r="18">
      <c r="A18" t="inlineStr">
        <is>
          <t>FB-2026-00589</t>
        </is>
      </c>
      <c r="B18" s="6" t="n">
        <v>46207</v>
      </c>
      <c r="C18" t="inlineStr">
        <is>
          <t>CityFix App</t>
        </is>
      </c>
      <c r="D18" t="inlineStr">
        <is>
          <t>U-ST507-02-04</t>
        </is>
      </c>
      <c r="E18" t="inlineStr">
        <is>
          <t>PST</t>
        </is>
      </c>
      <c r="F18" t="inlineStr">
        <is>
          <t>Pest</t>
        </is>
      </c>
      <c r="G18" t="inlineStr">
        <is>
          <t>Medium</t>
        </is>
      </c>
      <c r="H18" t="inlineStr">
        <is>
          <t>Pest Control</t>
        </is>
      </c>
      <c r="I18" t="inlineStr">
        <is>
          <t>IEMS-2607-0014</t>
        </is>
      </c>
      <c r="J18" t="inlineStr">
        <is>
          <t>Closed</t>
        </is>
      </c>
      <c r="K18" t="inlineStr">
        <is>
          <t>Termites found eating the door frame of Evergreen Tuition Centre Pte Ltd (#02-04).</t>
        </is>
      </c>
    </row>
    <row r="19">
      <c r="A19" t="inlineStr">
        <is>
          <t>FB-2026-00590</t>
        </is>
      </c>
      <c r="B19" s="6" t="n">
        <v>46207</v>
      </c>
      <c r="C19" t="inlineStr">
        <is>
          <t>CityFix App</t>
        </is>
      </c>
      <c r="D19" t="inlineStr">
        <is>
          <t>U-PI627-01-33</t>
        </is>
      </c>
      <c r="E19" t="inlineStr">
        <is>
          <t>NOI</t>
        </is>
      </c>
      <c r="F19" t="inlineStr">
        <is>
          <t>Noise / Nuisance</t>
        </is>
      </c>
      <c r="G19" t="inlineStr">
        <is>
          <t>High</t>
        </is>
      </c>
      <c r="H19" t="inlineStr">
        <is>
          <t>Estate Compliance</t>
        </is>
      </c>
      <c r="J19" t="inlineStr">
        <is>
          <t>Closed</t>
        </is>
      </c>
      <c r="K19" t="inlineStr">
        <is>
          <t>Cosy Minimart Pte Ltd at Blk 627 operating till 2am with loud music. Residents cannot sleep.</t>
        </is>
      </c>
    </row>
    <row r="20">
      <c r="A20" t="inlineStr">
        <is>
          <t>FB-2026-00591</t>
        </is>
      </c>
      <c r="B20" s="6" t="n">
        <v>46207</v>
      </c>
      <c r="C20" t="inlineStr">
        <is>
          <t>MP Letter</t>
        </is>
      </c>
      <c r="D20" t="inlineStr">
        <is>
          <t>U-ST545-01-07</t>
        </is>
      </c>
      <c r="E20" t="inlineStr">
        <is>
          <t>PLB</t>
        </is>
      </c>
      <c r="F20" t="inlineStr">
        <is>
          <t>Plumbing &amp; Sanitary</t>
        </is>
      </c>
      <c r="G20" t="inlineStr">
        <is>
          <t>Medium</t>
        </is>
      </c>
      <c r="H20" t="inlineStr">
        <is>
          <t>M&amp;E</t>
        </is>
      </c>
      <c r="I20" t="inlineStr">
        <is>
          <t>IEMS-2607-0015</t>
        </is>
      </c>
      <c r="J20" t="inlineStr">
        <is>
          <t>Closed</t>
        </is>
      </c>
      <c r="K20" t="inlineStr">
        <is>
          <t>Toilet at rear of Blk 545 shops (near #01-07) cannot flush, pipe leaking.</t>
        </is>
      </c>
    </row>
    <row r="21">
      <c r="A21" t="inlineStr">
        <is>
          <t>FB-2026-00592</t>
        </is>
      </c>
      <c r="B21" s="6" t="n">
        <v>46207</v>
      </c>
      <c r="C21" t="inlineStr">
        <is>
          <t>Hotline</t>
        </is>
      </c>
      <c r="D21" t="inlineStr">
        <is>
          <t>U-KR368-01-09</t>
        </is>
      </c>
      <c r="E21" t="inlineStr">
        <is>
          <t>PLB</t>
        </is>
      </c>
      <c r="F21" t="inlineStr">
        <is>
          <t>Plumbing &amp; Sanitary</t>
        </is>
      </c>
      <c r="G21" t="inlineStr">
        <is>
          <t>Medium</t>
        </is>
      </c>
      <c r="H21" t="inlineStr">
        <is>
          <t>M&amp;E</t>
        </is>
      </c>
      <c r="J21" t="inlineStr">
        <is>
          <t>Closed</t>
        </is>
      </c>
      <c r="K21" t="inlineStr">
        <is>
          <t>Something wrong with Pinnacle Provision Shop at Blk 368, water and smell all over the back lane. Please look into it.</t>
        </is>
      </c>
    </row>
    <row r="22">
      <c r="A22" t="inlineStr">
        <is>
          <t>FB-2026-00593</t>
        </is>
      </c>
      <c r="B22" s="6" t="n">
        <v>46208</v>
      </c>
      <c r="C22" t="inlineStr">
        <is>
          <t>Walk-in</t>
        </is>
      </c>
      <c r="D22" t="inlineStr">
        <is>
          <t>U-PI614-01-05</t>
        </is>
      </c>
      <c r="E22" t="inlineStr">
        <is>
          <t>SEP</t>
        </is>
      </c>
      <c r="F22" t="inlineStr">
        <is>
          <t>Water Seepage / Leak</t>
        </is>
      </c>
      <c r="G22" t="inlineStr">
        <is>
          <t>Medium</t>
        </is>
      </c>
      <c r="H22" t="inlineStr">
        <is>
          <t>Civil &amp; Structural</t>
        </is>
      </c>
      <c r="I22" t="inlineStr">
        <is>
          <t>IEMS-2607-0016</t>
        </is>
      </c>
      <c r="J22" t="inlineStr">
        <is>
          <t>Closed</t>
        </is>
      </c>
      <c r="K22" t="inlineStr">
        <is>
          <t>Water seepage from the wall between #01-05 and next unit at Blk 614. Wall paint peeling, smells musty.</t>
        </is>
      </c>
    </row>
    <row r="23">
      <c r="A23" t="inlineStr">
        <is>
          <t>FB-2026-00594</t>
        </is>
      </c>
      <c r="B23" s="6" t="n">
        <v>46208</v>
      </c>
      <c r="C23" t="inlineStr">
        <is>
          <t>MP Letter</t>
        </is>
      </c>
      <c r="D23" t="inlineStr">
        <is>
          <t>U-BV204-01-07</t>
        </is>
      </c>
      <c r="E23" t="inlineStr">
        <is>
          <t>STR</t>
        </is>
      </c>
      <c r="F23" t="inlineStr">
        <is>
          <t>Structural</t>
        </is>
      </c>
      <c r="G23" t="inlineStr">
        <is>
          <t>High</t>
        </is>
      </c>
      <c r="H23" t="inlineStr">
        <is>
          <t>Civil &amp; Structural</t>
        </is>
      </c>
      <c r="I23" t="inlineStr">
        <is>
          <t>IEMS-2607-0017</t>
        </is>
      </c>
      <c r="J23" t="inlineStr">
        <is>
          <t>Closed</t>
        </is>
      </c>
      <c r="K23" t="inlineStr">
        <is>
          <t>THERE IS A LONG CRACK ON THE COLUMN BESIDE #01-07 BLK 204. GETTING BIGGER OVER THE PAST MONTH. PLEASE CHECK IF STRUCTURE IS SAFE.</t>
        </is>
      </c>
    </row>
    <row r="24">
      <c r="A24" t="inlineStr">
        <is>
          <t>FB-2026-00595</t>
        </is>
      </c>
      <c r="B24" s="6" t="n">
        <v>46208</v>
      </c>
      <c r="C24" t="inlineStr">
        <is>
          <t>CityFix App</t>
        </is>
      </c>
      <c r="D24" t="inlineStr">
        <is>
          <t>U-CD105-01-03</t>
        </is>
      </c>
      <c r="E24" t="inlineStr">
        <is>
          <t>PLB</t>
        </is>
      </c>
      <c r="F24" t="inlineStr">
        <is>
          <t>Plumbing &amp; Sanitary</t>
        </is>
      </c>
      <c r="G24" t="inlineStr">
        <is>
          <t>Medium</t>
        </is>
      </c>
      <c r="H24" t="inlineStr">
        <is>
          <t>M&amp;E</t>
        </is>
      </c>
      <c r="J24" t="inlineStr">
        <is>
          <t>Closed</t>
        </is>
      </c>
      <c r="K24" t="inlineStr">
        <is>
          <t>Something wrong with Hock Lee Laundry at Blk 105, water and smell all over the back lane. Please look into it.</t>
        </is>
      </c>
    </row>
    <row r="25">
      <c r="A25" t="inlineStr">
        <is>
          <t>FB-2026-00596</t>
        </is>
      </c>
      <c r="B25" s="6" t="n">
        <v>46209</v>
      </c>
      <c r="C25" t="inlineStr">
        <is>
          <t>CityFix App</t>
        </is>
      </c>
      <c r="D25" t="inlineStr">
        <is>
          <t>U-CD142-01-05</t>
        </is>
      </c>
      <c r="E25" t="inlineStr">
        <is>
          <t>NOI</t>
        </is>
      </c>
      <c r="F25" t="inlineStr">
        <is>
          <t>Noise / Nuisance</t>
        </is>
      </c>
      <c r="G25" t="inlineStr">
        <is>
          <t>Low</t>
        </is>
      </c>
      <c r="H25" t="inlineStr">
        <is>
          <t>Estate Compliance</t>
        </is>
      </c>
      <c r="J25" t="inlineStr">
        <is>
          <t>Closed</t>
        </is>
      </c>
      <c r="K25" t="inlineStr">
        <is>
          <t>Karaoke noise from #01-05 Cendana Street 11 every night.</t>
        </is>
      </c>
    </row>
    <row r="26">
      <c r="A26" t="inlineStr">
        <is>
          <t>FB-2026-00597</t>
        </is>
      </c>
      <c r="B26" s="6" t="n">
        <v>46209</v>
      </c>
      <c r="C26" t="inlineStr">
        <is>
          <t>Hotline</t>
        </is>
      </c>
      <c r="D26" t="inlineStr">
        <is>
          <t>U-PI609-01-03</t>
        </is>
      </c>
      <c r="E26" t="inlineStr">
        <is>
          <t>HYG</t>
        </is>
      </c>
      <c r="F26" t="inlineStr">
        <is>
          <t>Hygiene (Tenant)</t>
        </is>
      </c>
      <c r="G26" t="inlineStr">
        <is>
          <t>Low</t>
        </is>
      </c>
      <c r="H26" t="inlineStr">
        <is>
          <t>Estate Compliance</t>
        </is>
      </c>
      <c r="J26" t="inlineStr">
        <is>
          <t>Closed</t>
        </is>
      </c>
      <c r="K26" t="inlineStr">
        <is>
          <t>Shopfront of #01-03 Blk 609 very dirty, oil stains on the floor.</t>
        </is>
      </c>
    </row>
    <row r="27">
      <c r="A27" t="inlineStr">
        <is>
          <t>FB-2026-00598</t>
        </is>
      </c>
      <c r="B27" s="6" t="n">
        <v>46209</v>
      </c>
      <c r="C27" t="inlineStr">
        <is>
          <t>CityFix App</t>
        </is>
      </c>
      <c r="D27" t="inlineStr">
        <is>
          <t>U-KR318-02-10</t>
        </is>
      </c>
      <c r="E27" t="inlineStr">
        <is>
          <t>PST</t>
        </is>
      </c>
      <c r="F27" t="inlineStr">
        <is>
          <t>Pest</t>
        </is>
      </c>
      <c r="G27" t="inlineStr">
        <is>
          <t>Medium</t>
        </is>
      </c>
      <c r="H27" t="inlineStr">
        <is>
          <t>Pest Control</t>
        </is>
      </c>
      <c r="J27" t="inlineStr">
        <is>
          <t>Closed</t>
        </is>
      </c>
      <c r="K27" t="inlineStr">
        <is>
          <t>Lim's Clinic &amp; Surgery Pte Ltd renovation very noisy and dust everywhere, also something cracked on the wall??</t>
        </is>
      </c>
    </row>
    <row r="28">
      <c r="A28" t="inlineStr">
        <is>
          <t>FB-2026-00599</t>
        </is>
      </c>
      <c r="B28" s="6" t="n">
        <v>46209</v>
      </c>
      <c r="C28" t="inlineStr">
        <is>
          <t>Walk-in</t>
        </is>
      </c>
      <c r="D28" t="inlineStr">
        <is>
          <t>U-KR330-01-07</t>
        </is>
      </c>
      <c r="E28" t="inlineStr">
        <is>
          <t>SEP</t>
        </is>
      </c>
      <c r="F28" t="inlineStr">
        <is>
          <t>Water Seepage / Leak</t>
        </is>
      </c>
      <c r="G28" t="inlineStr">
        <is>
          <t>Medium</t>
        </is>
      </c>
      <c r="H28" t="inlineStr">
        <is>
          <t>Civil &amp; Structural</t>
        </is>
      </c>
      <c r="I28" t="inlineStr">
        <is>
          <t>IEMS-2607-0018</t>
        </is>
      </c>
      <c r="J28" t="inlineStr">
        <is>
          <t>Closed</t>
        </is>
      </c>
      <c r="K28" t="inlineStr">
        <is>
          <t>Roof slab above Blk 330 #01-07 leaking into shop. Have reported twice before!!</t>
        </is>
      </c>
    </row>
    <row r="29">
      <c r="A29" t="inlineStr">
        <is>
          <t>FB-2026-00600</t>
        </is>
      </c>
      <c r="B29" s="6" t="n">
        <v>46209</v>
      </c>
      <c r="C29" t="inlineStr">
        <is>
          <t>Hotline</t>
        </is>
      </c>
      <c r="D29" t="inlineStr">
        <is>
          <t>U-KR335-01-10</t>
        </is>
      </c>
      <c r="E29" t="inlineStr">
        <is>
          <t>STR</t>
        </is>
      </c>
      <c r="F29" t="inlineStr">
        <is>
          <t>Structural</t>
        </is>
      </c>
      <c r="G29" t="inlineStr">
        <is>
          <t>High</t>
        </is>
      </c>
      <c r="H29" t="inlineStr">
        <is>
          <t>Civil &amp; Structural</t>
        </is>
      </c>
      <c r="I29" t="inlineStr">
        <is>
          <t>IEMS-2607-0019</t>
        </is>
      </c>
      <c r="J29" t="inlineStr">
        <is>
          <t>Closed</t>
        </is>
      </c>
      <c r="K29" t="inlineStr">
        <is>
          <t>There is a long crack on the column beside #01-10 Blk 335. Getting bigger over the past month. Please check if structure is safe.</t>
        </is>
      </c>
    </row>
    <row r="30">
      <c r="A30" t="inlineStr">
        <is>
          <t>FB-2026-00601</t>
        </is>
      </c>
      <c r="B30" s="6" t="n">
        <v>46210</v>
      </c>
      <c r="C30" t="inlineStr">
        <is>
          <t>Hotline</t>
        </is>
      </c>
      <c r="D30" t="inlineStr">
        <is>
          <t>U-PI634-01-08</t>
        </is>
      </c>
      <c r="E30" t="inlineStr">
        <is>
          <t>HYG</t>
        </is>
      </c>
      <c r="F30" t="inlineStr">
        <is>
          <t>Hygiene (Tenant)</t>
        </is>
      </c>
      <c r="G30" t="inlineStr">
        <is>
          <t>Low</t>
        </is>
      </c>
      <c r="H30" t="inlineStr">
        <is>
          <t>Estate Compliance</t>
        </is>
      </c>
      <c r="J30" t="inlineStr">
        <is>
          <t>Closed</t>
        </is>
      </c>
      <c r="K30" t="inlineStr">
        <is>
          <t>Prima Flowers &amp; Gifts leaves rubbish bags outside the shop overnight, smelly and attracts flies. Blk 634.</t>
        </is>
      </c>
    </row>
    <row r="31">
      <c r="A31" t="inlineStr">
        <is>
          <t>FB-2026-00602</t>
        </is>
      </c>
      <c r="B31" s="6" t="n">
        <v>46210</v>
      </c>
      <c r="C31" t="inlineStr">
        <is>
          <t>Hotline</t>
        </is>
      </c>
      <c r="D31" t="inlineStr">
        <is>
          <t>U-KR345-01-11</t>
        </is>
      </c>
      <c r="E31" t="inlineStr">
        <is>
          <t>SEP</t>
        </is>
      </c>
      <c r="F31" t="inlineStr">
        <is>
          <t>Water Seepage / Leak</t>
        </is>
      </c>
      <c r="G31" t="inlineStr">
        <is>
          <t>Medium</t>
        </is>
      </c>
      <c r="H31" t="inlineStr">
        <is>
          <t>Civil &amp; Structural</t>
        </is>
      </c>
      <c r="J31" t="inlineStr">
        <is>
          <t>Closed</t>
        </is>
      </c>
      <c r="K31" t="inlineStr">
        <is>
          <t>Ceiling near Lakshmi Trading Pte Ltd wet and lights flickering, scared got short circuit.</t>
        </is>
      </c>
    </row>
    <row r="32">
      <c r="A32" t="inlineStr">
        <is>
          <t>FB-2026-00603</t>
        </is>
      </c>
      <c r="B32" s="6" t="n">
        <v>46211</v>
      </c>
      <c r="C32" t="inlineStr">
        <is>
          <t>Hotline</t>
        </is>
      </c>
      <c r="D32" t="inlineStr">
        <is>
          <t>U-RH471-01-01</t>
        </is>
      </c>
      <c r="E32" t="inlineStr">
        <is>
          <t>ELE</t>
        </is>
      </c>
      <c r="F32" t="inlineStr">
        <is>
          <t>Electrical</t>
        </is>
      </c>
      <c r="G32" t="inlineStr">
        <is>
          <t>High</t>
        </is>
      </c>
      <c r="H32" t="inlineStr">
        <is>
          <t>M&amp;E</t>
        </is>
      </c>
      <c r="I32" t="inlineStr">
        <is>
          <t>IEMS-2607-0020</t>
        </is>
      </c>
      <c r="J32" t="inlineStr">
        <is>
          <t>Closed</t>
        </is>
      </c>
      <c r="K32" t="inlineStr">
        <is>
          <t>Corridor lights in front of Kumar Eye Centre Pte Ltd not working for a week, very dark at night, unsafe.</t>
        </is>
      </c>
    </row>
    <row r="33">
      <c r="A33" t="inlineStr">
        <is>
          <t>FB-2026-00604</t>
        </is>
      </c>
      <c r="B33" s="6" t="n">
        <v>46211</v>
      </c>
      <c r="C33" t="inlineStr">
        <is>
          <t>MP Letter</t>
        </is>
      </c>
      <c r="D33" t="inlineStr">
        <is>
          <t>U-CD152-01-10</t>
        </is>
      </c>
      <c r="E33" t="inlineStr">
        <is>
          <t>ELE</t>
        </is>
      </c>
      <c r="F33" t="inlineStr">
        <is>
          <t>Electrical</t>
        </is>
      </c>
      <c r="G33" t="inlineStr">
        <is>
          <t>Low</t>
        </is>
      </c>
      <c r="H33" t="inlineStr">
        <is>
          <t>M&amp;E</t>
        </is>
      </c>
      <c r="I33" t="inlineStr">
        <is>
          <t>IEMS-2607-0021</t>
        </is>
      </c>
      <c r="J33" t="inlineStr">
        <is>
          <t>Closed</t>
        </is>
      </c>
      <c r="K33" t="inlineStr">
        <is>
          <t>Power keeps tripping for the row of shops at Blk 152 incl Ong &amp; Sons Aquarium &amp; Pets Pte Ltd. Fridges affected, food spoiling.</t>
        </is>
      </c>
    </row>
    <row r="34">
      <c r="A34" t="inlineStr">
        <is>
          <t>FB-2026-00605</t>
        </is>
      </c>
      <c r="B34" s="6" t="n">
        <v>46211</v>
      </c>
      <c r="C34" t="inlineStr">
        <is>
          <t>Walk-in</t>
        </is>
      </c>
      <c r="D34" t="inlineStr">
        <is>
          <t>U-PI627-01-10</t>
        </is>
      </c>
      <c r="E34" t="inlineStr">
        <is>
          <t>PLB</t>
        </is>
      </c>
      <c r="F34" t="inlineStr">
        <is>
          <t>Plumbing &amp; Sanitary</t>
        </is>
      </c>
      <c r="G34" t="inlineStr">
        <is>
          <t>Low</t>
        </is>
      </c>
      <c r="H34" t="inlineStr">
        <is>
          <t>M&amp;E</t>
        </is>
      </c>
      <c r="I34" t="inlineStr">
        <is>
          <t>IEMS-2607-0022</t>
        </is>
      </c>
      <c r="J34" t="inlineStr">
        <is>
          <t>Closed</t>
        </is>
      </c>
      <c r="K34" t="inlineStr">
        <is>
          <t>BURST PIPE NEAR #01-10 PASIR INDAH STREET 62, WATER GUSHING OUT. PLEASE SEND PLUMBER ASAP.</t>
        </is>
      </c>
    </row>
    <row r="35">
      <c r="A35" t="inlineStr">
        <is>
          <t>FB-2026-00606</t>
        </is>
      </c>
      <c r="B35" s="6" t="n">
        <v>46211</v>
      </c>
      <c r="C35" t="inlineStr">
        <is>
          <t>MP Letter</t>
        </is>
      </c>
      <c r="D35" t="inlineStr">
        <is>
          <t>U-PI657-02-01</t>
        </is>
      </c>
      <c r="E35" t="inlineStr">
        <is>
          <t>ENC</t>
        </is>
      </c>
      <c r="F35" t="inlineStr">
        <is>
          <t>Obstruction / Encroachment</t>
        </is>
      </c>
      <c r="G35" t="inlineStr">
        <is>
          <t>Low</t>
        </is>
      </c>
      <c r="H35" t="inlineStr">
        <is>
          <t>Estate Compliance</t>
        </is>
      </c>
      <c r="J35" t="inlineStr">
        <is>
          <t>Closed</t>
        </is>
      </c>
      <c r="K35" t="inlineStr">
        <is>
          <t>Racks of Old Town Consultancy (#02-01) placed beyond the yellow line, blocking pedestrians.</t>
        </is>
      </c>
    </row>
    <row r="36">
      <c r="A36" t="inlineStr">
        <is>
          <t>FB-2026-00607</t>
        </is>
      </c>
      <c r="B36" s="6" t="n">
        <v>46212</v>
      </c>
      <c r="C36" t="inlineStr">
        <is>
          <t>CityFix App</t>
        </is>
      </c>
      <c r="D36" t="inlineStr">
        <is>
          <t>U-RH466-01-07</t>
        </is>
      </c>
      <c r="E36" t="inlineStr">
        <is>
          <t>ENC</t>
        </is>
      </c>
      <c r="F36" t="inlineStr">
        <is>
          <t>Obstruction / Encroachment</t>
        </is>
      </c>
      <c r="G36" t="inlineStr">
        <is>
          <t>Low</t>
        </is>
      </c>
      <c r="H36" t="inlineStr">
        <is>
          <t>Estate Compliance</t>
        </is>
      </c>
      <c r="J36" t="inlineStr">
        <is>
          <t>Closed</t>
        </is>
      </c>
      <c r="K36" t="inlineStr">
        <is>
          <t>Racks of Smart Kids Bakery (#01-07) placed beyond the yellow line, blocking pedestrians.</t>
        </is>
      </c>
    </row>
    <row r="37">
      <c r="A37" t="inlineStr">
        <is>
          <t>FB-2026-00608</t>
        </is>
      </c>
      <c r="B37" s="6" t="n">
        <v>46213</v>
      </c>
      <c r="C37" t="inlineStr">
        <is>
          <t>CityFix App</t>
        </is>
      </c>
      <c r="D37" t="inlineStr">
        <is>
          <t>U-ST513-01-08</t>
        </is>
      </c>
      <c r="E37" t="inlineStr">
        <is>
          <t>ENC</t>
        </is>
      </c>
      <c r="F37" t="inlineStr">
        <is>
          <t>Obstruction / Encroachment</t>
        </is>
      </c>
      <c r="G37" t="inlineStr">
        <is>
          <t>Low</t>
        </is>
      </c>
      <c r="H37" t="inlineStr">
        <is>
          <t>Estate Compliance</t>
        </is>
      </c>
      <c r="J37" t="inlineStr">
        <is>
          <t>Closed</t>
        </is>
      </c>
      <c r="K37" t="inlineStr">
        <is>
          <t>Racks of Kian Huat Medical Hall Pte Ltd (#01-08) placed beyond the yellow line, blocking pedestrians.</t>
        </is>
      </c>
    </row>
    <row r="38">
      <c r="A38" t="inlineStr">
        <is>
          <t>FB-2026-00609</t>
        </is>
      </c>
      <c r="B38" s="6" t="n">
        <v>46214</v>
      </c>
      <c r="C38" t="inlineStr">
        <is>
          <t>CityFix App</t>
        </is>
      </c>
      <c r="D38" t="inlineStr">
        <is>
          <t>U-RH466-01-03</t>
        </is>
      </c>
      <c r="E38" t="inlineStr">
        <is>
          <t>HYG</t>
        </is>
      </c>
      <c r="F38" t="inlineStr">
        <is>
          <t>Hygiene (Tenant)</t>
        </is>
      </c>
      <c r="G38" t="inlineStr">
        <is>
          <t>Low</t>
        </is>
      </c>
      <c r="H38" t="inlineStr">
        <is>
          <t>Estate Compliance</t>
        </is>
      </c>
      <c r="J38" t="inlineStr">
        <is>
          <t>Closed</t>
        </is>
      </c>
      <c r="K38" t="inlineStr">
        <is>
          <t>Hock Lee Fruits Pte Ltd leaves rubbish bags outside the shop overnight, smelly and attracts flies. Blk 466.</t>
        </is>
      </c>
    </row>
    <row r="39">
      <c r="A39" t="inlineStr">
        <is>
          <t>FB-2026-00610</t>
        </is>
      </c>
      <c r="B39" s="6" t="n">
        <v>46214</v>
      </c>
      <c r="C39" t="inlineStr">
        <is>
          <t>Hotline</t>
        </is>
      </c>
      <c r="D39" t="inlineStr">
        <is>
          <t>U-KR330-01-01</t>
        </is>
      </c>
      <c r="E39" t="inlineStr">
        <is>
          <t>PST</t>
        </is>
      </c>
      <c r="F39" t="inlineStr">
        <is>
          <t>Pest</t>
        </is>
      </c>
      <c r="G39" t="inlineStr">
        <is>
          <t>Medium</t>
        </is>
      </c>
      <c r="H39" t="inlineStr">
        <is>
          <t>Pest Control</t>
        </is>
      </c>
      <c r="I39" t="inlineStr">
        <is>
          <t>IEMS-2607-0023</t>
        </is>
      </c>
      <c r="J39" t="inlineStr">
        <is>
          <t>Closed</t>
        </is>
      </c>
      <c r="K39" t="inlineStr">
        <is>
          <t>Many rats running around the bin area behind Rainbow Remittance Pte Ltd, Blk 330.</t>
        </is>
      </c>
    </row>
    <row r="40">
      <c r="A40" t="inlineStr">
        <is>
          <t>FB-2026-00611</t>
        </is>
      </c>
      <c r="B40" s="6" t="n">
        <v>46214</v>
      </c>
      <c r="C40" t="inlineStr">
        <is>
          <t>Hotline</t>
        </is>
      </c>
      <c r="D40" t="inlineStr">
        <is>
          <t>U-BV214-01-25</t>
        </is>
      </c>
      <c r="E40" t="inlineStr">
        <is>
          <t>NOI</t>
        </is>
      </c>
      <c r="F40" t="inlineStr">
        <is>
          <t>Noise / Nuisance</t>
        </is>
      </c>
      <c r="G40" t="inlineStr">
        <is>
          <t>Low</t>
        </is>
      </c>
      <c r="H40" t="inlineStr">
        <is>
          <t>Estate Compliance</t>
        </is>
      </c>
      <c r="J40" t="inlineStr">
        <is>
          <t>Closed</t>
        </is>
      </c>
      <c r="K40" t="inlineStr">
        <is>
          <t>Delivery lorry unloading at 5am for Thye Hin Florist Pte Ltd, very noisy.</t>
        </is>
      </c>
    </row>
    <row r="41">
      <c r="A41" t="inlineStr">
        <is>
          <t>FB-2026-00612</t>
        </is>
      </c>
      <c r="B41" s="6" t="n">
        <v>46215</v>
      </c>
      <c r="C41" t="inlineStr">
        <is>
          <t>Email</t>
        </is>
      </c>
      <c r="D41" t="inlineStr">
        <is>
          <t>U-CD118-01-12</t>
        </is>
      </c>
      <c r="E41" t="inlineStr">
        <is>
          <t>ELE</t>
        </is>
      </c>
      <c r="F41" t="inlineStr">
        <is>
          <t>Electrical</t>
        </is>
      </c>
      <c r="G41" t="inlineStr">
        <is>
          <t>High</t>
        </is>
      </c>
      <c r="H41" t="inlineStr">
        <is>
          <t>M&amp;E</t>
        </is>
      </c>
      <c r="I41" t="inlineStr">
        <is>
          <t>IEMS-2607-0024</t>
        </is>
      </c>
      <c r="J41" t="inlineStr">
        <is>
          <t>Closed</t>
        </is>
      </c>
      <c r="K41" t="inlineStr">
        <is>
          <t>Ceiling near Everbright Bookstore wet and lights flickering, scared got short circuit.</t>
        </is>
      </c>
    </row>
    <row r="42">
      <c r="A42" t="inlineStr">
        <is>
          <t>FB-2026-00613</t>
        </is>
      </c>
      <c r="B42" s="6" t="n">
        <v>46215</v>
      </c>
      <c r="C42" t="inlineStr">
        <is>
          <t>CityFix App</t>
        </is>
      </c>
      <c r="D42" t="inlineStr">
        <is>
          <t>U-KR305-01-22</t>
        </is>
      </c>
      <c r="E42" t="inlineStr">
        <is>
          <t>NOI</t>
        </is>
      </c>
      <c r="F42" t="inlineStr">
        <is>
          <t>Noise / Nuisance</t>
        </is>
      </c>
      <c r="G42" t="inlineStr">
        <is>
          <t>Low</t>
        </is>
      </c>
      <c r="H42" t="inlineStr">
        <is>
          <t>Estate Compliance</t>
        </is>
      </c>
      <c r="J42" t="inlineStr">
        <is>
          <t>Closed</t>
        </is>
      </c>
      <c r="K42" t="inlineStr">
        <is>
          <t>KARAOKE NOISE FROM #01-22 KEBUN RAYA AVENUE 3 EVERY NIGHT.</t>
        </is>
      </c>
    </row>
    <row r="43">
      <c r="A43" t="inlineStr">
        <is>
          <t>FB-2026-00614</t>
        </is>
      </c>
      <c r="B43" s="6" t="n">
        <v>46215</v>
      </c>
      <c r="C43" t="inlineStr">
        <is>
          <t>Email</t>
        </is>
      </c>
      <c r="D43" t="inlineStr">
        <is>
          <t>U-ST583-01-02</t>
        </is>
      </c>
      <c r="E43" t="inlineStr">
        <is>
          <t>FIR</t>
        </is>
      </c>
      <c r="F43" t="inlineStr">
        <is>
          <t>Fire Safety</t>
        </is>
      </c>
      <c r="G43" t="inlineStr">
        <is>
          <t>Critical</t>
        </is>
      </c>
      <c r="H43" t="inlineStr">
        <is>
          <t>Estate Compliance</t>
        </is>
      </c>
      <c r="I43" t="inlineStr">
        <is>
          <t>IEMS-2607-0025</t>
        </is>
      </c>
      <c r="J43" t="inlineStr">
        <is>
          <t>Closed</t>
        </is>
      </c>
      <c r="K43" t="inlineStr">
        <is>
          <t>The area near #01-02 Sungai Tinggi Street 52 is in bad condition. Lights, dirt, everything. Fix pls.</t>
        </is>
      </c>
    </row>
    <row r="44">
      <c r="A44" t="inlineStr">
        <is>
          <t>FB-2026-00615</t>
        </is>
      </c>
      <c r="B44" s="6" t="n">
        <v>46215</v>
      </c>
      <c r="C44" t="inlineStr">
        <is>
          <t>CityFix App</t>
        </is>
      </c>
      <c r="D44" t="inlineStr">
        <is>
          <t>U-CD165-01-07</t>
        </is>
      </c>
      <c r="E44" t="inlineStr">
        <is>
          <t>SEP</t>
        </is>
      </c>
      <c r="F44" t="inlineStr">
        <is>
          <t>Water Seepage / Leak</t>
        </is>
      </c>
      <c r="G44" t="inlineStr">
        <is>
          <t>Medium</t>
        </is>
      </c>
      <c r="H44" t="inlineStr">
        <is>
          <t>Civil &amp; Structural</t>
        </is>
      </c>
      <c r="I44" t="inlineStr">
        <is>
          <t>IEMS-2607-0026</t>
        </is>
      </c>
      <c r="J44" t="inlineStr">
        <is>
          <t>Closed</t>
        </is>
      </c>
      <c r="K44" t="inlineStr">
        <is>
          <t>Water seepage from the wall between #01-07 and next unit at Blk 165. Wall paint peeling, smells musty.</t>
        </is>
      </c>
    </row>
    <row r="45">
      <c r="A45" t="inlineStr">
        <is>
          <t>FB-2026-00616</t>
        </is>
      </c>
      <c r="B45" s="6" t="n">
        <v>46215</v>
      </c>
      <c r="C45" t="inlineStr">
        <is>
          <t>Hotline</t>
        </is>
      </c>
      <c r="D45" t="inlineStr">
        <is>
          <t>U-RH491-01-12</t>
        </is>
      </c>
      <c r="E45" t="inlineStr">
        <is>
          <t>PST</t>
        </is>
      </c>
      <c r="F45" t="inlineStr">
        <is>
          <t>Pest</t>
        </is>
      </c>
      <c r="G45" t="inlineStr">
        <is>
          <t>Medium</t>
        </is>
      </c>
      <c r="H45" t="inlineStr">
        <is>
          <t>Pest Control</t>
        </is>
      </c>
      <c r="I45" t="inlineStr">
        <is>
          <t>IEMS-2607-0027</t>
        </is>
      </c>
      <c r="J45" t="inlineStr">
        <is>
          <t>Closed</t>
        </is>
      </c>
      <c r="K45" t="inlineStr">
        <is>
          <t>MANY RATS RUNNING AROUND THE BIN AREA BEHIND ANANDA BEAUTY &amp; HAIR PTE LTD, BLK 491.</t>
        </is>
      </c>
    </row>
    <row r="46">
      <c r="A46" t="inlineStr">
        <is>
          <t>FB-2026-00617</t>
        </is>
      </c>
      <c r="B46" s="6" t="n">
        <v>46216</v>
      </c>
      <c r="C46" t="inlineStr">
        <is>
          <t>Email</t>
        </is>
      </c>
      <c r="D46" t="inlineStr">
        <is>
          <t>U-ST590-01-10</t>
        </is>
      </c>
      <c r="E46" t="inlineStr">
        <is>
          <t>CMN</t>
        </is>
      </c>
      <c r="F46" t="inlineStr">
        <is>
          <t>Common Area (Town Council)</t>
        </is>
      </c>
      <c r="G46" t="inlineStr">
        <is>
          <t>Low</t>
        </is>
      </c>
      <c r="H46" t="inlineStr">
        <is>
          <t>Town Council Liaison</t>
        </is>
      </c>
      <c r="J46" t="inlineStr">
        <is>
          <t>Closed</t>
        </is>
      </c>
      <c r="K46" t="inlineStr">
        <is>
          <t>Lift lobby lights near the shops at Blk 590 faulty.</t>
        </is>
      </c>
    </row>
    <row r="47">
      <c r="A47" t="inlineStr">
        <is>
          <t>FB-2026-00618</t>
        </is>
      </c>
      <c r="B47" s="6" t="n">
        <v>46216</v>
      </c>
      <c r="C47" t="inlineStr">
        <is>
          <t>Email</t>
        </is>
      </c>
      <c r="D47" t="inlineStr">
        <is>
          <t>U-PI609-01-06</t>
        </is>
      </c>
      <c r="E47" t="inlineStr">
        <is>
          <t>SEP</t>
        </is>
      </c>
      <c r="F47" t="inlineStr">
        <is>
          <t>Water Seepage / Leak</t>
        </is>
      </c>
      <c r="G47" t="inlineStr">
        <is>
          <t>Medium</t>
        </is>
      </c>
      <c r="H47" t="inlineStr">
        <is>
          <t>Civil &amp; Structural</t>
        </is>
      </c>
      <c r="I47" t="inlineStr">
        <is>
          <t>IEMS-2607-0028</t>
        </is>
      </c>
      <c r="J47" t="inlineStr">
        <is>
          <t>Closed</t>
        </is>
      </c>
      <c r="K47" t="inlineStr">
        <is>
          <t>Water seepage from the wall between #01-06 and next unit at Blk 609. Wall paint peeling, smells musty.</t>
        </is>
      </c>
    </row>
    <row r="48">
      <c r="A48" t="inlineStr">
        <is>
          <t>FB-2026-00619</t>
        </is>
      </c>
      <c r="B48" s="6" t="n">
        <v>46216</v>
      </c>
      <c r="C48" t="inlineStr">
        <is>
          <t>CityFix App</t>
        </is>
      </c>
      <c r="D48" t="inlineStr">
        <is>
          <t>U-CD109-01-05</t>
        </is>
      </c>
      <c r="E48" t="inlineStr">
        <is>
          <t>NOI</t>
        </is>
      </c>
      <c r="F48" t="inlineStr">
        <is>
          <t>Noise / Nuisance</t>
        </is>
      </c>
      <c r="G48" t="inlineStr">
        <is>
          <t>Low</t>
        </is>
      </c>
      <c r="H48" t="inlineStr">
        <is>
          <t>Estate Compliance</t>
        </is>
      </c>
      <c r="J48" t="inlineStr">
        <is>
          <t>Closed</t>
        </is>
      </c>
      <c r="K48" t="inlineStr">
        <is>
          <t>Delivery lorry unloading at 5am for Cosy Education Hub, very noisy.</t>
        </is>
      </c>
    </row>
    <row r="49">
      <c r="A49" t="inlineStr">
        <is>
          <t>FB-2026-00620</t>
        </is>
      </c>
      <c r="B49" s="6" t="n">
        <v>46217</v>
      </c>
      <c r="C49" t="inlineStr">
        <is>
          <t>Hotline</t>
        </is>
      </c>
      <c r="D49" t="inlineStr">
        <is>
          <t>U-PI627-01-24</t>
        </is>
      </c>
      <c r="E49" t="inlineStr">
        <is>
          <t>SEP</t>
        </is>
      </c>
      <c r="F49" t="inlineStr">
        <is>
          <t>Water Seepage / Leak</t>
        </is>
      </c>
      <c r="G49" t="inlineStr">
        <is>
          <t>Medium</t>
        </is>
      </c>
      <c r="H49" t="inlineStr">
        <is>
          <t>Civil &amp; Structural</t>
        </is>
      </c>
      <c r="I49" t="inlineStr">
        <is>
          <t>IEMS-2607-0029</t>
        </is>
      </c>
      <c r="J49" t="inlineStr">
        <is>
          <t>Closed</t>
        </is>
      </c>
      <c r="K49" t="inlineStr">
        <is>
          <t>Water seepage from the wall between #01-24 and next unit at Blk 627. Wall paint peeling, smells musty.</t>
        </is>
      </c>
    </row>
    <row r="50">
      <c r="A50" t="inlineStr">
        <is>
          <t>FB-2026-00621</t>
        </is>
      </c>
      <c r="B50" s="6" t="n">
        <v>46218</v>
      </c>
      <c r="C50" t="inlineStr">
        <is>
          <t>Walk-in</t>
        </is>
      </c>
      <c r="D50" t="inlineStr">
        <is>
          <t>U-CD108-01-06</t>
        </is>
      </c>
      <c r="E50" t="inlineStr">
        <is>
          <t>HYG</t>
        </is>
      </c>
      <c r="F50" t="inlineStr">
        <is>
          <t>Hygiene (Tenant)</t>
        </is>
      </c>
      <c r="G50" t="inlineStr">
        <is>
          <t>Medium</t>
        </is>
      </c>
      <c r="H50" t="inlineStr">
        <is>
          <t>Estate Compliance</t>
        </is>
      </c>
      <c r="J50" t="inlineStr">
        <is>
          <t>Closed</t>
        </is>
      </c>
      <c r="K50" t="inlineStr">
        <is>
          <t>Shopfront of #01-06 Blk 108 very dirty, oil stains on the floor.</t>
        </is>
      </c>
    </row>
    <row r="51">
      <c r="A51" t="inlineStr">
        <is>
          <t>FB-2026-00622</t>
        </is>
      </c>
      <c r="B51" s="6" t="n">
        <v>46218</v>
      </c>
      <c r="C51" t="inlineStr">
        <is>
          <t>MP Letter</t>
        </is>
      </c>
      <c r="D51" t="inlineStr">
        <is>
          <t>U-ST501-01-08</t>
        </is>
      </c>
      <c r="E51" t="inlineStr">
        <is>
          <t>OTH</t>
        </is>
      </c>
      <c r="F51" t="inlineStr">
        <is>
          <t>General Enquiry / Non-defect</t>
        </is>
      </c>
      <c r="G51" t="inlineStr">
        <is>
          <t>Low</t>
        </is>
      </c>
      <c r="H51" t="inlineStr">
        <is>
          <t>Customer Relations</t>
        </is>
      </c>
      <c r="J51" t="inlineStr">
        <is>
          <t>Closed</t>
        </is>
      </c>
      <c r="K51" t="inlineStr">
        <is>
          <t>Would like to compliment the staff of Soon Hin Optical for being helpful.</t>
        </is>
      </c>
    </row>
    <row r="52">
      <c r="A52" t="inlineStr">
        <is>
          <t>FB-2026-00623</t>
        </is>
      </c>
      <c r="B52" s="6" t="n">
        <v>46219</v>
      </c>
      <c r="C52" t="inlineStr">
        <is>
          <t>Hotline</t>
        </is>
      </c>
      <c r="D52" t="inlineStr">
        <is>
          <t>U-KR353-01-09</t>
        </is>
      </c>
      <c r="E52" t="inlineStr">
        <is>
          <t>CMN</t>
        </is>
      </c>
      <c r="F52" t="inlineStr">
        <is>
          <t>Common Area (Town Council)</t>
        </is>
      </c>
      <c r="G52" t="inlineStr">
        <is>
          <t>Low</t>
        </is>
      </c>
      <c r="H52" t="inlineStr">
        <is>
          <t>Town Council Liaison</t>
        </is>
      </c>
      <c r="J52" t="inlineStr">
        <is>
          <t>Closed</t>
        </is>
      </c>
      <c r="K52" t="inlineStr">
        <is>
          <t>Lift lobby lights near the shops at Blk 353 faulty.</t>
        </is>
      </c>
    </row>
    <row r="53">
      <c r="A53" t="inlineStr">
        <is>
          <t>FB-2026-00624</t>
        </is>
      </c>
      <c r="B53" s="6" t="n">
        <v>46219</v>
      </c>
      <c r="C53" t="inlineStr">
        <is>
          <t>Walk-in</t>
        </is>
      </c>
      <c r="D53" t="inlineStr">
        <is>
          <t>U-PI634-02-03</t>
        </is>
      </c>
      <c r="E53" t="inlineStr">
        <is>
          <t>HYG</t>
        </is>
      </c>
      <c r="F53" t="inlineStr">
        <is>
          <t>Hygiene (Tenant)</t>
        </is>
      </c>
      <c r="G53" t="inlineStr">
        <is>
          <t>Low</t>
        </is>
      </c>
      <c r="H53" t="inlineStr">
        <is>
          <t>Estate Compliance</t>
        </is>
      </c>
      <c r="J53" t="inlineStr">
        <is>
          <t>Closed</t>
        </is>
      </c>
      <c r="K53" t="inlineStr">
        <is>
          <t>Strong grease smell from Smart Kids Medical Clinic kitchen exhaust, residents above complaining.</t>
        </is>
      </c>
    </row>
    <row r="54">
      <c r="A54" t="inlineStr">
        <is>
          <t>FB-2026-00625</t>
        </is>
      </c>
      <c r="B54" s="6" t="n">
        <v>46219</v>
      </c>
      <c r="C54" t="inlineStr">
        <is>
          <t>Hotline</t>
        </is>
      </c>
      <c r="D54" t="inlineStr">
        <is>
          <t>U-CD109-01-09</t>
        </is>
      </c>
      <c r="E54" t="inlineStr">
        <is>
          <t>PLB</t>
        </is>
      </c>
      <c r="F54" t="inlineStr">
        <is>
          <t>Plumbing &amp; Sanitary</t>
        </is>
      </c>
      <c r="G54" t="inlineStr">
        <is>
          <t>Medium</t>
        </is>
      </c>
      <c r="H54" t="inlineStr">
        <is>
          <t>M&amp;E</t>
        </is>
      </c>
      <c r="I54" t="inlineStr">
        <is>
          <t>IEMS-2607-0030</t>
        </is>
      </c>
      <c r="J54" t="inlineStr">
        <is>
          <t>Closed</t>
        </is>
      </c>
      <c r="K54" t="inlineStr">
        <is>
          <t>Floor trap at the back of Fortune Dental Care choked, dirty water overflowing to common corridor Blk 109.</t>
        </is>
      </c>
    </row>
    <row r="55">
      <c r="A55" t="inlineStr">
        <is>
          <t>FB-2026-00626</t>
        </is>
      </c>
      <c r="B55" s="6" t="n">
        <v>46219</v>
      </c>
      <c r="C55" t="inlineStr">
        <is>
          <t>CityFix App</t>
        </is>
      </c>
      <c r="D55" t="inlineStr">
        <is>
          <t>U-KR335-01-12</t>
        </is>
      </c>
      <c r="E55" t="inlineStr">
        <is>
          <t>SEP</t>
        </is>
      </c>
      <c r="F55" t="inlineStr">
        <is>
          <t>Water Seepage / Leak</t>
        </is>
      </c>
      <c r="G55" t="inlineStr">
        <is>
          <t>Medium</t>
        </is>
      </c>
      <c r="H55" t="inlineStr">
        <is>
          <t>Civil &amp; Structural</t>
        </is>
      </c>
      <c r="I55" t="inlineStr">
        <is>
          <t>IEMS-2607-0031</t>
        </is>
      </c>
      <c r="J55" t="inlineStr">
        <is>
          <t>Closed</t>
        </is>
      </c>
      <c r="K55" t="inlineStr">
        <is>
          <t>Water seepage from the wall between #01-12 and next unit at Blk 335. Wall paint peeling, smells musty.</t>
        </is>
      </c>
    </row>
    <row r="56">
      <c r="A56" t="inlineStr">
        <is>
          <t>FB-2026-00627</t>
        </is>
      </c>
      <c r="B56" s="6" t="n">
        <v>46220</v>
      </c>
      <c r="C56" t="inlineStr">
        <is>
          <t>Walk-in</t>
        </is>
      </c>
      <c r="D56" t="inlineStr">
        <is>
          <t>U-PI684-01-03</t>
        </is>
      </c>
      <c r="E56" t="inlineStr">
        <is>
          <t>SEP</t>
        </is>
      </c>
      <c r="F56" t="inlineStr">
        <is>
          <t>Water Seepage / Leak</t>
        </is>
      </c>
      <c r="G56" t="inlineStr">
        <is>
          <t>Medium</t>
        </is>
      </c>
      <c r="H56" t="inlineStr">
        <is>
          <t>Civil &amp; Structural</t>
        </is>
      </c>
      <c r="I56" t="inlineStr">
        <is>
          <t>IEMS-2607-0032</t>
        </is>
      </c>
      <c r="J56" t="inlineStr">
        <is>
          <t>Closed</t>
        </is>
      </c>
      <c r="K56" t="inlineStr">
        <is>
          <t>Ceiling leaking inside Hup Seng Clinic &amp; Surgery (#01-03) whenever it rains. Water stains and some stock damaged.</t>
        </is>
      </c>
    </row>
    <row r="57">
      <c r="A57" t="inlineStr">
        <is>
          <t>FB-2026-00628</t>
        </is>
      </c>
      <c r="B57" s="6" t="n">
        <v>46220</v>
      </c>
      <c r="C57" t="inlineStr">
        <is>
          <t>Email</t>
        </is>
      </c>
      <c r="D57" t="inlineStr">
        <is>
          <t>U-KR379-01-07</t>
        </is>
      </c>
      <c r="E57" t="inlineStr">
        <is>
          <t>STR</t>
        </is>
      </c>
      <c r="F57" t="inlineStr">
        <is>
          <t>Structural</t>
        </is>
      </c>
      <c r="G57" t="inlineStr">
        <is>
          <t>High</t>
        </is>
      </c>
      <c r="H57" t="inlineStr">
        <is>
          <t>Civil &amp; Structural</t>
        </is>
      </c>
      <c r="J57" t="inlineStr">
        <is>
          <t>Closed</t>
        </is>
      </c>
      <c r="K57" t="inlineStr">
        <is>
          <t>Ceiling near Golden Leaf Hardware &amp; Electrical Pte Ltd wet and lights flickering, scared got short circuit.</t>
        </is>
      </c>
    </row>
    <row r="58">
      <c r="A58" t="inlineStr">
        <is>
          <t>FB-2026-00629</t>
        </is>
      </c>
      <c r="B58" s="6" t="n">
        <v>46220</v>
      </c>
      <c r="C58" t="inlineStr">
        <is>
          <t>Email</t>
        </is>
      </c>
      <c r="D58" t="inlineStr">
        <is>
          <t>U-PI693-01-03</t>
        </is>
      </c>
      <c r="E58" t="inlineStr">
        <is>
          <t>PST</t>
        </is>
      </c>
      <c r="F58" t="inlineStr">
        <is>
          <t>Pest</t>
        </is>
      </c>
      <c r="G58" t="inlineStr">
        <is>
          <t>Medium</t>
        </is>
      </c>
      <c r="H58" t="inlineStr">
        <is>
          <t>Pest Control</t>
        </is>
      </c>
      <c r="J58" t="inlineStr">
        <is>
          <t>Closed</t>
        </is>
      </c>
      <c r="K58" t="inlineStr">
        <is>
          <t>Ceiling near Kumar Telecom wet and lights flickering, scared got short circuit.</t>
        </is>
      </c>
    </row>
    <row r="59">
      <c r="A59" t="inlineStr">
        <is>
          <t>FB-2026-00630</t>
        </is>
      </c>
      <c r="B59" s="6" t="n">
        <v>46220</v>
      </c>
      <c r="C59" t="inlineStr">
        <is>
          <t>Walk-in</t>
        </is>
      </c>
      <c r="D59" t="inlineStr">
        <is>
          <t>U-CD135-01-07</t>
        </is>
      </c>
      <c r="E59" t="inlineStr">
        <is>
          <t>ENC</t>
        </is>
      </c>
      <c r="F59" t="inlineStr">
        <is>
          <t>Obstruction / Encroachment</t>
        </is>
      </c>
      <c r="G59" t="inlineStr">
        <is>
          <t>Low</t>
        </is>
      </c>
      <c r="H59" t="inlineStr">
        <is>
          <t>Estate Compliance</t>
        </is>
      </c>
      <c r="J59" t="inlineStr">
        <is>
          <t>Closed</t>
        </is>
      </c>
      <c r="K59" t="inlineStr">
        <is>
          <t>Tables and chairs of Hometown Minimart occupying the corridor, Jalan Cendana Indah.</t>
        </is>
      </c>
    </row>
    <row r="60">
      <c r="A60" t="inlineStr">
        <is>
          <t>FB-2026-00631</t>
        </is>
      </c>
      <c r="B60" s="6" t="n">
        <v>46222</v>
      </c>
      <c r="C60" t="inlineStr">
        <is>
          <t>Walk-in</t>
        </is>
      </c>
      <c r="D60" t="inlineStr">
        <is>
          <t>U-RH425-01-06</t>
        </is>
      </c>
      <c r="E60" t="inlineStr">
        <is>
          <t>HYG</t>
        </is>
      </c>
      <c r="F60" t="inlineStr">
        <is>
          <t>Hygiene (Tenant)</t>
        </is>
      </c>
      <c r="G60" t="inlineStr">
        <is>
          <t>Low</t>
        </is>
      </c>
      <c r="H60" t="inlineStr">
        <is>
          <t>Estate Compliance</t>
        </is>
      </c>
      <c r="J60" t="inlineStr">
        <is>
          <t>Closed</t>
        </is>
      </c>
      <c r="K60" t="inlineStr">
        <is>
          <t>Shopfront of #01-06 Blk 425 very dirty, oil stains on the floor.</t>
        </is>
      </c>
    </row>
    <row r="61">
      <c r="A61" t="inlineStr">
        <is>
          <t>FB-2026-00632</t>
        </is>
      </c>
      <c r="B61" s="6" t="n">
        <v>46222</v>
      </c>
      <c r="C61" t="inlineStr">
        <is>
          <t>Walk-in</t>
        </is>
      </c>
      <c r="D61" t="inlineStr">
        <is>
          <t>U-PI615-01-12</t>
        </is>
      </c>
      <c r="E61" t="inlineStr">
        <is>
          <t>NOI</t>
        </is>
      </c>
      <c r="F61" t="inlineStr">
        <is>
          <t>Noise / Nuisance</t>
        </is>
      </c>
      <c r="G61" t="inlineStr">
        <is>
          <t>Low</t>
        </is>
      </c>
      <c r="H61" t="inlineStr">
        <is>
          <t>Estate Compliance</t>
        </is>
      </c>
      <c r="J61" t="inlineStr">
        <is>
          <t>Closed</t>
        </is>
      </c>
      <c r="K61" t="inlineStr">
        <is>
          <t>Hassan Mart at Blk 615 operating till 2am with loud music. Residents cannot sleep.</t>
        </is>
      </c>
    </row>
    <row r="62">
      <c r="A62" t="inlineStr">
        <is>
          <t>FB-2026-00633</t>
        </is>
      </c>
      <c r="B62" s="6" t="n">
        <v>46223</v>
      </c>
      <c r="C62" t="inlineStr">
        <is>
          <t>Hotline</t>
        </is>
      </c>
      <c r="D62" t="inlineStr">
        <is>
          <t>U-BV290-01-07</t>
        </is>
      </c>
      <c r="E62" t="inlineStr">
        <is>
          <t>CMN</t>
        </is>
      </c>
      <c r="F62" t="inlineStr">
        <is>
          <t>Common Area (Town Council)</t>
        </is>
      </c>
      <c r="G62" t="inlineStr">
        <is>
          <t>Low</t>
        </is>
      </c>
      <c r="H62" t="inlineStr">
        <is>
          <t>Town Council Liaison</t>
        </is>
      </c>
      <c r="J62" t="inlineStr">
        <is>
          <t>Closed</t>
        </is>
      </c>
      <c r="K62" t="inlineStr">
        <is>
          <t>LITTER AND STAINS ALONG THE 5-FOOT WAY AT BAYSHORE VALE DRIVE BLK 290.</t>
        </is>
      </c>
    </row>
    <row r="63">
      <c r="A63" t="inlineStr">
        <is>
          <t>FB-2026-00634</t>
        </is>
      </c>
      <c r="B63" s="6" t="n">
        <v>46223</v>
      </c>
      <c r="C63" t="inlineStr">
        <is>
          <t>Email</t>
        </is>
      </c>
      <c r="D63" t="inlineStr">
        <is>
          <t>U-RH450-01-04</t>
        </is>
      </c>
      <c r="E63" t="inlineStr">
        <is>
          <t>ENC</t>
        </is>
      </c>
      <c r="F63" t="inlineStr">
        <is>
          <t>Obstruction / Encroachment</t>
        </is>
      </c>
      <c r="G63" t="inlineStr">
        <is>
          <t>Low</t>
        </is>
      </c>
      <c r="H63" t="inlineStr">
        <is>
          <t>Estate Compliance</t>
        </is>
      </c>
      <c r="J63" t="inlineStr">
        <is>
          <t>Closed</t>
        </is>
      </c>
      <c r="K63" t="inlineStr">
        <is>
          <t>Racks of Bloom Flowers &amp; Gifts Pte Ltd (#01-04) placed beyond the yellow line, blocking pedestrians.</t>
        </is>
      </c>
    </row>
    <row r="64">
      <c r="A64" t="inlineStr">
        <is>
          <t>FB-2026-00635</t>
        </is>
      </c>
      <c r="B64" s="6" t="n">
        <v>46223</v>
      </c>
      <c r="C64" t="inlineStr">
        <is>
          <t>MP Letter</t>
        </is>
      </c>
      <c r="D64" t="inlineStr">
        <is>
          <t>U-ST566-01-08</t>
        </is>
      </c>
      <c r="E64" t="inlineStr">
        <is>
          <t>SEP</t>
        </is>
      </c>
      <c r="F64" t="inlineStr">
        <is>
          <t>Water Seepage / Leak</t>
        </is>
      </c>
      <c r="G64" t="inlineStr">
        <is>
          <t>Medium</t>
        </is>
      </c>
      <c r="H64" t="inlineStr">
        <is>
          <t>Civil &amp; Structural</t>
        </is>
      </c>
      <c r="I64" t="inlineStr">
        <is>
          <t>IEMS-2607-0033</t>
        </is>
      </c>
      <c r="J64" t="inlineStr">
        <is>
          <t>Closed</t>
        </is>
      </c>
      <c r="K64" t="inlineStr">
        <is>
          <t>Ceiling leaking inside Thye Hin Pharmacy Pte Ltd (#01-08) whenever it rains. Water stains and some stock damaged.</t>
        </is>
      </c>
    </row>
    <row r="65">
      <c r="A65" t="inlineStr">
        <is>
          <t>FB-2026-00636</t>
        </is>
      </c>
      <c r="B65" s="6" t="n">
        <v>46224</v>
      </c>
      <c r="C65" t="inlineStr">
        <is>
          <t>Hotline</t>
        </is>
      </c>
      <c r="D65" t="inlineStr">
        <is>
          <t>U-CD142-01-01</t>
        </is>
      </c>
      <c r="E65" t="inlineStr">
        <is>
          <t>PLB</t>
        </is>
      </c>
      <c r="F65" t="inlineStr">
        <is>
          <t>Plumbing &amp; Sanitary</t>
        </is>
      </c>
      <c r="G65" t="inlineStr">
        <is>
          <t>Medium</t>
        </is>
      </c>
      <c r="H65" t="inlineStr">
        <is>
          <t>M&amp;E</t>
        </is>
      </c>
      <c r="I65" t="inlineStr">
        <is>
          <t>IEMS-2607-0034</t>
        </is>
      </c>
      <c r="J65" t="inlineStr">
        <is>
          <t>Closed</t>
        </is>
      </c>
      <c r="K65" t="inlineStr">
        <is>
          <t>Toilet at rear of Blk 142 shops (near #01-01) cannot flush, pipe leaking.</t>
        </is>
      </c>
    </row>
    <row r="66">
      <c r="A66" t="inlineStr">
        <is>
          <t>FB-2026-00637</t>
        </is>
      </c>
      <c r="B66" s="6" t="n">
        <v>46224</v>
      </c>
      <c r="C66" t="inlineStr">
        <is>
          <t>Hotline</t>
        </is>
      </c>
      <c r="D66" t="inlineStr">
        <is>
          <t>U-BV237-01-07</t>
        </is>
      </c>
      <c r="E66" t="inlineStr">
        <is>
          <t>ELE</t>
        </is>
      </c>
      <c r="F66" t="inlineStr">
        <is>
          <t>Electrical</t>
        </is>
      </c>
      <c r="G66" t="inlineStr">
        <is>
          <t>Medium</t>
        </is>
      </c>
      <c r="H66" t="inlineStr">
        <is>
          <t>M&amp;E</t>
        </is>
      </c>
      <c r="I66" t="inlineStr">
        <is>
          <t>IEMS-2607-0035</t>
        </is>
      </c>
      <c r="J66" t="inlineStr">
        <is>
          <t>Closed</t>
        </is>
      </c>
      <c r="K66" t="inlineStr">
        <is>
          <t>Corridor lights in front of Ever Joy Supermarket Pte Ltd not working for a week, very dark at night, unsafe.</t>
        </is>
      </c>
    </row>
    <row r="67">
      <c r="A67" t="inlineStr">
        <is>
          <t>FB-2026-00638</t>
        </is>
      </c>
      <c r="B67" s="6" t="n">
        <v>46224</v>
      </c>
      <c r="C67" t="inlineStr">
        <is>
          <t>Email</t>
        </is>
      </c>
      <c r="D67" t="inlineStr">
        <is>
          <t>U-CD185-02-04</t>
        </is>
      </c>
      <c r="E67" t="inlineStr">
        <is>
          <t>PLB</t>
        </is>
      </c>
      <c r="F67" t="inlineStr">
        <is>
          <t>Plumbing &amp; Sanitary</t>
        </is>
      </c>
      <c r="G67" t="inlineStr">
        <is>
          <t>Medium</t>
        </is>
      </c>
      <c r="H67" t="inlineStr">
        <is>
          <t>M&amp;E</t>
        </is>
      </c>
      <c r="I67" t="inlineStr">
        <is>
          <t>IEMS-2607-0036</t>
        </is>
      </c>
      <c r="J67" t="inlineStr">
        <is>
          <t>Closed</t>
        </is>
      </c>
      <c r="K67" t="inlineStr">
        <is>
          <t>Toilet at rear of Blk 185 shops (near #02-04) cannot flush, pipe leaking.</t>
        </is>
      </c>
    </row>
    <row r="68">
      <c r="A68" t="inlineStr">
        <is>
          <t>FB-2026-00639</t>
        </is>
      </c>
      <c r="B68" s="6" t="n">
        <v>46225</v>
      </c>
      <c r="C68" t="inlineStr">
        <is>
          <t>CityFix App</t>
        </is>
      </c>
      <c r="D68" t="inlineStr">
        <is>
          <t>U-KR358-01-03</t>
        </is>
      </c>
      <c r="E68" t="inlineStr">
        <is>
          <t>CMN</t>
        </is>
      </c>
      <c r="F68" t="inlineStr">
        <is>
          <t>Common Area (Town Council)</t>
        </is>
      </c>
      <c r="G68" t="inlineStr">
        <is>
          <t>Medium</t>
        </is>
      </c>
      <c r="H68" t="inlineStr">
        <is>
          <t>Town Council Liaison</t>
        </is>
      </c>
      <c r="J68" t="inlineStr">
        <is>
          <t>Closed</t>
        </is>
      </c>
      <c r="K68" t="inlineStr">
        <is>
          <t>Litter and stains along the 5-foot way at Kebun Raya Avenue 3 Blk 358.</t>
        </is>
      </c>
    </row>
    <row r="69">
      <c r="A69" t="inlineStr">
        <is>
          <t>FB-2026-00640</t>
        </is>
      </c>
      <c r="B69" s="6" t="n">
        <v>46226</v>
      </c>
      <c r="C69" t="inlineStr">
        <is>
          <t>Hotline</t>
        </is>
      </c>
      <c r="D69" t="inlineStr">
        <is>
          <t>U-ST564-01-14</t>
        </is>
      </c>
      <c r="E69" t="inlineStr">
        <is>
          <t>HYG</t>
        </is>
      </c>
      <c r="F69" t="inlineStr">
        <is>
          <t>Hygiene (Tenant)</t>
        </is>
      </c>
      <c r="G69" t="inlineStr">
        <is>
          <t>Low</t>
        </is>
      </c>
      <c r="H69" t="inlineStr">
        <is>
          <t>Estate Compliance</t>
        </is>
      </c>
      <c r="J69" t="inlineStr">
        <is>
          <t>Closed</t>
        </is>
      </c>
      <c r="K69" t="inlineStr">
        <is>
          <t>Shopfront of #01-14 Blk 564 very dirty, oil stains on the floor.</t>
        </is>
      </c>
    </row>
    <row r="70">
      <c r="A70" t="inlineStr">
        <is>
          <t>FB-2026-00641</t>
        </is>
      </c>
      <c r="B70" s="6" t="n">
        <v>46227</v>
      </c>
      <c r="C70" t="inlineStr">
        <is>
          <t>Email</t>
        </is>
      </c>
      <c r="D70" t="inlineStr">
        <is>
          <t>U-PI627-01-09</t>
        </is>
      </c>
      <c r="E70" t="inlineStr">
        <is>
          <t>NOI</t>
        </is>
      </c>
      <c r="F70" t="inlineStr">
        <is>
          <t>Noise / Nuisance</t>
        </is>
      </c>
      <c r="G70" t="inlineStr">
        <is>
          <t>Low</t>
        </is>
      </c>
      <c r="H70" t="inlineStr">
        <is>
          <t>Estate Compliance</t>
        </is>
      </c>
      <c r="J70" t="inlineStr">
        <is>
          <t>Closed</t>
        </is>
      </c>
      <c r="K70" t="inlineStr">
        <is>
          <t>PrimeValue Mart Pte Ltd at Blk 627 operating till 2am with loud music. Residents cannot sleep.</t>
        </is>
      </c>
    </row>
    <row r="71">
      <c r="A71" t="inlineStr">
        <is>
          <t>FB-2026-00642</t>
        </is>
      </c>
      <c r="B71" s="6" t="n">
        <v>46227</v>
      </c>
      <c r="C71" t="inlineStr">
        <is>
          <t>Walk-in</t>
        </is>
      </c>
      <c r="D71" t="inlineStr">
        <is>
          <t>U-CD160-01-13</t>
        </is>
      </c>
      <c r="E71" t="inlineStr">
        <is>
          <t>CMN</t>
        </is>
      </c>
      <c r="F71" t="inlineStr">
        <is>
          <t>Common Area (Town Council)</t>
        </is>
      </c>
      <c r="G71" t="inlineStr">
        <is>
          <t>Low</t>
        </is>
      </c>
      <c r="H71" t="inlineStr">
        <is>
          <t>Town Council Liaison</t>
        </is>
      </c>
      <c r="J71" t="inlineStr">
        <is>
          <t>Closed</t>
        </is>
      </c>
      <c r="K71" t="inlineStr">
        <is>
          <t>Litter and stains along the 5-foot way at Jalan Cendana Indah Blk 160.</t>
        </is>
      </c>
    </row>
    <row r="72">
      <c r="A72" t="inlineStr">
        <is>
          <t>FB-2026-00643</t>
        </is>
      </c>
      <c r="B72" s="6" t="n">
        <v>46227</v>
      </c>
      <c r="C72" t="inlineStr">
        <is>
          <t>CityFix App</t>
        </is>
      </c>
      <c r="D72" t="inlineStr">
        <is>
          <t>U-ST583-01-07</t>
        </is>
      </c>
      <c r="E72" t="inlineStr">
        <is>
          <t>OTH</t>
        </is>
      </c>
      <c r="F72" t="inlineStr">
        <is>
          <t>General Enquiry / Non-defect</t>
        </is>
      </c>
      <c r="G72" t="inlineStr">
        <is>
          <t>Low</t>
        </is>
      </c>
      <c r="H72" t="inlineStr">
        <is>
          <t>Customer Relations</t>
        </is>
      </c>
      <c r="J72" t="inlineStr">
        <is>
          <t>Closed</t>
        </is>
      </c>
      <c r="K72" t="inlineStr">
        <is>
          <t>How do I apply to rent a shop at Blk 583 Sungai Tinggi Street 52? Saw a unit vacant.</t>
        </is>
      </c>
    </row>
    <row r="73">
      <c r="A73" t="inlineStr">
        <is>
          <t>FB-2026-00644</t>
        </is>
      </c>
      <c r="B73" s="6" t="n">
        <v>46227</v>
      </c>
      <c r="C73" t="inlineStr">
        <is>
          <t>Walk-in</t>
        </is>
      </c>
      <c r="D73" t="inlineStr">
        <is>
          <t>U-KR335-01-10</t>
        </is>
      </c>
      <c r="E73" t="inlineStr">
        <is>
          <t>OTH</t>
        </is>
      </c>
      <c r="F73" t="inlineStr">
        <is>
          <t>General Enquiry / Non-defect</t>
        </is>
      </c>
      <c r="G73" t="inlineStr">
        <is>
          <t>Low</t>
        </is>
      </c>
      <c r="H73" t="inlineStr">
        <is>
          <t>Customer Relations</t>
        </is>
      </c>
      <c r="J73" t="inlineStr">
        <is>
          <t>Closed</t>
        </is>
      </c>
      <c r="K73" t="inlineStr">
        <is>
          <t>How do I apply to rent a shop at Blk 335 Kebun Raya Street 31? Saw a unit vacant.</t>
        </is>
      </c>
    </row>
    <row r="74">
      <c r="A74" t="inlineStr">
        <is>
          <t>FB-2026-00645</t>
        </is>
      </c>
      <c r="B74" s="6" t="n">
        <v>46227</v>
      </c>
      <c r="C74" t="inlineStr">
        <is>
          <t>Hotline</t>
        </is>
      </c>
      <c r="D74" t="inlineStr">
        <is>
          <t>U-PI670-01-01</t>
        </is>
      </c>
      <c r="E74" t="inlineStr">
        <is>
          <t>HYG</t>
        </is>
      </c>
      <c r="F74" t="inlineStr">
        <is>
          <t>Hygiene (Tenant)</t>
        </is>
      </c>
      <c r="G74" t="inlineStr">
        <is>
          <t>Low</t>
        </is>
      </c>
      <c r="H74" t="inlineStr">
        <is>
          <t>Estate Compliance</t>
        </is>
      </c>
      <c r="J74" t="inlineStr">
        <is>
          <t>Closed</t>
        </is>
      </c>
      <c r="K74" t="inlineStr">
        <is>
          <t>Shopfront of #01-01 Blk 670 very dirty, oil stains on the floor.</t>
        </is>
      </c>
    </row>
    <row r="75">
      <c r="A75" t="inlineStr">
        <is>
          <t>FB-2026-00646</t>
        </is>
      </c>
      <c r="B75" s="6" t="n">
        <v>46227</v>
      </c>
      <c r="C75" t="inlineStr">
        <is>
          <t>Email</t>
        </is>
      </c>
      <c r="D75" t="inlineStr">
        <is>
          <t>U-ST589-01-05</t>
        </is>
      </c>
      <c r="E75" t="inlineStr">
        <is>
          <t>HYG</t>
        </is>
      </c>
      <c r="F75" t="inlineStr">
        <is>
          <t>Hygiene (Tenant)</t>
        </is>
      </c>
      <c r="G75" t="inlineStr">
        <is>
          <t>Low</t>
        </is>
      </c>
      <c r="H75" t="inlineStr">
        <is>
          <t>Estate Compliance</t>
        </is>
      </c>
      <c r="J75" t="inlineStr">
        <is>
          <t>Closed</t>
        </is>
      </c>
      <c r="K75" t="inlineStr">
        <is>
          <t>Shopfront of #01-05 Blk 589 very dirty, oil stains on the floor.</t>
        </is>
      </c>
    </row>
    <row r="76">
      <c r="A76" t="inlineStr">
        <is>
          <t>FB-2026-00647</t>
        </is>
      </c>
      <c r="B76" s="6" t="n">
        <v>46228</v>
      </c>
      <c r="C76" t="inlineStr">
        <is>
          <t>Hotline</t>
        </is>
      </c>
      <c r="D76" t="inlineStr">
        <is>
          <t>U-ST593-01-06</t>
        </is>
      </c>
      <c r="E76" t="inlineStr">
        <is>
          <t>PST</t>
        </is>
      </c>
      <c r="F76" t="inlineStr">
        <is>
          <t>Pest</t>
        </is>
      </c>
      <c r="G76" t="inlineStr">
        <is>
          <t>Medium</t>
        </is>
      </c>
      <c r="H76" t="inlineStr">
        <is>
          <t>Pest Control</t>
        </is>
      </c>
      <c r="I76" t="inlineStr">
        <is>
          <t>IEMS-2607-0037</t>
        </is>
      </c>
      <c r="J76" t="inlineStr">
        <is>
          <t>Closed</t>
        </is>
      </c>
      <c r="K76" t="inlineStr">
        <is>
          <t>Many rats running around the bin area behind Tan Brothers Medical Supplies, Blk 593.</t>
        </is>
      </c>
    </row>
    <row r="77">
      <c r="A77" t="inlineStr">
        <is>
          <t>FB-2026-00648</t>
        </is>
      </c>
      <c r="B77" s="6" t="n">
        <v>46228</v>
      </c>
      <c r="C77" t="inlineStr">
        <is>
          <t>CityFix App</t>
        </is>
      </c>
      <c r="D77" t="inlineStr">
        <is>
          <t>U-CD131-01-11</t>
        </is>
      </c>
      <c r="E77" t="inlineStr">
        <is>
          <t>SEP</t>
        </is>
      </c>
      <c r="F77" t="inlineStr">
        <is>
          <t>Water Seepage / Leak</t>
        </is>
      </c>
      <c r="G77" t="inlineStr">
        <is>
          <t>Low</t>
        </is>
      </c>
      <c r="H77" t="inlineStr">
        <is>
          <t>Civil &amp; Structural</t>
        </is>
      </c>
      <c r="I77" t="inlineStr">
        <is>
          <t>IEMS-2607-0038</t>
        </is>
      </c>
      <c r="J77" t="inlineStr">
        <is>
          <t>Closed</t>
        </is>
      </c>
      <c r="K77" t="inlineStr">
        <is>
          <t>Roof slab above Blk 131 #01-11 leaking into shop. Have reported twice before!!</t>
        </is>
      </c>
    </row>
    <row r="78">
      <c r="A78" t="inlineStr">
        <is>
          <t>FB-2026-00649</t>
        </is>
      </c>
      <c r="B78" s="6" t="n">
        <v>46228</v>
      </c>
      <c r="C78" t="inlineStr">
        <is>
          <t>Email</t>
        </is>
      </c>
      <c r="D78" t="inlineStr">
        <is>
          <t>U-BV214-01-22</t>
        </is>
      </c>
      <c r="E78" t="inlineStr">
        <is>
          <t>CMN</t>
        </is>
      </c>
      <c r="F78" t="inlineStr">
        <is>
          <t>Common Area (Town Council)</t>
        </is>
      </c>
      <c r="G78" t="inlineStr">
        <is>
          <t>Low</t>
        </is>
      </c>
      <c r="H78" t="inlineStr">
        <is>
          <t>Town Council Liaison</t>
        </is>
      </c>
      <c r="J78" t="inlineStr">
        <is>
          <t>Closed</t>
        </is>
      </c>
      <c r="K78" t="inlineStr">
        <is>
          <t>Ceiling near Brilliant Mart wet and lights flickering, scared got short circuit.</t>
        </is>
      </c>
    </row>
    <row r="79">
      <c r="A79" t="inlineStr">
        <is>
          <t>FB-2026-00650</t>
        </is>
      </c>
      <c r="B79" s="6" t="n">
        <v>46229</v>
      </c>
      <c r="C79" t="inlineStr">
        <is>
          <t>Email</t>
        </is>
      </c>
      <c r="D79" t="inlineStr">
        <is>
          <t>U-PI626-01-02</t>
        </is>
      </c>
      <c r="E79" t="inlineStr">
        <is>
          <t>STR</t>
        </is>
      </c>
      <c r="F79" t="inlineStr">
        <is>
          <t>Structural</t>
        </is>
      </c>
      <c r="G79" t="inlineStr">
        <is>
          <t>High</t>
        </is>
      </c>
      <c r="H79" t="inlineStr">
        <is>
          <t>Civil &amp; Structural</t>
        </is>
      </c>
      <c r="J79" t="inlineStr">
        <is>
          <t>Closed</t>
        </is>
      </c>
      <c r="K79" t="inlineStr">
        <is>
          <t>Something wrong with Seri Murni Mobile Pte Ltd at Blk 626, water and smell all over the back lane. Please look into it.</t>
        </is>
      </c>
    </row>
    <row r="80">
      <c r="A80" t="inlineStr">
        <is>
          <t>FB-2026-00651</t>
        </is>
      </c>
      <c r="B80" s="6" t="n">
        <v>46229</v>
      </c>
      <c r="C80" t="inlineStr">
        <is>
          <t>Email</t>
        </is>
      </c>
      <c r="D80" t="inlineStr">
        <is>
          <t>U-ST593-01-06</t>
        </is>
      </c>
      <c r="E80" t="inlineStr">
        <is>
          <t>CMN</t>
        </is>
      </c>
      <c r="F80" t="inlineStr">
        <is>
          <t>Common Area (Town Council)</t>
        </is>
      </c>
      <c r="G80" t="inlineStr">
        <is>
          <t>Low</t>
        </is>
      </c>
      <c r="H80" t="inlineStr">
        <is>
          <t>Town Council Liaison</t>
        </is>
      </c>
      <c r="J80" t="inlineStr">
        <is>
          <t>Closed</t>
        </is>
      </c>
      <c r="K80" t="inlineStr">
        <is>
          <t>Tan Brothers Medical Supplies renovation very noisy and dust everywhere, also something cracked on the wall??</t>
        </is>
      </c>
    </row>
    <row r="81">
      <c r="A81" t="inlineStr">
        <is>
          <t>FB-2026-00652</t>
        </is>
      </c>
      <c r="B81" s="6" t="n">
        <v>46229</v>
      </c>
      <c r="C81" t="inlineStr">
        <is>
          <t>MP Letter</t>
        </is>
      </c>
      <c r="D81" t="inlineStr">
        <is>
          <t>U-CD118-01-20</t>
        </is>
      </c>
      <c r="E81" t="inlineStr">
        <is>
          <t>HYG</t>
        </is>
      </c>
      <c r="F81" t="inlineStr">
        <is>
          <t>Hygiene (Tenant)</t>
        </is>
      </c>
      <c r="G81" t="inlineStr">
        <is>
          <t>Low</t>
        </is>
      </c>
      <c r="H81" t="inlineStr">
        <is>
          <t>Estate Compliance</t>
        </is>
      </c>
      <c r="J81" t="inlineStr">
        <is>
          <t>Closed</t>
        </is>
      </c>
      <c r="K81" t="inlineStr">
        <is>
          <t>Golden Leaf Medical Hall leaves rubbish bags outside the shop overnight, smelly and attracts flies. Blk 118.</t>
        </is>
      </c>
    </row>
    <row r="82">
      <c r="A82" t="inlineStr">
        <is>
          <t>FB-2026-00653</t>
        </is>
      </c>
      <c r="B82" s="6" t="n">
        <v>46229</v>
      </c>
      <c r="C82" t="inlineStr">
        <is>
          <t>Walk-in</t>
        </is>
      </c>
      <c r="D82" t="inlineStr">
        <is>
          <t>U-KR385-01-11</t>
        </is>
      </c>
      <c r="E82" t="inlineStr">
        <is>
          <t>FIR</t>
        </is>
      </c>
      <c r="F82" t="inlineStr">
        <is>
          <t>Fire Safety</t>
        </is>
      </c>
      <c r="G82" t="inlineStr">
        <is>
          <t>Critical</t>
        </is>
      </c>
      <c r="H82" t="inlineStr">
        <is>
          <t>Estate Compliance</t>
        </is>
      </c>
      <c r="I82" t="inlineStr">
        <is>
          <t>IEMS-2607-0039</t>
        </is>
      </c>
      <c r="J82" t="inlineStr">
        <is>
          <t>Closed</t>
        </is>
      </c>
      <c r="K82" t="inlineStr">
        <is>
          <t>Smell of burning and smoke from Nur Kueh Corner #01-11, Blk 385. Fire engine came.</t>
        </is>
      </c>
    </row>
    <row r="83">
      <c r="A83" t="inlineStr">
        <is>
          <t>FB-2026-00654</t>
        </is>
      </c>
      <c r="B83" s="6" t="n">
        <v>46229</v>
      </c>
      <c r="C83" t="inlineStr">
        <is>
          <t>Email</t>
        </is>
      </c>
      <c r="D83" t="inlineStr">
        <is>
          <t>U-PI614-01-02</t>
        </is>
      </c>
      <c r="E83" t="inlineStr">
        <is>
          <t>PLB</t>
        </is>
      </c>
      <c r="F83" t="inlineStr">
        <is>
          <t>Plumbing &amp; Sanitary</t>
        </is>
      </c>
      <c r="G83" t="inlineStr">
        <is>
          <t>Medium</t>
        </is>
      </c>
      <c r="H83" t="inlineStr">
        <is>
          <t>M&amp;E</t>
        </is>
      </c>
      <c r="I83" t="inlineStr">
        <is>
          <t>IEMS-2607-0040</t>
        </is>
      </c>
      <c r="J83" t="inlineStr">
        <is>
          <t>Closed</t>
        </is>
      </c>
      <c r="K83" t="inlineStr">
        <is>
          <t>TOILET AT REAR OF BLK 614 SHOPS (NEAR #01-02) CANNOT FLUSH, PIPE LEAKING.</t>
        </is>
      </c>
    </row>
    <row r="84">
      <c r="A84" t="inlineStr">
        <is>
          <t>FB-2026-00655</t>
        </is>
      </c>
      <c r="B84" s="6" t="n">
        <v>46230</v>
      </c>
      <c r="C84" t="inlineStr">
        <is>
          <t>Email</t>
        </is>
      </c>
      <c r="D84" t="inlineStr">
        <is>
          <t>U-ST566-01-05</t>
        </is>
      </c>
      <c r="E84" t="inlineStr">
        <is>
          <t>ELE</t>
        </is>
      </c>
      <c r="F84" t="inlineStr">
        <is>
          <t>Electrical</t>
        </is>
      </c>
      <c r="G84" t="inlineStr">
        <is>
          <t>High</t>
        </is>
      </c>
      <c r="H84" t="inlineStr">
        <is>
          <t>M&amp;E</t>
        </is>
      </c>
      <c r="I84" t="inlineStr">
        <is>
          <t>IEMS-2607-0041</t>
        </is>
      </c>
      <c r="J84" t="inlineStr">
        <is>
          <t>Closed</t>
        </is>
      </c>
      <c r="K84" t="inlineStr">
        <is>
          <t>Exposed wiring hanging from ceiling outside #01-05 Blk 566 Sungai Tinggi Street 52. Children walk past here.</t>
        </is>
      </c>
    </row>
    <row r="85">
      <c r="A85" t="inlineStr">
        <is>
          <t>FB-2026-00656</t>
        </is>
      </c>
      <c r="B85" s="6" t="n">
        <v>46230</v>
      </c>
      <c r="C85" t="inlineStr">
        <is>
          <t>CityFix App</t>
        </is>
      </c>
      <c r="D85" t="inlineStr">
        <is>
          <t>U-BV277-01-07</t>
        </is>
      </c>
      <c r="E85" t="inlineStr">
        <is>
          <t>OTH</t>
        </is>
      </c>
      <c r="F85" t="inlineStr">
        <is>
          <t>General Enquiry / Non-defect</t>
        </is>
      </c>
      <c r="G85" t="inlineStr">
        <is>
          <t>Low</t>
        </is>
      </c>
      <c r="H85" t="inlineStr">
        <is>
          <t>Customer Relations</t>
        </is>
      </c>
      <c r="J85" t="inlineStr">
        <is>
          <t>Closed</t>
        </is>
      </c>
      <c r="K85" t="inlineStr">
        <is>
          <t>Would like to compliment the staff of Little Sprouts Mart for being helpful.</t>
        </is>
      </c>
    </row>
    <row r="86">
      <c r="A86" t="inlineStr">
        <is>
          <t>FB-2026-00657</t>
        </is>
      </c>
      <c r="B86" s="6" t="n">
        <v>46230</v>
      </c>
      <c r="C86" t="inlineStr">
        <is>
          <t>Hotline</t>
        </is>
      </c>
      <c r="D86" t="inlineStr">
        <is>
          <t>U-KR369-01-06</t>
        </is>
      </c>
      <c r="E86" t="inlineStr">
        <is>
          <t>SEP</t>
        </is>
      </c>
      <c r="F86" t="inlineStr">
        <is>
          <t>Water Seepage / Leak</t>
        </is>
      </c>
      <c r="G86" t="inlineStr">
        <is>
          <t>Medium</t>
        </is>
      </c>
      <c r="H86" t="inlineStr">
        <is>
          <t>Civil &amp; Structural</t>
        </is>
      </c>
      <c r="I86" t="inlineStr">
        <is>
          <t>IEMS-2607-0042</t>
        </is>
      </c>
      <c r="J86" t="inlineStr">
        <is>
          <t>Closed</t>
        </is>
      </c>
      <c r="K86" t="inlineStr">
        <is>
          <t>Ceiling leaking inside Daily Fresh Laundry (#01-06) whenever it rains. Water stains and some stock damaged.</t>
        </is>
      </c>
    </row>
    <row r="87">
      <c r="A87" t="inlineStr">
        <is>
          <t>FB-2026-00658</t>
        </is>
      </c>
      <c r="B87" s="6" t="n">
        <v>46230</v>
      </c>
      <c r="C87" t="inlineStr">
        <is>
          <t>MP Letter</t>
        </is>
      </c>
      <c r="D87" t="inlineStr">
        <is>
          <t>U-CD142-01-09</t>
        </is>
      </c>
      <c r="E87" t="inlineStr">
        <is>
          <t>SEP</t>
        </is>
      </c>
      <c r="F87" t="inlineStr">
        <is>
          <t>Water Seepage / Leak</t>
        </is>
      </c>
      <c r="G87" t="inlineStr">
        <is>
          <t>Medium</t>
        </is>
      </c>
      <c r="H87" t="inlineStr">
        <is>
          <t>Civil &amp; Structural</t>
        </is>
      </c>
      <c r="I87" t="inlineStr">
        <is>
          <t>IEMS-2607-0043</t>
        </is>
      </c>
      <c r="J87" t="inlineStr">
        <is>
          <t>Closed</t>
        </is>
      </c>
      <c r="K87" t="inlineStr">
        <is>
          <t>Water seepage from the wall between #01-09 and next unit at Blk 142. Wall paint peeling, smells musty.</t>
        </is>
      </c>
    </row>
    <row r="88">
      <c r="A88" t="inlineStr">
        <is>
          <t>FB-2026-00659</t>
        </is>
      </c>
      <c r="B88" s="6" t="n">
        <v>46230</v>
      </c>
      <c r="C88" t="inlineStr">
        <is>
          <t>Email</t>
        </is>
      </c>
      <c r="D88" t="inlineStr">
        <is>
          <t>U-PI627-01-14</t>
        </is>
      </c>
      <c r="E88" t="inlineStr">
        <is>
          <t>SEP</t>
        </is>
      </c>
      <c r="F88" t="inlineStr">
        <is>
          <t>Water Seepage / Leak</t>
        </is>
      </c>
      <c r="G88" t="inlineStr">
        <is>
          <t>Medium</t>
        </is>
      </c>
      <c r="H88" t="inlineStr">
        <is>
          <t>Civil &amp; Structural</t>
        </is>
      </c>
      <c r="I88" t="inlineStr">
        <is>
          <t>IEMS-2607-0044</t>
        </is>
      </c>
      <c r="J88" t="inlineStr">
        <is>
          <t>Closed</t>
        </is>
      </c>
      <c r="K88" t="inlineStr">
        <is>
          <t>Ceiling leaking inside Brilliant Bubble Tea Pte Ltd (#01-14) whenever it rains. Water stains and some stock damaged.</t>
        </is>
      </c>
    </row>
    <row r="89">
      <c r="A89" t="inlineStr">
        <is>
          <t>FB-2026-00660</t>
        </is>
      </c>
      <c r="B89" s="6" t="n">
        <v>46230</v>
      </c>
      <c r="C89" t="inlineStr">
        <is>
          <t>Hotline</t>
        </is>
      </c>
      <c r="D89" t="inlineStr">
        <is>
          <t>U-RH407-01-01</t>
        </is>
      </c>
      <c r="E89" t="inlineStr">
        <is>
          <t>HYG</t>
        </is>
      </c>
      <c r="F89" t="inlineStr">
        <is>
          <t>Hygiene (Tenant)</t>
        </is>
      </c>
      <c r="G89" t="inlineStr">
        <is>
          <t>Low</t>
        </is>
      </c>
      <c r="H89" t="inlineStr">
        <is>
          <t>Estate Compliance</t>
        </is>
      </c>
      <c r="J89" t="inlineStr">
        <is>
          <t>Closed</t>
        </is>
      </c>
      <c r="K89" t="inlineStr">
        <is>
          <t>Shopfront of #01-01 Blk 407 very dirty, oil stains on the floor.</t>
        </is>
      </c>
    </row>
    <row r="90">
      <c r="A90" t="inlineStr">
        <is>
          <t>FB-2026-00661</t>
        </is>
      </c>
      <c r="B90" s="6" t="n">
        <v>46230</v>
      </c>
      <c r="C90" t="inlineStr">
        <is>
          <t>CityFix App</t>
        </is>
      </c>
      <c r="D90" t="inlineStr">
        <is>
          <t>U-PI693-01-07</t>
        </is>
      </c>
      <c r="E90" t="inlineStr">
        <is>
          <t>SEP</t>
        </is>
      </c>
      <c r="F90" t="inlineStr">
        <is>
          <t>Water Seepage / Leak</t>
        </is>
      </c>
      <c r="G90" t="inlineStr">
        <is>
          <t>Medium</t>
        </is>
      </c>
      <c r="H90" t="inlineStr">
        <is>
          <t>Civil &amp; Structural</t>
        </is>
      </c>
      <c r="I90" t="inlineStr">
        <is>
          <t>IEMS-2607-0045</t>
        </is>
      </c>
      <c r="J90" t="inlineStr">
        <is>
          <t>Closed</t>
        </is>
      </c>
      <c r="K90" t="inlineStr">
        <is>
          <t>Ceiling leaking inside Wong's Bubble Tea Pte Ltd (#01-07) whenever it rains. Water stains and some stock damaged.</t>
        </is>
      </c>
    </row>
    <row r="91">
      <c r="A91" t="inlineStr">
        <is>
          <t>FB-2026-00662</t>
        </is>
      </c>
      <c r="B91" s="6" t="n">
        <v>46231</v>
      </c>
      <c r="C91" t="inlineStr">
        <is>
          <t>Walk-in</t>
        </is>
      </c>
      <c r="D91" t="inlineStr">
        <is>
          <t>U-BV297-01-04</t>
        </is>
      </c>
      <c r="E91" t="inlineStr">
        <is>
          <t>OTH</t>
        </is>
      </c>
      <c r="F91" t="inlineStr">
        <is>
          <t>General Enquiry / Non-defect</t>
        </is>
      </c>
      <c r="G91" t="inlineStr">
        <is>
          <t>Low</t>
        </is>
      </c>
      <c r="H91" t="inlineStr">
        <is>
          <t>Customer Relations</t>
        </is>
      </c>
      <c r="J91" t="inlineStr">
        <is>
          <t>Closed</t>
        </is>
      </c>
      <c r="K91" t="inlineStr">
        <is>
          <t>When is the next tender for shops in this estate? Interested in Bayshore Vale Drive.</t>
        </is>
      </c>
    </row>
    <row r="92">
      <c r="A92" t="inlineStr">
        <is>
          <t>FB-2026-00663</t>
        </is>
      </c>
      <c r="B92" s="6" t="n">
        <v>46231</v>
      </c>
      <c r="C92" t="inlineStr">
        <is>
          <t>CityFix App</t>
        </is>
      </c>
      <c r="D92" t="inlineStr">
        <is>
          <t>U-BV271-01-04</t>
        </is>
      </c>
      <c r="E92" t="inlineStr">
        <is>
          <t>SEP</t>
        </is>
      </c>
      <c r="F92" t="inlineStr">
        <is>
          <t>Water Seepage / Leak</t>
        </is>
      </c>
      <c r="G92" t="inlineStr">
        <is>
          <t>Medium</t>
        </is>
      </c>
      <c r="H92" t="inlineStr">
        <is>
          <t>Civil &amp; Structural</t>
        </is>
      </c>
      <c r="I92" t="inlineStr">
        <is>
          <t>IEMS-2607-0046</t>
        </is>
      </c>
      <c r="J92" t="inlineStr">
        <is>
          <t>Closed</t>
        </is>
      </c>
      <c r="K92" t="inlineStr">
        <is>
          <t>Roof slab above Blk 271 #01-04 leaking into shop. Have reported twice before!!</t>
        </is>
      </c>
    </row>
    <row r="93">
      <c r="A93" t="inlineStr">
        <is>
          <t>FB-2026-00664</t>
        </is>
      </c>
      <c r="B93" s="6" t="n">
        <v>46231</v>
      </c>
      <c r="C93" t="inlineStr">
        <is>
          <t>MP Letter</t>
        </is>
      </c>
      <c r="D93" t="inlineStr">
        <is>
          <t>U-CD120-01-08</t>
        </is>
      </c>
      <c r="E93" t="inlineStr">
        <is>
          <t>ELE</t>
        </is>
      </c>
      <c r="F93" t="inlineStr">
        <is>
          <t>Electrical</t>
        </is>
      </c>
      <c r="G93" t="inlineStr">
        <is>
          <t>High</t>
        </is>
      </c>
      <c r="H93" t="inlineStr">
        <is>
          <t>M&amp;E</t>
        </is>
      </c>
      <c r="I93" t="inlineStr">
        <is>
          <t>IEMS-2607-0047</t>
        </is>
      </c>
      <c r="J93" t="inlineStr">
        <is>
          <t>Closed</t>
        </is>
      </c>
      <c r="K93" t="inlineStr">
        <is>
          <t>Corridor lights in front of Little Sprouts Clinic &amp; Surgery not working for a week, very dark at night, unsafe.</t>
        </is>
      </c>
    </row>
    <row r="94">
      <c r="A94" t="inlineStr">
        <is>
          <t>FB-2026-00665</t>
        </is>
      </c>
      <c r="B94" s="6" t="n">
        <v>46231</v>
      </c>
      <c r="C94" t="inlineStr">
        <is>
          <t>Email</t>
        </is>
      </c>
      <c r="D94" t="inlineStr">
        <is>
          <t>U-RH456-01-01</t>
        </is>
      </c>
      <c r="E94" t="inlineStr">
        <is>
          <t>PLB</t>
        </is>
      </c>
      <c r="F94" t="inlineStr">
        <is>
          <t>Plumbing &amp; Sanitary</t>
        </is>
      </c>
      <c r="G94" t="inlineStr">
        <is>
          <t>Medium</t>
        </is>
      </c>
      <c r="H94" t="inlineStr">
        <is>
          <t>M&amp;E</t>
        </is>
      </c>
      <c r="J94" t="inlineStr">
        <is>
          <t>Closed</t>
        </is>
      </c>
      <c r="K94" t="inlineStr">
        <is>
          <t>The area near #01-01 Rimba Walk is in bad condition. Lights, dirt, everything. Fix pls.</t>
        </is>
      </c>
    </row>
    <row r="95">
      <c r="A95" t="inlineStr">
        <is>
          <t>FB-2026-00666</t>
        </is>
      </c>
      <c r="B95" s="6" t="n">
        <v>46231</v>
      </c>
      <c r="C95" t="inlineStr">
        <is>
          <t>MP Letter</t>
        </is>
      </c>
      <c r="D95" t="inlineStr">
        <is>
          <t>U-RH428-01-02</t>
        </is>
      </c>
      <c r="E95" t="inlineStr">
        <is>
          <t>OTH</t>
        </is>
      </c>
      <c r="F95" t="inlineStr">
        <is>
          <t>General Enquiry / Non-defect</t>
        </is>
      </c>
      <c r="G95" t="inlineStr">
        <is>
          <t>Low</t>
        </is>
      </c>
      <c r="H95" t="inlineStr">
        <is>
          <t>Customer Relations</t>
        </is>
      </c>
      <c r="J95" t="inlineStr">
        <is>
          <t>Closed</t>
        </is>
      </c>
      <c r="K95" t="inlineStr">
        <is>
          <t>WHEN IS THE NEXT TENDER FOR SHOPS IN THIS ESTATE? INTERESTED IN RIMBA WALK.</t>
        </is>
      </c>
    </row>
    <row r="96">
      <c r="A96" t="inlineStr">
        <is>
          <t>FB-2026-00667</t>
        </is>
      </c>
      <c r="B96" s="6" t="n">
        <v>46231</v>
      </c>
      <c r="C96" t="inlineStr">
        <is>
          <t>Hotline</t>
        </is>
      </c>
      <c r="D96" t="inlineStr">
        <is>
          <t>U-KR358-01-01</t>
        </is>
      </c>
      <c r="E96" t="inlineStr">
        <is>
          <t>FIR</t>
        </is>
      </c>
      <c r="F96" t="inlineStr">
        <is>
          <t>Fire Safety</t>
        </is>
      </c>
      <c r="G96" t="inlineStr">
        <is>
          <t>Critical</t>
        </is>
      </c>
      <c r="H96" t="inlineStr">
        <is>
          <t>Estate Compliance</t>
        </is>
      </c>
      <c r="I96" t="inlineStr">
        <is>
          <t>IEMS-2607-0048</t>
        </is>
      </c>
      <c r="J96" t="inlineStr">
        <is>
          <t>Closed</t>
        </is>
      </c>
      <c r="K96" t="inlineStr">
        <is>
          <t>Fire exit at rear of Blk 358 near #01-01 blocked by boxes from Tian Fu Hair Salon.</t>
        </is>
      </c>
    </row>
    <row r="97">
      <c r="A97" t="inlineStr">
        <is>
          <t>FB-2026-00668</t>
        </is>
      </c>
      <c r="B97" s="6" t="n">
        <v>46232</v>
      </c>
      <c r="C97" t="inlineStr">
        <is>
          <t>MP Letter</t>
        </is>
      </c>
      <c r="D97" t="inlineStr">
        <is>
          <t>U-CD190-01-06</t>
        </is>
      </c>
      <c r="E97" t="inlineStr">
        <is>
          <t>NOI</t>
        </is>
      </c>
      <c r="F97" t="inlineStr">
        <is>
          <t>Noise / Nuisance</t>
        </is>
      </c>
      <c r="G97" t="inlineStr">
        <is>
          <t>Low</t>
        </is>
      </c>
      <c r="H97" t="inlineStr">
        <is>
          <t>Estate Compliance</t>
        </is>
      </c>
      <c r="J97" t="inlineStr">
        <is>
          <t>Closed</t>
        </is>
      </c>
      <c r="K97" t="inlineStr">
        <is>
          <t>Delivery lorry unloading at 5am for Soon Hin Bookstore, very noisy.</t>
        </is>
      </c>
    </row>
    <row r="98">
      <c r="A98" t="inlineStr">
        <is>
          <t>FB-2026-00669</t>
        </is>
      </c>
      <c r="B98" s="6" t="n">
        <v>46232</v>
      </c>
      <c r="C98" t="inlineStr">
        <is>
          <t>CityFix App</t>
        </is>
      </c>
      <c r="D98" t="inlineStr">
        <is>
          <t>U-KR305-01-16</t>
        </is>
      </c>
      <c r="E98" t="inlineStr">
        <is>
          <t>ELE</t>
        </is>
      </c>
      <c r="F98" t="inlineStr">
        <is>
          <t>Electrical</t>
        </is>
      </c>
      <c r="G98" t="inlineStr">
        <is>
          <t>High</t>
        </is>
      </c>
      <c r="H98" t="inlineStr">
        <is>
          <t>M&amp;E</t>
        </is>
      </c>
      <c r="I98" t="inlineStr">
        <is>
          <t>IEMS-2607-0049</t>
        </is>
      </c>
      <c r="J98" t="inlineStr">
        <is>
          <t>Closed</t>
        </is>
      </c>
      <c r="K98" t="inlineStr">
        <is>
          <t>Corridor lights in front of Kim Hiap Telecom not working for a week, very dark at night, unsafe.</t>
        </is>
      </c>
    </row>
    <row r="99">
      <c r="A99" t="inlineStr">
        <is>
          <t>FB-2026-00670</t>
        </is>
      </c>
      <c r="B99" s="6" t="n">
        <v>46234</v>
      </c>
      <c r="C99" t="inlineStr">
        <is>
          <t>Hotline</t>
        </is>
      </c>
      <c r="D99" t="inlineStr">
        <is>
          <t>U-BV233-01-02</t>
        </is>
      </c>
      <c r="E99" t="inlineStr">
        <is>
          <t>OTH</t>
        </is>
      </c>
      <c r="F99" t="inlineStr">
        <is>
          <t>General Enquiry / Non-defect</t>
        </is>
      </c>
      <c r="G99" t="inlineStr">
        <is>
          <t>Low</t>
        </is>
      </c>
      <c r="H99" t="inlineStr">
        <is>
          <t>Customer Relations</t>
        </is>
      </c>
      <c r="J99" t="inlineStr">
        <is>
          <t>Closed</t>
        </is>
      </c>
      <c r="K99" t="inlineStr">
        <is>
          <t>Would like to compliment teh staff of Old Town Minimart for being helpful.</t>
        </is>
      </c>
    </row>
    <row r="100">
      <c r="A100" t="inlineStr">
        <is>
          <t>FB-2026-00671</t>
        </is>
      </c>
      <c r="B100" s="6" t="n">
        <v>46234</v>
      </c>
      <c r="C100" t="inlineStr">
        <is>
          <t>Walk-in</t>
        </is>
      </c>
      <c r="D100" t="inlineStr">
        <is>
          <t>U-CD129-01-07</t>
        </is>
      </c>
      <c r="E100" t="inlineStr">
        <is>
          <t>PST</t>
        </is>
      </c>
      <c r="F100" t="inlineStr">
        <is>
          <t>Pest</t>
        </is>
      </c>
      <c r="G100" t="inlineStr">
        <is>
          <t>Medium</t>
        </is>
      </c>
      <c r="H100" t="inlineStr">
        <is>
          <t>Pest Control</t>
        </is>
      </c>
      <c r="I100" t="inlineStr">
        <is>
          <t>IEMS-2607-0050</t>
        </is>
      </c>
      <c r="J100" t="inlineStr">
        <is>
          <t>Closed</t>
        </is>
      </c>
      <c r="K100" t="inlineStr">
        <is>
          <t>Cockroach infestation along the drains in front of #01-07 Cendana Street 11.</t>
        </is>
      </c>
    </row>
    <row r="101">
      <c r="A101" t="inlineStr">
        <is>
          <t>FB-2026-00672</t>
        </is>
      </c>
      <c r="B101" s="6" t="n">
        <v>46234</v>
      </c>
      <c r="C101" t="inlineStr">
        <is>
          <t>CityFix App</t>
        </is>
      </c>
      <c r="D101" t="inlineStr">
        <is>
          <t>U-PI684-01-08</t>
        </is>
      </c>
      <c r="E101" t="inlineStr">
        <is>
          <t>ENC</t>
        </is>
      </c>
      <c r="F101" t="inlineStr">
        <is>
          <t>Obstruction / Encroachment</t>
        </is>
      </c>
      <c r="G101" t="inlineStr">
        <is>
          <t>Low</t>
        </is>
      </c>
      <c r="H101" t="inlineStr">
        <is>
          <t>Estate Compliance</t>
        </is>
      </c>
      <c r="J101" t="inlineStr">
        <is>
          <t>Closed</t>
        </is>
      </c>
      <c r="K101" t="inlineStr">
        <is>
          <t>Racks of Smart Kids Dental Surgery Pte Ltd (#01-08) placed beyond the yellow line, blocking pedestrians.</t>
        </is>
      </c>
    </row>
    <row r="102">
      <c r="A102" t="inlineStr">
        <is>
          <t>FB-2026-00673</t>
        </is>
      </c>
      <c r="B102" s="6" t="n">
        <v>46234</v>
      </c>
      <c r="C102" t="inlineStr">
        <is>
          <t>MP Letter</t>
        </is>
      </c>
      <c r="D102" t="inlineStr">
        <is>
          <t>U-BV233-01-09</t>
        </is>
      </c>
      <c r="E102" t="inlineStr">
        <is>
          <t>ENC</t>
        </is>
      </c>
      <c r="F102" t="inlineStr">
        <is>
          <t>Obstruction / Encroachment</t>
        </is>
      </c>
      <c r="G102" t="inlineStr">
        <is>
          <t>Low</t>
        </is>
      </c>
      <c r="H102" t="inlineStr">
        <is>
          <t>Estate Compliance</t>
        </is>
      </c>
      <c r="J102" t="inlineStr">
        <is>
          <t>Closed</t>
        </is>
      </c>
      <c r="K102" t="inlineStr">
        <is>
          <t>Tables and chairs of Tian Fu Fruit Trading Pte Ltd occupying the corridor, Bayshore Vale Drive.</t>
        </is>
      </c>
    </row>
    <row r="103">
      <c r="A103" t="inlineStr">
        <is>
          <t>FB-2026-00674</t>
        </is>
      </c>
      <c r="B103" s="6" t="n">
        <v>46235</v>
      </c>
      <c r="C103" t="inlineStr">
        <is>
          <t>CityFix App</t>
        </is>
      </c>
      <c r="D103" t="inlineStr">
        <is>
          <t>U-CD118-01-07</t>
        </is>
      </c>
      <c r="E103" t="inlineStr">
        <is>
          <t>ELE</t>
        </is>
      </c>
      <c r="F103" t="inlineStr">
        <is>
          <t>Electrical</t>
        </is>
      </c>
      <c r="G103" t="inlineStr">
        <is>
          <t>High</t>
        </is>
      </c>
      <c r="H103" t="inlineStr">
        <is>
          <t>M&amp;E</t>
        </is>
      </c>
      <c r="I103" t="inlineStr">
        <is>
          <t>IEMS-2608-0001</t>
        </is>
      </c>
      <c r="J103" t="inlineStr">
        <is>
          <t>Closed</t>
        </is>
      </c>
      <c r="K103" t="inlineStr">
        <is>
          <t>Power keeps tripping for the row of shops at Blk 118 incl Lucky Star Tuition Centre. Fridges affected, food spoiling.</t>
        </is>
      </c>
    </row>
    <row r="104">
      <c r="A104" t="inlineStr">
        <is>
          <t>FB-2026-00675</t>
        </is>
      </c>
      <c r="B104" s="6" t="n">
        <v>46235</v>
      </c>
      <c r="C104" t="inlineStr">
        <is>
          <t>Walk-in</t>
        </is>
      </c>
      <c r="D104" t="inlineStr">
        <is>
          <t>U-PI696-01-09</t>
        </is>
      </c>
      <c r="E104" t="inlineStr">
        <is>
          <t>ELE</t>
        </is>
      </c>
      <c r="F104" t="inlineStr">
        <is>
          <t>Electrical</t>
        </is>
      </c>
      <c r="G104" t="inlineStr">
        <is>
          <t>High</t>
        </is>
      </c>
      <c r="H104" t="inlineStr">
        <is>
          <t>M&amp;E</t>
        </is>
      </c>
      <c r="I104" t="inlineStr">
        <is>
          <t>IEMS-2608-0002</t>
        </is>
      </c>
      <c r="J104" t="inlineStr">
        <is>
          <t>Closed</t>
        </is>
      </c>
      <c r="K104" t="inlineStr">
        <is>
          <t>Exposed wiring hanging from ceiling outside #01-09 Blk 696 Jalan Pasir Indah. Children walk past here.</t>
        </is>
      </c>
    </row>
    <row r="105">
      <c r="A105" t="inlineStr">
        <is>
          <t>FB-2026-00676</t>
        </is>
      </c>
      <c r="B105" s="6" t="n">
        <v>46235</v>
      </c>
      <c r="C105" t="inlineStr">
        <is>
          <t>MP Letter</t>
        </is>
      </c>
      <c r="D105" t="inlineStr">
        <is>
          <t>U-KR310-02-06</t>
        </is>
      </c>
      <c r="E105" t="inlineStr">
        <is>
          <t>PLB</t>
        </is>
      </c>
      <c r="F105" t="inlineStr">
        <is>
          <t>Plumbing &amp; Sanitary</t>
        </is>
      </c>
      <c r="G105" t="inlineStr">
        <is>
          <t>Medium</t>
        </is>
      </c>
      <c r="H105" t="inlineStr">
        <is>
          <t>M&amp;E</t>
        </is>
      </c>
      <c r="I105" t="inlineStr">
        <is>
          <t>IEMS-2608-0003</t>
        </is>
      </c>
      <c r="J105" t="inlineStr">
        <is>
          <t>Closed</t>
        </is>
      </c>
      <c r="K105" t="inlineStr">
        <is>
          <t>Floor trap at the back of Happy Paws Dental Care Pte Ltd choked, dirty water overflowing to common corridor Blk 310.</t>
        </is>
      </c>
    </row>
    <row r="106">
      <c r="A106" t="inlineStr">
        <is>
          <t>FB-2026-00677</t>
        </is>
      </c>
      <c r="B106" s="6" t="n">
        <v>46235</v>
      </c>
      <c r="C106" t="inlineStr">
        <is>
          <t>CityFix App</t>
        </is>
      </c>
      <c r="D106" t="inlineStr">
        <is>
          <t>U-RH466-01-03</t>
        </is>
      </c>
      <c r="E106" t="inlineStr">
        <is>
          <t>PST</t>
        </is>
      </c>
      <c r="F106" t="inlineStr">
        <is>
          <t>Pest</t>
        </is>
      </c>
      <c r="G106" t="inlineStr">
        <is>
          <t>Medium</t>
        </is>
      </c>
      <c r="H106" t="inlineStr">
        <is>
          <t>Pest Control</t>
        </is>
      </c>
      <c r="I106" t="inlineStr">
        <is>
          <t>IEMS-2608-0004</t>
        </is>
      </c>
      <c r="J106" t="inlineStr">
        <is>
          <t>Closed</t>
        </is>
      </c>
      <c r="K106" t="inlineStr">
        <is>
          <t>Cockroach infestation along the drains in front of #01-03 Rimba Heights Street 45.</t>
        </is>
      </c>
    </row>
    <row r="107">
      <c r="A107" t="inlineStr">
        <is>
          <t>FB-2026-00678</t>
        </is>
      </c>
      <c r="B107" s="6" t="n">
        <v>46235</v>
      </c>
      <c r="C107" t="inlineStr">
        <is>
          <t>Walk-in</t>
        </is>
      </c>
      <c r="D107" t="inlineStr">
        <is>
          <t>U-ST513-01-08</t>
        </is>
      </c>
      <c r="E107" t="inlineStr">
        <is>
          <t>HYG</t>
        </is>
      </c>
      <c r="F107" t="inlineStr">
        <is>
          <t>Hygiene (Tenant)</t>
        </is>
      </c>
      <c r="G107" t="inlineStr">
        <is>
          <t>Low</t>
        </is>
      </c>
      <c r="H107" t="inlineStr">
        <is>
          <t>Estate Compliance</t>
        </is>
      </c>
      <c r="J107" t="inlineStr">
        <is>
          <t>Closed</t>
        </is>
      </c>
      <c r="K107" t="inlineStr">
        <is>
          <t>Kian Huat Medical Hall Pte Ltd leaves rubbish bags outside the shop overnight, smelly and attracts flies. Blk 513.</t>
        </is>
      </c>
    </row>
    <row r="108">
      <c r="A108" t="inlineStr">
        <is>
          <t>FB-2026-00679</t>
        </is>
      </c>
      <c r="B108" s="6" t="n">
        <v>46235</v>
      </c>
      <c r="C108" t="inlineStr">
        <is>
          <t>Walk-in</t>
        </is>
      </c>
      <c r="D108" t="inlineStr">
        <is>
          <t>U-KR362-01-05</t>
        </is>
      </c>
      <c r="E108" t="inlineStr">
        <is>
          <t>ENC</t>
        </is>
      </c>
      <c r="F108" t="inlineStr">
        <is>
          <t>Obstruction / Encroachment</t>
        </is>
      </c>
      <c r="G108" t="inlineStr">
        <is>
          <t>Low</t>
        </is>
      </c>
      <c r="H108" t="inlineStr">
        <is>
          <t>Estate Compliance</t>
        </is>
      </c>
      <c r="J108" t="inlineStr">
        <is>
          <t>Closed</t>
        </is>
      </c>
      <c r="K108" t="inlineStr">
        <is>
          <t>TABLES AND CHAIRS OF BLOOM TUITION CENTRE PTE LTD OCCUPYING THE CORRIDOR, KEBUN RAYA STREET 31.</t>
        </is>
      </c>
    </row>
    <row r="109">
      <c r="A109" t="inlineStr">
        <is>
          <t>FB-2026-00680</t>
        </is>
      </c>
      <c r="B109" s="6" t="n">
        <v>46235</v>
      </c>
      <c r="C109" t="inlineStr">
        <is>
          <t>CityFix App</t>
        </is>
      </c>
      <c r="D109" t="inlineStr">
        <is>
          <t>U-BV205-01-12</t>
        </is>
      </c>
      <c r="E109" t="inlineStr">
        <is>
          <t>ENC</t>
        </is>
      </c>
      <c r="F109" t="inlineStr">
        <is>
          <t>Obstruction / Encroachment</t>
        </is>
      </c>
      <c r="G109" t="inlineStr">
        <is>
          <t>Low</t>
        </is>
      </c>
      <c r="H109" t="inlineStr">
        <is>
          <t>Estate Compliance</t>
        </is>
      </c>
      <c r="J109" t="inlineStr">
        <is>
          <t>Closed</t>
        </is>
      </c>
      <c r="K109" t="inlineStr">
        <is>
          <t>The area near #01-12 Bayshore Vale Street 21 is in bad condition. Lights, dirt, everything. Fix pls.</t>
        </is>
      </c>
    </row>
    <row r="110">
      <c r="A110" t="inlineStr">
        <is>
          <t>FB-2026-00681</t>
        </is>
      </c>
      <c r="B110" s="6" t="n">
        <v>46236</v>
      </c>
      <c r="C110" t="inlineStr">
        <is>
          <t>Walk-in</t>
        </is>
      </c>
      <c r="D110" t="inlineStr">
        <is>
          <t>U-RH455-01-01</t>
        </is>
      </c>
      <c r="E110" t="inlineStr">
        <is>
          <t>SEP</t>
        </is>
      </c>
      <c r="F110" t="inlineStr">
        <is>
          <t>Water Seepage / Leak</t>
        </is>
      </c>
      <c r="G110" t="inlineStr">
        <is>
          <t>Medium</t>
        </is>
      </c>
      <c r="H110" t="inlineStr">
        <is>
          <t>Civil &amp; Structural</t>
        </is>
      </c>
      <c r="I110" t="inlineStr">
        <is>
          <t>IEMS-2608-0005</t>
        </is>
      </c>
      <c r="J110" t="inlineStr">
        <is>
          <t>Closed</t>
        </is>
      </c>
      <c r="K110" t="inlineStr">
        <is>
          <t>Roof slab above Blk 455 #01-01 leaking into shop. Have reported twice before!!</t>
        </is>
      </c>
    </row>
    <row r="111">
      <c r="A111" t="inlineStr">
        <is>
          <t>FB-2026-00682</t>
        </is>
      </c>
      <c r="B111" s="6" t="n">
        <v>46236</v>
      </c>
      <c r="C111" t="inlineStr">
        <is>
          <t>Email</t>
        </is>
      </c>
      <c r="D111" t="inlineStr">
        <is>
          <t>U-CD105-01-06</t>
        </is>
      </c>
      <c r="E111" t="inlineStr">
        <is>
          <t>SEP</t>
        </is>
      </c>
      <c r="F111" t="inlineStr">
        <is>
          <t>Water Seepage / Leak</t>
        </is>
      </c>
      <c r="G111" t="inlineStr">
        <is>
          <t>Medium</t>
        </is>
      </c>
      <c r="H111" t="inlineStr">
        <is>
          <t>Civil &amp; Structural</t>
        </is>
      </c>
      <c r="I111" t="inlineStr">
        <is>
          <t>IEMS-2608-0006</t>
        </is>
      </c>
      <c r="J111" t="inlineStr">
        <is>
          <t>Closed</t>
        </is>
      </c>
      <c r="K111" t="inlineStr">
        <is>
          <t>Water seepage from the wall between #01-06 and next unit at Blk 105. Wall paint peeling, smells musty.</t>
        </is>
      </c>
    </row>
    <row r="112">
      <c r="A112" t="inlineStr">
        <is>
          <t>FB-2026-00683</t>
        </is>
      </c>
      <c r="B112" s="6" t="n">
        <v>46236</v>
      </c>
      <c r="C112" t="inlineStr">
        <is>
          <t>CityFix App</t>
        </is>
      </c>
      <c r="D112" t="inlineStr">
        <is>
          <t>U-CD153-01-03</t>
        </is>
      </c>
      <c r="E112" t="inlineStr">
        <is>
          <t>ENC</t>
        </is>
      </c>
      <c r="F112" t="inlineStr">
        <is>
          <t>Obstruction / Encroachment</t>
        </is>
      </c>
      <c r="G112" t="inlineStr">
        <is>
          <t>Low</t>
        </is>
      </c>
      <c r="H112" t="inlineStr">
        <is>
          <t>Estate Compliance</t>
        </is>
      </c>
      <c r="J112" t="inlineStr">
        <is>
          <t>Closed</t>
        </is>
      </c>
      <c r="K112" t="inlineStr">
        <is>
          <t>Tables and chairs of Thye Hin Provision Shop occupying the corridor, Cendana Road.</t>
        </is>
      </c>
    </row>
    <row r="113">
      <c r="A113" t="inlineStr">
        <is>
          <t>FB-2026-00684</t>
        </is>
      </c>
      <c r="B113" s="6" t="n">
        <v>46236</v>
      </c>
      <c r="C113" t="inlineStr">
        <is>
          <t>Walk-in</t>
        </is>
      </c>
      <c r="D113" t="inlineStr">
        <is>
          <t>U-ST506-02-09</t>
        </is>
      </c>
      <c r="E113" t="inlineStr">
        <is>
          <t>SEP</t>
        </is>
      </c>
      <c r="F113" t="inlineStr">
        <is>
          <t>Water Seepage / Leak</t>
        </is>
      </c>
      <c r="G113" t="inlineStr">
        <is>
          <t>High</t>
        </is>
      </c>
      <c r="H113" t="inlineStr">
        <is>
          <t>Civil &amp; Structural</t>
        </is>
      </c>
      <c r="I113" t="inlineStr">
        <is>
          <t>IEMS-2608-0007</t>
        </is>
      </c>
      <c r="J113" t="inlineStr">
        <is>
          <t>Closed</t>
        </is>
      </c>
      <c r="K113" t="inlineStr">
        <is>
          <t>Ceiling leaking inside Nur Family Clinic Pte Ltd (#02-09) whenever it rains. Water stains and some stock damaged.</t>
        </is>
      </c>
    </row>
    <row r="114">
      <c r="A114" t="inlineStr">
        <is>
          <t>FB-2026-00685</t>
        </is>
      </c>
      <c r="B114" s="6" t="n">
        <v>46237</v>
      </c>
      <c r="C114" t="inlineStr">
        <is>
          <t>MP Letter</t>
        </is>
      </c>
      <c r="D114" t="inlineStr">
        <is>
          <t>U-ST544-02-04</t>
        </is>
      </c>
      <c r="E114" t="inlineStr">
        <is>
          <t>HYG</t>
        </is>
      </c>
      <c r="F114" t="inlineStr">
        <is>
          <t>Hygiene (Tenant)</t>
        </is>
      </c>
      <c r="G114" t="inlineStr">
        <is>
          <t>Low</t>
        </is>
      </c>
      <c r="H114" t="inlineStr">
        <is>
          <t>Estate Compliance</t>
        </is>
      </c>
      <c r="J114" t="inlineStr">
        <is>
          <t>Closed</t>
        </is>
      </c>
      <c r="K114" t="inlineStr">
        <is>
          <t>SHOPFRONT OF #02-04 BLK 544 VERY DIRTY, OIL STAINS ON THE FLOOR.</t>
        </is>
      </c>
    </row>
    <row r="115">
      <c r="A115" t="inlineStr">
        <is>
          <t>FB-2026-00686</t>
        </is>
      </c>
      <c r="B115" s="6" t="n">
        <v>46237</v>
      </c>
      <c r="C115" t="inlineStr">
        <is>
          <t>Walk-in</t>
        </is>
      </c>
      <c r="D115" t="inlineStr">
        <is>
          <t>U-PI684-01-11</t>
        </is>
      </c>
      <c r="E115" t="inlineStr">
        <is>
          <t>CMN</t>
        </is>
      </c>
      <c r="F115" t="inlineStr">
        <is>
          <t>Common Area (Town Council)</t>
        </is>
      </c>
      <c r="G115" t="inlineStr">
        <is>
          <t>Medium</t>
        </is>
      </c>
      <c r="H115" t="inlineStr">
        <is>
          <t>Town Council Liaison</t>
        </is>
      </c>
      <c r="J115" t="inlineStr">
        <is>
          <t>Closed</t>
        </is>
      </c>
      <c r="K115" t="inlineStr">
        <is>
          <t>Lift lobby lights near teh shops at Blk 684 faulty.</t>
        </is>
      </c>
    </row>
    <row r="116">
      <c r="A116" t="inlineStr">
        <is>
          <t>FB-2026-00687</t>
        </is>
      </c>
      <c r="B116" s="6" t="n">
        <v>46237</v>
      </c>
      <c r="C116" t="inlineStr">
        <is>
          <t>MP Letter</t>
        </is>
      </c>
      <c r="D116" t="inlineStr">
        <is>
          <t>U-RH434-01-02</t>
        </is>
      </c>
      <c r="E116" t="inlineStr">
        <is>
          <t>STR</t>
        </is>
      </c>
      <c r="F116" t="inlineStr">
        <is>
          <t>Structural</t>
        </is>
      </c>
      <c r="G116" t="inlineStr">
        <is>
          <t>High</t>
        </is>
      </c>
      <c r="H116" t="inlineStr">
        <is>
          <t>Civil &amp; Structural</t>
        </is>
      </c>
      <c r="I116" t="inlineStr">
        <is>
          <t>IEMS-2608-0008</t>
        </is>
      </c>
      <c r="J116" t="inlineStr">
        <is>
          <t>Closed</t>
        </is>
      </c>
      <c r="K116" t="inlineStr">
        <is>
          <t>Plaster falling off the beam above the shop Sunflower Supermarket, Rimba Heights Road. Shop owner already cordoned off with chairs.</t>
        </is>
      </c>
    </row>
    <row r="117">
      <c r="A117" t="inlineStr">
        <is>
          <t>FB-2026-00688</t>
        </is>
      </c>
      <c r="B117" s="6" t="n">
        <v>46237</v>
      </c>
      <c r="C117" t="inlineStr">
        <is>
          <t>CityFix App</t>
        </is>
      </c>
      <c r="D117" t="inlineStr">
        <is>
          <t>U-KR317-01-05</t>
        </is>
      </c>
      <c r="E117" t="inlineStr">
        <is>
          <t>ELE</t>
        </is>
      </c>
      <c r="F117" t="inlineStr">
        <is>
          <t>Electrical</t>
        </is>
      </c>
      <c r="G117" t="inlineStr">
        <is>
          <t>High</t>
        </is>
      </c>
      <c r="H117" t="inlineStr">
        <is>
          <t>M&amp;E</t>
        </is>
      </c>
      <c r="I117" t="inlineStr">
        <is>
          <t>IEMS-2608-0009</t>
        </is>
      </c>
      <c r="J117" t="inlineStr">
        <is>
          <t>Closed</t>
        </is>
      </c>
      <c r="K117" t="inlineStr">
        <is>
          <t>Power keeps tripping for the row of shops at Blk 317 incl Tan Brothers TCM Clinic Pte Ltd. Fridges affected, food spoiling.</t>
        </is>
      </c>
    </row>
    <row r="118">
      <c r="A118" t="inlineStr">
        <is>
          <t>FB-2026-00689</t>
        </is>
      </c>
      <c r="B118" s="6" t="n">
        <v>46238</v>
      </c>
      <c r="C118" t="inlineStr">
        <is>
          <t>CityFix App</t>
        </is>
      </c>
      <c r="D118" t="inlineStr">
        <is>
          <t>U-PI644-01-11</t>
        </is>
      </c>
      <c r="E118" t="inlineStr">
        <is>
          <t>ENC</t>
        </is>
      </c>
      <c r="F118" t="inlineStr">
        <is>
          <t>Obstruction / Encroachment</t>
        </is>
      </c>
      <c r="G118" t="inlineStr">
        <is>
          <t>Low</t>
        </is>
      </c>
      <c r="H118" t="inlineStr">
        <is>
          <t>Estate Compliance</t>
        </is>
      </c>
      <c r="J118" t="inlineStr">
        <is>
          <t>Closed</t>
        </is>
      </c>
      <c r="K118" t="inlineStr">
        <is>
          <t>Racks of Mei Ling Mobile Pte Ltd (#01-11) placed beyond the yellow line, blocking pedestrians.</t>
        </is>
      </c>
    </row>
    <row r="119">
      <c r="A119" t="inlineStr">
        <is>
          <t>FB-2026-00690</t>
        </is>
      </c>
      <c r="B119" s="6" t="n">
        <v>46238</v>
      </c>
      <c r="C119" t="inlineStr">
        <is>
          <t>CityFix App</t>
        </is>
      </c>
      <c r="D119" t="inlineStr">
        <is>
          <t>U-RH455-01-01</t>
        </is>
      </c>
      <c r="E119" t="inlineStr">
        <is>
          <t>SEP</t>
        </is>
      </c>
      <c r="F119" t="inlineStr">
        <is>
          <t>Water Seepage / Leak</t>
        </is>
      </c>
      <c r="G119" t="inlineStr">
        <is>
          <t>Medium</t>
        </is>
      </c>
      <c r="H119" t="inlineStr">
        <is>
          <t>Civil &amp; Structural</t>
        </is>
      </c>
      <c r="I119" t="inlineStr">
        <is>
          <t>IEMS-2608-0010</t>
        </is>
      </c>
      <c r="J119" t="inlineStr">
        <is>
          <t>Closed</t>
        </is>
      </c>
      <c r="K119" t="inlineStr">
        <is>
          <t>Roof slab above Blk 455 #01-01 leaking into shop. Have reported twice before!!</t>
        </is>
      </c>
    </row>
    <row r="120">
      <c r="A120" t="inlineStr">
        <is>
          <t>FB-2026-00691</t>
        </is>
      </c>
      <c r="B120" s="6" t="n">
        <v>46238</v>
      </c>
      <c r="C120" t="inlineStr">
        <is>
          <t>CityFix App</t>
        </is>
      </c>
      <c r="D120" t="inlineStr">
        <is>
          <t>U-ST564-01-08</t>
        </is>
      </c>
      <c r="E120" t="inlineStr">
        <is>
          <t>NOI</t>
        </is>
      </c>
      <c r="F120" t="inlineStr">
        <is>
          <t>Noise / Nuisance</t>
        </is>
      </c>
      <c r="G120" t="inlineStr">
        <is>
          <t>Low</t>
        </is>
      </c>
      <c r="H120" t="inlineStr">
        <is>
          <t>Estate Compliance</t>
        </is>
      </c>
      <c r="J120" t="inlineStr">
        <is>
          <t>Closed</t>
        </is>
      </c>
      <c r="K120" t="inlineStr">
        <is>
          <t>Tian Fu Eating Place Pte Ltd renovation very noisy and dust everywhere, also something cracked on the wall??</t>
        </is>
      </c>
    </row>
    <row r="121">
      <c r="A121" t="inlineStr">
        <is>
          <t>FB-2026-00692</t>
        </is>
      </c>
      <c r="B121" s="6" t="n">
        <v>46238</v>
      </c>
      <c r="C121" t="inlineStr">
        <is>
          <t>CityFix App</t>
        </is>
      </c>
      <c r="D121" t="inlineStr">
        <is>
          <t>U-PI626-01-13</t>
        </is>
      </c>
      <c r="E121" t="inlineStr">
        <is>
          <t>PLB</t>
        </is>
      </c>
      <c r="F121" t="inlineStr">
        <is>
          <t>Plumbing &amp; Sanitary</t>
        </is>
      </c>
      <c r="G121" t="inlineStr">
        <is>
          <t>Medium</t>
        </is>
      </c>
      <c r="H121" t="inlineStr">
        <is>
          <t>M&amp;E</t>
        </is>
      </c>
      <c r="I121" t="inlineStr">
        <is>
          <t>IEMS-2608-0011</t>
        </is>
      </c>
      <c r="J121" t="inlineStr">
        <is>
          <t>Closed</t>
        </is>
      </c>
      <c r="K121" t="inlineStr">
        <is>
          <t>Ceiling near Mutiara Family Clinic wet and lights flickering, scared got short circuit.</t>
        </is>
      </c>
    </row>
    <row r="122">
      <c r="A122" t="inlineStr">
        <is>
          <t>FB-2026-00693</t>
        </is>
      </c>
      <c r="B122" s="6" t="n">
        <v>46239</v>
      </c>
      <c r="C122" t="inlineStr">
        <is>
          <t>CityFix App</t>
        </is>
      </c>
      <c r="D122" t="inlineStr">
        <is>
          <t>U-RH455-01-11</t>
        </is>
      </c>
      <c r="E122" t="inlineStr">
        <is>
          <t>ELE</t>
        </is>
      </c>
      <c r="F122" t="inlineStr">
        <is>
          <t>Electrical</t>
        </is>
      </c>
      <c r="G122" t="inlineStr">
        <is>
          <t>High</t>
        </is>
      </c>
      <c r="H122" t="inlineStr">
        <is>
          <t>M&amp;E</t>
        </is>
      </c>
      <c r="I122" t="inlineStr">
        <is>
          <t>IEMS-2608-0012</t>
        </is>
      </c>
      <c r="J122" t="inlineStr">
        <is>
          <t>Closed</t>
        </is>
      </c>
      <c r="K122" t="inlineStr">
        <is>
          <t>Corridor lights in front of Prima Clinic &amp; Surgery Pte Ltd not working for a week, very dark at night, unsafe.</t>
        </is>
      </c>
    </row>
    <row r="123">
      <c r="A123" t="inlineStr">
        <is>
          <t>FB-2026-00694</t>
        </is>
      </c>
      <c r="B123" s="6" t="n">
        <v>46239</v>
      </c>
      <c r="C123" t="inlineStr">
        <is>
          <t>CityFix App</t>
        </is>
      </c>
      <c r="D123" t="inlineStr">
        <is>
          <t>U-BV296-01-08</t>
        </is>
      </c>
      <c r="E123" t="inlineStr">
        <is>
          <t>ELE</t>
        </is>
      </c>
      <c r="F123" t="inlineStr">
        <is>
          <t>Electrical</t>
        </is>
      </c>
      <c r="G123" t="inlineStr">
        <is>
          <t>High</t>
        </is>
      </c>
      <c r="H123" t="inlineStr">
        <is>
          <t>M&amp;E</t>
        </is>
      </c>
      <c r="I123" t="inlineStr">
        <is>
          <t>IEMS-2608-0013</t>
        </is>
      </c>
      <c r="J123" t="inlineStr">
        <is>
          <t>Closed</t>
        </is>
      </c>
      <c r="K123" t="inlineStr">
        <is>
          <t>CORRIDOR LIGHTS IN FRONT OF NEW LIFE FAMILY CLINIC PTE LTD NOT WORKING FOR A WEEK, VERY DARK AT NIGHT, UNSAFE.</t>
        </is>
      </c>
    </row>
    <row r="124">
      <c r="A124" t="inlineStr">
        <is>
          <t>FB-2026-00695</t>
        </is>
      </c>
      <c r="B124" s="6" t="n">
        <v>46239</v>
      </c>
      <c r="C124" t="inlineStr">
        <is>
          <t>Email</t>
        </is>
      </c>
      <c r="D124" t="inlineStr">
        <is>
          <t>U-BV212-01-05</t>
        </is>
      </c>
      <c r="E124" t="inlineStr">
        <is>
          <t>STR</t>
        </is>
      </c>
      <c r="F124" t="inlineStr">
        <is>
          <t>Structural</t>
        </is>
      </c>
      <c r="G124" t="inlineStr">
        <is>
          <t>High</t>
        </is>
      </c>
      <c r="H124" t="inlineStr">
        <is>
          <t>Civil &amp; Structural</t>
        </is>
      </c>
      <c r="I124" t="inlineStr">
        <is>
          <t>IEMS-2608-0014</t>
        </is>
      </c>
      <c r="J124" t="inlineStr">
        <is>
          <t>Closed</t>
        </is>
      </c>
      <c r="K124" t="inlineStr">
        <is>
          <t>CONCRETE SPALLING FROM CEILING OUTSIDE WISDOM TELECOM PTE LTD AT BLK 212 BAYSHORE VALE AVENUE 2 #01-05. PIECES FELL NEAR THE WALKWAY THIS MORNING, VERY DANGEROUS FOR ELDERLY.</t>
        </is>
      </c>
    </row>
    <row r="125">
      <c r="A125" t="inlineStr">
        <is>
          <t>FB-2026-00696</t>
        </is>
      </c>
      <c r="B125" s="6" t="n">
        <v>46240</v>
      </c>
      <c r="C125" t="inlineStr">
        <is>
          <t>Hotline</t>
        </is>
      </c>
      <c r="D125" t="inlineStr">
        <is>
          <t>U-BV215-01-02</t>
        </is>
      </c>
      <c r="E125" t="inlineStr">
        <is>
          <t>CMN</t>
        </is>
      </c>
      <c r="F125" t="inlineStr">
        <is>
          <t>Common Area (Town Council)</t>
        </is>
      </c>
      <c r="G125" t="inlineStr">
        <is>
          <t>Low</t>
        </is>
      </c>
      <c r="H125" t="inlineStr">
        <is>
          <t>Town Council Liaison</t>
        </is>
      </c>
      <c r="J125" t="inlineStr">
        <is>
          <t>Closed</t>
        </is>
      </c>
      <c r="K125" t="inlineStr">
        <is>
          <t>The area near #01-02 Bayshore Vale Avenue 2 is in bad condition. Lights, dirt, everything. Fix pls.</t>
        </is>
      </c>
    </row>
    <row r="126">
      <c r="A126" t="inlineStr">
        <is>
          <t>FB-2026-00697</t>
        </is>
      </c>
      <c r="B126" s="6" t="n">
        <v>46240</v>
      </c>
      <c r="C126" t="inlineStr">
        <is>
          <t>Hotline</t>
        </is>
      </c>
      <c r="D126" t="inlineStr">
        <is>
          <t>U-ST556-01-06</t>
        </is>
      </c>
      <c r="E126" t="inlineStr">
        <is>
          <t>OTH</t>
        </is>
      </c>
      <c r="F126" t="inlineStr">
        <is>
          <t>General Enquiry / Non-defect</t>
        </is>
      </c>
      <c r="G126" t="inlineStr">
        <is>
          <t>Low</t>
        </is>
      </c>
      <c r="H126" t="inlineStr">
        <is>
          <t>Customer Relations</t>
        </is>
      </c>
      <c r="J126" t="inlineStr">
        <is>
          <t>Closed</t>
        </is>
      </c>
      <c r="K126" t="inlineStr">
        <is>
          <t>Would like to compliment teh staff of Ah Seng Hardware &amp; Electrical Pte Ltd for being helpful.</t>
        </is>
      </c>
    </row>
    <row r="127">
      <c r="A127" t="inlineStr">
        <is>
          <t>FB-2026-00698</t>
        </is>
      </c>
      <c r="B127" s="6" t="n">
        <v>46240</v>
      </c>
      <c r="C127" t="inlineStr">
        <is>
          <t>CityFix App</t>
        </is>
      </c>
      <c r="D127" t="inlineStr">
        <is>
          <t>U-BV277-01-11</t>
        </is>
      </c>
      <c r="E127" t="inlineStr">
        <is>
          <t>NOI</t>
        </is>
      </c>
      <c r="F127" t="inlineStr">
        <is>
          <t>Noise / Nuisance</t>
        </is>
      </c>
      <c r="G127" t="inlineStr">
        <is>
          <t>Low</t>
        </is>
      </c>
      <c r="H127" t="inlineStr">
        <is>
          <t>Estate Compliance</t>
        </is>
      </c>
      <c r="J127" t="inlineStr">
        <is>
          <t>Closed</t>
        </is>
      </c>
      <c r="K127" t="inlineStr">
        <is>
          <t>DELIVERY LORRY UNLOADING AT 5AM FOR AH SENG MART PTE LTD, VERY NOISY.</t>
        </is>
      </c>
    </row>
    <row r="128">
      <c r="A128" t="inlineStr">
        <is>
          <t>FB-2026-00699</t>
        </is>
      </c>
      <c r="B128" s="6" t="n">
        <v>46240</v>
      </c>
      <c r="C128" t="inlineStr">
        <is>
          <t>CityFix App</t>
        </is>
      </c>
      <c r="D128" t="inlineStr">
        <is>
          <t>U-BV279-01-03</t>
        </is>
      </c>
      <c r="E128" t="inlineStr">
        <is>
          <t>STR</t>
        </is>
      </c>
      <c r="F128" t="inlineStr">
        <is>
          <t>Structural</t>
        </is>
      </c>
      <c r="G128" t="inlineStr">
        <is>
          <t>Medium</t>
        </is>
      </c>
      <c r="H128" t="inlineStr">
        <is>
          <t>Civil &amp; Structural</t>
        </is>
      </c>
      <c r="I128" t="inlineStr">
        <is>
          <t>IEMS-2608-0015</t>
        </is>
      </c>
      <c r="J128" t="inlineStr">
        <is>
          <t>Closed</t>
        </is>
      </c>
      <c r="K128" t="inlineStr">
        <is>
          <t>Plaster falling off the beam above the shop Nur Money Changer, Bayshore Vale Avenue 2. Shop owner already cordoned off with chairs.</t>
        </is>
      </c>
    </row>
    <row r="129">
      <c r="A129" t="inlineStr">
        <is>
          <t>FB-2026-00700</t>
        </is>
      </c>
      <c r="B129" s="6" t="n">
        <v>46240</v>
      </c>
      <c r="C129" t="inlineStr">
        <is>
          <t>MP Letter</t>
        </is>
      </c>
      <c r="D129" t="inlineStr">
        <is>
          <t>U-CD173-01-09</t>
        </is>
      </c>
      <c r="E129" t="inlineStr">
        <is>
          <t>PST</t>
        </is>
      </c>
      <c r="F129" t="inlineStr">
        <is>
          <t>Pest</t>
        </is>
      </c>
      <c r="G129" t="inlineStr">
        <is>
          <t>Medium</t>
        </is>
      </c>
      <c r="H129" t="inlineStr">
        <is>
          <t>Pest Control</t>
        </is>
      </c>
      <c r="I129" t="inlineStr">
        <is>
          <t>IEMS-2608-0016</t>
        </is>
      </c>
      <c r="J129" t="inlineStr">
        <is>
          <t>Closed</t>
        </is>
      </c>
      <c r="K129" t="inlineStr">
        <is>
          <t>Termites found eating the door frame of Raja Hardware &amp; Electrical Pte Ltd (#01-09).</t>
        </is>
      </c>
    </row>
    <row r="130">
      <c r="A130" t="inlineStr">
        <is>
          <t>FB-2026-00701</t>
        </is>
      </c>
      <c r="B130" s="6" t="n">
        <v>46240</v>
      </c>
      <c r="C130" t="inlineStr">
        <is>
          <t>CityFix App</t>
        </is>
      </c>
      <c r="D130" t="inlineStr">
        <is>
          <t>U-RH473-01-04</t>
        </is>
      </c>
      <c r="E130" t="inlineStr">
        <is>
          <t>STR</t>
        </is>
      </c>
      <c r="F130" t="inlineStr">
        <is>
          <t>Structural</t>
        </is>
      </c>
      <c r="G130" t="inlineStr">
        <is>
          <t>High</t>
        </is>
      </c>
      <c r="H130" t="inlineStr">
        <is>
          <t>Civil &amp; Structural</t>
        </is>
      </c>
      <c r="I130" t="inlineStr">
        <is>
          <t>IEMS-2608-0017</t>
        </is>
      </c>
      <c r="J130" t="inlineStr">
        <is>
          <t>Closed</t>
        </is>
      </c>
      <c r="K130" t="inlineStr">
        <is>
          <t>Plaster falling off the beam above the shop Bayu Dental Care, Rimba Heights Street 45. Shop owner already cordoned off with chairs.</t>
        </is>
      </c>
    </row>
    <row r="131">
      <c r="A131" t="inlineStr">
        <is>
          <t>FB-2026-00702</t>
        </is>
      </c>
      <c r="B131" s="6" t="n">
        <v>46240</v>
      </c>
      <c r="C131" t="inlineStr">
        <is>
          <t>Hotline</t>
        </is>
      </c>
      <c r="D131" t="inlineStr">
        <is>
          <t>U-KR353-02-10</t>
        </is>
      </c>
      <c r="E131" t="inlineStr">
        <is>
          <t>HYG</t>
        </is>
      </c>
      <c r="F131" t="inlineStr">
        <is>
          <t>Hygiene (Tenant)</t>
        </is>
      </c>
      <c r="G131" t="inlineStr">
        <is>
          <t>Low</t>
        </is>
      </c>
      <c r="H131" t="inlineStr">
        <is>
          <t>Estate Compliance</t>
        </is>
      </c>
      <c r="J131" t="inlineStr">
        <is>
          <t>Closed</t>
        </is>
      </c>
      <c r="K131" t="inlineStr">
        <is>
          <t>Strong grease smell from Murugan Learning Centre kitchen exhaust, residents above complaining.</t>
        </is>
      </c>
    </row>
    <row r="132">
      <c r="A132" t="inlineStr">
        <is>
          <t>FB-2026-00703</t>
        </is>
      </c>
      <c r="B132" s="6" t="n">
        <v>46241</v>
      </c>
      <c r="C132" t="inlineStr">
        <is>
          <t>Email</t>
        </is>
      </c>
      <c r="D132" t="inlineStr">
        <is>
          <t>U-BV266-01-12</t>
        </is>
      </c>
      <c r="E132" t="inlineStr">
        <is>
          <t>PLB</t>
        </is>
      </c>
      <c r="F132" t="inlineStr">
        <is>
          <t>Plumbing &amp; Sanitary</t>
        </is>
      </c>
      <c r="G132" t="inlineStr">
        <is>
          <t>High</t>
        </is>
      </c>
      <c r="H132" t="inlineStr">
        <is>
          <t>M&amp;E</t>
        </is>
      </c>
      <c r="I132" t="inlineStr">
        <is>
          <t>IEMS-2608-0018</t>
        </is>
      </c>
      <c r="J132" t="inlineStr">
        <is>
          <t>Closed</t>
        </is>
      </c>
      <c r="K132" t="inlineStr">
        <is>
          <t>The area near #01-12 Bayshore Vale Drive is in bad condition. Lights, dirt, everything. Fix pls.</t>
        </is>
      </c>
    </row>
    <row r="133">
      <c r="A133" t="inlineStr">
        <is>
          <t>FB-2026-00704</t>
        </is>
      </c>
      <c r="B133" s="6" t="n">
        <v>46241</v>
      </c>
      <c r="C133" t="inlineStr">
        <is>
          <t>CityFix App</t>
        </is>
      </c>
      <c r="D133" t="inlineStr">
        <is>
          <t>U-ST545-01-04</t>
        </is>
      </c>
      <c r="E133" t="inlineStr">
        <is>
          <t>PLB</t>
        </is>
      </c>
      <c r="F133" t="inlineStr">
        <is>
          <t>Plumbing &amp; Sanitary</t>
        </is>
      </c>
      <c r="G133" t="inlineStr">
        <is>
          <t>Medium</t>
        </is>
      </c>
      <c r="H133" t="inlineStr">
        <is>
          <t>M&amp;E</t>
        </is>
      </c>
      <c r="I133" t="inlineStr">
        <is>
          <t>IEMS-2608-0019</t>
        </is>
      </c>
      <c r="J133" t="inlineStr">
        <is>
          <t>Closed</t>
        </is>
      </c>
      <c r="K133" t="inlineStr">
        <is>
          <t>Floor trap at the back of Joo Chiat Trading choked, dirty water overflowing to common corridor Blk 545.</t>
        </is>
      </c>
    </row>
    <row r="134">
      <c r="A134" t="inlineStr">
        <is>
          <t>FB-2026-00705</t>
        </is>
      </c>
      <c r="B134" s="6" t="n">
        <v>46242</v>
      </c>
      <c r="C134" t="inlineStr">
        <is>
          <t>MP Letter</t>
        </is>
      </c>
      <c r="D134" t="inlineStr">
        <is>
          <t>U-CD190-01-03</t>
        </is>
      </c>
      <c r="E134" t="inlineStr">
        <is>
          <t>STR</t>
        </is>
      </c>
      <c r="F134" t="inlineStr">
        <is>
          <t>Structural</t>
        </is>
      </c>
      <c r="G134" t="inlineStr">
        <is>
          <t>High</t>
        </is>
      </c>
      <c r="H134" t="inlineStr">
        <is>
          <t>Civil &amp; Structural</t>
        </is>
      </c>
      <c r="I134" t="inlineStr">
        <is>
          <t>IEMS-2608-0020</t>
        </is>
      </c>
      <c r="J134" t="inlineStr">
        <is>
          <t>Closed</t>
        </is>
      </c>
      <c r="K134" t="inlineStr">
        <is>
          <t>There is a long crack on the column beside #01-03 Blk 190. Getting bigger over the past month. Please check if structure is safe.</t>
        </is>
      </c>
    </row>
    <row r="135">
      <c r="A135" t="inlineStr">
        <is>
          <t>FB-2026-00706</t>
        </is>
      </c>
      <c r="B135" s="6" t="n">
        <v>46242</v>
      </c>
      <c r="C135" t="inlineStr">
        <is>
          <t>Walk-in</t>
        </is>
      </c>
      <c r="D135" t="inlineStr">
        <is>
          <t>U-ST591-01-02</t>
        </is>
      </c>
      <c r="E135" t="inlineStr">
        <is>
          <t>STR</t>
        </is>
      </c>
      <c r="F135" t="inlineStr">
        <is>
          <t>Structural</t>
        </is>
      </c>
      <c r="G135" t="inlineStr">
        <is>
          <t>Medium</t>
        </is>
      </c>
      <c r="H135" t="inlineStr">
        <is>
          <t>Civil &amp; Structural</t>
        </is>
      </c>
      <c r="I135" t="inlineStr">
        <is>
          <t>IEMS-2608-0021</t>
        </is>
      </c>
      <c r="J135" t="inlineStr">
        <is>
          <t>Closed</t>
        </is>
      </c>
      <c r="K135" t="inlineStr">
        <is>
          <t>There is a long crack on the column beside #01-02 Blk 591. Getting bigger over the past month. Please check if structure is safe.</t>
        </is>
      </c>
    </row>
    <row r="136">
      <c r="A136" t="inlineStr">
        <is>
          <t>FB-2026-00707</t>
        </is>
      </c>
      <c r="B136" s="6" t="n">
        <v>46245</v>
      </c>
      <c r="C136" t="inlineStr">
        <is>
          <t>Email</t>
        </is>
      </c>
      <c r="D136" t="inlineStr">
        <is>
          <t>U-BV214-01-07</t>
        </is>
      </c>
      <c r="E136" t="inlineStr">
        <is>
          <t>SEP</t>
        </is>
      </c>
      <c r="F136" t="inlineStr">
        <is>
          <t>Water Seepage / Leak</t>
        </is>
      </c>
      <c r="G136" t="inlineStr">
        <is>
          <t>High</t>
        </is>
      </c>
      <c r="H136" t="inlineStr">
        <is>
          <t>Civil &amp; Structural</t>
        </is>
      </c>
      <c r="I136" t="inlineStr">
        <is>
          <t>IEMS-2608-0022</t>
        </is>
      </c>
      <c r="J136" t="inlineStr">
        <is>
          <t>Closed</t>
        </is>
      </c>
      <c r="K136" t="inlineStr">
        <is>
          <t>Water dripping from ceiling of Kim Hiap Trading at Blk 214 Bayshore Vale St 21 #01-07 since last night's rain. Stain spreading to next unit, shopkeeper put pails. Pls send someone urgently, stock getting wet.</t>
        </is>
      </c>
    </row>
    <row r="137">
      <c r="A137" t="inlineStr">
        <is>
          <t>FB-2026-00708</t>
        </is>
      </c>
      <c r="B137" s="6" t="n">
        <v>46243</v>
      </c>
      <c r="C137" t="inlineStr">
        <is>
          <t>MP Letter</t>
        </is>
      </c>
      <c r="D137" t="inlineStr">
        <is>
          <t>U-KR362-01-08</t>
        </is>
      </c>
      <c r="E137" t="inlineStr">
        <is>
          <t>CMN</t>
        </is>
      </c>
      <c r="F137" t="inlineStr">
        <is>
          <t>Common Area (Town Council)</t>
        </is>
      </c>
      <c r="G137" t="inlineStr">
        <is>
          <t>Low</t>
        </is>
      </c>
      <c r="H137" t="inlineStr">
        <is>
          <t>Town Council Liaison</t>
        </is>
      </c>
      <c r="J137" t="inlineStr">
        <is>
          <t>Closed</t>
        </is>
      </c>
      <c r="K137" t="inlineStr">
        <is>
          <t>Litter and stains along the 5-foot way at Kebun Raya Street 31 Blk 362.</t>
        </is>
      </c>
    </row>
    <row r="138">
      <c r="A138" t="inlineStr">
        <is>
          <t>FB-2026-00709</t>
        </is>
      </c>
      <c r="B138" s="6" t="n">
        <v>46243</v>
      </c>
      <c r="C138" t="inlineStr">
        <is>
          <t>MP Letter</t>
        </is>
      </c>
      <c r="D138" t="inlineStr">
        <is>
          <t>U-CD143-01-05</t>
        </is>
      </c>
      <c r="E138" t="inlineStr">
        <is>
          <t>ENC</t>
        </is>
      </c>
      <c r="F138" t="inlineStr">
        <is>
          <t>Obstruction / Encroachment</t>
        </is>
      </c>
      <c r="G138" t="inlineStr">
        <is>
          <t>Low</t>
        </is>
      </c>
      <c r="H138" t="inlineStr">
        <is>
          <t>Estate Compliance</t>
        </is>
      </c>
      <c r="J138" t="inlineStr">
        <is>
          <t>Closed</t>
        </is>
      </c>
      <c r="K138" t="inlineStr">
        <is>
          <t>Racks of Teck Guan Kitchen (#01-05) placed beyond the yellow line, blocking pedestrians.</t>
        </is>
      </c>
    </row>
    <row r="139">
      <c r="A139" t="inlineStr">
        <is>
          <t>FB-2026-00710</t>
        </is>
      </c>
      <c r="B139" s="6" t="n">
        <v>46243</v>
      </c>
      <c r="C139" t="inlineStr">
        <is>
          <t>Hotline</t>
        </is>
      </c>
      <c r="D139" t="inlineStr">
        <is>
          <t>U-KR305-01-14</t>
        </is>
      </c>
      <c r="E139" t="inlineStr">
        <is>
          <t>FIR</t>
        </is>
      </c>
      <c r="F139" t="inlineStr">
        <is>
          <t>Fire Safety</t>
        </is>
      </c>
      <c r="G139" t="inlineStr">
        <is>
          <t>Critical</t>
        </is>
      </c>
      <c r="H139" t="inlineStr">
        <is>
          <t>Estate Compliance</t>
        </is>
      </c>
      <c r="I139" t="inlineStr">
        <is>
          <t>IEMS-2608-0023</t>
        </is>
      </c>
      <c r="J139" t="inlineStr">
        <is>
          <t>Closed</t>
        </is>
      </c>
      <c r="K139" t="inlineStr">
        <is>
          <t>Fire exit at rear of Blk 305 near #01-14 blocked by boxes from Smart Kids TCM Clinic Pte Ltd.</t>
        </is>
      </c>
    </row>
    <row r="140">
      <c r="A140" t="inlineStr">
        <is>
          <t>FB-2026-00711</t>
        </is>
      </c>
      <c r="B140" s="6" t="n">
        <v>46244</v>
      </c>
      <c r="C140" t="inlineStr">
        <is>
          <t>CityFix App</t>
        </is>
      </c>
      <c r="D140" t="inlineStr">
        <is>
          <t>U-CD118-01-10</t>
        </is>
      </c>
      <c r="E140" t="inlineStr">
        <is>
          <t>STR</t>
        </is>
      </c>
      <c r="F140" t="inlineStr">
        <is>
          <t>Structural</t>
        </is>
      </c>
      <c r="G140" t="inlineStr">
        <is>
          <t>High</t>
        </is>
      </c>
      <c r="H140" t="inlineStr">
        <is>
          <t>Civil &amp; Structural</t>
        </is>
      </c>
      <c r="I140" t="inlineStr">
        <is>
          <t>IEMS-2608-0024</t>
        </is>
      </c>
      <c r="J140" t="inlineStr">
        <is>
          <t>Closed</t>
        </is>
      </c>
      <c r="K140" t="inlineStr">
        <is>
          <t>Plaster falling off the beam above the shop Pinnacle Family Clinic, Cendana Road. Shop owner already cordoned off with chairs.</t>
        </is>
      </c>
    </row>
    <row r="141">
      <c r="A141" t="inlineStr">
        <is>
          <t>FB-2026-00712</t>
        </is>
      </c>
      <c r="B141" s="6" t="n">
        <v>46244</v>
      </c>
      <c r="C141" t="inlineStr">
        <is>
          <t>CityFix App</t>
        </is>
      </c>
      <c r="D141" t="inlineStr">
        <is>
          <t>U-CD109-01-12</t>
        </is>
      </c>
      <c r="E141" t="inlineStr">
        <is>
          <t>PLB</t>
        </is>
      </c>
      <c r="F141" t="inlineStr">
        <is>
          <t>Plumbing &amp; Sanitary</t>
        </is>
      </c>
      <c r="G141" t="inlineStr">
        <is>
          <t>Medium</t>
        </is>
      </c>
      <c r="H141" t="inlineStr">
        <is>
          <t>M&amp;E</t>
        </is>
      </c>
      <c r="I141" t="inlineStr">
        <is>
          <t>IEMS-2608-0025</t>
        </is>
      </c>
      <c r="J141" t="inlineStr">
        <is>
          <t>Closed</t>
        </is>
      </c>
      <c r="K141" t="inlineStr">
        <is>
          <t>Toilet at rear of Blk 109 shops (near #01-12) cannot flush, pipe leaking.</t>
        </is>
      </c>
    </row>
    <row r="142">
      <c r="A142" t="inlineStr">
        <is>
          <t>FB-2026-00713</t>
        </is>
      </c>
      <c r="B142" s="6" t="n">
        <v>46245</v>
      </c>
      <c r="C142" t="inlineStr">
        <is>
          <t>Hotline</t>
        </is>
      </c>
      <c r="D142" t="inlineStr">
        <is>
          <t>U-KR349-01-01</t>
        </is>
      </c>
      <c r="E142" t="inlineStr">
        <is>
          <t>OTH</t>
        </is>
      </c>
      <c r="F142" t="inlineStr">
        <is>
          <t>General Enquiry / Non-defect</t>
        </is>
      </c>
      <c r="G142" t="inlineStr">
        <is>
          <t>Low</t>
        </is>
      </c>
      <c r="H142" t="inlineStr">
        <is>
          <t>Customer Relations</t>
        </is>
      </c>
      <c r="J142" t="inlineStr">
        <is>
          <t>Closed</t>
        </is>
      </c>
      <c r="K142" t="inlineStr">
        <is>
          <t>When is the next tender for shops in this estate? Interested in Kebun Raya Street 31.</t>
        </is>
      </c>
    </row>
    <row r="143">
      <c r="A143" t="inlineStr">
        <is>
          <t>FB-2026-00714</t>
        </is>
      </c>
      <c r="B143" s="6" t="n">
        <v>46245</v>
      </c>
      <c r="C143" t="inlineStr">
        <is>
          <t>CityFix App</t>
        </is>
      </c>
      <c r="D143" t="inlineStr">
        <is>
          <t>U-RH434-01-01</t>
        </is>
      </c>
      <c r="E143" t="inlineStr">
        <is>
          <t>NOI</t>
        </is>
      </c>
      <c r="F143" t="inlineStr">
        <is>
          <t>Noise / Nuisance</t>
        </is>
      </c>
      <c r="G143" t="inlineStr">
        <is>
          <t>Low</t>
        </is>
      </c>
      <c r="H143" t="inlineStr">
        <is>
          <t>Estate Compliance</t>
        </is>
      </c>
      <c r="J143" t="inlineStr">
        <is>
          <t>Closed</t>
        </is>
      </c>
      <c r="K143" t="inlineStr">
        <is>
          <t>Karaoke noise from #01-01 Rimba Heights Road every night.</t>
        </is>
      </c>
    </row>
    <row r="144">
      <c r="A144" t="inlineStr">
        <is>
          <t>FB-2026-00715</t>
        </is>
      </c>
      <c r="B144" s="6" t="n">
        <v>46245</v>
      </c>
      <c r="C144" t="inlineStr">
        <is>
          <t>Walk-in</t>
        </is>
      </c>
      <c r="D144" t="inlineStr">
        <is>
          <t>U-PI675-01-05</t>
        </is>
      </c>
      <c r="E144" t="inlineStr">
        <is>
          <t>HYG</t>
        </is>
      </c>
      <c r="F144" t="inlineStr">
        <is>
          <t>Hygiene (Tenant)</t>
        </is>
      </c>
      <c r="G144" t="inlineStr">
        <is>
          <t>Medium</t>
        </is>
      </c>
      <c r="H144" t="inlineStr">
        <is>
          <t>Estate Compliance</t>
        </is>
      </c>
      <c r="J144" t="inlineStr">
        <is>
          <t>Closed</t>
        </is>
      </c>
      <c r="K144" t="inlineStr">
        <is>
          <t>Shopfront of #01-05 Blk 675 very dirty, oil stains on the floor.</t>
        </is>
      </c>
    </row>
    <row r="145">
      <c r="A145" t="inlineStr">
        <is>
          <t>FB-2026-00716</t>
        </is>
      </c>
      <c r="B145" s="6" t="n">
        <v>46246</v>
      </c>
      <c r="C145" t="inlineStr">
        <is>
          <t>CityFix App</t>
        </is>
      </c>
      <c r="D145" t="inlineStr">
        <is>
          <t>U-BV233-01-02</t>
        </is>
      </c>
      <c r="E145" t="inlineStr">
        <is>
          <t>PLB</t>
        </is>
      </c>
      <c r="F145" t="inlineStr">
        <is>
          <t>Plumbing &amp; Sanitary</t>
        </is>
      </c>
      <c r="G145" t="inlineStr">
        <is>
          <t>Medium</t>
        </is>
      </c>
      <c r="H145" t="inlineStr">
        <is>
          <t>M&amp;E</t>
        </is>
      </c>
      <c r="I145" t="inlineStr">
        <is>
          <t>IEMS-2608-0026</t>
        </is>
      </c>
      <c r="J145" t="inlineStr">
        <is>
          <t>Closed</t>
        </is>
      </c>
      <c r="K145" t="inlineStr">
        <is>
          <t>Burst pipe near #01-02 Bayshore Vale Drive, water gushing out. Please send plumber asap.</t>
        </is>
      </c>
    </row>
    <row r="146">
      <c r="A146" t="inlineStr">
        <is>
          <t>FB-2026-00717</t>
        </is>
      </c>
      <c r="B146" s="6" t="n">
        <v>46246</v>
      </c>
      <c r="C146" t="inlineStr">
        <is>
          <t>Email</t>
        </is>
      </c>
      <c r="D146" t="inlineStr">
        <is>
          <t>U-PI675-01-13</t>
        </is>
      </c>
      <c r="E146" t="inlineStr">
        <is>
          <t>CMN</t>
        </is>
      </c>
      <c r="F146" t="inlineStr">
        <is>
          <t>Common Area (Town Council)</t>
        </is>
      </c>
      <c r="G146" t="inlineStr">
        <is>
          <t>Low</t>
        </is>
      </c>
      <c r="H146" t="inlineStr">
        <is>
          <t>Town Council Liaison</t>
        </is>
      </c>
      <c r="J146" t="inlineStr">
        <is>
          <t>Closed</t>
        </is>
      </c>
      <c r="K146" t="inlineStr">
        <is>
          <t>Common corridor at Blk 675 near #01-13 not cleaned for days.</t>
        </is>
      </c>
    </row>
    <row r="147">
      <c r="A147" t="inlineStr">
        <is>
          <t>FB-2026-00718</t>
        </is>
      </c>
      <c r="B147" s="6" t="n">
        <v>46246</v>
      </c>
      <c r="C147" t="inlineStr">
        <is>
          <t>CityFix App</t>
        </is>
      </c>
      <c r="D147" t="inlineStr">
        <is>
          <t>U-CD142-01-05</t>
        </is>
      </c>
      <c r="E147" t="inlineStr">
        <is>
          <t>PST</t>
        </is>
      </c>
      <c r="F147" t="inlineStr">
        <is>
          <t>Pest</t>
        </is>
      </c>
      <c r="G147" t="inlineStr">
        <is>
          <t>Medium</t>
        </is>
      </c>
      <c r="H147" t="inlineStr">
        <is>
          <t>Pest Control</t>
        </is>
      </c>
      <c r="I147" t="inlineStr">
        <is>
          <t>IEMS-2608-0027</t>
        </is>
      </c>
      <c r="J147" t="inlineStr">
        <is>
          <t>Closed</t>
        </is>
      </c>
      <c r="K147" t="inlineStr">
        <is>
          <t>Cockroach infestation along the drains in front of #01-05 Cendana Street 11.</t>
        </is>
      </c>
    </row>
    <row r="148">
      <c r="A148" t="inlineStr">
        <is>
          <t>FB-2026-00719</t>
        </is>
      </c>
      <c r="B148" s="6" t="n">
        <v>46247</v>
      </c>
      <c r="C148" t="inlineStr">
        <is>
          <t>Hotline</t>
        </is>
      </c>
      <c r="D148" t="inlineStr">
        <is>
          <t>U-KR305-01-15</t>
        </is>
      </c>
      <c r="E148" t="inlineStr">
        <is>
          <t>HYG</t>
        </is>
      </c>
      <c r="F148" t="inlineStr">
        <is>
          <t>Hygiene (Tenant)</t>
        </is>
      </c>
      <c r="G148" t="inlineStr">
        <is>
          <t>Low</t>
        </is>
      </c>
      <c r="H148" t="inlineStr">
        <is>
          <t>Estate Compliance</t>
        </is>
      </c>
      <c r="J148" t="inlineStr">
        <is>
          <t>Closed</t>
        </is>
      </c>
      <c r="K148" t="inlineStr">
        <is>
          <t>Strong grease smell from Teck Guan Beauty &amp; Hair Pte Ltd kitchen exhaust, residents above complaining.</t>
        </is>
      </c>
    </row>
    <row r="149">
      <c r="A149" t="inlineStr">
        <is>
          <t>FB-2026-00720</t>
        </is>
      </c>
      <c r="B149" s="6" t="n">
        <v>46247</v>
      </c>
      <c r="C149" t="inlineStr">
        <is>
          <t>CityFix App</t>
        </is>
      </c>
      <c r="D149" t="inlineStr">
        <is>
          <t>U-CD118-01-24</t>
        </is>
      </c>
      <c r="E149" t="inlineStr">
        <is>
          <t>ENC</t>
        </is>
      </c>
      <c r="F149" t="inlineStr">
        <is>
          <t>Obstruction / Encroachment</t>
        </is>
      </c>
      <c r="G149" t="inlineStr">
        <is>
          <t>Low</t>
        </is>
      </c>
      <c r="H149" t="inlineStr">
        <is>
          <t>Estate Compliance</t>
        </is>
      </c>
      <c r="J149" t="inlineStr">
        <is>
          <t>Closed</t>
        </is>
      </c>
      <c r="K149" t="inlineStr">
        <is>
          <t>Something wrong with Bayu Dental Surgery at Blk 118, water and smell all over the back lane. Please look into it.</t>
        </is>
      </c>
    </row>
    <row r="150">
      <c r="A150" t="inlineStr">
        <is>
          <t>FB-2026-00721</t>
        </is>
      </c>
      <c r="B150" s="6" t="n">
        <v>46247</v>
      </c>
      <c r="C150" t="inlineStr">
        <is>
          <t>CityFix App</t>
        </is>
      </c>
      <c r="D150" t="inlineStr">
        <is>
          <t>U-KR327-01-03</t>
        </is>
      </c>
      <c r="E150" t="inlineStr">
        <is>
          <t>PLB</t>
        </is>
      </c>
      <c r="F150" t="inlineStr">
        <is>
          <t>Plumbing &amp; Sanitary</t>
        </is>
      </c>
      <c r="G150" t="inlineStr">
        <is>
          <t>Medium</t>
        </is>
      </c>
      <c r="H150" t="inlineStr">
        <is>
          <t>M&amp;E</t>
        </is>
      </c>
      <c r="I150" t="inlineStr">
        <is>
          <t>IEMS-2608-0028</t>
        </is>
      </c>
      <c r="J150" t="inlineStr">
        <is>
          <t>Closed</t>
        </is>
      </c>
      <c r="K150" t="inlineStr">
        <is>
          <t>Toilet at rear of Blk 327 shops (near #01-03) cannot flush, pipe leaking.</t>
        </is>
      </c>
    </row>
    <row r="151">
      <c r="A151" t="inlineStr">
        <is>
          <t>FB-2026-00722</t>
        </is>
      </c>
      <c r="B151" s="6" t="n">
        <v>46247</v>
      </c>
      <c r="C151" t="inlineStr">
        <is>
          <t>MP Letter</t>
        </is>
      </c>
      <c r="D151" t="inlineStr">
        <is>
          <t>U-RH455-01-03</t>
        </is>
      </c>
      <c r="E151" t="inlineStr">
        <is>
          <t>HYG</t>
        </is>
      </c>
      <c r="F151" t="inlineStr">
        <is>
          <t>Hygiene (Tenant)</t>
        </is>
      </c>
      <c r="G151" t="inlineStr">
        <is>
          <t>Low</t>
        </is>
      </c>
      <c r="H151" t="inlineStr">
        <is>
          <t>Estate Compliance</t>
        </is>
      </c>
      <c r="J151" t="inlineStr">
        <is>
          <t>Closed</t>
        </is>
      </c>
      <c r="K151" t="inlineStr">
        <is>
          <t>Strong grease smell from Ong &amp; Sons Hardware Pte Ltd kitchen exhaust, residents above complaining.</t>
        </is>
      </c>
    </row>
    <row r="152">
      <c r="A152" t="inlineStr">
        <is>
          <t>FB-2026-00723</t>
        </is>
      </c>
      <c r="B152" s="6" t="n">
        <v>46248</v>
      </c>
      <c r="C152" t="inlineStr">
        <is>
          <t>Hotline</t>
        </is>
      </c>
      <c r="D152" t="inlineStr">
        <is>
          <t>U-CD153-02-01</t>
        </is>
      </c>
      <c r="E152" t="inlineStr">
        <is>
          <t>PST</t>
        </is>
      </c>
      <c r="F152" t="inlineStr">
        <is>
          <t>Pest</t>
        </is>
      </c>
      <c r="G152" t="inlineStr">
        <is>
          <t>Medium</t>
        </is>
      </c>
      <c r="H152" t="inlineStr">
        <is>
          <t>Pest Control</t>
        </is>
      </c>
      <c r="I152" t="inlineStr">
        <is>
          <t>IEMS-2608-0029</t>
        </is>
      </c>
      <c r="J152" t="inlineStr">
        <is>
          <t>Closed</t>
        </is>
      </c>
      <c r="K152" t="inlineStr">
        <is>
          <t>Cockroach infestation along the drains in front of #02-01 Cendana Road.</t>
        </is>
      </c>
    </row>
    <row r="153">
      <c r="A153" t="inlineStr">
        <is>
          <t>FB-2026-00724</t>
        </is>
      </c>
      <c r="B153" s="6" t="n">
        <v>46248</v>
      </c>
      <c r="C153" t="inlineStr">
        <is>
          <t>MP Letter</t>
        </is>
      </c>
      <c r="D153" t="inlineStr">
        <is>
          <t>U-PI626-01-09</t>
        </is>
      </c>
      <c r="E153" t="inlineStr">
        <is>
          <t>HYG</t>
        </is>
      </c>
      <c r="F153" t="inlineStr">
        <is>
          <t>Hygiene (Tenant)</t>
        </is>
      </c>
      <c r="G153" t="inlineStr">
        <is>
          <t>Low</t>
        </is>
      </c>
      <c r="H153" t="inlineStr">
        <is>
          <t>Estate Compliance</t>
        </is>
      </c>
      <c r="J153" t="inlineStr">
        <is>
          <t>Closed</t>
        </is>
      </c>
      <c r="K153" t="inlineStr">
        <is>
          <t>Fortune TCM Clinic leaves rubbish bags outside the shop overnight, smelly and attracts flies. Blk 626.</t>
        </is>
      </c>
    </row>
    <row r="154">
      <c r="A154" t="inlineStr">
        <is>
          <t>FB-2026-00725</t>
        </is>
      </c>
      <c r="B154" s="6" t="n">
        <v>46249</v>
      </c>
      <c r="C154" t="inlineStr">
        <is>
          <t>Walk-in</t>
        </is>
      </c>
      <c r="D154" t="inlineStr">
        <is>
          <t>U-RH455-01-03</t>
        </is>
      </c>
      <c r="E154" t="inlineStr">
        <is>
          <t>SEP</t>
        </is>
      </c>
      <c r="F154" t="inlineStr">
        <is>
          <t>Water Seepage / Leak</t>
        </is>
      </c>
      <c r="G154" t="inlineStr">
        <is>
          <t>Medium</t>
        </is>
      </c>
      <c r="H154" t="inlineStr">
        <is>
          <t>Civil &amp; Structural</t>
        </is>
      </c>
      <c r="I154" t="inlineStr">
        <is>
          <t>IEMS-2608-0030</t>
        </is>
      </c>
      <c r="J154" t="inlineStr">
        <is>
          <t>Closed</t>
        </is>
      </c>
      <c r="K154" t="inlineStr">
        <is>
          <t>Roof slab above Blk 455 #01-03 leaking into shop. Have reported twice before!!</t>
        </is>
      </c>
    </row>
    <row r="155">
      <c r="A155" t="inlineStr">
        <is>
          <t>FB-2026-00726</t>
        </is>
      </c>
      <c r="B155" s="6" t="n">
        <v>46249</v>
      </c>
      <c r="C155" t="inlineStr">
        <is>
          <t>Walk-in</t>
        </is>
      </c>
      <c r="D155" t="inlineStr">
        <is>
          <t>U-PI601-01-06</t>
        </is>
      </c>
      <c r="E155" t="inlineStr">
        <is>
          <t>NOI</t>
        </is>
      </c>
      <c r="F155" t="inlineStr">
        <is>
          <t>Noise / Nuisance</t>
        </is>
      </c>
      <c r="G155" t="inlineStr">
        <is>
          <t>Low</t>
        </is>
      </c>
      <c r="H155" t="inlineStr">
        <is>
          <t>Estate Compliance</t>
        </is>
      </c>
      <c r="J155" t="inlineStr">
        <is>
          <t>Closed</t>
        </is>
      </c>
      <c r="K155" t="inlineStr">
        <is>
          <t>HASSAN SUPERMARKET AT BLK 601 OPERATING TILL 2AM WITH LOUD MUSIC. RESIDENTS CANNOT SLEEP.</t>
        </is>
      </c>
    </row>
    <row r="156">
      <c r="A156" t="inlineStr">
        <is>
          <t>FB-2026-00727</t>
        </is>
      </c>
      <c r="B156" s="6" t="n">
        <v>46249</v>
      </c>
      <c r="C156" t="inlineStr">
        <is>
          <t>CityFix App</t>
        </is>
      </c>
      <c r="D156" t="inlineStr">
        <is>
          <t>U-KR329-01-03</t>
        </is>
      </c>
      <c r="E156" t="inlineStr">
        <is>
          <t>ELE</t>
        </is>
      </c>
      <c r="F156" t="inlineStr">
        <is>
          <t>Electrical</t>
        </is>
      </c>
      <c r="G156" t="inlineStr">
        <is>
          <t>High</t>
        </is>
      </c>
      <c r="H156" t="inlineStr">
        <is>
          <t>M&amp;E</t>
        </is>
      </c>
      <c r="I156" t="inlineStr">
        <is>
          <t>IEMS-2608-0031</t>
        </is>
      </c>
      <c r="J156" t="inlineStr">
        <is>
          <t>Closed</t>
        </is>
      </c>
      <c r="K156" t="inlineStr">
        <is>
          <t>Power keeps tripping for the row of shops at Blk 329 incl Lim's Tuition Centre. Fridges affected, food spoiling.</t>
        </is>
      </c>
    </row>
    <row r="157">
      <c r="A157" t="inlineStr">
        <is>
          <t>FB-2026-00728</t>
        </is>
      </c>
      <c r="B157" s="6" t="n">
        <v>46249</v>
      </c>
      <c r="C157" t="inlineStr">
        <is>
          <t>MP Letter</t>
        </is>
      </c>
      <c r="D157" t="inlineStr">
        <is>
          <t>U-CD142-01-12</t>
        </is>
      </c>
      <c r="E157" t="inlineStr">
        <is>
          <t>CMN</t>
        </is>
      </c>
      <c r="F157" t="inlineStr">
        <is>
          <t>Common Area (Town Council)</t>
        </is>
      </c>
      <c r="G157" t="inlineStr">
        <is>
          <t>Low</t>
        </is>
      </c>
      <c r="H157" t="inlineStr">
        <is>
          <t>Town Council Liaison</t>
        </is>
      </c>
      <c r="J157" t="inlineStr">
        <is>
          <t>Closed</t>
        </is>
      </c>
      <c r="K157" t="inlineStr">
        <is>
          <t>Common corridor at Blk 142 near #01-12 not cleaned for days.</t>
        </is>
      </c>
    </row>
    <row r="158">
      <c r="A158" t="inlineStr">
        <is>
          <t>FB-2026-00729</t>
        </is>
      </c>
      <c r="B158" s="6" t="n">
        <v>46249</v>
      </c>
      <c r="C158" t="inlineStr">
        <is>
          <t>Hotline</t>
        </is>
      </c>
      <c r="D158" t="inlineStr">
        <is>
          <t>U-CD109-01-02</t>
        </is>
      </c>
      <c r="E158" t="inlineStr">
        <is>
          <t>NOI</t>
        </is>
      </c>
      <c r="F158" t="inlineStr">
        <is>
          <t>Noise / Nuisance</t>
        </is>
      </c>
      <c r="G158" t="inlineStr">
        <is>
          <t>Low</t>
        </is>
      </c>
      <c r="H158" t="inlineStr">
        <is>
          <t>Estate Compliance</t>
        </is>
      </c>
      <c r="J158" t="inlineStr">
        <is>
          <t>Closed</t>
        </is>
      </c>
      <c r="K158" t="inlineStr">
        <is>
          <t>Bright Path Laundry at Blk 109 operating till 2am with loud music. Residents cannot sleep.</t>
        </is>
      </c>
    </row>
    <row r="159">
      <c r="A159" t="inlineStr">
        <is>
          <t>FB-2026-00730</t>
        </is>
      </c>
      <c r="B159" s="6" t="n">
        <v>46249</v>
      </c>
      <c r="C159" t="inlineStr">
        <is>
          <t>CityFix App</t>
        </is>
      </c>
      <c r="D159" t="inlineStr">
        <is>
          <t>U-BV231-01-03</t>
        </is>
      </c>
      <c r="E159" t="inlineStr">
        <is>
          <t>HYG</t>
        </is>
      </c>
      <c r="F159" t="inlineStr">
        <is>
          <t>Hygiene (Tenant)</t>
        </is>
      </c>
      <c r="G159" t="inlineStr">
        <is>
          <t>Low</t>
        </is>
      </c>
      <c r="H159" t="inlineStr">
        <is>
          <t>Estate Compliance</t>
        </is>
      </c>
      <c r="J159" t="inlineStr">
        <is>
          <t>Closed</t>
        </is>
      </c>
      <c r="K159" t="inlineStr">
        <is>
          <t>Shopfront of #01-03 Blk 231 very dirty, oil stains on the floor.</t>
        </is>
      </c>
    </row>
    <row r="160">
      <c r="A160" t="inlineStr">
        <is>
          <t>FB-2026-00731</t>
        </is>
      </c>
      <c r="B160" s="6" t="n">
        <v>46250</v>
      </c>
      <c r="C160" t="inlineStr">
        <is>
          <t>Hotline</t>
        </is>
      </c>
      <c r="D160" t="inlineStr">
        <is>
          <t>U-RH437-01-09</t>
        </is>
      </c>
      <c r="E160" t="inlineStr">
        <is>
          <t>PLB</t>
        </is>
      </c>
      <c r="F160" t="inlineStr">
        <is>
          <t>Plumbing &amp; Sanitary</t>
        </is>
      </c>
      <c r="G160" t="inlineStr">
        <is>
          <t>Medium</t>
        </is>
      </c>
      <c r="H160" t="inlineStr">
        <is>
          <t>M&amp;E</t>
        </is>
      </c>
      <c r="I160" t="inlineStr">
        <is>
          <t>IEMS-2608-0032</t>
        </is>
      </c>
      <c r="J160" t="inlineStr">
        <is>
          <t>Closed</t>
        </is>
      </c>
      <c r="K160" t="inlineStr">
        <is>
          <t>Toilet at rear of Blk 437 shops (near #01-09) cannot flush, pipe leaking.</t>
        </is>
      </c>
    </row>
    <row r="161">
      <c r="A161" t="inlineStr">
        <is>
          <t>FB-2026-00732</t>
        </is>
      </c>
      <c r="B161" s="6" t="n">
        <v>46250</v>
      </c>
      <c r="C161" t="inlineStr">
        <is>
          <t>Hotline</t>
        </is>
      </c>
      <c r="D161" t="inlineStr">
        <is>
          <t>U-CD174-01-01</t>
        </is>
      </c>
      <c r="E161" t="inlineStr">
        <is>
          <t>NOI</t>
        </is>
      </c>
      <c r="F161" t="inlineStr">
        <is>
          <t>Noise / Nuisance</t>
        </is>
      </c>
      <c r="G161" t="inlineStr">
        <is>
          <t>Low</t>
        </is>
      </c>
      <c r="H161" t="inlineStr">
        <is>
          <t>Estate Compliance</t>
        </is>
      </c>
      <c r="J161" t="inlineStr">
        <is>
          <t>Closed</t>
        </is>
      </c>
      <c r="K161" t="inlineStr">
        <is>
          <t>Delivery lorry unloading at 5am for Teck Guan Minimart, very noisy.</t>
        </is>
      </c>
    </row>
    <row r="162">
      <c r="A162" t="inlineStr">
        <is>
          <t>FB-2026-00733</t>
        </is>
      </c>
      <c r="B162" s="6" t="n">
        <v>46250</v>
      </c>
      <c r="C162" t="inlineStr">
        <is>
          <t>CityFix App</t>
        </is>
      </c>
      <c r="D162" t="inlineStr">
        <is>
          <t>U-PI614-01-04</t>
        </is>
      </c>
      <c r="E162" t="inlineStr">
        <is>
          <t>HYG</t>
        </is>
      </c>
      <c r="F162" t="inlineStr">
        <is>
          <t>Hygiene (Tenant)</t>
        </is>
      </c>
      <c r="G162" t="inlineStr">
        <is>
          <t>Low</t>
        </is>
      </c>
      <c r="H162" t="inlineStr">
        <is>
          <t>Estate Compliance</t>
        </is>
      </c>
      <c r="J162" t="inlineStr">
        <is>
          <t>Closed</t>
        </is>
      </c>
      <c r="K162" t="inlineStr">
        <is>
          <t>Ong &amp; Sons Medical Clinic leaves rubbish bags outside the shop overnight, smelly and attracts flies. Blk 614.</t>
        </is>
      </c>
    </row>
    <row r="163">
      <c r="A163" t="inlineStr">
        <is>
          <t>FB-2026-00734</t>
        </is>
      </c>
      <c r="B163" s="6" t="n">
        <v>46250</v>
      </c>
      <c r="C163" t="inlineStr">
        <is>
          <t>CityFix App</t>
        </is>
      </c>
      <c r="D163" t="inlineStr">
        <is>
          <t>U-KR385-01-08</t>
        </is>
      </c>
      <c r="E163" t="inlineStr">
        <is>
          <t>OTH</t>
        </is>
      </c>
      <c r="F163" t="inlineStr">
        <is>
          <t>General Enquiry / Non-defect</t>
        </is>
      </c>
      <c r="G163" t="inlineStr">
        <is>
          <t>High</t>
        </is>
      </c>
      <c r="H163" t="inlineStr">
        <is>
          <t>Customer Relations</t>
        </is>
      </c>
      <c r="J163" t="inlineStr">
        <is>
          <t>Closed</t>
        </is>
      </c>
      <c r="K163" t="inlineStr">
        <is>
          <t>When is the next tender for shops in this estate? Interested in Kebun Raya Avenue 3.</t>
        </is>
      </c>
    </row>
    <row r="164">
      <c r="A164" t="inlineStr">
        <is>
          <t>FB-2026-00735</t>
        </is>
      </c>
      <c r="B164" s="6" t="n">
        <v>46250</v>
      </c>
      <c r="C164" t="inlineStr">
        <is>
          <t>Walk-in</t>
        </is>
      </c>
      <c r="D164" t="inlineStr">
        <is>
          <t>U-RH455-01-08</t>
        </is>
      </c>
      <c r="E164" t="inlineStr">
        <is>
          <t>OTH</t>
        </is>
      </c>
      <c r="F164" t="inlineStr">
        <is>
          <t>General Enquiry / Non-defect</t>
        </is>
      </c>
      <c r="G164" t="inlineStr">
        <is>
          <t>Low</t>
        </is>
      </c>
      <c r="H164" t="inlineStr">
        <is>
          <t>Customer Relations</t>
        </is>
      </c>
      <c r="J164" t="inlineStr">
        <is>
          <t>Closed</t>
        </is>
      </c>
      <c r="K164" t="inlineStr">
        <is>
          <t>HOW DO I APPLY TO RENT A SHOP AT BLK 455 RIMBA HEIGHTS STREET 45? SAW A UNIT VACANT.</t>
        </is>
      </c>
    </row>
    <row r="165">
      <c r="A165" t="inlineStr">
        <is>
          <t>FB-2026-00736</t>
        </is>
      </c>
      <c r="B165" s="6" t="n">
        <v>46251</v>
      </c>
      <c r="C165" t="inlineStr">
        <is>
          <t>Hotline</t>
        </is>
      </c>
      <c r="D165" t="inlineStr">
        <is>
          <t>U-KR362-01-08</t>
        </is>
      </c>
      <c r="E165" t="inlineStr">
        <is>
          <t>SEP</t>
        </is>
      </c>
      <c r="F165" t="inlineStr">
        <is>
          <t>Water Seepage / Leak</t>
        </is>
      </c>
      <c r="G165" t="inlineStr">
        <is>
          <t>Medium</t>
        </is>
      </c>
      <c r="H165" t="inlineStr">
        <is>
          <t>Civil &amp; Structural</t>
        </is>
      </c>
      <c r="J165" t="inlineStr">
        <is>
          <t>Closed</t>
        </is>
      </c>
      <c r="K165" t="inlineStr">
        <is>
          <t>Ceiling near Gold Coin Supermarket Pte Ltd wet and lights flickering, scared got short circuit.</t>
        </is>
      </c>
    </row>
    <row r="166">
      <c r="A166" t="inlineStr">
        <is>
          <t>FB-2026-00737</t>
        </is>
      </c>
      <c r="B166" s="6" t="n">
        <v>46251</v>
      </c>
      <c r="C166" t="inlineStr">
        <is>
          <t>Email</t>
        </is>
      </c>
      <c r="D166" t="inlineStr">
        <is>
          <t>U-CD173-02-02</t>
        </is>
      </c>
      <c r="E166" t="inlineStr">
        <is>
          <t>ENC</t>
        </is>
      </c>
      <c r="F166" t="inlineStr">
        <is>
          <t>Obstruction / Encroachment</t>
        </is>
      </c>
      <c r="G166" t="inlineStr">
        <is>
          <t>Low</t>
        </is>
      </c>
      <c r="H166" t="inlineStr">
        <is>
          <t>Estate Compliance</t>
        </is>
      </c>
      <c r="J166" t="inlineStr">
        <is>
          <t>Closed</t>
        </is>
      </c>
      <c r="K166" t="inlineStr">
        <is>
          <t>Racks of Green Leaf Learning Centre (#02-02) placed beyond the yellow line, blocking pedestrians.</t>
        </is>
      </c>
    </row>
    <row r="167">
      <c r="A167" t="inlineStr">
        <is>
          <t>FB-2026-00738</t>
        </is>
      </c>
      <c r="B167" s="6" t="n">
        <v>46251</v>
      </c>
      <c r="C167" t="inlineStr">
        <is>
          <t>Hotline</t>
        </is>
      </c>
      <c r="D167" t="inlineStr">
        <is>
          <t>U-RH473-01-04</t>
        </is>
      </c>
      <c r="E167" t="inlineStr">
        <is>
          <t>SEP</t>
        </is>
      </c>
      <c r="F167" t="inlineStr">
        <is>
          <t>Water Seepage / Leak</t>
        </is>
      </c>
      <c r="G167" t="inlineStr">
        <is>
          <t>Medium</t>
        </is>
      </c>
      <c r="H167" t="inlineStr">
        <is>
          <t>Civil &amp; Structural</t>
        </is>
      </c>
      <c r="I167" t="inlineStr">
        <is>
          <t>IEMS-2608-0033</t>
        </is>
      </c>
      <c r="J167" t="inlineStr">
        <is>
          <t>Closed</t>
        </is>
      </c>
      <c r="K167" t="inlineStr">
        <is>
          <t>SOMETHING WRONG WITH BAYU DENTAL CARE AT BLK 473, WATER AND SMELL ALL OVER THE BACK LANE. PLEASE LOOK INTO IT.</t>
        </is>
      </c>
    </row>
    <row r="168">
      <c r="A168" t="inlineStr">
        <is>
          <t>FB-2026-00739</t>
        </is>
      </c>
      <c r="B168" s="6" t="n">
        <v>46251</v>
      </c>
      <c r="C168" t="inlineStr">
        <is>
          <t>Email</t>
        </is>
      </c>
      <c r="D168" t="inlineStr">
        <is>
          <t>U-PI625-01-09</t>
        </is>
      </c>
      <c r="E168" t="inlineStr">
        <is>
          <t>STR</t>
        </is>
      </c>
      <c r="F168" t="inlineStr">
        <is>
          <t>Structural</t>
        </is>
      </c>
      <c r="G168" t="inlineStr">
        <is>
          <t>High</t>
        </is>
      </c>
      <c r="H168" t="inlineStr">
        <is>
          <t>Civil &amp; Structural</t>
        </is>
      </c>
      <c r="I168" t="inlineStr">
        <is>
          <t>IEMS-2608-0034</t>
        </is>
      </c>
      <c r="J168" t="inlineStr">
        <is>
          <t>Closed</t>
        </is>
      </c>
      <c r="K168" t="inlineStr">
        <is>
          <t>There is a long crack on the column beside #01-09 Blk 625. Getting bigger over the past month. Please check if structure is safe.</t>
        </is>
      </c>
    </row>
    <row r="169">
      <c r="A169" t="inlineStr">
        <is>
          <t>FB-2026-00740</t>
        </is>
      </c>
      <c r="B169" s="6" t="n">
        <v>46251</v>
      </c>
      <c r="C169" t="inlineStr">
        <is>
          <t>MP Letter</t>
        </is>
      </c>
      <c r="D169" t="inlineStr">
        <is>
          <t>U-BV231-01-07</t>
        </is>
      </c>
      <c r="E169" t="inlineStr">
        <is>
          <t>PLB</t>
        </is>
      </c>
      <c r="F169" t="inlineStr">
        <is>
          <t>Plumbing &amp; Sanitary</t>
        </is>
      </c>
      <c r="G169" t="inlineStr">
        <is>
          <t>Medium</t>
        </is>
      </c>
      <c r="H169" t="inlineStr">
        <is>
          <t>M&amp;E</t>
        </is>
      </c>
      <c r="I169" t="inlineStr">
        <is>
          <t>IEMS-2608-0035</t>
        </is>
      </c>
      <c r="J169" t="inlineStr">
        <is>
          <t>Closed</t>
        </is>
      </c>
      <c r="K169" t="inlineStr">
        <is>
          <t>Toilet at rear of Blk 231 shops (near #01-07) cannot flush, pipe leaking.</t>
        </is>
      </c>
    </row>
    <row r="170">
      <c r="A170" t="inlineStr">
        <is>
          <t>FB-2026-00741</t>
        </is>
      </c>
      <c r="B170" s="6" t="n">
        <v>46252</v>
      </c>
      <c r="C170" t="inlineStr">
        <is>
          <t>MP Letter</t>
        </is>
      </c>
      <c r="D170" t="inlineStr">
        <is>
          <t>U-PI646-01-01</t>
        </is>
      </c>
      <c r="E170" t="inlineStr">
        <is>
          <t>ENC</t>
        </is>
      </c>
      <c r="F170" t="inlineStr">
        <is>
          <t>Obstruction / Encroachment</t>
        </is>
      </c>
      <c r="G170" t="inlineStr">
        <is>
          <t>Low</t>
        </is>
      </c>
      <c r="H170" t="inlineStr">
        <is>
          <t>Estate Compliance</t>
        </is>
      </c>
      <c r="J170" t="inlineStr">
        <is>
          <t>Closed</t>
        </is>
      </c>
      <c r="K170" t="inlineStr">
        <is>
          <t>Racks of Sunflower Minimart Pte Ltd (#01-01) placed beyond the yellow line, blocking pedestrians.</t>
        </is>
      </c>
    </row>
    <row r="171">
      <c r="A171" t="inlineStr">
        <is>
          <t>FB-2026-00742</t>
        </is>
      </c>
      <c r="B171" s="6" t="n">
        <v>46252</v>
      </c>
      <c r="C171" t="inlineStr">
        <is>
          <t>Email</t>
        </is>
      </c>
      <c r="D171" t="inlineStr">
        <is>
          <t>U-CD189-01-02</t>
        </is>
      </c>
      <c r="E171" t="inlineStr">
        <is>
          <t>PLB</t>
        </is>
      </c>
      <c r="F171" t="inlineStr">
        <is>
          <t>Plumbing &amp; Sanitary</t>
        </is>
      </c>
      <c r="G171" t="inlineStr">
        <is>
          <t>Medium</t>
        </is>
      </c>
      <c r="H171" t="inlineStr">
        <is>
          <t>M&amp;E</t>
        </is>
      </c>
      <c r="I171" t="inlineStr">
        <is>
          <t>IEMS-2608-0036</t>
        </is>
      </c>
      <c r="J171" t="inlineStr">
        <is>
          <t>Closed</t>
        </is>
      </c>
      <c r="K171" t="inlineStr">
        <is>
          <t>Burst pipe near #01-02 Jalan Cendana Indah, water gushing out. Please send plumber asap.</t>
        </is>
      </c>
    </row>
    <row r="172">
      <c r="A172" t="inlineStr">
        <is>
          <t>FB-2026-00743</t>
        </is>
      </c>
      <c r="B172" s="6" t="n">
        <v>46252</v>
      </c>
      <c r="C172" t="inlineStr">
        <is>
          <t>CityFix App</t>
        </is>
      </c>
      <c r="D172" t="inlineStr">
        <is>
          <t>U-BV233-01-12</t>
        </is>
      </c>
      <c r="E172" t="inlineStr">
        <is>
          <t>SEP</t>
        </is>
      </c>
      <c r="F172" t="inlineStr">
        <is>
          <t>Water Seepage / Leak</t>
        </is>
      </c>
      <c r="G172" t="inlineStr">
        <is>
          <t>Medium</t>
        </is>
      </c>
      <c r="H172" t="inlineStr">
        <is>
          <t>Civil &amp; Structural</t>
        </is>
      </c>
      <c r="I172" t="inlineStr">
        <is>
          <t>IEMS-2608-0037</t>
        </is>
      </c>
      <c r="J172" t="inlineStr">
        <is>
          <t>Closed</t>
        </is>
      </c>
      <c r="K172" t="inlineStr">
        <is>
          <t>Water seepage from the wall between #01-12 and next unit at Blk 233. Wall paint peeling, smells musty.</t>
        </is>
      </c>
    </row>
    <row r="173">
      <c r="A173" t="inlineStr">
        <is>
          <t>FB-2026-00744</t>
        </is>
      </c>
      <c r="B173" s="6" t="n">
        <v>46252</v>
      </c>
      <c r="C173" t="inlineStr">
        <is>
          <t>Email</t>
        </is>
      </c>
      <c r="D173" t="inlineStr">
        <is>
          <t>U-CD129-01-08</t>
        </is>
      </c>
      <c r="E173" t="inlineStr">
        <is>
          <t>PLB</t>
        </is>
      </c>
      <c r="F173" t="inlineStr">
        <is>
          <t>Plumbing &amp; Sanitary</t>
        </is>
      </c>
      <c r="G173" t="inlineStr">
        <is>
          <t>Medium</t>
        </is>
      </c>
      <c r="H173" t="inlineStr">
        <is>
          <t>M&amp;E</t>
        </is>
      </c>
      <c r="I173" t="inlineStr">
        <is>
          <t>IEMS-2608-0038</t>
        </is>
      </c>
      <c r="J173" t="inlineStr">
        <is>
          <t>Closed</t>
        </is>
      </c>
      <c r="K173" t="inlineStr">
        <is>
          <t>Something wrong with Value Hair Salon Pte Ltd at Blk 129, water and smell all over the back lane. Please look into it.</t>
        </is>
      </c>
    </row>
    <row r="174">
      <c r="A174" t="inlineStr">
        <is>
          <t>FB-2026-00745</t>
        </is>
      </c>
      <c r="B174" s="6" t="n">
        <v>46252</v>
      </c>
      <c r="C174" t="inlineStr">
        <is>
          <t>CityFix App</t>
        </is>
      </c>
      <c r="D174" t="inlineStr">
        <is>
          <t>U-CD105-01-02</t>
        </is>
      </c>
      <c r="E174" t="inlineStr">
        <is>
          <t>FIR</t>
        </is>
      </c>
      <c r="F174" t="inlineStr">
        <is>
          <t>Fire Safety</t>
        </is>
      </c>
      <c r="G174" t="inlineStr">
        <is>
          <t>Critical</t>
        </is>
      </c>
      <c r="H174" t="inlineStr">
        <is>
          <t>Estate Compliance</t>
        </is>
      </c>
      <c r="I174" t="inlineStr">
        <is>
          <t>IEMS-2608-0039</t>
        </is>
      </c>
      <c r="J174" t="inlineStr">
        <is>
          <t>Closed</t>
        </is>
      </c>
      <c r="K174" t="inlineStr">
        <is>
          <t>Fire exit at rear of Blk 105 near #01-02 blocked by boxes from Ever Joy TCM Clinic.</t>
        </is>
      </c>
    </row>
    <row r="175">
      <c r="A175" t="inlineStr">
        <is>
          <t>FB-2026-00746</t>
        </is>
      </c>
      <c r="B175" s="6" t="n">
        <v>46253</v>
      </c>
      <c r="C175" t="inlineStr">
        <is>
          <t>CityFix App</t>
        </is>
      </c>
      <c r="D175" t="inlineStr">
        <is>
          <t>U-CD185-01-07</t>
        </is>
      </c>
      <c r="E175" t="inlineStr">
        <is>
          <t>HYG</t>
        </is>
      </c>
      <c r="F175" t="inlineStr">
        <is>
          <t>Hygiene (Tenant)</t>
        </is>
      </c>
      <c r="G175" t="inlineStr">
        <is>
          <t>Low</t>
        </is>
      </c>
      <c r="H175" t="inlineStr">
        <is>
          <t>Estate Compliance</t>
        </is>
      </c>
      <c r="J175" t="inlineStr">
        <is>
          <t>Closed</t>
        </is>
      </c>
      <c r="K175" t="inlineStr">
        <is>
          <t>Tian Fu Clinic &amp; Surgery leaves rubbish bags outside the shop overnight, smelly and attracts flies. Blk 185.</t>
        </is>
      </c>
    </row>
    <row r="176">
      <c r="A176" t="inlineStr">
        <is>
          <t>FB-2026-00747</t>
        </is>
      </c>
      <c r="B176" s="6" t="n">
        <v>46253</v>
      </c>
      <c r="C176" t="inlineStr">
        <is>
          <t>Hotline</t>
        </is>
      </c>
      <c r="D176" t="inlineStr">
        <is>
          <t>U-BV219-01-03</t>
        </is>
      </c>
      <c r="E176" t="inlineStr">
        <is>
          <t>HYG</t>
        </is>
      </c>
      <c r="F176" t="inlineStr">
        <is>
          <t>Hygiene (Tenant)</t>
        </is>
      </c>
      <c r="G176" t="inlineStr">
        <is>
          <t>High</t>
        </is>
      </c>
      <c r="H176" t="inlineStr">
        <is>
          <t>Estate Compliance</t>
        </is>
      </c>
      <c r="J176" t="inlineStr">
        <is>
          <t>Closed</t>
        </is>
      </c>
      <c r="K176" t="inlineStr">
        <is>
          <t>Shopfront of #01-03 Blk 219 very dirty, oil stains on the floor.</t>
        </is>
      </c>
    </row>
    <row r="177">
      <c r="A177" t="inlineStr">
        <is>
          <t>FB-2026-00748</t>
        </is>
      </c>
      <c r="B177" s="6" t="n">
        <v>46253</v>
      </c>
      <c r="C177" t="inlineStr">
        <is>
          <t>Hotline</t>
        </is>
      </c>
      <c r="D177" t="inlineStr">
        <is>
          <t>U-PI696-01-04</t>
        </is>
      </c>
      <c r="E177" t="inlineStr">
        <is>
          <t>CMN</t>
        </is>
      </c>
      <c r="F177" t="inlineStr">
        <is>
          <t>Common Area (Town Council)</t>
        </is>
      </c>
      <c r="G177" t="inlineStr">
        <is>
          <t>Medium</t>
        </is>
      </c>
      <c r="H177" t="inlineStr">
        <is>
          <t>Town Council Liaison</t>
        </is>
      </c>
      <c r="J177" t="inlineStr">
        <is>
          <t>Closed</t>
        </is>
      </c>
      <c r="K177" t="inlineStr">
        <is>
          <t>Litter and stains along the 5-foot way at Jalan Pasir Indah Blk 696.</t>
        </is>
      </c>
    </row>
    <row r="178">
      <c r="A178" t="inlineStr">
        <is>
          <t>FB-2026-00749</t>
        </is>
      </c>
      <c r="B178" s="6" t="n">
        <v>46254</v>
      </c>
      <c r="C178" t="inlineStr">
        <is>
          <t>Hotline</t>
        </is>
      </c>
      <c r="D178" t="inlineStr">
        <is>
          <t>U-PI626-01-04</t>
        </is>
      </c>
      <c r="E178" t="inlineStr">
        <is>
          <t>HYG</t>
        </is>
      </c>
      <c r="F178" t="inlineStr">
        <is>
          <t>Hygiene (Tenant)</t>
        </is>
      </c>
      <c r="G178" t="inlineStr">
        <is>
          <t>Low</t>
        </is>
      </c>
      <c r="H178" t="inlineStr">
        <is>
          <t>Estate Compliance</t>
        </is>
      </c>
      <c r="J178" t="inlineStr">
        <is>
          <t>Closed</t>
        </is>
      </c>
      <c r="K178" t="inlineStr">
        <is>
          <t>Strong grease smell from Chop Wah Mobile Pte Ltd kitchen exhaust, residents above complaining.</t>
        </is>
      </c>
    </row>
    <row r="179">
      <c r="A179" t="inlineStr">
        <is>
          <t>FB-2026-00750</t>
        </is>
      </c>
      <c r="B179" s="6" t="n">
        <v>46254</v>
      </c>
      <c r="C179" t="inlineStr">
        <is>
          <t>MP Letter</t>
        </is>
      </c>
      <c r="D179" t="inlineStr">
        <is>
          <t>U-CD109-01-12</t>
        </is>
      </c>
      <c r="E179" t="inlineStr">
        <is>
          <t>SEP</t>
        </is>
      </c>
      <c r="F179" t="inlineStr">
        <is>
          <t>Water Seepage / Leak</t>
        </is>
      </c>
      <c r="G179" t="inlineStr">
        <is>
          <t>Medium</t>
        </is>
      </c>
      <c r="H179" t="inlineStr">
        <is>
          <t>Civil &amp; Structural</t>
        </is>
      </c>
      <c r="I179" t="inlineStr">
        <is>
          <t>IEMS-2608-0040</t>
        </is>
      </c>
      <c r="J179" t="inlineStr">
        <is>
          <t>Closed</t>
        </is>
      </c>
      <c r="K179" t="inlineStr">
        <is>
          <t>Roof slab above Blk 109 #01-12 leaking into shop. Have reported twice before!!</t>
        </is>
      </c>
    </row>
    <row r="180">
      <c r="A180" t="inlineStr">
        <is>
          <t>FB-2026-00751</t>
        </is>
      </c>
      <c r="B180" s="6" t="n">
        <v>46254</v>
      </c>
      <c r="C180" t="inlineStr">
        <is>
          <t>Email</t>
        </is>
      </c>
      <c r="D180" t="inlineStr">
        <is>
          <t>U-CD133-01-04</t>
        </is>
      </c>
      <c r="E180" t="inlineStr">
        <is>
          <t>HYG</t>
        </is>
      </c>
      <c r="F180" t="inlineStr">
        <is>
          <t>Hygiene (Tenant)</t>
        </is>
      </c>
      <c r="G180" t="inlineStr">
        <is>
          <t>Low</t>
        </is>
      </c>
      <c r="H180" t="inlineStr">
        <is>
          <t>Estate Compliance</t>
        </is>
      </c>
      <c r="J180" t="inlineStr">
        <is>
          <t>Closed</t>
        </is>
      </c>
      <c r="K180" t="inlineStr">
        <is>
          <t>Strong grease smell from Thye Hin Family Clinic kitchen exhaust, residents above complaining.</t>
        </is>
      </c>
    </row>
    <row r="181">
      <c r="A181" t="inlineStr">
        <is>
          <t>FB-2026-00752</t>
        </is>
      </c>
      <c r="B181" s="6" t="n">
        <v>46254</v>
      </c>
      <c r="C181" t="inlineStr">
        <is>
          <t>Email</t>
        </is>
      </c>
      <c r="D181" t="inlineStr">
        <is>
          <t>U-KR305-01-32</t>
        </is>
      </c>
      <c r="E181" t="inlineStr">
        <is>
          <t>PST</t>
        </is>
      </c>
      <c r="F181" t="inlineStr">
        <is>
          <t>Pest</t>
        </is>
      </c>
      <c r="G181" t="inlineStr">
        <is>
          <t>Medium</t>
        </is>
      </c>
      <c r="H181" t="inlineStr">
        <is>
          <t>Pest Control</t>
        </is>
      </c>
      <c r="I181" t="inlineStr">
        <is>
          <t>IEMS-2608-0041</t>
        </is>
      </c>
      <c r="J181" t="inlineStr">
        <is>
          <t>Closed</t>
        </is>
      </c>
      <c r="K181" t="inlineStr">
        <is>
          <t>Termites found eating the door frame of Harmony Restaurant Pte Ltd (#01-32).</t>
        </is>
      </c>
    </row>
    <row r="182">
      <c r="A182" t="inlineStr">
        <is>
          <t>FB-2026-00753</t>
        </is>
      </c>
      <c r="B182" s="6" t="n">
        <v>46255</v>
      </c>
      <c r="C182" t="inlineStr">
        <is>
          <t>Hotline</t>
        </is>
      </c>
      <c r="D182" t="inlineStr">
        <is>
          <t>U-PI675-02-12</t>
        </is>
      </c>
      <c r="E182" t="inlineStr">
        <is>
          <t>PST</t>
        </is>
      </c>
      <c r="F182" t="inlineStr">
        <is>
          <t>Pest</t>
        </is>
      </c>
      <c r="G182" t="inlineStr">
        <is>
          <t>High</t>
        </is>
      </c>
      <c r="H182" t="inlineStr">
        <is>
          <t>Pest Control</t>
        </is>
      </c>
      <c r="I182" t="inlineStr">
        <is>
          <t>IEMS-2608-0042</t>
        </is>
      </c>
      <c r="J182" t="inlineStr">
        <is>
          <t>Closed</t>
        </is>
      </c>
      <c r="K182" t="inlineStr">
        <is>
          <t>Cockroach infestation along the drains in front of #02-12 Pasir Indah Avenue 6.</t>
        </is>
      </c>
    </row>
    <row r="183">
      <c r="A183" t="inlineStr">
        <is>
          <t>FB-2026-00754</t>
        </is>
      </c>
      <c r="B183" s="6" t="n">
        <v>46255</v>
      </c>
      <c r="C183" t="inlineStr">
        <is>
          <t>Walk-in</t>
        </is>
      </c>
      <c r="D183" t="inlineStr">
        <is>
          <t>U-PI696-01-08</t>
        </is>
      </c>
      <c r="E183" t="inlineStr">
        <is>
          <t>ENC</t>
        </is>
      </c>
      <c r="F183" t="inlineStr">
        <is>
          <t>Obstruction / Encroachment</t>
        </is>
      </c>
      <c r="G183" t="inlineStr">
        <is>
          <t>Low</t>
        </is>
      </c>
      <c r="H183" t="inlineStr">
        <is>
          <t>Estate Compliance</t>
        </is>
      </c>
      <c r="J183" t="inlineStr">
        <is>
          <t>Closed</t>
        </is>
      </c>
      <c r="K183" t="inlineStr">
        <is>
          <t>Tables and chairs of Mei Ling Hair Studio Pte Ltd occupying the corridor, Jalan Pasir Indah.</t>
        </is>
      </c>
    </row>
    <row r="184">
      <c r="A184" t="inlineStr">
        <is>
          <t>FB-2026-00755</t>
        </is>
      </c>
      <c r="B184" s="6" t="n">
        <v>46255</v>
      </c>
      <c r="C184" t="inlineStr">
        <is>
          <t>Walk-in</t>
        </is>
      </c>
      <c r="D184" t="inlineStr">
        <is>
          <t>U-CD133-01-09</t>
        </is>
      </c>
      <c r="E184" t="inlineStr">
        <is>
          <t>CMN</t>
        </is>
      </c>
      <c r="F184" t="inlineStr">
        <is>
          <t>Common Area (Town Council)</t>
        </is>
      </c>
      <c r="G184" t="inlineStr">
        <is>
          <t>Low</t>
        </is>
      </c>
      <c r="H184" t="inlineStr">
        <is>
          <t>Town Council Liaison</t>
        </is>
      </c>
      <c r="J184" t="inlineStr">
        <is>
          <t>Closed</t>
        </is>
      </c>
      <c r="K184" t="inlineStr">
        <is>
          <t>Lift lobby lights near the shops at Blk 133 faulty.</t>
        </is>
      </c>
    </row>
    <row r="185">
      <c r="A185" t="inlineStr">
        <is>
          <t>FB-2026-00756</t>
        </is>
      </c>
      <c r="B185" s="6" t="n">
        <v>46256</v>
      </c>
      <c r="C185" t="inlineStr">
        <is>
          <t>CityFix App</t>
        </is>
      </c>
      <c r="D185" t="inlineStr">
        <is>
          <t>U-CD120-01-12</t>
        </is>
      </c>
      <c r="E185" t="inlineStr">
        <is>
          <t>HYG</t>
        </is>
      </c>
      <c r="F185" t="inlineStr">
        <is>
          <t>Hygiene (Tenant)</t>
        </is>
      </c>
      <c r="G185" t="inlineStr">
        <is>
          <t>Low</t>
        </is>
      </c>
      <c r="H185" t="inlineStr">
        <is>
          <t>Estate Compliance</t>
        </is>
      </c>
      <c r="J185" t="inlineStr">
        <is>
          <t>Closed</t>
        </is>
      </c>
      <c r="K185" t="inlineStr">
        <is>
          <t>Strong grease smell from Hup Seng Dry Cleaners kitchen exhaust, residents above complaining.</t>
        </is>
      </c>
    </row>
    <row r="186">
      <c r="A186" t="inlineStr">
        <is>
          <t>FB-2026-00757</t>
        </is>
      </c>
      <c r="B186" s="6" t="n">
        <v>46256</v>
      </c>
      <c r="C186" t="inlineStr">
        <is>
          <t>CityFix App</t>
        </is>
      </c>
      <c r="D186" t="inlineStr">
        <is>
          <t>U-CD174-01-07</t>
        </is>
      </c>
      <c r="E186" t="inlineStr">
        <is>
          <t>NOI</t>
        </is>
      </c>
      <c r="F186" t="inlineStr">
        <is>
          <t>Noise / Nuisance</t>
        </is>
      </c>
      <c r="G186" t="inlineStr">
        <is>
          <t>Low</t>
        </is>
      </c>
      <c r="H186" t="inlineStr">
        <is>
          <t>Estate Compliance</t>
        </is>
      </c>
      <c r="J186" t="inlineStr">
        <is>
          <t>Closed</t>
        </is>
      </c>
      <c r="K186" t="inlineStr">
        <is>
          <t>Karaoke noise from #01-07 Cendana Street 11 every night.</t>
        </is>
      </c>
    </row>
    <row r="187">
      <c r="A187" t="inlineStr">
        <is>
          <t>FB-2026-00758</t>
        </is>
      </c>
      <c r="B187" s="6" t="n">
        <v>46257</v>
      </c>
      <c r="C187" t="inlineStr">
        <is>
          <t>CityFix App</t>
        </is>
      </c>
      <c r="D187" t="inlineStr">
        <is>
          <t>U-KR385-01-08</t>
        </is>
      </c>
      <c r="E187" t="inlineStr">
        <is>
          <t>OTH</t>
        </is>
      </c>
      <c r="F187" t="inlineStr">
        <is>
          <t>General Enquiry / Non-defect</t>
        </is>
      </c>
      <c r="G187" t="inlineStr">
        <is>
          <t>Low</t>
        </is>
      </c>
      <c r="H187" t="inlineStr">
        <is>
          <t>Customer Relations</t>
        </is>
      </c>
      <c r="J187" t="inlineStr">
        <is>
          <t>Closed</t>
        </is>
      </c>
      <c r="K187" t="inlineStr">
        <is>
          <t>Would like to compliment the staff of Soon Hin Clinic &amp; Surgery for being helpful.</t>
        </is>
      </c>
    </row>
    <row r="188">
      <c r="A188" t="inlineStr">
        <is>
          <t>FB-2026-00759</t>
        </is>
      </c>
      <c r="B188" s="6" t="n">
        <v>46257</v>
      </c>
      <c r="C188" t="inlineStr">
        <is>
          <t>MP Letter</t>
        </is>
      </c>
      <c r="D188" t="inlineStr">
        <is>
          <t>U-KR356-01-08</t>
        </is>
      </c>
      <c r="E188" t="inlineStr">
        <is>
          <t>PLB</t>
        </is>
      </c>
      <c r="F188" t="inlineStr">
        <is>
          <t>Plumbing &amp; Sanitary</t>
        </is>
      </c>
      <c r="G188" t="inlineStr">
        <is>
          <t>Medium</t>
        </is>
      </c>
      <c r="H188" t="inlineStr">
        <is>
          <t>M&amp;E</t>
        </is>
      </c>
      <c r="I188" t="inlineStr">
        <is>
          <t>IEMS-2608-0043</t>
        </is>
      </c>
      <c r="J188" t="inlineStr">
        <is>
          <t>Closed</t>
        </is>
      </c>
      <c r="K188" t="inlineStr">
        <is>
          <t>TOILET AT REAR OF BLK 356 SHOPS (NEAR #01-08) CANNOT FLUSH, PIPE LEAKING.</t>
        </is>
      </c>
    </row>
    <row r="189">
      <c r="A189" t="inlineStr">
        <is>
          <t>FB-2026-00760</t>
        </is>
      </c>
      <c r="B189" s="6" t="n">
        <v>46258</v>
      </c>
      <c r="C189" t="inlineStr">
        <is>
          <t>CityFix App</t>
        </is>
      </c>
      <c r="D189" t="inlineStr">
        <is>
          <t>U-RH425-01-06</t>
        </is>
      </c>
      <c r="E189" t="inlineStr">
        <is>
          <t>PLB</t>
        </is>
      </c>
      <c r="F189" t="inlineStr">
        <is>
          <t>Plumbing &amp; Sanitary</t>
        </is>
      </c>
      <c r="G189" t="inlineStr">
        <is>
          <t>Medium</t>
        </is>
      </c>
      <c r="H189" t="inlineStr">
        <is>
          <t>M&amp;E</t>
        </is>
      </c>
      <c r="I189" t="inlineStr">
        <is>
          <t>IEMS-2608-0044</t>
        </is>
      </c>
      <c r="J189" t="inlineStr">
        <is>
          <t>Closed</t>
        </is>
      </c>
      <c r="K189" t="inlineStr">
        <is>
          <t>Floor trap at the back of Prima Tuition Centre Pte Ltd choked, dirty water overflowing to common corridor Blk 425.</t>
        </is>
      </c>
    </row>
    <row r="190">
      <c r="A190" t="inlineStr">
        <is>
          <t>FB-2026-00761</t>
        </is>
      </c>
      <c r="B190" s="6" t="n">
        <v>46259</v>
      </c>
      <c r="C190" t="inlineStr">
        <is>
          <t>CityFix App</t>
        </is>
      </c>
      <c r="D190" t="inlineStr">
        <is>
          <t>U-ST596-01-05</t>
        </is>
      </c>
      <c r="E190" t="inlineStr">
        <is>
          <t>CMN</t>
        </is>
      </c>
      <c r="F190" t="inlineStr">
        <is>
          <t>Common Area (Town Council)</t>
        </is>
      </c>
      <c r="G190" t="inlineStr">
        <is>
          <t>Low</t>
        </is>
      </c>
      <c r="H190" t="inlineStr">
        <is>
          <t>Town Council Liaison</t>
        </is>
      </c>
      <c r="J190" t="inlineStr">
        <is>
          <t>Closed</t>
        </is>
      </c>
      <c r="K190" t="inlineStr">
        <is>
          <t>Common corridor at Blk 596 near #01-05 not cleaned for days.</t>
        </is>
      </c>
    </row>
    <row r="191">
      <c r="A191" t="inlineStr">
        <is>
          <t>FB-2026-00762</t>
        </is>
      </c>
      <c r="B191" s="6" t="n">
        <v>46259</v>
      </c>
      <c r="C191" t="inlineStr">
        <is>
          <t>MP Letter</t>
        </is>
      </c>
      <c r="D191" t="inlineStr">
        <is>
          <t>U-ST566-01-04</t>
        </is>
      </c>
      <c r="E191" t="inlineStr">
        <is>
          <t>FIR</t>
        </is>
      </c>
      <c r="F191" t="inlineStr">
        <is>
          <t>Fire Safety</t>
        </is>
      </c>
      <c r="G191" t="inlineStr">
        <is>
          <t>Critical</t>
        </is>
      </c>
      <c r="H191" t="inlineStr">
        <is>
          <t>Estate Compliance</t>
        </is>
      </c>
      <c r="I191" t="inlineStr">
        <is>
          <t>IEMS-2608-0045</t>
        </is>
      </c>
      <c r="J191" t="inlineStr">
        <is>
          <t>Closed</t>
        </is>
      </c>
      <c r="K191" t="inlineStr">
        <is>
          <t>Smell of burning and smoke from Raja Fruits Pte Ltd #01-04, Blk 566. Fire engine came.</t>
        </is>
      </c>
    </row>
    <row r="192">
      <c r="A192" t="inlineStr">
        <is>
          <t>FB-2026-00763</t>
        </is>
      </c>
      <c r="B192" s="6" t="n">
        <v>46259</v>
      </c>
      <c r="C192" t="inlineStr">
        <is>
          <t>Hotline</t>
        </is>
      </c>
      <c r="D192" t="inlineStr">
        <is>
          <t>U-PI627-02-23</t>
        </is>
      </c>
      <c r="E192" t="inlineStr">
        <is>
          <t>FIR</t>
        </is>
      </c>
      <c r="F192" t="inlineStr">
        <is>
          <t>Fire Safety</t>
        </is>
      </c>
      <c r="G192" t="inlineStr">
        <is>
          <t>Critical</t>
        </is>
      </c>
      <c r="H192" t="inlineStr">
        <is>
          <t>Estate Compliance</t>
        </is>
      </c>
      <c r="J192" t="inlineStr">
        <is>
          <t>Closed</t>
        </is>
      </c>
      <c r="K192" t="inlineStr">
        <is>
          <t>The area near #02-23 Pasir Indah Street 62 is in bad condition. Lights, dirt, everything. Fix pls.</t>
        </is>
      </c>
    </row>
    <row r="193">
      <c r="A193" t="inlineStr">
        <is>
          <t>FB-2026-00764</t>
        </is>
      </c>
      <c r="B193" s="6" t="n">
        <v>46259</v>
      </c>
      <c r="C193" t="inlineStr">
        <is>
          <t>CityFix App</t>
        </is>
      </c>
      <c r="D193" t="inlineStr">
        <is>
          <t>U-BV215-01-02</t>
        </is>
      </c>
      <c r="E193" t="inlineStr">
        <is>
          <t>ELE</t>
        </is>
      </c>
      <c r="F193" t="inlineStr">
        <is>
          <t>Electrical</t>
        </is>
      </c>
      <c r="G193" t="inlineStr">
        <is>
          <t>High</t>
        </is>
      </c>
      <c r="H193" t="inlineStr">
        <is>
          <t>M&amp;E</t>
        </is>
      </c>
      <c r="I193" t="inlineStr">
        <is>
          <t>IEMS-2608-0046</t>
        </is>
      </c>
      <c r="J193" t="inlineStr">
        <is>
          <t>Closed</t>
        </is>
      </c>
      <c r="K193" t="inlineStr">
        <is>
          <t>Corridor lights in front of PrimeValue Mart Pte Ltd not working for a week, very dark at night, unsafe.</t>
        </is>
      </c>
    </row>
    <row r="194">
      <c r="A194" t="inlineStr">
        <is>
          <t>FB-2026-00765</t>
        </is>
      </c>
      <c r="B194" s="6" t="n">
        <v>46259</v>
      </c>
      <c r="C194" t="inlineStr">
        <is>
          <t>CityFix App</t>
        </is>
      </c>
      <c r="D194" t="inlineStr">
        <is>
          <t>U-BV277-01-11</t>
        </is>
      </c>
      <c r="E194" t="inlineStr">
        <is>
          <t>CMN</t>
        </is>
      </c>
      <c r="F194" t="inlineStr">
        <is>
          <t>Common Area (Town Council)</t>
        </is>
      </c>
      <c r="G194" t="inlineStr">
        <is>
          <t>Low</t>
        </is>
      </c>
      <c r="H194" t="inlineStr">
        <is>
          <t>Town Council Liaison</t>
        </is>
      </c>
      <c r="J194" t="inlineStr">
        <is>
          <t>Closed</t>
        </is>
      </c>
      <c r="K194" t="inlineStr">
        <is>
          <t>Common corridor at Blk 277 near #01-11 not cleaned for days.</t>
        </is>
      </c>
    </row>
    <row r="195">
      <c r="A195" t="inlineStr">
        <is>
          <t>FB-2026-00766</t>
        </is>
      </c>
      <c r="B195" s="6" t="n">
        <v>46259</v>
      </c>
      <c r="C195" t="inlineStr">
        <is>
          <t>Walk-in</t>
        </is>
      </c>
      <c r="D195" t="inlineStr">
        <is>
          <t>U-ST512-01-23</t>
        </is>
      </c>
      <c r="E195" t="inlineStr">
        <is>
          <t>CMN</t>
        </is>
      </c>
      <c r="F195" t="inlineStr">
        <is>
          <t>Common Area (Town Council)</t>
        </is>
      </c>
      <c r="G195" t="inlineStr">
        <is>
          <t>Low</t>
        </is>
      </c>
      <c r="H195" t="inlineStr">
        <is>
          <t>Town Council Liaison</t>
        </is>
      </c>
      <c r="J195" t="inlineStr">
        <is>
          <t>Closed</t>
        </is>
      </c>
      <c r="K195" t="inlineStr">
        <is>
          <t>Lift lobby lights near the shops at Blk 512 faulty.</t>
        </is>
      </c>
    </row>
    <row r="196">
      <c r="A196" t="inlineStr">
        <is>
          <t>FB-2026-00767</t>
        </is>
      </c>
      <c r="B196" s="6" t="n">
        <v>46260</v>
      </c>
      <c r="C196" t="inlineStr">
        <is>
          <t>MP Letter</t>
        </is>
      </c>
      <c r="D196" t="inlineStr">
        <is>
          <t>U-PI634-02-11</t>
        </is>
      </c>
      <c r="E196" t="inlineStr">
        <is>
          <t>PLB</t>
        </is>
      </c>
      <c r="F196" t="inlineStr">
        <is>
          <t>Plumbing &amp; Sanitary</t>
        </is>
      </c>
      <c r="G196" t="inlineStr">
        <is>
          <t>Medium</t>
        </is>
      </c>
      <c r="H196" t="inlineStr">
        <is>
          <t>M&amp;E</t>
        </is>
      </c>
      <c r="I196" t="inlineStr">
        <is>
          <t>IEMS-2608-0047</t>
        </is>
      </c>
      <c r="J196" t="inlineStr">
        <is>
          <t>Closed</t>
        </is>
      </c>
      <c r="K196" t="inlineStr">
        <is>
          <t>Toilet at rear of Blk 634 shops (near #02-11) cannot flush, pipe leaking.</t>
        </is>
      </c>
    </row>
    <row r="197">
      <c r="A197" t="inlineStr">
        <is>
          <t>FB-2026-00768</t>
        </is>
      </c>
      <c r="B197" s="6" t="n">
        <v>46260</v>
      </c>
      <c r="C197" t="inlineStr">
        <is>
          <t>Email</t>
        </is>
      </c>
      <c r="D197" t="inlineStr">
        <is>
          <t>U-KR359-01-03</t>
        </is>
      </c>
      <c r="E197" t="inlineStr">
        <is>
          <t>STR</t>
        </is>
      </c>
      <c r="F197" t="inlineStr">
        <is>
          <t>Structural</t>
        </is>
      </c>
      <c r="G197" t="inlineStr">
        <is>
          <t>High</t>
        </is>
      </c>
      <c r="H197" t="inlineStr">
        <is>
          <t>Civil &amp; Structural</t>
        </is>
      </c>
      <c r="I197" t="inlineStr">
        <is>
          <t>IEMS-2608-0048</t>
        </is>
      </c>
      <c r="J197" t="inlineStr">
        <is>
          <t>Closed</t>
        </is>
      </c>
      <c r="K197" t="inlineStr">
        <is>
          <t>Concrete spalling from ceiling outside Cahaya Family Clinic Pte Ltd at Blk 359 Kebun Raya Crescent #01-03. Pieces fell near the walkway this morning, very dangerous for elderly.</t>
        </is>
      </c>
    </row>
    <row r="198">
      <c r="A198" t="inlineStr">
        <is>
          <t>FB-2026-00769</t>
        </is>
      </c>
      <c r="B198" s="6" t="n">
        <v>46260</v>
      </c>
      <c r="C198" t="inlineStr">
        <is>
          <t>Walk-in</t>
        </is>
      </c>
      <c r="D198" t="inlineStr">
        <is>
          <t>U-KR305-01-12</t>
        </is>
      </c>
      <c r="E198" t="inlineStr">
        <is>
          <t>ELE</t>
        </is>
      </c>
      <c r="F198" t="inlineStr">
        <is>
          <t>Electrical</t>
        </is>
      </c>
      <c r="G198" t="inlineStr">
        <is>
          <t>High</t>
        </is>
      </c>
      <c r="H198" t="inlineStr">
        <is>
          <t>M&amp;E</t>
        </is>
      </c>
      <c r="I198" t="inlineStr">
        <is>
          <t>IEMS-2608-0049</t>
        </is>
      </c>
      <c r="J198" t="inlineStr">
        <is>
          <t>Closed</t>
        </is>
      </c>
      <c r="K198" t="inlineStr">
        <is>
          <t>Power keeps tripping for the row of shops at Blk 305 incl Wellcare Family Clinic. Fridges affected, food spoiling.</t>
        </is>
      </c>
    </row>
    <row r="199">
      <c r="A199" t="inlineStr">
        <is>
          <t>FB-2026-00770</t>
        </is>
      </c>
      <c r="B199" s="6" t="n">
        <v>46261</v>
      </c>
      <c r="C199" t="inlineStr">
        <is>
          <t>MP Letter</t>
        </is>
      </c>
      <c r="D199" t="inlineStr">
        <is>
          <t>U-KR371-01-06</t>
        </is>
      </c>
      <c r="E199" t="inlineStr">
        <is>
          <t>HYG</t>
        </is>
      </c>
      <c r="F199" t="inlineStr">
        <is>
          <t>Hygiene (Tenant)</t>
        </is>
      </c>
      <c r="G199" t="inlineStr">
        <is>
          <t>Low</t>
        </is>
      </c>
      <c r="H199" t="inlineStr">
        <is>
          <t>Estate Compliance</t>
        </is>
      </c>
      <c r="J199" t="inlineStr">
        <is>
          <t>Closed</t>
        </is>
      </c>
      <c r="K199" t="inlineStr">
        <is>
          <t>Strong grease smell from Cahaya Minimart Pte Ltd kitchen exhaust, residents above complaining.</t>
        </is>
      </c>
    </row>
    <row r="200">
      <c r="A200" t="inlineStr">
        <is>
          <t>FB-2026-00771</t>
        </is>
      </c>
      <c r="B200" s="6" t="n">
        <v>46261</v>
      </c>
      <c r="C200" t="inlineStr">
        <is>
          <t>Hotline</t>
        </is>
      </c>
      <c r="D200" t="inlineStr">
        <is>
          <t>U-BV277-01-06</t>
        </is>
      </c>
      <c r="E200" t="inlineStr">
        <is>
          <t>STR</t>
        </is>
      </c>
      <c r="F200" t="inlineStr">
        <is>
          <t>Structural</t>
        </is>
      </c>
      <c r="G200" t="inlineStr">
        <is>
          <t>High</t>
        </is>
      </c>
      <c r="H200" t="inlineStr">
        <is>
          <t>Civil &amp; Structural</t>
        </is>
      </c>
      <c r="I200" t="inlineStr">
        <is>
          <t>IEMS-2608-0050</t>
        </is>
      </c>
      <c r="J200" t="inlineStr">
        <is>
          <t>Closed</t>
        </is>
      </c>
      <c r="K200" t="inlineStr">
        <is>
          <t>Al-Ameen Eating Place renovation very noisy and dust everywhere, also something cracked on the wall??</t>
        </is>
      </c>
    </row>
    <row r="201">
      <c r="A201" t="inlineStr">
        <is>
          <t>FB-2026-00772</t>
        </is>
      </c>
      <c r="B201" s="6" t="n">
        <v>46261</v>
      </c>
      <c r="C201" t="inlineStr">
        <is>
          <t>MP Letter</t>
        </is>
      </c>
      <c r="D201" t="inlineStr">
        <is>
          <t>U-BV266-01-03</t>
        </is>
      </c>
      <c r="E201" t="inlineStr">
        <is>
          <t>HYG</t>
        </is>
      </c>
      <c r="F201" t="inlineStr">
        <is>
          <t>Hygiene (Tenant)</t>
        </is>
      </c>
      <c r="G201" t="inlineStr">
        <is>
          <t>Low</t>
        </is>
      </c>
      <c r="H201" t="inlineStr">
        <is>
          <t>Estate Compliance</t>
        </is>
      </c>
      <c r="J201" t="inlineStr">
        <is>
          <t>Closed</t>
        </is>
      </c>
      <c r="K201" t="inlineStr">
        <is>
          <t>Strong grease smell from Golden Leaf Tuition Centre Pte Ltd kitchen exhaust, residents above complaining.</t>
        </is>
      </c>
    </row>
    <row r="202">
      <c r="A202" t="inlineStr">
        <is>
          <t>FB-2026-00773</t>
        </is>
      </c>
      <c r="B202" s="6" t="n">
        <v>46261</v>
      </c>
      <c r="C202" t="inlineStr">
        <is>
          <t>Walk-in</t>
        </is>
      </c>
      <c r="D202" t="inlineStr">
        <is>
          <t>U-BV290-01-05</t>
        </is>
      </c>
      <c r="E202" t="inlineStr">
        <is>
          <t>OTH</t>
        </is>
      </c>
      <c r="F202" t="inlineStr">
        <is>
          <t>General Enquiry / Non-defect</t>
        </is>
      </c>
      <c r="G202" t="inlineStr">
        <is>
          <t>Low</t>
        </is>
      </c>
      <c r="H202" t="inlineStr">
        <is>
          <t>Customer Relations</t>
        </is>
      </c>
      <c r="J202" t="inlineStr">
        <is>
          <t>Closed</t>
        </is>
      </c>
      <c r="K202" t="inlineStr">
        <is>
          <t>When is the next tender for shops in this estate? Interested in Bayshore Vale Drive.</t>
        </is>
      </c>
    </row>
    <row r="203">
      <c r="A203" t="inlineStr">
        <is>
          <t>FB-2026-00774</t>
        </is>
      </c>
      <c r="B203" s="6" t="n">
        <v>46261</v>
      </c>
      <c r="C203" t="inlineStr">
        <is>
          <t>CityFix App</t>
        </is>
      </c>
      <c r="D203" t="inlineStr">
        <is>
          <t>U-RH408-01-06</t>
        </is>
      </c>
      <c r="E203" t="inlineStr">
        <is>
          <t>ELE</t>
        </is>
      </c>
      <c r="F203" t="inlineStr">
        <is>
          <t>Electrical</t>
        </is>
      </c>
      <c r="G203" t="inlineStr">
        <is>
          <t>High</t>
        </is>
      </c>
      <c r="H203" t="inlineStr">
        <is>
          <t>M&amp;E</t>
        </is>
      </c>
      <c r="I203" t="inlineStr">
        <is>
          <t>IEMS-2608-0051</t>
        </is>
      </c>
      <c r="J203" t="inlineStr">
        <is>
          <t>Closed</t>
        </is>
      </c>
      <c r="K203" t="inlineStr">
        <is>
          <t>Exposed wiring hanging from ceiling outside #01-06 Blk 408 Rimba Walk. Children walk past here.</t>
        </is>
      </c>
    </row>
    <row r="204">
      <c r="A204" t="inlineStr">
        <is>
          <t>FB-2026-00775</t>
        </is>
      </c>
      <c r="B204" s="6" t="n">
        <v>46262</v>
      </c>
      <c r="C204" t="inlineStr">
        <is>
          <t>MP Letter</t>
        </is>
      </c>
      <c r="D204" t="inlineStr">
        <is>
          <t>U-RH420-01-07</t>
        </is>
      </c>
      <c r="E204" t="inlineStr">
        <is>
          <t>OTH</t>
        </is>
      </c>
      <c r="F204" t="inlineStr">
        <is>
          <t>General Enquiry / Non-defect</t>
        </is>
      </c>
      <c r="G204" t="inlineStr">
        <is>
          <t>Low</t>
        </is>
      </c>
      <c r="H204" t="inlineStr">
        <is>
          <t>Customer Relations</t>
        </is>
      </c>
      <c r="J204" t="inlineStr">
        <is>
          <t>Closed</t>
        </is>
      </c>
      <c r="K204" t="inlineStr">
        <is>
          <t>Would like to compliment the staff of Value Telecom for being helpful.</t>
        </is>
      </c>
    </row>
    <row r="205">
      <c r="A205" t="inlineStr">
        <is>
          <t>FB-2026-00776</t>
        </is>
      </c>
      <c r="B205" s="6" t="n">
        <v>46262</v>
      </c>
      <c r="C205" t="inlineStr">
        <is>
          <t>Walk-in</t>
        </is>
      </c>
      <c r="D205" t="inlineStr">
        <is>
          <t>U-BV229-01-02</t>
        </is>
      </c>
      <c r="E205" t="inlineStr">
        <is>
          <t>SEP</t>
        </is>
      </c>
      <c r="F205" t="inlineStr">
        <is>
          <t>Water Seepage / Leak</t>
        </is>
      </c>
      <c r="G205" t="inlineStr">
        <is>
          <t>High</t>
        </is>
      </c>
      <c r="H205" t="inlineStr">
        <is>
          <t>Civil &amp; Structural</t>
        </is>
      </c>
      <c r="I205" t="inlineStr">
        <is>
          <t>IEMS-2608-0052</t>
        </is>
      </c>
      <c r="J205" t="inlineStr">
        <is>
          <t>Closed</t>
        </is>
      </c>
      <c r="K205" t="inlineStr">
        <is>
          <t>Roof slab above Blk 229 #01-02 leaking into shop. Have reported twice before!!</t>
        </is>
      </c>
    </row>
    <row r="206">
      <c r="A206" t="inlineStr">
        <is>
          <t>FB-2026-00777</t>
        </is>
      </c>
      <c r="B206" s="6" t="n">
        <v>46262</v>
      </c>
      <c r="C206" t="inlineStr">
        <is>
          <t>Hotline</t>
        </is>
      </c>
      <c r="D206" t="inlineStr">
        <is>
          <t>U-CD189-01-04</t>
        </is>
      </c>
      <c r="E206" t="inlineStr">
        <is>
          <t>STR</t>
        </is>
      </c>
      <c r="F206" t="inlineStr">
        <is>
          <t>Structural</t>
        </is>
      </c>
      <c r="G206" t="inlineStr">
        <is>
          <t>High</t>
        </is>
      </c>
      <c r="H206" t="inlineStr">
        <is>
          <t>Civil &amp; Structural</t>
        </is>
      </c>
      <c r="I206" t="inlineStr">
        <is>
          <t>IEMS-2608-0053</t>
        </is>
      </c>
      <c r="J206" t="inlineStr">
        <is>
          <t>Closed</t>
        </is>
      </c>
      <c r="K206" t="inlineStr">
        <is>
          <t>Concrete spalling from ceiling outside Brilliant Eye Centre Pte Ltd at Blk 189 Jalan Cendana Indah #01-04. Pieces fell near the walkway this morning, very dangerous for elderly.</t>
        </is>
      </c>
    </row>
    <row r="207">
      <c r="A207" t="inlineStr">
        <is>
          <t>FB-2026-00778</t>
        </is>
      </c>
      <c r="B207" s="6" t="n">
        <v>46263</v>
      </c>
      <c r="C207" t="inlineStr">
        <is>
          <t>CityFix App</t>
        </is>
      </c>
      <c r="D207" t="inlineStr">
        <is>
          <t>U-BV212-01-02</t>
        </is>
      </c>
      <c r="E207" t="inlineStr">
        <is>
          <t>CMN</t>
        </is>
      </c>
      <c r="F207" t="inlineStr">
        <is>
          <t>Common Area (Town Council)</t>
        </is>
      </c>
      <c r="G207" t="inlineStr">
        <is>
          <t>Low</t>
        </is>
      </c>
      <c r="H207" t="inlineStr">
        <is>
          <t>Town Council Liaison</t>
        </is>
      </c>
      <c r="J207" t="inlineStr">
        <is>
          <t>Closed</t>
        </is>
      </c>
      <c r="K207" t="inlineStr">
        <is>
          <t>LIFT LOBBY LIGHTS NEAR THE SHOPS AT BLK 212 FAULTY.</t>
        </is>
      </c>
    </row>
    <row r="208">
      <c r="A208" t="inlineStr">
        <is>
          <t>FB-2026-00779</t>
        </is>
      </c>
      <c r="B208" s="6" t="n">
        <v>46263</v>
      </c>
      <c r="C208" t="inlineStr">
        <is>
          <t>CityFix App</t>
        </is>
      </c>
      <c r="D208" t="inlineStr">
        <is>
          <t>U-RH456-01-05</t>
        </is>
      </c>
      <c r="E208" t="inlineStr">
        <is>
          <t>CMN</t>
        </is>
      </c>
      <c r="F208" t="inlineStr">
        <is>
          <t>Common Area (Town Council)</t>
        </is>
      </c>
      <c r="G208" t="inlineStr">
        <is>
          <t>Low</t>
        </is>
      </c>
      <c r="H208" t="inlineStr">
        <is>
          <t>Town Council Liaison</t>
        </is>
      </c>
      <c r="J208" t="inlineStr">
        <is>
          <t>Closed</t>
        </is>
      </c>
      <c r="K208" t="inlineStr">
        <is>
          <t>Litter and stains along the 5-foot way at Rimba Walk Blk 456.</t>
        </is>
      </c>
    </row>
    <row r="209">
      <c r="A209" t="inlineStr">
        <is>
          <t>FB-2026-00780</t>
        </is>
      </c>
      <c r="B209" s="6" t="n">
        <v>46265</v>
      </c>
      <c r="C209" t="inlineStr">
        <is>
          <t>Walk-in</t>
        </is>
      </c>
      <c r="D209" t="inlineStr">
        <is>
          <t>U-CD160-01-01</t>
        </is>
      </c>
      <c r="E209" t="inlineStr">
        <is>
          <t>PLB</t>
        </is>
      </c>
      <c r="F209" t="inlineStr">
        <is>
          <t>Plumbing &amp; Sanitary</t>
        </is>
      </c>
      <c r="G209" t="inlineStr">
        <is>
          <t>Medium</t>
        </is>
      </c>
      <c r="H209" t="inlineStr">
        <is>
          <t>M&amp;E</t>
        </is>
      </c>
      <c r="I209" t="inlineStr">
        <is>
          <t>IEMS-2609-0001</t>
        </is>
      </c>
      <c r="J209" t="inlineStr">
        <is>
          <t>Closed</t>
        </is>
      </c>
      <c r="K209" t="inlineStr">
        <is>
          <t>Toilet at rear of Blk 160 shops (near #01-01) cannot flush, pipe leaking.</t>
        </is>
      </c>
    </row>
    <row r="210">
      <c r="A210" t="inlineStr">
        <is>
          <t>FB-2026-00781</t>
        </is>
      </c>
      <c r="B210" s="6" t="n">
        <v>46265</v>
      </c>
      <c r="C210" t="inlineStr">
        <is>
          <t>Hotline</t>
        </is>
      </c>
      <c r="D210" t="inlineStr">
        <is>
          <t>U-RH407-01-02</t>
        </is>
      </c>
      <c r="E210" t="inlineStr">
        <is>
          <t>PST</t>
        </is>
      </c>
      <c r="F210" t="inlineStr">
        <is>
          <t>Pest</t>
        </is>
      </c>
      <c r="G210" t="inlineStr">
        <is>
          <t>Medium</t>
        </is>
      </c>
      <c r="H210" t="inlineStr">
        <is>
          <t>Pest Control</t>
        </is>
      </c>
      <c r="I210" t="inlineStr">
        <is>
          <t>IEMS-2608-0054</t>
        </is>
      </c>
      <c r="J210" t="inlineStr">
        <is>
          <t>Closed</t>
        </is>
      </c>
      <c r="K210" t="inlineStr">
        <is>
          <t>Cockroach infestation along the drains in front of #01-02 Rimba Heights Road.</t>
        </is>
      </c>
    </row>
    <row r="211">
      <c r="A211" t="inlineStr">
        <is>
          <t>FB-2026-00782</t>
        </is>
      </c>
      <c r="B211" s="6" t="n">
        <v>46265</v>
      </c>
      <c r="C211" t="inlineStr">
        <is>
          <t>CityFix App</t>
        </is>
      </c>
      <c r="D211" t="inlineStr">
        <is>
          <t>U-PI696-01-01</t>
        </is>
      </c>
      <c r="E211" t="inlineStr">
        <is>
          <t>PLB</t>
        </is>
      </c>
      <c r="F211" t="inlineStr">
        <is>
          <t>Plumbing &amp; Sanitary</t>
        </is>
      </c>
      <c r="G211" t="inlineStr">
        <is>
          <t>Medium</t>
        </is>
      </c>
      <c r="H211" t="inlineStr">
        <is>
          <t>M&amp;E</t>
        </is>
      </c>
      <c r="I211" t="inlineStr">
        <is>
          <t>IEMS-2609-0002</t>
        </is>
      </c>
      <c r="J211" t="inlineStr">
        <is>
          <t>Closed</t>
        </is>
      </c>
      <c r="K211" t="inlineStr">
        <is>
          <t>Floor trap at the back of Wisdom Mart choked, dirty water overflowing to common corridor Blk 696.</t>
        </is>
      </c>
    </row>
    <row r="212">
      <c r="A212" t="inlineStr">
        <is>
          <t>FB-2026-00783</t>
        </is>
      </c>
      <c r="B212" s="6" t="n">
        <v>46265</v>
      </c>
      <c r="C212" t="inlineStr">
        <is>
          <t>CityFix App</t>
        </is>
      </c>
      <c r="D212" t="inlineStr">
        <is>
          <t>U-CD194-01-03</t>
        </is>
      </c>
      <c r="E212" t="inlineStr">
        <is>
          <t>HYG</t>
        </is>
      </c>
      <c r="F212" t="inlineStr">
        <is>
          <t>Hygiene (Tenant)</t>
        </is>
      </c>
      <c r="G212" t="inlineStr">
        <is>
          <t>Low</t>
        </is>
      </c>
      <c r="H212" t="inlineStr">
        <is>
          <t>Estate Compliance</t>
        </is>
      </c>
      <c r="J212" t="inlineStr">
        <is>
          <t>Closed</t>
        </is>
      </c>
      <c r="K212" t="inlineStr">
        <is>
          <t>Nur Family Clinic leaves rubbish bags outside the shop overnight, smelly and attracts flies. Blk 194.</t>
        </is>
      </c>
    </row>
    <row r="213">
      <c r="A213" t="inlineStr">
        <is>
          <t>FB-2026-00784</t>
        </is>
      </c>
      <c r="B213" s="6" t="n">
        <v>46265</v>
      </c>
      <c r="C213" t="inlineStr">
        <is>
          <t>CityFix App</t>
        </is>
      </c>
      <c r="D213" t="inlineStr">
        <is>
          <t>U-ST501-01-14</t>
        </is>
      </c>
      <c r="E213" t="inlineStr">
        <is>
          <t>SEP</t>
        </is>
      </c>
      <c r="F213" t="inlineStr">
        <is>
          <t>Water Seepage / Leak</t>
        </is>
      </c>
      <c r="G213" t="inlineStr">
        <is>
          <t>Medium</t>
        </is>
      </c>
      <c r="H213" t="inlineStr">
        <is>
          <t>Civil &amp; Structural</t>
        </is>
      </c>
      <c r="I213" t="inlineStr">
        <is>
          <t>IEMS-2609-0003</t>
        </is>
      </c>
      <c r="J213" t="inlineStr">
        <is>
          <t>Closed</t>
        </is>
      </c>
      <c r="K213" t="inlineStr">
        <is>
          <t>Roof slab above Blk 501 #01-14 leaking into shop. Have reported twice before!!</t>
        </is>
      </c>
    </row>
    <row r="214">
      <c r="A214" t="inlineStr">
        <is>
          <t>FB-2026-00785</t>
        </is>
      </c>
      <c r="B214" s="6" t="n">
        <v>46267</v>
      </c>
      <c r="C214" t="inlineStr">
        <is>
          <t>CityFix App</t>
        </is>
      </c>
      <c r="D214" t="inlineStr">
        <is>
          <t>U-ST544-02-04</t>
        </is>
      </c>
      <c r="E214" t="inlineStr">
        <is>
          <t>PLB</t>
        </is>
      </c>
      <c r="F214" t="inlineStr">
        <is>
          <t>Plumbing &amp; Sanitary</t>
        </is>
      </c>
      <c r="G214" t="inlineStr">
        <is>
          <t>Medium</t>
        </is>
      </c>
      <c r="H214" t="inlineStr">
        <is>
          <t>M&amp;E</t>
        </is>
      </c>
      <c r="I214" t="inlineStr">
        <is>
          <t>IEMS-2609-0004</t>
        </is>
      </c>
      <c r="J214" t="inlineStr">
        <is>
          <t>Closed</t>
        </is>
      </c>
      <c r="K214" t="inlineStr">
        <is>
          <t>Burst pipe near #02-04 Tinggi Link, water gushing out. Please send plumber asap.</t>
        </is>
      </c>
    </row>
    <row r="215">
      <c r="A215" t="inlineStr">
        <is>
          <t>FB-2026-00786</t>
        </is>
      </c>
      <c r="B215" s="6" t="n">
        <v>46267</v>
      </c>
      <c r="C215" t="inlineStr">
        <is>
          <t>MP Letter</t>
        </is>
      </c>
      <c r="D215" t="inlineStr">
        <is>
          <t>U-BV271-01-02</t>
        </is>
      </c>
      <c r="E215" t="inlineStr">
        <is>
          <t>CMN</t>
        </is>
      </c>
      <c r="F215" t="inlineStr">
        <is>
          <t>Common Area (Town Council)</t>
        </is>
      </c>
      <c r="G215" t="inlineStr">
        <is>
          <t>Low</t>
        </is>
      </c>
      <c r="H215" t="inlineStr">
        <is>
          <t>Town Council Liaison</t>
        </is>
      </c>
      <c r="J215" t="inlineStr">
        <is>
          <t>Closed</t>
        </is>
      </c>
      <c r="K215" t="inlineStr">
        <is>
          <t>Lift lobby lights near the shops at Blk 271 faulty.</t>
        </is>
      </c>
    </row>
    <row r="216">
      <c r="A216" t="inlineStr">
        <is>
          <t>FB-2026-00787</t>
        </is>
      </c>
      <c r="B216" s="6" t="n">
        <v>46267</v>
      </c>
      <c r="C216" t="inlineStr">
        <is>
          <t>CityFix App</t>
        </is>
      </c>
      <c r="D216" t="inlineStr">
        <is>
          <t>U-KR356-01-02</t>
        </is>
      </c>
      <c r="E216" t="inlineStr">
        <is>
          <t>ELE</t>
        </is>
      </c>
      <c r="F216" t="inlineStr">
        <is>
          <t>Electrical</t>
        </is>
      </c>
      <c r="G216" t="inlineStr">
        <is>
          <t>High</t>
        </is>
      </c>
      <c r="H216" t="inlineStr">
        <is>
          <t>M&amp;E</t>
        </is>
      </c>
      <c r="I216" t="inlineStr">
        <is>
          <t>IEMS-2609-0005</t>
        </is>
      </c>
      <c r="J216" t="inlineStr">
        <is>
          <t>Closed</t>
        </is>
      </c>
      <c r="K216" t="inlineStr">
        <is>
          <t>Power keeps tripping for the row of shops at Blk 356 incl Rainbow Mobile Pte Ltd. Fridges affected, food spoiling.</t>
        </is>
      </c>
    </row>
    <row r="217">
      <c r="A217" t="inlineStr">
        <is>
          <t>FB-2026-00788</t>
        </is>
      </c>
      <c r="B217" s="6" t="n">
        <v>46268</v>
      </c>
      <c r="C217" t="inlineStr">
        <is>
          <t>CityFix App</t>
        </is>
      </c>
      <c r="D217" t="inlineStr">
        <is>
          <t>U-RH460-01-06</t>
        </is>
      </c>
      <c r="E217" t="inlineStr">
        <is>
          <t>ENC</t>
        </is>
      </c>
      <c r="F217" t="inlineStr">
        <is>
          <t>Obstruction / Encroachment</t>
        </is>
      </c>
      <c r="G217" t="inlineStr">
        <is>
          <t>Low</t>
        </is>
      </c>
      <c r="H217" t="inlineStr">
        <is>
          <t>Estate Compliance</t>
        </is>
      </c>
      <c r="J217" t="inlineStr">
        <is>
          <t>Closed</t>
        </is>
      </c>
      <c r="K217" t="inlineStr">
        <is>
          <t>Racks of Kopi Corner Florist Pte Ltd (#01-06) placed beyond the yellow line, blocking pedestrians.</t>
        </is>
      </c>
    </row>
    <row r="218">
      <c r="A218" t="inlineStr">
        <is>
          <t>FB-2026-00789</t>
        </is>
      </c>
      <c r="B218" s="6" t="n">
        <v>46268</v>
      </c>
      <c r="C218" t="inlineStr">
        <is>
          <t>MP Letter</t>
        </is>
      </c>
      <c r="D218" t="inlineStr">
        <is>
          <t>U-RH464-01-02</t>
        </is>
      </c>
      <c r="E218" t="inlineStr">
        <is>
          <t>STR</t>
        </is>
      </c>
      <c r="F218" t="inlineStr">
        <is>
          <t>Structural</t>
        </is>
      </c>
      <c r="G218" t="inlineStr">
        <is>
          <t>High</t>
        </is>
      </c>
      <c r="H218" t="inlineStr">
        <is>
          <t>Civil &amp; Structural</t>
        </is>
      </c>
      <c r="I218" t="inlineStr">
        <is>
          <t>IEMS-2609-0006</t>
        </is>
      </c>
      <c r="J218" t="inlineStr">
        <is>
          <t>Closed</t>
        </is>
      </c>
      <c r="K218" t="inlineStr">
        <is>
          <t>Plaster falling off the beam above the shop Wisdom Medical Clinic, Rimba Walk. Shop owner already cordoned off with chairs.</t>
        </is>
      </c>
    </row>
    <row r="219">
      <c r="A219" t="inlineStr">
        <is>
          <t>FB-2026-00790</t>
        </is>
      </c>
      <c r="B219" s="6" t="n">
        <v>46268</v>
      </c>
      <c r="C219" t="inlineStr">
        <is>
          <t>MP Letter</t>
        </is>
      </c>
      <c r="D219" t="inlineStr">
        <is>
          <t>U-PI667-01-11</t>
        </is>
      </c>
      <c r="E219" t="inlineStr">
        <is>
          <t>SEP</t>
        </is>
      </c>
      <c r="F219" t="inlineStr">
        <is>
          <t>Water Seepage / Leak</t>
        </is>
      </c>
      <c r="G219" t="inlineStr">
        <is>
          <t>Medium</t>
        </is>
      </c>
      <c r="H219" t="inlineStr">
        <is>
          <t>Civil &amp; Structural</t>
        </is>
      </c>
      <c r="I219" t="inlineStr">
        <is>
          <t>IEMS-2609-0007</t>
        </is>
      </c>
      <c r="J219" t="inlineStr">
        <is>
          <t>Closed</t>
        </is>
      </c>
      <c r="K219" t="inlineStr">
        <is>
          <t>Ceiling leaking inside Kampung Flowers &amp; Gifts (#01-11) whenever it rains. Water stains and some stock damaged.</t>
        </is>
      </c>
    </row>
    <row r="220">
      <c r="A220" t="inlineStr">
        <is>
          <t>FB-2026-00791</t>
        </is>
      </c>
      <c r="B220" s="6" t="n">
        <v>46268</v>
      </c>
      <c r="C220" t="inlineStr">
        <is>
          <t>CityFix App</t>
        </is>
      </c>
      <c r="D220" t="inlineStr">
        <is>
          <t>U-RH485-01-04</t>
        </is>
      </c>
      <c r="E220" t="inlineStr">
        <is>
          <t>SEP</t>
        </is>
      </c>
      <c r="F220" t="inlineStr">
        <is>
          <t>Water Seepage / Leak</t>
        </is>
      </c>
      <c r="G220" t="inlineStr">
        <is>
          <t>Medium</t>
        </is>
      </c>
      <c r="H220" t="inlineStr">
        <is>
          <t>Civil &amp; Structural</t>
        </is>
      </c>
      <c r="I220" t="inlineStr">
        <is>
          <t>IEMS-2609-0008</t>
        </is>
      </c>
      <c r="J220" t="inlineStr">
        <is>
          <t>Closed</t>
        </is>
      </c>
      <c r="K220" t="inlineStr">
        <is>
          <t>Ceiling leaking inside PrimeValue Mart Pte Ltd (#01-04) whenever it rains. Water stains and some stock damaged.</t>
        </is>
      </c>
    </row>
    <row r="221">
      <c r="A221" t="inlineStr">
        <is>
          <t>FB-2026-00792</t>
        </is>
      </c>
      <c r="B221" s="6" t="n">
        <v>46269</v>
      </c>
      <c r="C221" t="inlineStr">
        <is>
          <t>Email</t>
        </is>
      </c>
      <c r="D221" t="inlineStr">
        <is>
          <t>U-PI609-01-06</t>
        </is>
      </c>
      <c r="E221" t="inlineStr">
        <is>
          <t>OTH</t>
        </is>
      </c>
      <c r="F221" t="inlineStr">
        <is>
          <t>General Enquiry / Non-defect</t>
        </is>
      </c>
      <c r="G221" t="inlineStr">
        <is>
          <t>Low</t>
        </is>
      </c>
      <c r="H221" t="inlineStr">
        <is>
          <t>Customer Relations</t>
        </is>
      </c>
      <c r="J221" t="inlineStr">
        <is>
          <t>Closed</t>
        </is>
      </c>
      <c r="K221" t="inlineStr">
        <is>
          <t>Something wrong with Swee Heng Kueh Corner at Blk 609, water and smell all over the back lane. Please look into it.</t>
        </is>
      </c>
    </row>
    <row r="222">
      <c r="A222" t="inlineStr">
        <is>
          <t>FB-2026-00793</t>
        </is>
      </c>
      <c r="B222" s="6" t="n">
        <v>46269</v>
      </c>
      <c r="C222" t="inlineStr">
        <is>
          <t>CityFix App</t>
        </is>
      </c>
      <c r="D222" t="inlineStr">
        <is>
          <t>U-ST512-01-01</t>
        </is>
      </c>
      <c r="E222" t="inlineStr">
        <is>
          <t>SEP</t>
        </is>
      </c>
      <c r="F222" t="inlineStr">
        <is>
          <t>Water Seepage / Leak</t>
        </is>
      </c>
      <c r="G222" t="inlineStr">
        <is>
          <t>Medium</t>
        </is>
      </c>
      <c r="H222" t="inlineStr">
        <is>
          <t>Civil &amp; Structural</t>
        </is>
      </c>
      <c r="I222" t="inlineStr">
        <is>
          <t>IEMS-2609-0009</t>
        </is>
      </c>
      <c r="J222" t="inlineStr">
        <is>
          <t>Closed</t>
        </is>
      </c>
      <c r="K222" t="inlineStr">
        <is>
          <t>Water seepage from the wall between #01-01 and next unit at Blk 512. Wall paint peeling, smells musty.</t>
        </is>
      </c>
    </row>
    <row r="223">
      <c r="A223" t="inlineStr">
        <is>
          <t>FB-2026-00794</t>
        </is>
      </c>
      <c r="B223" s="6" t="n">
        <v>46269</v>
      </c>
      <c r="C223" t="inlineStr">
        <is>
          <t>Email</t>
        </is>
      </c>
      <c r="D223" t="inlineStr">
        <is>
          <t>U-KR329-01-10</t>
        </is>
      </c>
      <c r="E223" t="inlineStr">
        <is>
          <t>PST</t>
        </is>
      </c>
      <c r="F223" t="inlineStr">
        <is>
          <t>Pest</t>
        </is>
      </c>
      <c r="G223" t="inlineStr">
        <is>
          <t>Medium</t>
        </is>
      </c>
      <c r="H223" t="inlineStr">
        <is>
          <t>Pest Control</t>
        </is>
      </c>
      <c r="I223" t="inlineStr">
        <is>
          <t>IEMS-2609-0010</t>
        </is>
      </c>
      <c r="J223" t="inlineStr">
        <is>
          <t>Closed</t>
        </is>
      </c>
      <c r="K223" t="inlineStr">
        <is>
          <t>Termites found eating the door frame of Bright Path Confectionery Pte Ltd (#01-10).</t>
        </is>
      </c>
    </row>
    <row r="224">
      <c r="A224" t="inlineStr">
        <is>
          <t>FB-2026-00795</t>
        </is>
      </c>
      <c r="B224" s="6" t="n">
        <v>46269</v>
      </c>
      <c r="C224" t="inlineStr">
        <is>
          <t>Email</t>
        </is>
      </c>
      <c r="D224" t="inlineStr">
        <is>
          <t>U-BV214-01-27</t>
        </is>
      </c>
      <c r="E224" t="inlineStr">
        <is>
          <t>ELE</t>
        </is>
      </c>
      <c r="F224" t="inlineStr">
        <is>
          <t>Electrical</t>
        </is>
      </c>
      <c r="G224" t="inlineStr">
        <is>
          <t>Medium</t>
        </is>
      </c>
      <c r="H224" t="inlineStr">
        <is>
          <t>M&amp;E</t>
        </is>
      </c>
      <c r="I224" t="inlineStr">
        <is>
          <t>IEMS-2609-0011</t>
        </is>
      </c>
      <c r="J224" t="inlineStr">
        <is>
          <t>Closed</t>
        </is>
      </c>
      <c r="K224" t="inlineStr">
        <is>
          <t>Power keeps tripping for the row of shops at Blk 214 incl Raja Dental Surgery. Fridges affected, food spoiling.</t>
        </is>
      </c>
    </row>
    <row r="225">
      <c r="A225" t="inlineStr">
        <is>
          <t>FB-2026-00796</t>
        </is>
      </c>
      <c r="B225" s="6" t="n">
        <v>46270</v>
      </c>
      <c r="C225" t="inlineStr">
        <is>
          <t>CityFix App</t>
        </is>
      </c>
      <c r="D225" t="inlineStr">
        <is>
          <t>U-BV283-01-04</t>
        </is>
      </c>
      <c r="E225" t="inlineStr">
        <is>
          <t>ENC</t>
        </is>
      </c>
      <c r="F225" t="inlineStr">
        <is>
          <t>Obstruction / Encroachment</t>
        </is>
      </c>
      <c r="G225" t="inlineStr">
        <is>
          <t>Low</t>
        </is>
      </c>
      <c r="H225" t="inlineStr">
        <is>
          <t>Estate Compliance</t>
        </is>
      </c>
      <c r="J225" t="inlineStr">
        <is>
          <t>Closed</t>
        </is>
      </c>
      <c r="K225" t="inlineStr">
        <is>
          <t>Racks of Little Sprouts Store (#01-04) placed beyond the yellow line, blocking pedestrians.</t>
        </is>
      </c>
    </row>
    <row r="226">
      <c r="A226" t="inlineStr">
        <is>
          <t>FB-2026-00797</t>
        </is>
      </c>
      <c r="B226" s="6" t="n">
        <v>46271</v>
      </c>
      <c r="C226" t="inlineStr">
        <is>
          <t>CityFix App</t>
        </is>
      </c>
      <c r="D226" t="inlineStr">
        <is>
          <t>U-PI693-01-03</t>
        </is>
      </c>
      <c r="E226" t="inlineStr">
        <is>
          <t>CMN</t>
        </is>
      </c>
      <c r="F226" t="inlineStr">
        <is>
          <t>Common Area (Town Council)</t>
        </is>
      </c>
      <c r="G226" t="inlineStr">
        <is>
          <t>Medium</t>
        </is>
      </c>
      <c r="H226" t="inlineStr">
        <is>
          <t>Town Council Liaison</t>
        </is>
      </c>
      <c r="J226" t="inlineStr">
        <is>
          <t>Closed</t>
        </is>
      </c>
      <c r="K226" t="inlineStr">
        <is>
          <t>COMMON CORRIDOR AT BLK 693 NEAR #01-03 NOT CLEANED FOR DAYS.</t>
        </is>
      </c>
    </row>
    <row r="227">
      <c r="A227" t="inlineStr">
        <is>
          <t>FB-2026-00798</t>
        </is>
      </c>
      <c r="B227" s="6" t="n">
        <v>46271</v>
      </c>
      <c r="C227" t="inlineStr">
        <is>
          <t>Email</t>
        </is>
      </c>
      <c r="D227" t="inlineStr">
        <is>
          <t>U-BV283-01-02</t>
        </is>
      </c>
      <c r="E227" t="inlineStr">
        <is>
          <t>ELE</t>
        </is>
      </c>
      <c r="F227" t="inlineStr">
        <is>
          <t>Electrical</t>
        </is>
      </c>
      <c r="G227" t="inlineStr">
        <is>
          <t>High</t>
        </is>
      </c>
      <c r="H227" t="inlineStr">
        <is>
          <t>M&amp;E</t>
        </is>
      </c>
      <c r="I227" t="inlineStr">
        <is>
          <t>IEMS-2609-0012</t>
        </is>
      </c>
      <c r="J227" t="inlineStr">
        <is>
          <t>Closed</t>
        </is>
      </c>
      <c r="K227" t="inlineStr">
        <is>
          <t>Corridor lights in front of Golden Leaf Supermarket Pte Ltd not working for a week, very dark at night, unsafe.</t>
        </is>
      </c>
    </row>
    <row r="228">
      <c r="A228" t="inlineStr">
        <is>
          <t>FB-2026-00799</t>
        </is>
      </c>
      <c r="B228" s="6" t="n">
        <v>46271</v>
      </c>
      <c r="C228" t="inlineStr">
        <is>
          <t>CityFix App</t>
        </is>
      </c>
      <c r="D228" t="inlineStr">
        <is>
          <t>U-CD119-01-06</t>
        </is>
      </c>
      <c r="E228" t="inlineStr">
        <is>
          <t>ENC</t>
        </is>
      </c>
      <c r="F228" t="inlineStr">
        <is>
          <t>Obstruction / Encroachment</t>
        </is>
      </c>
      <c r="G228" t="inlineStr">
        <is>
          <t>Low</t>
        </is>
      </c>
      <c r="H228" t="inlineStr">
        <is>
          <t>Estate Compliance</t>
        </is>
      </c>
      <c r="J228" t="inlineStr">
        <is>
          <t>Closed</t>
        </is>
      </c>
      <c r="K228" t="inlineStr">
        <is>
          <t>Al-Ameen Mobile displaying goods all the way into the walkway at Blk 119, wheelchair cannot pass.</t>
        </is>
      </c>
    </row>
    <row r="229">
      <c r="A229" t="inlineStr">
        <is>
          <t>FB-2026-00800</t>
        </is>
      </c>
      <c r="B229" s="6" t="n">
        <v>46271</v>
      </c>
      <c r="C229" t="inlineStr">
        <is>
          <t>CityFix App</t>
        </is>
      </c>
      <c r="D229" t="inlineStr">
        <is>
          <t>U-KR318-02-07</t>
        </is>
      </c>
      <c r="E229" t="inlineStr">
        <is>
          <t>OTH</t>
        </is>
      </c>
      <c r="F229" t="inlineStr">
        <is>
          <t>General Enquiry / Non-defect</t>
        </is>
      </c>
      <c r="G229" t="inlineStr">
        <is>
          <t>Medium</t>
        </is>
      </c>
      <c r="H229" t="inlineStr">
        <is>
          <t>Customer Relations</t>
        </is>
      </c>
      <c r="J229" t="inlineStr">
        <is>
          <t>Closed</t>
        </is>
      </c>
      <c r="K229" t="inlineStr">
        <is>
          <t>How do I apply to rent a shop at Blk 318 Kebun Raya Crescent? Saw a unit vacant.</t>
        </is>
      </c>
    </row>
    <row r="230">
      <c r="A230" t="inlineStr">
        <is>
          <t>FB-2026-00801</t>
        </is>
      </c>
      <c r="B230" s="6" t="n">
        <v>46271</v>
      </c>
      <c r="C230" t="inlineStr">
        <is>
          <t>Walk-in</t>
        </is>
      </c>
      <c r="D230" t="inlineStr">
        <is>
          <t>U-CD109-01-07</t>
        </is>
      </c>
      <c r="E230" t="inlineStr">
        <is>
          <t>CMN</t>
        </is>
      </c>
      <c r="F230" t="inlineStr">
        <is>
          <t>Common Area (Town Council)</t>
        </is>
      </c>
      <c r="G230" t="inlineStr">
        <is>
          <t>High</t>
        </is>
      </c>
      <c r="H230" t="inlineStr">
        <is>
          <t>Town Council Liaison</t>
        </is>
      </c>
      <c r="J230" t="inlineStr">
        <is>
          <t>Closed</t>
        </is>
      </c>
      <c r="K230" t="inlineStr">
        <is>
          <t>Litter and stains along the 5-foot way at Cendana Road Blk 109.</t>
        </is>
      </c>
    </row>
    <row r="231">
      <c r="A231" t="inlineStr">
        <is>
          <t>FB-2026-00802</t>
        </is>
      </c>
      <c r="B231" s="6" t="n">
        <v>46271</v>
      </c>
      <c r="C231" t="inlineStr">
        <is>
          <t>MP Letter</t>
        </is>
      </c>
      <c r="D231" t="inlineStr">
        <is>
          <t>U-RH485-01-03</t>
        </is>
      </c>
      <c r="E231" t="inlineStr">
        <is>
          <t>ENC</t>
        </is>
      </c>
      <c r="F231" t="inlineStr">
        <is>
          <t>Obstruction / Encroachment</t>
        </is>
      </c>
      <c r="G231" t="inlineStr">
        <is>
          <t>High</t>
        </is>
      </c>
      <c r="H231" t="inlineStr">
        <is>
          <t>Estate Compliance</t>
        </is>
      </c>
      <c r="J231" t="inlineStr">
        <is>
          <t>Closed</t>
        </is>
      </c>
      <c r="K231" t="inlineStr">
        <is>
          <t>Tian Fu Mobile displaying goods all the way into the walkway at Blk 485, wheelchair cannot pass.</t>
        </is>
      </c>
    </row>
    <row r="232">
      <c r="A232" t="inlineStr">
        <is>
          <t>FB-2026-00803</t>
        </is>
      </c>
      <c r="B232" s="6" t="n">
        <v>46271</v>
      </c>
      <c r="C232" t="inlineStr">
        <is>
          <t>Email</t>
        </is>
      </c>
      <c r="D232" t="inlineStr">
        <is>
          <t>U-PI614-01-04</t>
        </is>
      </c>
      <c r="E232" t="inlineStr">
        <is>
          <t>SEP</t>
        </is>
      </c>
      <c r="F232" t="inlineStr">
        <is>
          <t>Water Seepage / Leak</t>
        </is>
      </c>
      <c r="G232" t="inlineStr">
        <is>
          <t>Medium</t>
        </is>
      </c>
      <c r="H232" t="inlineStr">
        <is>
          <t>Civil &amp; Structural</t>
        </is>
      </c>
      <c r="I232" t="inlineStr">
        <is>
          <t>IEMS-2609-0013</t>
        </is>
      </c>
      <c r="J232" t="inlineStr">
        <is>
          <t>Closed</t>
        </is>
      </c>
      <c r="K232" t="inlineStr">
        <is>
          <t>Roof slab above Blk 614 #01-04 leaking into shop. Have reported twice before!!</t>
        </is>
      </c>
    </row>
    <row r="233">
      <c r="A233" t="inlineStr">
        <is>
          <t>FB-2026-00804</t>
        </is>
      </c>
      <c r="B233" s="6" t="n">
        <v>46273</v>
      </c>
      <c r="C233" t="inlineStr">
        <is>
          <t>CityFix App</t>
        </is>
      </c>
      <c r="D233" t="inlineStr">
        <is>
          <t>U-RH476-01-08</t>
        </is>
      </c>
      <c r="E233" t="inlineStr">
        <is>
          <t>ENC</t>
        </is>
      </c>
      <c r="F233" t="inlineStr">
        <is>
          <t>Obstruction / Encroachment</t>
        </is>
      </c>
      <c r="G233" t="inlineStr">
        <is>
          <t>Low</t>
        </is>
      </c>
      <c r="H233" t="inlineStr">
        <is>
          <t>Estate Compliance</t>
        </is>
      </c>
      <c r="J233" t="inlineStr">
        <is>
          <t>Closed</t>
        </is>
      </c>
      <c r="K233" t="inlineStr">
        <is>
          <t>Tables and chairs of Lotus Trading Pte Ltd occupying the corridor, Rimba Walk.</t>
        </is>
      </c>
    </row>
    <row r="234">
      <c r="A234" t="inlineStr">
        <is>
          <t>FB-2026-00805</t>
        </is>
      </c>
      <c r="B234" s="6" t="n">
        <v>46274</v>
      </c>
      <c r="C234" t="inlineStr">
        <is>
          <t>Walk-in</t>
        </is>
      </c>
      <c r="D234" t="inlineStr">
        <is>
          <t>U-PI642-01-02</t>
        </is>
      </c>
      <c r="E234" t="inlineStr">
        <is>
          <t>OTH</t>
        </is>
      </c>
      <c r="F234" t="inlineStr">
        <is>
          <t>General Enquiry / Non-defect</t>
        </is>
      </c>
      <c r="G234" t="inlineStr">
        <is>
          <t>Low</t>
        </is>
      </c>
      <c r="H234" t="inlineStr">
        <is>
          <t>Customer Relations</t>
        </is>
      </c>
      <c r="J234" t="inlineStr">
        <is>
          <t>Closed</t>
        </is>
      </c>
      <c r="K234" t="inlineStr">
        <is>
          <t>When is the next tender for shops in this estate? Interested in Pasir Indah Avenue 6.</t>
        </is>
      </c>
    </row>
    <row r="235">
      <c r="A235" t="inlineStr">
        <is>
          <t>FB-2026-00806</t>
        </is>
      </c>
      <c r="B235" s="6" t="n">
        <v>46274</v>
      </c>
      <c r="C235" t="inlineStr">
        <is>
          <t>Walk-in</t>
        </is>
      </c>
      <c r="D235" t="inlineStr">
        <is>
          <t>U-CD190-02-04</t>
        </is>
      </c>
      <c r="E235" t="inlineStr">
        <is>
          <t>PLB</t>
        </is>
      </c>
      <c r="F235" t="inlineStr">
        <is>
          <t>Plumbing &amp; Sanitary</t>
        </is>
      </c>
      <c r="G235" t="inlineStr">
        <is>
          <t>Medium</t>
        </is>
      </c>
      <c r="H235" t="inlineStr">
        <is>
          <t>M&amp;E</t>
        </is>
      </c>
      <c r="I235" t="inlineStr">
        <is>
          <t>IEMS-2609-0014</t>
        </is>
      </c>
      <c r="J235" t="inlineStr">
        <is>
          <t>Closed</t>
        </is>
      </c>
      <c r="K235" t="inlineStr">
        <is>
          <t>Floor trap at the back of Bloom Dental Care choked, dirty water overflowing to common corridor Blk 190.</t>
        </is>
      </c>
    </row>
    <row r="236">
      <c r="A236" t="inlineStr">
        <is>
          <t>FB-2026-00807</t>
        </is>
      </c>
      <c r="B236" s="6" t="n">
        <v>46275</v>
      </c>
      <c r="C236" t="inlineStr">
        <is>
          <t>CityFix App</t>
        </is>
      </c>
      <c r="D236" t="inlineStr">
        <is>
          <t>U-KR317-02-06</t>
        </is>
      </c>
      <c r="E236" t="inlineStr">
        <is>
          <t>ELE</t>
        </is>
      </c>
      <c r="F236" t="inlineStr">
        <is>
          <t>Electrical</t>
        </is>
      </c>
      <c r="G236" t="inlineStr">
        <is>
          <t>High</t>
        </is>
      </c>
      <c r="H236" t="inlineStr">
        <is>
          <t>M&amp;E</t>
        </is>
      </c>
      <c r="I236" t="inlineStr">
        <is>
          <t>IEMS-2609-0015</t>
        </is>
      </c>
      <c r="J236" t="inlineStr">
        <is>
          <t>Closed</t>
        </is>
      </c>
      <c r="K236" t="inlineStr">
        <is>
          <t>CORRIDOR LIGHTS IN FRONT OF GREEN LEAF DENTAL SURGERY NOT WORKING FOR A WEEK, VERY DARK AT NIGHT, UNSAFE.</t>
        </is>
      </c>
    </row>
    <row r="237">
      <c r="A237" t="inlineStr">
        <is>
          <t>FB-2026-00808</t>
        </is>
      </c>
      <c r="B237" s="6" t="n">
        <v>46275</v>
      </c>
      <c r="C237" t="inlineStr">
        <is>
          <t>CityFix App</t>
        </is>
      </c>
      <c r="D237" t="inlineStr">
        <is>
          <t>U-CD105-01-01</t>
        </is>
      </c>
      <c r="E237" t="inlineStr">
        <is>
          <t>NOI</t>
        </is>
      </c>
      <c r="F237" t="inlineStr">
        <is>
          <t>Noise / Nuisance</t>
        </is>
      </c>
      <c r="G237" t="inlineStr">
        <is>
          <t>Low</t>
        </is>
      </c>
      <c r="H237" t="inlineStr">
        <is>
          <t>Estate Compliance</t>
        </is>
      </c>
      <c r="J237" t="inlineStr">
        <is>
          <t>Closed</t>
        </is>
      </c>
      <c r="K237" t="inlineStr">
        <is>
          <t>KARAOKE NOISE FROM #01-01 JALAN CENDANA INDAH EVERY NIGHT.</t>
        </is>
      </c>
    </row>
    <row r="238">
      <c r="A238" t="inlineStr">
        <is>
          <t>FB-2026-00809</t>
        </is>
      </c>
      <c r="B238" s="6" t="n">
        <v>46275</v>
      </c>
      <c r="C238" t="inlineStr">
        <is>
          <t>CityFix App</t>
        </is>
      </c>
      <c r="D238" t="inlineStr">
        <is>
          <t>U-CD136-01-02</t>
        </is>
      </c>
      <c r="E238" t="inlineStr">
        <is>
          <t>HYG</t>
        </is>
      </c>
      <c r="F238" t="inlineStr">
        <is>
          <t>Hygiene (Tenant)</t>
        </is>
      </c>
      <c r="G238" t="inlineStr">
        <is>
          <t>Low</t>
        </is>
      </c>
      <c r="H238" t="inlineStr">
        <is>
          <t>Estate Compliance</t>
        </is>
      </c>
      <c r="J238" t="inlineStr">
        <is>
          <t>Closed</t>
        </is>
      </c>
      <c r="K238" t="inlineStr">
        <is>
          <t>Shopfront of #01-02 Blk 136 very dirty, oil stains on the floor.</t>
        </is>
      </c>
    </row>
    <row r="239">
      <c r="A239" t="inlineStr">
        <is>
          <t>FB-2026-00810</t>
        </is>
      </c>
      <c r="B239" s="6" t="n">
        <v>46275</v>
      </c>
      <c r="C239" t="inlineStr">
        <is>
          <t>Email</t>
        </is>
      </c>
      <c r="D239" t="inlineStr">
        <is>
          <t>U-KR330-01-09</t>
        </is>
      </c>
      <c r="E239" t="inlineStr">
        <is>
          <t>NOI</t>
        </is>
      </c>
      <c r="F239" t="inlineStr">
        <is>
          <t>Noise / Nuisance</t>
        </is>
      </c>
      <c r="G239" t="inlineStr">
        <is>
          <t>Low</t>
        </is>
      </c>
      <c r="H239" t="inlineStr">
        <is>
          <t>Estate Compliance</t>
        </is>
      </c>
      <c r="J239" t="inlineStr">
        <is>
          <t>Closed</t>
        </is>
      </c>
      <c r="K239" t="inlineStr">
        <is>
          <t>Karaoke noise from #01-09 Kebun Raya Crescent every night.</t>
        </is>
      </c>
    </row>
    <row r="240">
      <c r="A240" t="inlineStr">
        <is>
          <t>FB-2026-00811</t>
        </is>
      </c>
      <c r="B240" s="6" t="n">
        <v>46276</v>
      </c>
      <c r="C240" t="inlineStr">
        <is>
          <t>Email</t>
        </is>
      </c>
      <c r="D240" t="inlineStr">
        <is>
          <t>U-BV288-01-10</t>
        </is>
      </c>
      <c r="E240" t="inlineStr">
        <is>
          <t>FIR</t>
        </is>
      </c>
      <c r="F240" t="inlineStr">
        <is>
          <t>Fire Safety</t>
        </is>
      </c>
      <c r="G240" t="inlineStr">
        <is>
          <t>Low</t>
        </is>
      </c>
      <c r="H240" t="inlineStr">
        <is>
          <t>Estate Compliance</t>
        </is>
      </c>
      <c r="I240" t="inlineStr">
        <is>
          <t>IEMS-2609-0016</t>
        </is>
      </c>
      <c r="J240" t="inlineStr">
        <is>
          <t>Closed</t>
        </is>
      </c>
      <c r="K240" t="inlineStr">
        <is>
          <t>Hose reel cabinet near #01-10 missing cover and hose damaged.</t>
        </is>
      </c>
    </row>
    <row r="241">
      <c r="A241" t="inlineStr">
        <is>
          <t>FB-2026-00812</t>
        </is>
      </c>
      <c r="B241" s="6" t="n">
        <v>46276</v>
      </c>
      <c r="C241" t="inlineStr">
        <is>
          <t>Email</t>
        </is>
      </c>
      <c r="D241" t="inlineStr">
        <is>
          <t>U-ST564-01-08</t>
        </is>
      </c>
      <c r="E241" t="inlineStr">
        <is>
          <t>ELE</t>
        </is>
      </c>
      <c r="F241" t="inlineStr">
        <is>
          <t>Electrical</t>
        </is>
      </c>
      <c r="G241" t="inlineStr">
        <is>
          <t>High</t>
        </is>
      </c>
      <c r="H241" t="inlineStr">
        <is>
          <t>M&amp;E</t>
        </is>
      </c>
      <c r="I241" t="inlineStr">
        <is>
          <t>IEMS-2609-0017</t>
        </is>
      </c>
      <c r="J241" t="inlineStr">
        <is>
          <t>Closed</t>
        </is>
      </c>
      <c r="K241" t="inlineStr">
        <is>
          <t>Corridor lights in front of Tian Fu Eating Place Pte Ltd not working for a week, very dark at night, unsafe.</t>
        </is>
      </c>
    </row>
    <row r="242">
      <c r="A242" t="inlineStr">
        <is>
          <t>FB-2026-00813</t>
        </is>
      </c>
      <c r="B242" s="6" t="n">
        <v>46277</v>
      </c>
      <c r="C242" t="inlineStr">
        <is>
          <t>MP Letter</t>
        </is>
      </c>
      <c r="D242" t="inlineStr">
        <is>
          <t>U-KR356-01-09</t>
        </is>
      </c>
      <c r="E242" t="inlineStr">
        <is>
          <t>FIR</t>
        </is>
      </c>
      <c r="F242" t="inlineStr">
        <is>
          <t>Fire Safety</t>
        </is>
      </c>
      <c r="G242" t="inlineStr">
        <is>
          <t>Critical</t>
        </is>
      </c>
      <c r="H242" t="inlineStr">
        <is>
          <t>Estate Compliance</t>
        </is>
      </c>
      <c r="I242" t="inlineStr">
        <is>
          <t>IEMS-2609-0018</t>
        </is>
      </c>
      <c r="J242" t="inlineStr">
        <is>
          <t>Closed</t>
        </is>
      </c>
      <c r="K242" t="inlineStr">
        <is>
          <t>Hose reel cabinet near #01-09 missing cover and hose damaged.</t>
        </is>
      </c>
    </row>
    <row r="243">
      <c r="A243" t="inlineStr">
        <is>
          <t>FB-2026-00814</t>
        </is>
      </c>
      <c r="B243" s="6" t="n">
        <v>46277</v>
      </c>
      <c r="C243" t="inlineStr">
        <is>
          <t>Email</t>
        </is>
      </c>
      <c r="D243" t="inlineStr">
        <is>
          <t>U-PI651-01-03</t>
        </is>
      </c>
      <c r="E243" t="inlineStr">
        <is>
          <t>ENC</t>
        </is>
      </c>
      <c r="F243" t="inlineStr">
        <is>
          <t>Obstruction / Encroachment</t>
        </is>
      </c>
      <c r="G243" t="inlineStr">
        <is>
          <t>Low</t>
        </is>
      </c>
      <c r="H243" t="inlineStr">
        <is>
          <t>Estate Compliance</t>
        </is>
      </c>
      <c r="J243" t="inlineStr">
        <is>
          <t>Closed</t>
        </is>
      </c>
      <c r="K243" t="inlineStr">
        <is>
          <t>Tables and chairs of Ah Seng Tuition Centre occupying the corridor, Jalan Pasir Indah.</t>
        </is>
      </c>
    </row>
    <row r="244">
      <c r="A244" t="inlineStr">
        <is>
          <t>FB-2026-00815</t>
        </is>
      </c>
      <c r="B244" s="6" t="n">
        <v>46277</v>
      </c>
      <c r="C244" t="inlineStr">
        <is>
          <t>Walk-in</t>
        </is>
      </c>
      <c r="D244" t="inlineStr">
        <is>
          <t>U-CD105-01-12</t>
        </is>
      </c>
      <c r="E244" t="inlineStr">
        <is>
          <t>CMN</t>
        </is>
      </c>
      <c r="F244" t="inlineStr">
        <is>
          <t>Common Area (Town Council)</t>
        </is>
      </c>
      <c r="G244" t="inlineStr">
        <is>
          <t>High</t>
        </is>
      </c>
      <c r="H244" t="inlineStr">
        <is>
          <t>Town Council Liaison</t>
        </is>
      </c>
      <c r="J244" t="inlineStr">
        <is>
          <t>Closed</t>
        </is>
      </c>
      <c r="K244" t="inlineStr">
        <is>
          <t>Lift lobby lights near the shops at Blk 105 faulty.</t>
        </is>
      </c>
    </row>
    <row r="245">
      <c r="A245" t="inlineStr">
        <is>
          <t>FB-2026-00816</t>
        </is>
      </c>
      <c r="B245" s="6" t="n">
        <v>46278</v>
      </c>
      <c r="C245" t="inlineStr">
        <is>
          <t>CityFix App</t>
        </is>
      </c>
      <c r="D245" t="inlineStr">
        <is>
          <t>U-ST513-01-05</t>
        </is>
      </c>
      <c r="E245" t="inlineStr">
        <is>
          <t>HYG</t>
        </is>
      </c>
      <c r="F245" t="inlineStr">
        <is>
          <t>Hygiene (Tenant)</t>
        </is>
      </c>
      <c r="G245" t="inlineStr">
        <is>
          <t>Low</t>
        </is>
      </c>
      <c r="H245" t="inlineStr">
        <is>
          <t>Estate Compliance</t>
        </is>
      </c>
      <c r="J245" t="inlineStr">
        <is>
          <t>Closed</t>
        </is>
      </c>
      <c r="K245" t="inlineStr">
        <is>
          <t>Bright Path Beauty &amp; Hair leaves rubbish bags outside the shop overnight, smelly and attracts flies. Blk 513.</t>
        </is>
      </c>
    </row>
    <row r="246">
      <c r="A246" t="inlineStr">
        <is>
          <t>FB-2026-00817</t>
        </is>
      </c>
      <c r="B246" s="6" t="n">
        <v>46278</v>
      </c>
      <c r="C246" t="inlineStr">
        <is>
          <t>Email</t>
        </is>
      </c>
      <c r="D246" t="inlineStr">
        <is>
          <t>U-CD118-01-08</t>
        </is>
      </c>
      <c r="E246" t="inlineStr">
        <is>
          <t>PST</t>
        </is>
      </c>
      <c r="F246" t="inlineStr">
        <is>
          <t>Pest</t>
        </is>
      </c>
      <c r="G246" t="inlineStr">
        <is>
          <t>Medium</t>
        </is>
      </c>
      <c r="H246" t="inlineStr">
        <is>
          <t>Pest Control</t>
        </is>
      </c>
      <c r="I246" t="inlineStr">
        <is>
          <t>IEMS-2609-0019</t>
        </is>
      </c>
      <c r="J246" t="inlineStr">
        <is>
          <t>Closed</t>
        </is>
      </c>
      <c r="K246" t="inlineStr">
        <is>
          <t>Termites found eating the door frame of Joo Chiat Store (#01-08).</t>
        </is>
      </c>
    </row>
    <row r="247">
      <c r="A247" t="inlineStr">
        <is>
          <t>FB-2026-00818</t>
        </is>
      </c>
      <c r="B247" s="6" t="n">
        <v>46278</v>
      </c>
      <c r="C247" t="inlineStr">
        <is>
          <t>Walk-in</t>
        </is>
      </c>
      <c r="D247" t="inlineStr">
        <is>
          <t>U-KR369-01-04</t>
        </is>
      </c>
      <c r="E247" t="inlineStr">
        <is>
          <t>PST</t>
        </is>
      </c>
      <c r="F247" t="inlineStr">
        <is>
          <t>Pest</t>
        </is>
      </c>
      <c r="G247" t="inlineStr">
        <is>
          <t>Medium</t>
        </is>
      </c>
      <c r="H247" t="inlineStr">
        <is>
          <t>Pest Control</t>
        </is>
      </c>
      <c r="I247" t="inlineStr">
        <is>
          <t>IEMS-2609-0020</t>
        </is>
      </c>
      <c r="J247" t="inlineStr">
        <is>
          <t>Closed</t>
        </is>
      </c>
      <c r="K247" t="inlineStr">
        <is>
          <t>Termites found eating the door frame of Sin Hock Fruits (#01-04).</t>
        </is>
      </c>
    </row>
    <row r="248">
      <c r="A248" t="inlineStr">
        <is>
          <t>FB-2026-00819</t>
        </is>
      </c>
      <c r="B248" s="6" t="n">
        <v>46278</v>
      </c>
      <c r="C248" t="inlineStr">
        <is>
          <t>Email</t>
        </is>
      </c>
      <c r="D248" t="inlineStr">
        <is>
          <t>U-BV256-01-14</t>
        </is>
      </c>
      <c r="E248" t="inlineStr">
        <is>
          <t>SEP</t>
        </is>
      </c>
      <c r="F248" t="inlineStr">
        <is>
          <t>Water Seepage / Leak</t>
        </is>
      </c>
      <c r="G248" t="inlineStr">
        <is>
          <t>Medium</t>
        </is>
      </c>
      <c r="H248" t="inlineStr">
        <is>
          <t>Civil &amp; Structural</t>
        </is>
      </c>
      <c r="I248" t="inlineStr">
        <is>
          <t>IEMS-2609-0021</t>
        </is>
      </c>
      <c r="J248" t="inlineStr">
        <is>
          <t>Closed</t>
        </is>
      </c>
      <c r="K248" t="inlineStr">
        <is>
          <t>Ceiling leaking inside Thye Hin Bakery (#01-14) whenever it rains. Water stains and some stock damaged.</t>
        </is>
      </c>
    </row>
    <row r="249">
      <c r="A249" t="inlineStr">
        <is>
          <t>FB-2026-00820</t>
        </is>
      </c>
      <c r="B249" s="6" t="n">
        <v>46279</v>
      </c>
      <c r="C249" t="inlineStr">
        <is>
          <t>CityFix App</t>
        </is>
      </c>
      <c r="D249" t="inlineStr">
        <is>
          <t>U-RH471-01-05</t>
        </is>
      </c>
      <c r="E249" t="inlineStr">
        <is>
          <t>STR</t>
        </is>
      </c>
      <c r="F249" t="inlineStr">
        <is>
          <t>Structural</t>
        </is>
      </c>
      <c r="G249" t="inlineStr">
        <is>
          <t>High</t>
        </is>
      </c>
      <c r="H249" t="inlineStr">
        <is>
          <t>Civil &amp; Structural</t>
        </is>
      </c>
      <c r="I249" t="inlineStr">
        <is>
          <t>IEMS-2609-0022</t>
        </is>
      </c>
      <c r="J249" t="inlineStr">
        <is>
          <t>Closed</t>
        </is>
      </c>
      <c r="K249" t="inlineStr">
        <is>
          <t>There is a long crack on the column beside #01-05 Blk 471. Getting bigger over the past month. Please check if structure is safe.</t>
        </is>
      </c>
    </row>
    <row r="250">
      <c r="A250" t="inlineStr">
        <is>
          <t>FB-2026-00821</t>
        </is>
      </c>
      <c r="B250" s="6" t="n">
        <v>46280</v>
      </c>
      <c r="C250" t="inlineStr">
        <is>
          <t>MP Letter</t>
        </is>
      </c>
      <c r="D250" t="inlineStr">
        <is>
          <t>U-RH450-01-05</t>
        </is>
      </c>
      <c r="E250" t="inlineStr">
        <is>
          <t>PST</t>
        </is>
      </c>
      <c r="F250" t="inlineStr">
        <is>
          <t>Pest</t>
        </is>
      </c>
      <c r="G250" t="inlineStr">
        <is>
          <t>Low</t>
        </is>
      </c>
      <c r="H250" t="inlineStr">
        <is>
          <t>Pest Control</t>
        </is>
      </c>
      <c r="I250" t="inlineStr">
        <is>
          <t>IEMS-2609-0023</t>
        </is>
      </c>
      <c r="J250" t="inlineStr">
        <is>
          <t>Closed</t>
        </is>
      </c>
      <c r="K250" t="inlineStr">
        <is>
          <t>Cockroach infestation along the drains in front of #01-05 Rimba Heights Street 45.</t>
        </is>
      </c>
    </row>
    <row r="251">
      <c r="A251" t="inlineStr">
        <is>
          <t>FB-2026-00822</t>
        </is>
      </c>
      <c r="B251" s="6" t="n">
        <v>46280</v>
      </c>
      <c r="C251" t="inlineStr">
        <is>
          <t>Email</t>
        </is>
      </c>
      <c r="D251" t="inlineStr">
        <is>
          <t>U-KR359-01-13</t>
        </is>
      </c>
      <c r="E251" t="inlineStr">
        <is>
          <t>SEP</t>
        </is>
      </c>
      <c r="F251" t="inlineStr">
        <is>
          <t>Water Seepage / Leak</t>
        </is>
      </c>
      <c r="G251" t="inlineStr">
        <is>
          <t>Medium</t>
        </is>
      </c>
      <c r="H251" t="inlineStr">
        <is>
          <t>Civil &amp; Structural</t>
        </is>
      </c>
      <c r="I251" t="inlineStr">
        <is>
          <t>IEMS-2609-0024</t>
        </is>
      </c>
      <c r="J251" t="inlineStr">
        <is>
          <t>Closed</t>
        </is>
      </c>
      <c r="K251" t="inlineStr">
        <is>
          <t>Roof slab above Blk 359 #01-13 leaking into shop. Have reported twice before!!</t>
        </is>
      </c>
    </row>
    <row r="252">
      <c r="A252" t="inlineStr">
        <is>
          <t>FB-2026-00823</t>
        </is>
      </c>
      <c r="B252" s="6" t="n">
        <v>46280</v>
      </c>
      <c r="C252" t="inlineStr">
        <is>
          <t>MP Letter</t>
        </is>
      </c>
      <c r="D252" t="inlineStr">
        <is>
          <t>U-PI693-02-08</t>
        </is>
      </c>
      <c r="E252" t="inlineStr">
        <is>
          <t>PLB</t>
        </is>
      </c>
      <c r="F252" t="inlineStr">
        <is>
          <t>Plumbing &amp; Sanitary</t>
        </is>
      </c>
      <c r="G252" t="inlineStr">
        <is>
          <t>Medium</t>
        </is>
      </c>
      <c r="H252" t="inlineStr">
        <is>
          <t>M&amp;E</t>
        </is>
      </c>
      <c r="I252" t="inlineStr">
        <is>
          <t>IEMS-2609-0025</t>
        </is>
      </c>
      <c r="J252" t="inlineStr">
        <is>
          <t>Closed</t>
        </is>
      </c>
      <c r="K252" t="inlineStr">
        <is>
          <t>Burst pipe near #02-08 Pasir Indah Street 62, water gushing out. Please send plumber asap.</t>
        </is>
      </c>
    </row>
    <row r="253">
      <c r="A253" t="inlineStr">
        <is>
          <t>FB-2026-00824</t>
        </is>
      </c>
      <c r="B253" s="6" t="n">
        <v>46280</v>
      </c>
      <c r="C253" t="inlineStr">
        <is>
          <t>Email</t>
        </is>
      </c>
      <c r="D253" t="inlineStr">
        <is>
          <t>U-CD143-01-04</t>
        </is>
      </c>
      <c r="E253" t="inlineStr">
        <is>
          <t>SEP</t>
        </is>
      </c>
      <c r="F253" t="inlineStr">
        <is>
          <t>Water Seepage / Leak</t>
        </is>
      </c>
      <c r="G253" t="inlineStr">
        <is>
          <t>Medium</t>
        </is>
      </c>
      <c r="H253" t="inlineStr">
        <is>
          <t>Civil &amp; Structural</t>
        </is>
      </c>
      <c r="I253" t="inlineStr">
        <is>
          <t>IEMS-2609-0026</t>
        </is>
      </c>
      <c r="J253" t="inlineStr">
        <is>
          <t>Closed</t>
        </is>
      </c>
      <c r="K253" t="inlineStr">
        <is>
          <t>Ceiling leaking inside Bright Path Hardware Pte Ltd (#01-04) whenever it rains. Water stains and some stock damaged.</t>
        </is>
      </c>
    </row>
    <row r="254">
      <c r="A254" t="inlineStr">
        <is>
          <t>FB-2026-00825</t>
        </is>
      </c>
      <c r="B254" s="6" t="n">
        <v>46281</v>
      </c>
      <c r="C254" t="inlineStr">
        <is>
          <t>CityFix App</t>
        </is>
      </c>
      <c r="D254" t="inlineStr">
        <is>
          <t>U-CD109-01-06</t>
        </is>
      </c>
      <c r="E254" t="inlineStr">
        <is>
          <t>ELE</t>
        </is>
      </c>
      <c r="F254" t="inlineStr">
        <is>
          <t>Electrical</t>
        </is>
      </c>
      <c r="G254" t="inlineStr">
        <is>
          <t>High</t>
        </is>
      </c>
      <c r="H254" t="inlineStr">
        <is>
          <t>M&amp;E</t>
        </is>
      </c>
      <c r="I254" t="inlineStr">
        <is>
          <t>IEMS-2609-0027</t>
        </is>
      </c>
      <c r="J254" t="inlineStr">
        <is>
          <t>Closed</t>
        </is>
      </c>
      <c r="K254" t="inlineStr">
        <is>
          <t>Corridor lights in front of Old Town Mart Pte Ltd not working for a week, very dark at night, unsafe.</t>
        </is>
      </c>
    </row>
    <row r="255">
      <c r="A255" t="inlineStr">
        <is>
          <t>FB-2026-00826</t>
        </is>
      </c>
      <c r="B255" s="6" t="n">
        <v>46281</v>
      </c>
      <c r="C255" t="inlineStr">
        <is>
          <t>MP Letter</t>
        </is>
      </c>
      <c r="D255" t="inlineStr">
        <is>
          <t>U-RH464-01-08</t>
        </is>
      </c>
      <c r="E255" t="inlineStr">
        <is>
          <t>PST</t>
        </is>
      </c>
      <c r="F255" t="inlineStr">
        <is>
          <t>Pest</t>
        </is>
      </c>
      <c r="G255" t="inlineStr">
        <is>
          <t>Medium</t>
        </is>
      </c>
      <c r="H255" t="inlineStr">
        <is>
          <t>Pest Control</t>
        </is>
      </c>
      <c r="I255" t="inlineStr">
        <is>
          <t>IEMS-2609-0028</t>
        </is>
      </c>
      <c r="J255" t="inlineStr">
        <is>
          <t>Closed</t>
        </is>
      </c>
      <c r="K255" t="inlineStr">
        <is>
          <t>Many rats running around the bin area behind Barakah Fruits Pte Ltd, Blk 464.</t>
        </is>
      </c>
    </row>
    <row r="256">
      <c r="A256" t="inlineStr">
        <is>
          <t>FB-2026-00827</t>
        </is>
      </c>
      <c r="B256" s="6" t="n">
        <v>46281</v>
      </c>
      <c r="C256" t="inlineStr">
        <is>
          <t>Email</t>
        </is>
      </c>
      <c r="D256" t="inlineStr">
        <is>
          <t>U-CD142-01-08</t>
        </is>
      </c>
      <c r="E256" t="inlineStr">
        <is>
          <t>PST</t>
        </is>
      </c>
      <c r="F256" t="inlineStr">
        <is>
          <t>Pest</t>
        </is>
      </c>
      <c r="G256" t="inlineStr">
        <is>
          <t>Medium</t>
        </is>
      </c>
      <c r="H256" t="inlineStr">
        <is>
          <t>Pest Control</t>
        </is>
      </c>
      <c r="I256" t="inlineStr">
        <is>
          <t>IEMS-2609-0029</t>
        </is>
      </c>
      <c r="J256" t="inlineStr">
        <is>
          <t>Closed</t>
        </is>
      </c>
      <c r="K256" t="inlineStr">
        <is>
          <t>Termites found eating the door frame of Sejahtera Dental Care Pte Ltd (#01-08).</t>
        </is>
      </c>
    </row>
    <row r="257">
      <c r="A257" t="inlineStr">
        <is>
          <t>FB-2026-00828</t>
        </is>
      </c>
      <c r="B257" s="6" t="n">
        <v>46281</v>
      </c>
      <c r="C257" t="inlineStr">
        <is>
          <t>Hotline</t>
        </is>
      </c>
      <c r="D257" t="inlineStr">
        <is>
          <t>U-RH466-01-03</t>
        </is>
      </c>
      <c r="E257" t="inlineStr">
        <is>
          <t>ENC</t>
        </is>
      </c>
      <c r="F257" t="inlineStr">
        <is>
          <t>Obstruction / Encroachment</t>
        </is>
      </c>
      <c r="G257" t="inlineStr">
        <is>
          <t>Low</t>
        </is>
      </c>
      <c r="H257" t="inlineStr">
        <is>
          <t>Estate Compliance</t>
        </is>
      </c>
      <c r="J257" t="inlineStr">
        <is>
          <t>Closed</t>
        </is>
      </c>
      <c r="K257" t="inlineStr">
        <is>
          <t>Something wrong with Hock Lee Fruits Pte Ltd at Blk 466, water and smell all over the back lane. Please look into it.</t>
        </is>
      </c>
    </row>
    <row r="258">
      <c r="A258" t="inlineStr">
        <is>
          <t>FB-2026-00829</t>
        </is>
      </c>
      <c r="B258" s="6" t="n">
        <v>46281</v>
      </c>
      <c r="C258" t="inlineStr">
        <is>
          <t>Walk-in</t>
        </is>
      </c>
      <c r="D258" t="inlineStr">
        <is>
          <t>U-ST518-01-03</t>
        </is>
      </c>
      <c r="E258" t="inlineStr">
        <is>
          <t>PST</t>
        </is>
      </c>
      <c r="F258" t="inlineStr">
        <is>
          <t>Pest</t>
        </is>
      </c>
      <c r="G258" t="inlineStr">
        <is>
          <t>Medium</t>
        </is>
      </c>
      <c r="H258" t="inlineStr">
        <is>
          <t>Pest Control</t>
        </is>
      </c>
      <c r="J258" t="inlineStr">
        <is>
          <t>Closed</t>
        </is>
      </c>
      <c r="K258" t="inlineStr">
        <is>
          <t>The area near #01-03 Sungai Tinggi Drive is in bad condition. Lights, dirt, everything. Fix pls.</t>
        </is>
      </c>
    </row>
    <row r="259">
      <c r="A259" t="inlineStr">
        <is>
          <t>FB-2026-00830</t>
        </is>
      </c>
      <c r="B259" s="6" t="n">
        <v>46281</v>
      </c>
      <c r="C259" t="inlineStr">
        <is>
          <t>Walk-in</t>
        </is>
      </c>
      <c r="D259" t="inlineStr">
        <is>
          <t>U-KR371-01-12</t>
        </is>
      </c>
      <c r="E259" t="inlineStr">
        <is>
          <t>CMN</t>
        </is>
      </c>
      <c r="F259" t="inlineStr">
        <is>
          <t>Common Area (Town Council)</t>
        </is>
      </c>
      <c r="G259" t="inlineStr">
        <is>
          <t>Low</t>
        </is>
      </c>
      <c r="H259" t="inlineStr">
        <is>
          <t>Town Council Liaison</t>
        </is>
      </c>
      <c r="J259" t="inlineStr">
        <is>
          <t>Closed</t>
        </is>
      </c>
      <c r="K259" t="inlineStr">
        <is>
          <t>COMMON CORRIDOR AT BLK 371 NEAR #01-12 NOT CLEANED FOR DAYS.</t>
        </is>
      </c>
    </row>
    <row r="260">
      <c r="A260" t="inlineStr">
        <is>
          <t>FB-2026-00831</t>
        </is>
      </c>
      <c r="B260" s="6" t="n">
        <v>46282</v>
      </c>
      <c r="C260" t="inlineStr">
        <is>
          <t>Hotline</t>
        </is>
      </c>
      <c r="D260" t="inlineStr">
        <is>
          <t>U-CD133-01-06</t>
        </is>
      </c>
      <c r="E260" t="inlineStr">
        <is>
          <t>HYG</t>
        </is>
      </c>
      <c r="F260" t="inlineStr">
        <is>
          <t>Hygiene (Tenant)</t>
        </is>
      </c>
      <c r="G260" t="inlineStr">
        <is>
          <t>Medium</t>
        </is>
      </c>
      <c r="H260" t="inlineStr">
        <is>
          <t>Estate Compliance</t>
        </is>
      </c>
      <c r="J260" t="inlineStr">
        <is>
          <t>Closed</t>
        </is>
      </c>
      <c r="K260" t="inlineStr">
        <is>
          <t>Shopfront of #01-06 Blk 133 very dirty, oil stains on the floor.</t>
        </is>
      </c>
    </row>
    <row r="261">
      <c r="A261" t="inlineStr">
        <is>
          <t>FB-2026-00832</t>
        </is>
      </c>
      <c r="B261" s="6" t="n">
        <v>46282</v>
      </c>
      <c r="C261" t="inlineStr">
        <is>
          <t>CityFix App</t>
        </is>
      </c>
      <c r="D261" t="inlineStr">
        <is>
          <t>U-BV271-01-12</t>
        </is>
      </c>
      <c r="E261" t="inlineStr">
        <is>
          <t>HYG</t>
        </is>
      </c>
      <c r="F261" t="inlineStr">
        <is>
          <t>Hygiene (Tenant)</t>
        </is>
      </c>
      <c r="G261" t="inlineStr">
        <is>
          <t>Low</t>
        </is>
      </c>
      <c r="H261" t="inlineStr">
        <is>
          <t>Estate Compliance</t>
        </is>
      </c>
      <c r="J261" t="inlineStr">
        <is>
          <t>Closed</t>
        </is>
      </c>
      <c r="K261" t="inlineStr">
        <is>
          <t>SOMETHING WRONG WITH RAINBOW SUPERMARKET AT BLK 271, WATER AND SMELL ALL OVER THE BACK LANE. PLEASE LOOK INTO IT.</t>
        </is>
      </c>
    </row>
    <row r="262">
      <c r="A262" t="inlineStr">
        <is>
          <t>FB-2026-00833</t>
        </is>
      </c>
      <c r="B262" s="6" t="n">
        <v>46282</v>
      </c>
      <c r="C262" t="inlineStr">
        <is>
          <t>CityFix App</t>
        </is>
      </c>
      <c r="D262" t="inlineStr">
        <is>
          <t>U-RH460-01-09</t>
        </is>
      </c>
      <c r="E262" t="inlineStr">
        <is>
          <t>ELE</t>
        </is>
      </c>
      <c r="F262" t="inlineStr">
        <is>
          <t>Electrical</t>
        </is>
      </c>
      <c r="G262" t="inlineStr">
        <is>
          <t>High</t>
        </is>
      </c>
      <c r="H262" t="inlineStr">
        <is>
          <t>M&amp;E</t>
        </is>
      </c>
      <c r="I262" t="inlineStr">
        <is>
          <t>IEMS-2609-0030</t>
        </is>
      </c>
      <c r="J262" t="inlineStr">
        <is>
          <t>Closed</t>
        </is>
      </c>
      <c r="K262" t="inlineStr">
        <is>
          <t>Corridor lights in front of Lotus Mart not working for a week, very dark at night, unsafe.</t>
        </is>
      </c>
    </row>
    <row r="263">
      <c r="A263" t="inlineStr">
        <is>
          <t>FB-2026-00834</t>
        </is>
      </c>
      <c r="B263" s="6" t="n">
        <v>46282</v>
      </c>
      <c r="C263" t="inlineStr">
        <is>
          <t>Email</t>
        </is>
      </c>
      <c r="D263" t="inlineStr">
        <is>
          <t>U-ST556-02-04</t>
        </is>
      </c>
      <c r="E263" t="inlineStr">
        <is>
          <t>ENC</t>
        </is>
      </c>
      <c r="F263" t="inlineStr">
        <is>
          <t>Obstruction / Encroachment</t>
        </is>
      </c>
      <c r="G263" t="inlineStr">
        <is>
          <t>Medium</t>
        </is>
      </c>
      <c r="H263" t="inlineStr">
        <is>
          <t>Estate Compliance</t>
        </is>
      </c>
      <c r="J263" t="inlineStr">
        <is>
          <t>Closed</t>
        </is>
      </c>
      <c r="K263" t="inlineStr">
        <is>
          <t>Tables and chairs of Kian Huat Accounting Services occupying the corridor, Sungai Tinggi Drive.</t>
        </is>
      </c>
    </row>
    <row r="264">
      <c r="A264" t="inlineStr">
        <is>
          <t>FB-2026-00835</t>
        </is>
      </c>
      <c r="B264" s="6" t="n">
        <v>46282</v>
      </c>
      <c r="C264" t="inlineStr">
        <is>
          <t>Hotline</t>
        </is>
      </c>
      <c r="D264" t="inlineStr">
        <is>
          <t>U-PI615-01-09</t>
        </is>
      </c>
      <c r="E264" t="inlineStr">
        <is>
          <t>SEP</t>
        </is>
      </c>
      <c r="F264" t="inlineStr">
        <is>
          <t>Water Seepage / Leak</t>
        </is>
      </c>
      <c r="G264" t="inlineStr">
        <is>
          <t>Medium</t>
        </is>
      </c>
      <c r="H264" t="inlineStr">
        <is>
          <t>Civil &amp; Structural</t>
        </is>
      </c>
      <c r="I264" t="inlineStr">
        <is>
          <t>IEMS-2609-0031</t>
        </is>
      </c>
      <c r="J264" t="inlineStr">
        <is>
          <t>Closed</t>
        </is>
      </c>
      <c r="K264" t="inlineStr">
        <is>
          <t>Ceiling leaking inside Happy Paws Hardware Pte Ltd (#01-09) whenever it rains. Water stains and some stock damaged.</t>
        </is>
      </c>
    </row>
    <row r="265">
      <c r="A265" t="inlineStr">
        <is>
          <t>FB-2026-00836</t>
        </is>
      </c>
      <c r="B265" s="6" t="n">
        <v>46283</v>
      </c>
      <c r="C265" t="inlineStr">
        <is>
          <t>MP Letter</t>
        </is>
      </c>
      <c r="D265" t="inlineStr">
        <is>
          <t>U-CD109-01-06</t>
        </is>
      </c>
      <c r="E265" t="inlineStr">
        <is>
          <t>PST</t>
        </is>
      </c>
      <c r="F265" t="inlineStr">
        <is>
          <t>Pest</t>
        </is>
      </c>
      <c r="G265" t="inlineStr">
        <is>
          <t>Medium</t>
        </is>
      </c>
      <c r="H265" t="inlineStr">
        <is>
          <t>Pest Control</t>
        </is>
      </c>
      <c r="I265" t="inlineStr">
        <is>
          <t>IEMS-2609-0032</t>
        </is>
      </c>
      <c r="J265" t="inlineStr">
        <is>
          <t>Closed</t>
        </is>
      </c>
      <c r="K265" t="inlineStr">
        <is>
          <t>Ceiling near Old Town Mart Pte Ltd wet and lights flickering, scared got short circuit.</t>
        </is>
      </c>
    </row>
    <row r="266">
      <c r="A266" t="inlineStr">
        <is>
          <t>FB-2026-00837</t>
        </is>
      </c>
      <c r="B266" s="6" t="n">
        <v>46284</v>
      </c>
      <c r="C266" t="inlineStr">
        <is>
          <t>CityFix App</t>
        </is>
      </c>
      <c r="D266" t="inlineStr">
        <is>
          <t>U-PI627-01-06</t>
        </is>
      </c>
      <c r="E266" t="inlineStr">
        <is>
          <t>SEP</t>
        </is>
      </c>
      <c r="F266" t="inlineStr">
        <is>
          <t>Water Seepage / Leak</t>
        </is>
      </c>
      <c r="G266" t="inlineStr">
        <is>
          <t>Medium</t>
        </is>
      </c>
      <c r="H266" t="inlineStr">
        <is>
          <t>Civil &amp; Structural</t>
        </is>
      </c>
      <c r="I266" t="inlineStr">
        <is>
          <t>IEMS-2609-0033</t>
        </is>
      </c>
      <c r="J266" t="inlineStr">
        <is>
          <t>Closed</t>
        </is>
      </c>
      <c r="K266" t="inlineStr">
        <is>
          <t>Ceiling leaking inside Mei Ling TCM Clinic Pte Ltd (#01-06) whenever it rains. Water stains and some stock damaged.</t>
        </is>
      </c>
    </row>
    <row r="267">
      <c r="A267" t="inlineStr">
        <is>
          <t>FB-2026-00838</t>
        </is>
      </c>
      <c r="B267" s="6" t="n">
        <v>46284</v>
      </c>
      <c r="C267" t="inlineStr">
        <is>
          <t>CityFix App</t>
        </is>
      </c>
      <c r="D267" t="inlineStr">
        <is>
          <t>U-KR333-01-14</t>
        </is>
      </c>
      <c r="E267" t="inlineStr">
        <is>
          <t>PST</t>
        </is>
      </c>
      <c r="F267" t="inlineStr">
        <is>
          <t>Pest</t>
        </is>
      </c>
      <c r="G267" t="inlineStr">
        <is>
          <t>Low</t>
        </is>
      </c>
      <c r="H267" t="inlineStr">
        <is>
          <t>Pest Control</t>
        </is>
      </c>
      <c r="I267" t="inlineStr">
        <is>
          <t>IEMS-2609-0034</t>
        </is>
      </c>
      <c r="J267" t="inlineStr">
        <is>
          <t>Closed</t>
        </is>
      </c>
      <c r="K267" t="inlineStr">
        <is>
          <t>Termites found eating the door frame of Hock Lee Hair Studio (#01-14).</t>
        </is>
      </c>
    </row>
    <row r="268">
      <c r="A268" t="inlineStr">
        <is>
          <t>FB-2026-00839</t>
        </is>
      </c>
      <c r="B268" s="6" t="n">
        <v>46284</v>
      </c>
      <c r="C268" t="inlineStr">
        <is>
          <t>Walk-in</t>
        </is>
      </c>
      <c r="D268" t="inlineStr">
        <is>
          <t>U-ST564-01-14</t>
        </is>
      </c>
      <c r="E268" t="inlineStr">
        <is>
          <t>OTH</t>
        </is>
      </c>
      <c r="F268" t="inlineStr">
        <is>
          <t>General Enquiry / Non-defect</t>
        </is>
      </c>
      <c r="G268" t="inlineStr">
        <is>
          <t>Low</t>
        </is>
      </c>
      <c r="H268" t="inlineStr">
        <is>
          <t>Customer Relations</t>
        </is>
      </c>
      <c r="J268" t="inlineStr">
        <is>
          <t>Closed</t>
        </is>
      </c>
      <c r="K268" t="inlineStr">
        <is>
          <t>How do I apply to rent a shop at Blk 564 Sungai Tinggi Drive? Saw a unit vacant.</t>
        </is>
      </c>
    </row>
    <row r="269">
      <c r="A269" t="inlineStr">
        <is>
          <t>FB-2026-00840</t>
        </is>
      </c>
      <c r="B269" s="6" t="n">
        <v>46284</v>
      </c>
      <c r="C269" t="inlineStr">
        <is>
          <t>Email</t>
        </is>
      </c>
      <c r="D269" t="inlineStr">
        <is>
          <t>U-BV256-01-08</t>
        </is>
      </c>
      <c r="E269" t="inlineStr">
        <is>
          <t>PST</t>
        </is>
      </c>
      <c r="F269" t="inlineStr">
        <is>
          <t>Pest</t>
        </is>
      </c>
      <c r="G269" t="inlineStr">
        <is>
          <t>Medium</t>
        </is>
      </c>
      <c r="H269" t="inlineStr">
        <is>
          <t>Pest Control</t>
        </is>
      </c>
      <c r="I269" t="inlineStr">
        <is>
          <t>IEMS-2609-0035</t>
        </is>
      </c>
      <c r="J269" t="inlineStr">
        <is>
          <t>Closed</t>
        </is>
      </c>
      <c r="K269" t="inlineStr">
        <is>
          <t>Many rats running around the bin area behind Little Sprouts Tuition Centre Pte Ltd, Blk 256.</t>
        </is>
      </c>
    </row>
    <row r="270">
      <c r="A270" t="inlineStr">
        <is>
          <t>FB-2026-00841</t>
        </is>
      </c>
      <c r="B270" s="6" t="n">
        <v>46285</v>
      </c>
      <c r="C270" t="inlineStr">
        <is>
          <t>MP Letter</t>
        </is>
      </c>
      <c r="D270" t="inlineStr">
        <is>
          <t>U-CD142-01-08</t>
        </is>
      </c>
      <c r="E270" t="inlineStr">
        <is>
          <t>NOI</t>
        </is>
      </c>
      <c r="F270" t="inlineStr">
        <is>
          <t>Noise / Nuisance</t>
        </is>
      </c>
      <c r="G270" t="inlineStr">
        <is>
          <t>Low</t>
        </is>
      </c>
      <c r="H270" t="inlineStr">
        <is>
          <t>Estate Compliance</t>
        </is>
      </c>
      <c r="J270" t="inlineStr">
        <is>
          <t>Closed</t>
        </is>
      </c>
      <c r="K270" t="inlineStr">
        <is>
          <t>Sejahtera Dental Care Pte Ltd at Blk 142 operating till 2am with loud music. Residents cannot sleep.</t>
        </is>
      </c>
    </row>
    <row r="271">
      <c r="A271" t="inlineStr">
        <is>
          <t>FB-2026-00842</t>
        </is>
      </c>
      <c r="B271" s="6" t="n">
        <v>46285</v>
      </c>
      <c r="C271" t="inlineStr">
        <is>
          <t>Hotline</t>
        </is>
      </c>
      <c r="D271" t="inlineStr">
        <is>
          <t>U-CD174-01-05</t>
        </is>
      </c>
      <c r="E271" t="inlineStr">
        <is>
          <t>PLB</t>
        </is>
      </c>
      <c r="F271" t="inlineStr">
        <is>
          <t>Plumbing &amp; Sanitary</t>
        </is>
      </c>
      <c r="G271" t="inlineStr">
        <is>
          <t>Low</t>
        </is>
      </c>
      <c r="H271" t="inlineStr">
        <is>
          <t>M&amp;E</t>
        </is>
      </c>
      <c r="I271" t="inlineStr">
        <is>
          <t>IEMS-2609-0036</t>
        </is>
      </c>
      <c r="J271" t="inlineStr">
        <is>
          <t>Closed</t>
        </is>
      </c>
      <c r="K271" t="inlineStr">
        <is>
          <t>Burst pipe near #01-05 Cendana Street 11, water gushing out. Please send plumber asap.</t>
        </is>
      </c>
    </row>
    <row r="272">
      <c r="A272" t="inlineStr">
        <is>
          <t>FB-2026-00843</t>
        </is>
      </c>
      <c r="B272" s="6" t="n">
        <v>46285</v>
      </c>
      <c r="C272" t="inlineStr">
        <is>
          <t>Hotline</t>
        </is>
      </c>
      <c r="D272" t="inlineStr">
        <is>
          <t>U-PI696-01-05</t>
        </is>
      </c>
      <c r="E272" t="inlineStr">
        <is>
          <t>SEP</t>
        </is>
      </c>
      <c r="F272" t="inlineStr">
        <is>
          <t>Water Seepage / Leak</t>
        </is>
      </c>
      <c r="G272" t="inlineStr">
        <is>
          <t>High</t>
        </is>
      </c>
      <c r="H272" t="inlineStr">
        <is>
          <t>Civil &amp; Structural</t>
        </is>
      </c>
      <c r="I272" t="inlineStr">
        <is>
          <t>IEMS-2609-0037</t>
        </is>
      </c>
      <c r="J272" t="inlineStr">
        <is>
          <t>Closed</t>
        </is>
      </c>
      <c r="K272" t="inlineStr">
        <is>
          <t>Roof slab above Blk 696 #01-05 leaking into shop. Have reported twice before!!</t>
        </is>
      </c>
    </row>
    <row r="273">
      <c r="A273" t="inlineStr">
        <is>
          <t>FB-2026-00844</t>
        </is>
      </c>
      <c r="B273" s="6" t="n">
        <v>46285</v>
      </c>
      <c r="C273" t="inlineStr">
        <is>
          <t>MP Letter</t>
        </is>
      </c>
      <c r="D273" t="inlineStr">
        <is>
          <t>U-KR372-01-07</t>
        </is>
      </c>
      <c r="E273" t="inlineStr">
        <is>
          <t>PST</t>
        </is>
      </c>
      <c r="F273" t="inlineStr">
        <is>
          <t>Pest</t>
        </is>
      </c>
      <c r="G273" t="inlineStr">
        <is>
          <t>Low</t>
        </is>
      </c>
      <c r="H273" t="inlineStr">
        <is>
          <t>Pest Control</t>
        </is>
      </c>
      <c r="I273" t="inlineStr">
        <is>
          <t>IEMS-2609-0038</t>
        </is>
      </c>
      <c r="J273" t="inlineStr">
        <is>
          <t>Closed</t>
        </is>
      </c>
      <c r="K273" t="inlineStr">
        <is>
          <t>Many rats running around the bin area behind Bright Path Kueh Corner, Blk 372.</t>
        </is>
      </c>
    </row>
    <row r="274">
      <c r="A274" t="inlineStr">
        <is>
          <t>FB-2026-00845</t>
        </is>
      </c>
      <c r="B274" s="6" t="n">
        <v>46285</v>
      </c>
      <c r="C274" t="inlineStr">
        <is>
          <t>CityFix App</t>
        </is>
      </c>
      <c r="D274" t="inlineStr">
        <is>
          <t>U-PI627-01-33</t>
        </is>
      </c>
      <c r="E274" t="inlineStr">
        <is>
          <t>ENC</t>
        </is>
      </c>
      <c r="F274" t="inlineStr">
        <is>
          <t>Obstruction / Encroachment</t>
        </is>
      </c>
      <c r="G274" t="inlineStr">
        <is>
          <t>Low</t>
        </is>
      </c>
      <c r="H274" t="inlineStr">
        <is>
          <t>Estate Compliance</t>
        </is>
      </c>
      <c r="J274" t="inlineStr">
        <is>
          <t>Closed</t>
        </is>
      </c>
      <c r="K274" t="inlineStr">
        <is>
          <t>Racks of Cosy Minimart Pte Ltd (#01-33) placed beyond the yellow line, blocking pedestrians.</t>
        </is>
      </c>
    </row>
    <row r="275">
      <c r="A275" t="inlineStr">
        <is>
          <t>FB-2026-00846</t>
        </is>
      </c>
      <c r="B275" s="6" t="n">
        <v>46286</v>
      </c>
      <c r="C275" t="inlineStr">
        <is>
          <t>Hotline</t>
        </is>
      </c>
      <c r="D275" t="inlineStr">
        <is>
          <t>U-KR317-01-08</t>
        </is>
      </c>
      <c r="E275" t="inlineStr">
        <is>
          <t>ENC</t>
        </is>
      </c>
      <c r="F275" t="inlineStr">
        <is>
          <t>Obstruction / Encroachment</t>
        </is>
      </c>
      <c r="G275" t="inlineStr">
        <is>
          <t>High</t>
        </is>
      </c>
      <c r="H275" t="inlineStr">
        <is>
          <t>Estate Compliance</t>
        </is>
      </c>
      <c r="J275" t="inlineStr">
        <is>
          <t>Closed</t>
        </is>
      </c>
      <c r="K275" t="inlineStr">
        <is>
          <t>Tables and chairs of Teck Guan Pharmacy Pte Ltd occupying the corridor, Kebun Raya Avenue 3.</t>
        </is>
      </c>
    </row>
    <row r="276">
      <c r="A276" t="inlineStr">
        <is>
          <t>FB-2026-00847</t>
        </is>
      </c>
      <c r="B276" s="6" t="n">
        <v>46286</v>
      </c>
      <c r="C276" t="inlineStr">
        <is>
          <t>Walk-in</t>
        </is>
      </c>
      <c r="D276" t="inlineStr">
        <is>
          <t>U-RH491-01-05</t>
        </is>
      </c>
      <c r="E276" t="inlineStr">
        <is>
          <t>PST</t>
        </is>
      </c>
      <c r="F276" t="inlineStr">
        <is>
          <t>Pest</t>
        </is>
      </c>
      <c r="G276" t="inlineStr">
        <is>
          <t>Medium</t>
        </is>
      </c>
      <c r="H276" t="inlineStr">
        <is>
          <t>Pest Control</t>
        </is>
      </c>
      <c r="I276" t="inlineStr">
        <is>
          <t>IEMS-2609-0039</t>
        </is>
      </c>
      <c r="J276" t="inlineStr">
        <is>
          <t>Closed</t>
        </is>
      </c>
      <c r="K276" t="inlineStr">
        <is>
          <t>Many rats running around the bin area behind Thye Hin Mart Pte Ltd, Blk 491.</t>
        </is>
      </c>
    </row>
    <row r="277">
      <c r="A277" t="inlineStr">
        <is>
          <t>FB-2026-00848</t>
        </is>
      </c>
      <c r="B277" s="6" t="n">
        <v>46286</v>
      </c>
      <c r="C277" t="inlineStr">
        <is>
          <t>Walk-in</t>
        </is>
      </c>
      <c r="D277" t="inlineStr">
        <is>
          <t>U-CD135-02-06</t>
        </is>
      </c>
      <c r="E277" t="inlineStr">
        <is>
          <t>SEP</t>
        </is>
      </c>
      <c r="F277" t="inlineStr">
        <is>
          <t>Water Seepage / Leak</t>
        </is>
      </c>
      <c r="G277" t="inlineStr">
        <is>
          <t>Medium</t>
        </is>
      </c>
      <c r="H277" t="inlineStr">
        <is>
          <t>Civil &amp; Structural</t>
        </is>
      </c>
      <c r="I277" t="inlineStr">
        <is>
          <t>IEMS-2609-0040</t>
        </is>
      </c>
      <c r="J277" t="inlineStr">
        <is>
          <t>Closed</t>
        </is>
      </c>
      <c r="K277" t="inlineStr">
        <is>
          <t>Ceiling leaking inside Chop Wah Tuition Centre (#02-06) whenever it rains. Water stains and some stock damaged.</t>
        </is>
      </c>
    </row>
    <row r="278">
      <c r="A278" t="inlineStr">
        <is>
          <t>FB-2026-00849</t>
        </is>
      </c>
      <c r="B278" s="6" t="n">
        <v>46286</v>
      </c>
      <c r="C278" t="inlineStr">
        <is>
          <t>Hotline</t>
        </is>
      </c>
      <c r="D278" t="inlineStr">
        <is>
          <t>U-CD105-01-04</t>
        </is>
      </c>
      <c r="E278" t="inlineStr">
        <is>
          <t>CMN</t>
        </is>
      </c>
      <c r="F278" t="inlineStr">
        <is>
          <t>Common Area (Town Council)</t>
        </is>
      </c>
      <c r="G278" t="inlineStr">
        <is>
          <t>Low</t>
        </is>
      </c>
      <c r="H278" t="inlineStr">
        <is>
          <t>Town Council Liaison</t>
        </is>
      </c>
      <c r="J278" t="inlineStr">
        <is>
          <t>Closed</t>
        </is>
      </c>
      <c r="K278" t="inlineStr">
        <is>
          <t>Litter and stains along the 5-foot way at Jalan Cendana Indah Blk 105.</t>
        </is>
      </c>
    </row>
    <row r="279">
      <c r="A279" t="inlineStr">
        <is>
          <t>FB-2026-00850</t>
        </is>
      </c>
      <c r="B279" s="6" t="n">
        <v>46286</v>
      </c>
      <c r="C279" t="inlineStr">
        <is>
          <t>Email</t>
        </is>
      </c>
      <c r="D279" t="inlineStr">
        <is>
          <t>U-PI670-01-06</t>
        </is>
      </c>
      <c r="E279" t="inlineStr">
        <is>
          <t>SEP</t>
        </is>
      </c>
      <c r="F279" t="inlineStr">
        <is>
          <t>Water Seepage / Leak</t>
        </is>
      </c>
      <c r="G279" t="inlineStr">
        <is>
          <t>Medium</t>
        </is>
      </c>
      <c r="H279" t="inlineStr">
        <is>
          <t>Civil &amp; Structural</t>
        </is>
      </c>
      <c r="I279" t="inlineStr">
        <is>
          <t>IEMS-2609-0041</t>
        </is>
      </c>
      <c r="J279" t="inlineStr">
        <is>
          <t>Closed</t>
        </is>
      </c>
      <c r="K279" t="inlineStr">
        <is>
          <t>Roof slab above Blk 670 #01-06 leaking into shop. Have reported twice before!!</t>
        </is>
      </c>
    </row>
    <row r="280">
      <c r="A280" t="inlineStr">
        <is>
          <t>FB-2026-00851</t>
        </is>
      </c>
      <c r="B280" s="6" t="n">
        <v>46287</v>
      </c>
      <c r="C280" t="inlineStr">
        <is>
          <t>MP Letter</t>
        </is>
      </c>
      <c r="D280" t="inlineStr">
        <is>
          <t>U-BV214-01-03</t>
        </is>
      </c>
      <c r="E280" t="inlineStr">
        <is>
          <t>STR</t>
        </is>
      </c>
      <c r="F280" t="inlineStr">
        <is>
          <t>Structural</t>
        </is>
      </c>
      <c r="G280" t="inlineStr">
        <is>
          <t>High</t>
        </is>
      </c>
      <c r="H280" t="inlineStr">
        <is>
          <t>Civil &amp; Structural</t>
        </is>
      </c>
      <c r="I280" t="inlineStr">
        <is>
          <t>IEMS-2609-0042</t>
        </is>
      </c>
      <c r="J280" t="inlineStr">
        <is>
          <t>Closed</t>
        </is>
      </c>
      <c r="K280" t="inlineStr">
        <is>
          <t>There is a long crack on the column beside #01-03 Blk 214. Getting bigger over the past month. Please check if structure is safe.</t>
        </is>
      </c>
    </row>
    <row r="281">
      <c r="A281" t="inlineStr">
        <is>
          <t>FB-2026-00852</t>
        </is>
      </c>
      <c r="B281" s="6" t="n">
        <v>46287</v>
      </c>
      <c r="C281" t="inlineStr">
        <is>
          <t>Walk-in</t>
        </is>
      </c>
      <c r="D281" t="inlineStr">
        <is>
          <t>U-RH456-01-06</t>
        </is>
      </c>
      <c r="E281" t="inlineStr">
        <is>
          <t>PST</t>
        </is>
      </c>
      <c r="F281" t="inlineStr">
        <is>
          <t>Pest</t>
        </is>
      </c>
      <c r="G281" t="inlineStr">
        <is>
          <t>Medium</t>
        </is>
      </c>
      <c r="H281" t="inlineStr">
        <is>
          <t>Pest Control</t>
        </is>
      </c>
      <c r="I281" t="inlineStr">
        <is>
          <t>IEMS-2609-0043</t>
        </is>
      </c>
      <c r="J281" t="inlineStr">
        <is>
          <t>Closed</t>
        </is>
      </c>
      <c r="K281" t="inlineStr">
        <is>
          <t>Many rats running around the bin area behind Hassan Tea House, Blk 456.</t>
        </is>
      </c>
    </row>
    <row r="282">
      <c r="A282" t="inlineStr">
        <is>
          <t>FB-2026-00853</t>
        </is>
      </c>
      <c r="B282" s="6" t="n">
        <v>46287</v>
      </c>
      <c r="C282" t="inlineStr">
        <is>
          <t>Email</t>
        </is>
      </c>
      <c r="D282" t="inlineStr">
        <is>
          <t>U-BV288-01-03</t>
        </is>
      </c>
      <c r="E282" t="inlineStr">
        <is>
          <t>ELE</t>
        </is>
      </c>
      <c r="F282" t="inlineStr">
        <is>
          <t>Electrical</t>
        </is>
      </c>
      <c r="G282" t="inlineStr">
        <is>
          <t>High</t>
        </is>
      </c>
      <c r="H282" t="inlineStr">
        <is>
          <t>M&amp;E</t>
        </is>
      </c>
      <c r="I282" t="inlineStr">
        <is>
          <t>IEMS-2609-0044</t>
        </is>
      </c>
      <c r="J282" t="inlineStr">
        <is>
          <t>Closed</t>
        </is>
      </c>
      <c r="K282" t="inlineStr">
        <is>
          <t>EXPOSED WIRING HANGING FROM CEILING OUTSIDE #01-03 BLK 288 BAYSHORE VALE DRIVE. CHILDREN WALK PAST HERE.</t>
        </is>
      </c>
    </row>
    <row r="283">
      <c r="A283" t="inlineStr">
        <is>
          <t>FB-2026-00854</t>
        </is>
      </c>
      <c r="B283" s="6" t="n">
        <v>46287</v>
      </c>
      <c r="C283" t="inlineStr">
        <is>
          <t>Walk-in</t>
        </is>
      </c>
      <c r="D283" t="inlineStr">
        <is>
          <t>U-KR330-01-05</t>
        </is>
      </c>
      <c r="E283" t="inlineStr">
        <is>
          <t>ELE</t>
        </is>
      </c>
      <c r="F283" t="inlineStr">
        <is>
          <t>Electrical</t>
        </is>
      </c>
      <c r="G283" t="inlineStr">
        <is>
          <t>High</t>
        </is>
      </c>
      <c r="H283" t="inlineStr">
        <is>
          <t>M&amp;E</t>
        </is>
      </c>
      <c r="I283" t="inlineStr">
        <is>
          <t>IEMS-2609-0045</t>
        </is>
      </c>
      <c r="J283" t="inlineStr">
        <is>
          <t>Closed</t>
        </is>
      </c>
      <c r="K283" t="inlineStr">
        <is>
          <t>Exposed wiring hanging from ceiling outside #01-05 Blk 330 Kebun Raya Crescent. Children walk past here.</t>
        </is>
      </c>
    </row>
    <row r="284">
      <c r="A284" t="inlineStr">
        <is>
          <t>FB-2026-00855</t>
        </is>
      </c>
      <c r="B284" s="6" t="n">
        <v>46287</v>
      </c>
      <c r="C284" t="inlineStr">
        <is>
          <t>Hotline</t>
        </is>
      </c>
      <c r="D284" t="inlineStr">
        <is>
          <t>U-BV288-01-04</t>
        </is>
      </c>
      <c r="E284" t="inlineStr">
        <is>
          <t>HYG</t>
        </is>
      </c>
      <c r="F284" t="inlineStr">
        <is>
          <t>Hygiene (Tenant)</t>
        </is>
      </c>
      <c r="G284" t="inlineStr">
        <is>
          <t>Low</t>
        </is>
      </c>
      <c r="H284" t="inlineStr">
        <is>
          <t>Estate Compliance</t>
        </is>
      </c>
      <c r="J284" t="inlineStr">
        <is>
          <t>Closed</t>
        </is>
      </c>
      <c r="K284" t="inlineStr">
        <is>
          <t>Something wrong with Hassan Beauty &amp; Hair at Blk 288, water and smell all over the back lane. Please look into it.</t>
        </is>
      </c>
    </row>
    <row r="285">
      <c r="A285" t="inlineStr">
        <is>
          <t>FB-2026-00856</t>
        </is>
      </c>
      <c r="B285" s="6" t="n">
        <v>46287</v>
      </c>
      <c r="C285" t="inlineStr">
        <is>
          <t>Walk-in</t>
        </is>
      </c>
      <c r="D285" t="inlineStr">
        <is>
          <t>U-KR362-01-09</t>
        </is>
      </c>
      <c r="E285" t="inlineStr">
        <is>
          <t>PLB</t>
        </is>
      </c>
      <c r="F285" t="inlineStr">
        <is>
          <t>Plumbing &amp; Sanitary</t>
        </is>
      </c>
      <c r="G285" t="inlineStr">
        <is>
          <t>Medium</t>
        </is>
      </c>
      <c r="H285" t="inlineStr">
        <is>
          <t>M&amp;E</t>
        </is>
      </c>
      <c r="I285" t="inlineStr">
        <is>
          <t>IEMS-2609-0046</t>
        </is>
      </c>
      <c r="J285" t="inlineStr">
        <is>
          <t>Closed</t>
        </is>
      </c>
      <c r="K285" t="inlineStr">
        <is>
          <t>Floor trap at the back of New Life Mart Pte Ltd choked, dirty water overflowing to common corridor Blk 362.</t>
        </is>
      </c>
    </row>
    <row r="286">
      <c r="A286" t="inlineStr">
        <is>
          <t>FB-2026-00857</t>
        </is>
      </c>
      <c r="B286" s="6" t="n">
        <v>46288</v>
      </c>
      <c r="C286" t="inlineStr">
        <is>
          <t>CityFix App</t>
        </is>
      </c>
      <c r="D286" t="inlineStr">
        <is>
          <t>U-ST528-01-07</t>
        </is>
      </c>
      <c r="E286" t="inlineStr">
        <is>
          <t>PLB</t>
        </is>
      </c>
      <c r="F286" t="inlineStr">
        <is>
          <t>Plumbing &amp; Sanitary</t>
        </is>
      </c>
      <c r="G286" t="inlineStr">
        <is>
          <t>Medium</t>
        </is>
      </c>
      <c r="H286" t="inlineStr">
        <is>
          <t>M&amp;E</t>
        </is>
      </c>
      <c r="I286" t="inlineStr">
        <is>
          <t>IEMS-2609-0047</t>
        </is>
      </c>
      <c r="J286" t="inlineStr">
        <is>
          <t>Closed</t>
        </is>
      </c>
      <c r="K286" t="inlineStr">
        <is>
          <t>Burst pipe near #01-07 Sungai Tinggi Drive, water gushing out. Please send plumber asap.</t>
        </is>
      </c>
    </row>
    <row r="287">
      <c r="A287" t="inlineStr">
        <is>
          <t>FB-2026-00858</t>
        </is>
      </c>
      <c r="B287" s="6" t="n">
        <v>46289</v>
      </c>
      <c r="C287" t="inlineStr">
        <is>
          <t>Hotline</t>
        </is>
      </c>
      <c r="D287" t="inlineStr">
        <is>
          <t>U-PI615-02-01</t>
        </is>
      </c>
      <c r="E287" t="inlineStr">
        <is>
          <t>NOI</t>
        </is>
      </c>
      <c r="F287" t="inlineStr">
        <is>
          <t>Noise / Nuisance</t>
        </is>
      </c>
      <c r="G287" t="inlineStr">
        <is>
          <t>Low</t>
        </is>
      </c>
      <c r="H287" t="inlineStr">
        <is>
          <t>Estate Compliance</t>
        </is>
      </c>
      <c r="J287" t="inlineStr">
        <is>
          <t>In Progress</t>
        </is>
      </c>
      <c r="K287" t="inlineStr">
        <is>
          <t>Karaoke noise from #02-01 Jalan Pasir Indah every night.</t>
        </is>
      </c>
    </row>
    <row r="288">
      <c r="A288" t="inlineStr">
        <is>
          <t>FB-2026-00859</t>
        </is>
      </c>
      <c r="B288" s="6" t="n">
        <v>46289</v>
      </c>
      <c r="C288" t="inlineStr">
        <is>
          <t>CityFix App</t>
        </is>
      </c>
      <c r="D288" t="inlineStr">
        <is>
          <t>U-CD118-01-03</t>
        </is>
      </c>
      <c r="E288" t="inlineStr">
        <is>
          <t>PLB</t>
        </is>
      </c>
      <c r="F288" t="inlineStr">
        <is>
          <t>Plumbing &amp; Sanitary</t>
        </is>
      </c>
      <c r="G288" t="inlineStr">
        <is>
          <t>Medium</t>
        </is>
      </c>
      <c r="H288" t="inlineStr">
        <is>
          <t>M&amp;E</t>
        </is>
      </c>
      <c r="I288" t="inlineStr">
        <is>
          <t>IEMS-2609-0048</t>
        </is>
      </c>
      <c r="J288" t="inlineStr">
        <is>
          <t>In Progress</t>
        </is>
      </c>
      <c r="K288" t="inlineStr">
        <is>
          <t>Burst pipe near #01-03 Cendana Road, watr gushing out. Please send plumber asap.</t>
        </is>
      </c>
    </row>
    <row r="289">
      <c r="A289" t="inlineStr">
        <is>
          <t>FB-2026-00860</t>
        </is>
      </c>
      <c r="B289" s="6" t="n">
        <v>46290</v>
      </c>
      <c r="C289" t="inlineStr">
        <is>
          <t>Walk-in</t>
        </is>
      </c>
      <c r="D289" t="inlineStr">
        <is>
          <t>U-RH408-01-06</t>
        </is>
      </c>
      <c r="E289" t="inlineStr">
        <is>
          <t>CMN</t>
        </is>
      </c>
      <c r="F289" t="inlineStr">
        <is>
          <t>Common Area (Town Council)</t>
        </is>
      </c>
      <c r="G289" t="inlineStr">
        <is>
          <t>Medium</t>
        </is>
      </c>
      <c r="H289" t="inlineStr">
        <is>
          <t>Town Council Liaison</t>
        </is>
      </c>
      <c r="J289" t="inlineStr">
        <is>
          <t>Open</t>
        </is>
      </c>
      <c r="K289" t="inlineStr">
        <is>
          <t>Litter and stains along the 5-foot way at Rimba Walk Blk 408.</t>
        </is>
      </c>
    </row>
    <row r="290">
      <c r="A290" t="inlineStr">
        <is>
          <t>FB-2026-00861</t>
        </is>
      </c>
      <c r="B290" s="6" t="n">
        <v>46290</v>
      </c>
      <c r="C290" t="inlineStr">
        <is>
          <t>MP Letter</t>
        </is>
      </c>
      <c r="D290" t="inlineStr">
        <is>
          <t>U-CD165-01-06</t>
        </is>
      </c>
      <c r="E290" t="inlineStr">
        <is>
          <t>PST</t>
        </is>
      </c>
      <c r="F290" t="inlineStr">
        <is>
          <t>Pest</t>
        </is>
      </c>
      <c r="G290" t="inlineStr">
        <is>
          <t>Medium</t>
        </is>
      </c>
      <c r="H290" t="inlineStr">
        <is>
          <t>Pest Control</t>
        </is>
      </c>
      <c r="I290" t="inlineStr">
        <is>
          <t>IEMS-2609-0049</t>
        </is>
      </c>
      <c r="J290" t="inlineStr">
        <is>
          <t>Open</t>
        </is>
      </c>
      <c r="K290" t="inlineStr">
        <is>
          <t>Termites found eating the door frame of Sin Hock Aquarium &amp; Pets Pte Ltd (#01-06).</t>
        </is>
      </c>
    </row>
    <row r="291">
      <c r="A291" t="inlineStr">
        <is>
          <t>FB-2026-00862</t>
        </is>
      </c>
      <c r="B291" s="6" t="n">
        <v>46290</v>
      </c>
      <c r="C291" t="inlineStr">
        <is>
          <t>CityFix App</t>
        </is>
      </c>
      <c r="D291" t="inlineStr">
        <is>
          <t>U-PI627-01-29</t>
        </is>
      </c>
      <c r="E291" t="inlineStr">
        <is>
          <t>ELE</t>
        </is>
      </c>
      <c r="F291" t="inlineStr">
        <is>
          <t>Electrical</t>
        </is>
      </c>
      <c r="G291" t="inlineStr">
        <is>
          <t>High</t>
        </is>
      </c>
      <c r="H291" t="inlineStr">
        <is>
          <t>M&amp;E</t>
        </is>
      </c>
      <c r="I291" t="inlineStr">
        <is>
          <t>IEMS-2609-0050</t>
        </is>
      </c>
      <c r="J291" t="inlineStr">
        <is>
          <t>Open</t>
        </is>
      </c>
      <c r="K291" t="inlineStr">
        <is>
          <t>Power keeps tripping for the row of shops at Blk 627 incl Silver Moon Education Hub. Fridges affected, food spoiling.</t>
        </is>
      </c>
    </row>
    <row r="292">
      <c r="A292" t="inlineStr">
        <is>
          <t>FB-2026-00863</t>
        </is>
      </c>
      <c r="B292" s="6" t="n">
        <v>46290</v>
      </c>
      <c r="C292" t="inlineStr">
        <is>
          <t>Email</t>
        </is>
      </c>
      <c r="D292" t="inlineStr">
        <is>
          <t>U-PI605-01-01</t>
        </is>
      </c>
      <c r="E292" t="inlineStr">
        <is>
          <t>HYG</t>
        </is>
      </c>
      <c r="F292" t="inlineStr">
        <is>
          <t>Hygiene (Tenant)</t>
        </is>
      </c>
      <c r="G292" t="inlineStr">
        <is>
          <t>Low</t>
        </is>
      </c>
      <c r="H292" t="inlineStr">
        <is>
          <t>Estate Compliance</t>
        </is>
      </c>
      <c r="J292" t="inlineStr">
        <is>
          <t>Open</t>
        </is>
      </c>
      <c r="K292" t="inlineStr">
        <is>
          <t>Ceiling near Smart Kids Trading wet and lights flickering, scared got short circuit.</t>
        </is>
      </c>
    </row>
    <row r="293">
      <c r="A293" t="inlineStr">
        <is>
          <t>FB-2026-00864</t>
        </is>
      </c>
      <c r="B293" s="6" t="n">
        <v>46290</v>
      </c>
      <c r="C293" t="inlineStr">
        <is>
          <t>MP Letter</t>
        </is>
      </c>
      <c r="D293" t="inlineStr">
        <is>
          <t>U-BV227-02-05</t>
        </is>
      </c>
      <c r="E293" t="inlineStr">
        <is>
          <t>HYG</t>
        </is>
      </c>
      <c r="F293" t="inlineStr">
        <is>
          <t>Hygiene (Tenant)</t>
        </is>
      </c>
      <c r="G293" t="inlineStr">
        <is>
          <t>Low</t>
        </is>
      </c>
      <c r="H293" t="inlineStr">
        <is>
          <t>Estate Compliance</t>
        </is>
      </c>
      <c r="J293" t="inlineStr">
        <is>
          <t>Open</t>
        </is>
      </c>
      <c r="K293" t="inlineStr">
        <is>
          <t>Strong grease smell from Daily Fresh Education Hub kitchen exhaust, residents above complaining.</t>
        </is>
      </c>
    </row>
    <row r="294">
      <c r="A294" t="inlineStr">
        <is>
          <t>FB-2026-00865</t>
        </is>
      </c>
      <c r="B294" s="6" t="n">
        <v>46290</v>
      </c>
      <c r="C294" t="inlineStr">
        <is>
          <t>MP Letter</t>
        </is>
      </c>
      <c r="D294" t="inlineStr">
        <is>
          <t>U-KR335-01-06</t>
        </is>
      </c>
      <c r="E294" t="inlineStr">
        <is>
          <t>HYG</t>
        </is>
      </c>
      <c r="F294" t="inlineStr">
        <is>
          <t>Hygiene (Tenant)</t>
        </is>
      </c>
      <c r="G294" t="inlineStr">
        <is>
          <t>Low</t>
        </is>
      </c>
      <c r="H294" t="inlineStr">
        <is>
          <t>Estate Compliance</t>
        </is>
      </c>
      <c r="J294" t="inlineStr">
        <is>
          <t>In Progress</t>
        </is>
      </c>
      <c r="K294" t="inlineStr">
        <is>
          <t>Strong grease smell from Orchid Beauty &amp; Hair Pte Ltd kitchen exhaust, residents above complaining.</t>
        </is>
      </c>
    </row>
    <row r="295">
      <c r="A295" t="inlineStr">
        <is>
          <t>FB-2026-00866</t>
        </is>
      </c>
      <c r="B295" s="6" t="n">
        <v>46291</v>
      </c>
      <c r="C295" t="inlineStr">
        <is>
          <t>CityFix App</t>
        </is>
      </c>
      <c r="D295" t="inlineStr">
        <is>
          <t>U-RH425-01-03</t>
        </is>
      </c>
      <c r="E295" t="inlineStr">
        <is>
          <t>PST</t>
        </is>
      </c>
      <c r="F295" t="inlineStr">
        <is>
          <t>Pest</t>
        </is>
      </c>
      <c r="G295" t="inlineStr">
        <is>
          <t>Medium</t>
        </is>
      </c>
      <c r="H295" t="inlineStr">
        <is>
          <t>Pest Control</t>
        </is>
      </c>
      <c r="I295" t="inlineStr">
        <is>
          <t>IEMS-2609-0051</t>
        </is>
      </c>
      <c r="J295" t="inlineStr">
        <is>
          <t>In Progress</t>
        </is>
      </c>
      <c r="K295" t="inlineStr">
        <is>
          <t>Many rats running around the bin area behind Daily Fresh Family Clinic, Blk 425.</t>
        </is>
      </c>
    </row>
    <row r="296">
      <c r="A296" t="inlineStr">
        <is>
          <t>FB-2026-00867</t>
        </is>
      </c>
      <c r="B296" s="6" t="n">
        <v>46291</v>
      </c>
      <c r="C296" t="inlineStr">
        <is>
          <t>Email</t>
        </is>
      </c>
      <c r="D296" t="inlineStr">
        <is>
          <t>U-BV205-01-10</t>
        </is>
      </c>
      <c r="E296" t="inlineStr">
        <is>
          <t>ENC</t>
        </is>
      </c>
      <c r="F296" t="inlineStr">
        <is>
          <t>Obstruction / Encroachment</t>
        </is>
      </c>
      <c r="G296" t="inlineStr">
        <is>
          <t>High</t>
        </is>
      </c>
      <c r="H296" t="inlineStr">
        <is>
          <t>Estate Compliance</t>
        </is>
      </c>
      <c r="J296" t="inlineStr">
        <is>
          <t>Open</t>
        </is>
      </c>
      <c r="K296" t="inlineStr">
        <is>
          <t>TECK GUAN TUITION CENTRE DISPLAYING GOODS ALL THE WAY INTO THE WALKWAY AT BLK 205, WHEELCHAIR CANNOT PASS.</t>
        </is>
      </c>
    </row>
    <row r="297">
      <c r="A297" t="inlineStr">
        <is>
          <t>FB-2026-00868</t>
        </is>
      </c>
      <c r="B297" s="6" t="n">
        <v>46291</v>
      </c>
      <c r="C297" t="inlineStr">
        <is>
          <t>Email</t>
        </is>
      </c>
      <c r="D297" t="inlineStr">
        <is>
          <t>U-ST537-01-06</t>
        </is>
      </c>
      <c r="E297" t="inlineStr">
        <is>
          <t>PLB</t>
        </is>
      </c>
      <c r="F297" t="inlineStr">
        <is>
          <t>Plumbing &amp; Sanitary</t>
        </is>
      </c>
      <c r="G297" t="inlineStr">
        <is>
          <t>High</t>
        </is>
      </c>
      <c r="H297" t="inlineStr">
        <is>
          <t>M&amp;E</t>
        </is>
      </c>
      <c r="I297" t="inlineStr">
        <is>
          <t>IEMS-2609-0052</t>
        </is>
      </c>
      <c r="J297" t="inlineStr">
        <is>
          <t>In Progress</t>
        </is>
      </c>
      <c r="K297" t="inlineStr">
        <is>
          <t>Floor trap at the back of PrimeValue Mart Pte Ltd choked, dirty water overflowing to common corridor Blk 537.</t>
        </is>
      </c>
    </row>
    <row r="298">
      <c r="A298" t="inlineStr">
        <is>
          <t>FB-2026-00869</t>
        </is>
      </c>
      <c r="B298" s="6" t="n">
        <v>46291</v>
      </c>
      <c r="C298" t="inlineStr">
        <is>
          <t>MP Letter</t>
        </is>
      </c>
      <c r="D298" t="inlineStr">
        <is>
          <t>U-KR362-01-02</t>
        </is>
      </c>
      <c r="E298" t="inlineStr">
        <is>
          <t>ELE</t>
        </is>
      </c>
      <c r="F298" t="inlineStr">
        <is>
          <t>Electrical</t>
        </is>
      </c>
      <c r="G298" t="inlineStr">
        <is>
          <t>High</t>
        </is>
      </c>
      <c r="H298" t="inlineStr">
        <is>
          <t>M&amp;E</t>
        </is>
      </c>
      <c r="J298" t="inlineStr">
        <is>
          <t>In Progress</t>
        </is>
      </c>
      <c r="K298" t="inlineStr">
        <is>
          <t>THE AREA NEAR #01-02 KEBUN RAYA STREET 31 IS IN BAD CONDITION. LIGHTS, DIRT, EVERYTHING. FIX PLS.</t>
        </is>
      </c>
    </row>
    <row r="299">
      <c r="A299" t="inlineStr">
        <is>
          <t>FB-2026-00870</t>
        </is>
      </c>
      <c r="B299" s="6" t="n">
        <v>46291</v>
      </c>
      <c r="C299" t="inlineStr">
        <is>
          <t>CityFix App</t>
        </is>
      </c>
      <c r="D299" t="inlineStr">
        <is>
          <t>U-RH437-01-01</t>
        </is>
      </c>
      <c r="E299" t="inlineStr">
        <is>
          <t>OTH</t>
        </is>
      </c>
      <c r="F299" t="inlineStr">
        <is>
          <t>General Enquiry / Non-defect</t>
        </is>
      </c>
      <c r="G299" t="inlineStr">
        <is>
          <t>Low</t>
        </is>
      </c>
      <c r="H299" t="inlineStr">
        <is>
          <t>Customer Relations</t>
        </is>
      </c>
      <c r="J299" t="inlineStr">
        <is>
          <t>Open</t>
        </is>
      </c>
      <c r="K299" t="inlineStr">
        <is>
          <t>Something wrong with PrimeValue Mart Pte Ltd at Blk 437, water and smell all over the back lane. Please look into it.</t>
        </is>
      </c>
    </row>
    <row r="300">
      <c r="A300" t="inlineStr">
        <is>
          <t>FB-2026-00871</t>
        </is>
      </c>
      <c r="B300" s="6" t="n">
        <v>46291</v>
      </c>
      <c r="C300" t="inlineStr">
        <is>
          <t>MP Letter</t>
        </is>
      </c>
      <c r="D300" t="inlineStr">
        <is>
          <t>U-ST522-01-06</t>
        </is>
      </c>
      <c r="E300" t="inlineStr">
        <is>
          <t>OTH</t>
        </is>
      </c>
      <c r="F300" t="inlineStr">
        <is>
          <t>General Enquiry / Non-defect</t>
        </is>
      </c>
      <c r="G300" t="inlineStr">
        <is>
          <t>Low</t>
        </is>
      </c>
      <c r="H300" t="inlineStr">
        <is>
          <t>Customer Relations</t>
        </is>
      </c>
      <c r="J300" t="inlineStr">
        <is>
          <t>Open</t>
        </is>
      </c>
      <c r="K300" t="inlineStr">
        <is>
          <t>Would like to compliment the staff of Rainbow Clinic &amp; Surgery for being helpful.</t>
        </is>
      </c>
    </row>
    <row r="301">
      <c r="A301" t="inlineStr">
        <is>
          <t>FB-2026-00872</t>
        </is>
      </c>
      <c r="B301" s="6" t="n">
        <v>46292</v>
      </c>
      <c r="C301" t="inlineStr">
        <is>
          <t>CityFix App</t>
        </is>
      </c>
      <c r="D301" t="inlineStr">
        <is>
          <t>U-KR371-01-10</t>
        </is>
      </c>
      <c r="E301" t="inlineStr">
        <is>
          <t>PLB</t>
        </is>
      </c>
      <c r="F301" t="inlineStr">
        <is>
          <t>Plumbing &amp; Sanitary</t>
        </is>
      </c>
      <c r="G301" t="inlineStr">
        <is>
          <t>Medium</t>
        </is>
      </c>
      <c r="H301" t="inlineStr">
        <is>
          <t>M&amp;E</t>
        </is>
      </c>
      <c r="I301" t="inlineStr">
        <is>
          <t>IEMS-2609-0053</t>
        </is>
      </c>
      <c r="J301" t="inlineStr">
        <is>
          <t>In Progress</t>
        </is>
      </c>
      <c r="K301" t="inlineStr">
        <is>
          <t>Toilet at rear of Blk 371 shops (near #01-10) cannot flush, pipe leakng.</t>
        </is>
      </c>
    </row>
    <row r="302">
      <c r="A302" t="inlineStr">
        <is>
          <t>FB-2026-00873</t>
        </is>
      </c>
      <c r="B302" s="6" t="n">
        <v>46292</v>
      </c>
      <c r="C302" t="inlineStr">
        <is>
          <t>CityFix App</t>
        </is>
      </c>
      <c r="D302" t="inlineStr">
        <is>
          <t>U-KR305-01-20</t>
        </is>
      </c>
      <c r="E302" t="inlineStr">
        <is>
          <t>HYG</t>
        </is>
      </c>
      <c r="F302" t="inlineStr">
        <is>
          <t>Hygiene (Tenant)</t>
        </is>
      </c>
      <c r="G302" t="inlineStr">
        <is>
          <t>Low</t>
        </is>
      </c>
      <c r="H302" t="inlineStr">
        <is>
          <t>Estate Compliance</t>
        </is>
      </c>
      <c r="J302" t="inlineStr">
        <is>
          <t>Open</t>
        </is>
      </c>
      <c r="K302" t="inlineStr">
        <is>
          <t>Smart Kids Bubble Tea leaves rubbish bags outside the shop overnight, smelly and attracts flies. Blk 305.</t>
        </is>
      </c>
    </row>
    <row r="303">
      <c r="A303" t="inlineStr">
        <is>
          <t>FB-2026-00874</t>
        </is>
      </c>
      <c r="B303" s="6" t="n">
        <v>46292</v>
      </c>
      <c r="C303" t="inlineStr">
        <is>
          <t>CityFix App</t>
        </is>
      </c>
      <c r="D303" t="inlineStr">
        <is>
          <t>U-BV214-01-02</t>
        </is>
      </c>
      <c r="E303" t="inlineStr">
        <is>
          <t>STR</t>
        </is>
      </c>
      <c r="F303" t="inlineStr">
        <is>
          <t>Structural</t>
        </is>
      </c>
      <c r="G303" t="inlineStr">
        <is>
          <t>High</t>
        </is>
      </c>
      <c r="H303" t="inlineStr">
        <is>
          <t>Civil &amp; Structural</t>
        </is>
      </c>
      <c r="I303" t="inlineStr">
        <is>
          <t>IEMS-2609-0054</t>
        </is>
      </c>
      <c r="J303" t="inlineStr">
        <is>
          <t>In Progress</t>
        </is>
      </c>
      <c r="K303" t="inlineStr">
        <is>
          <t>Concrete spalling from ceiling outside Golden Leaf Telecom at Blk 214 Bayshore Vale Street 21 #01-02. Pieces fell near the walkway this morning, very dangerous for elderly.</t>
        </is>
      </c>
    </row>
    <row r="304">
      <c r="A304" t="inlineStr">
        <is>
          <t>FB-2026-00875</t>
        </is>
      </c>
      <c r="B304" s="6" t="n">
        <v>46292</v>
      </c>
      <c r="C304" t="inlineStr">
        <is>
          <t>MP Letter</t>
        </is>
      </c>
      <c r="D304" t="inlineStr">
        <is>
          <t>U-PI626-01-13</t>
        </is>
      </c>
      <c r="E304" t="inlineStr">
        <is>
          <t>HYG</t>
        </is>
      </c>
      <c r="F304" t="inlineStr">
        <is>
          <t>Hygiene (Tenant)</t>
        </is>
      </c>
      <c r="G304" t="inlineStr">
        <is>
          <t>High</t>
        </is>
      </c>
      <c r="H304" t="inlineStr">
        <is>
          <t>Estate Compliance</t>
        </is>
      </c>
      <c r="J304" t="inlineStr">
        <is>
          <t>Open</t>
        </is>
      </c>
      <c r="K304" t="inlineStr">
        <is>
          <t>Ceiling near Mutiara Family Clinic wet and lights flickering, scared got short circuit.</t>
        </is>
      </c>
    </row>
    <row r="305">
      <c r="A305" t="inlineStr">
        <is>
          <t>FB-2026-00876</t>
        </is>
      </c>
      <c r="B305" s="6" t="n">
        <v>46293</v>
      </c>
      <c r="C305" t="inlineStr">
        <is>
          <t>Hotline</t>
        </is>
      </c>
      <c r="D305" t="inlineStr">
        <is>
          <t>U-PI667-01-02</t>
        </is>
      </c>
      <c r="E305" t="inlineStr">
        <is>
          <t>SEP</t>
        </is>
      </c>
      <c r="F305" t="inlineStr">
        <is>
          <t>Water Seepage / Leak</t>
        </is>
      </c>
      <c r="G305" t="inlineStr">
        <is>
          <t>Medium</t>
        </is>
      </c>
      <c r="H305" t="inlineStr">
        <is>
          <t>Civil &amp; Structural</t>
        </is>
      </c>
      <c r="I305" t="inlineStr">
        <is>
          <t>IEMS-2609-0055</t>
        </is>
      </c>
      <c r="J305" t="inlineStr">
        <is>
          <t>Open</t>
        </is>
      </c>
      <c r="K305" t="inlineStr">
        <is>
          <t>Roof slab above Blk 667 #01-02 leaking into shop. Have reported twice before!!</t>
        </is>
      </c>
    </row>
    <row r="306">
      <c r="A306" t="inlineStr">
        <is>
          <t>FB-2026-00877</t>
        </is>
      </c>
      <c r="B306" s="6" t="n">
        <v>46293</v>
      </c>
      <c r="C306" t="inlineStr">
        <is>
          <t>MP Letter</t>
        </is>
      </c>
      <c r="D306" t="inlineStr">
        <is>
          <t>U-PI670-01-03</t>
        </is>
      </c>
      <c r="E306" t="inlineStr">
        <is>
          <t>ELE</t>
        </is>
      </c>
      <c r="F306" t="inlineStr">
        <is>
          <t>Electrical</t>
        </is>
      </c>
      <c r="G306" t="inlineStr">
        <is>
          <t>High</t>
        </is>
      </c>
      <c r="H306" t="inlineStr">
        <is>
          <t>M&amp;E</t>
        </is>
      </c>
      <c r="I306" t="inlineStr">
        <is>
          <t>IEMS-2609-0056</t>
        </is>
      </c>
      <c r="J306" t="inlineStr">
        <is>
          <t>In Progress</t>
        </is>
      </c>
      <c r="K306" t="inlineStr">
        <is>
          <t>Exposed wiring hanging from ceiling outside #01-03 Blk 670 Pasir Indah Avenue 6. Children walk past here.</t>
        </is>
      </c>
    </row>
    <row r="307">
      <c r="A307" t="inlineStr">
        <is>
          <t>FB-2026-00878</t>
        </is>
      </c>
      <c r="B307" s="6" t="n">
        <v>46293</v>
      </c>
      <c r="C307" t="inlineStr">
        <is>
          <t>Walk-in</t>
        </is>
      </c>
      <c r="D307" t="inlineStr">
        <is>
          <t>U-BV296-01-03</t>
        </is>
      </c>
      <c r="E307" t="inlineStr">
        <is>
          <t>SEP</t>
        </is>
      </c>
      <c r="F307" t="inlineStr">
        <is>
          <t>Water Seepage / Leak</t>
        </is>
      </c>
      <c r="G307" t="inlineStr">
        <is>
          <t>Medium</t>
        </is>
      </c>
      <c r="H307" t="inlineStr">
        <is>
          <t>Civil &amp; Structural</t>
        </is>
      </c>
      <c r="I307" t="inlineStr">
        <is>
          <t>IEMS-2609-0057</t>
        </is>
      </c>
      <c r="J307" t="inlineStr">
        <is>
          <t>Open</t>
        </is>
      </c>
      <c r="K307" t="inlineStr">
        <is>
          <t>Ceiling leaking inside Treasure Kitchen (#01-03) whenever it rains. Water stains and some stock damaged.</t>
        </is>
      </c>
    </row>
    <row r="308">
      <c r="A308" t="inlineStr">
        <is>
          <t>FB-2026-00879</t>
        </is>
      </c>
      <c r="B308" s="6" t="n">
        <v>46294</v>
      </c>
      <c r="C308" t="inlineStr">
        <is>
          <t>Email</t>
        </is>
      </c>
      <c r="D308" t="inlineStr">
        <is>
          <t>U-PI642-01-05</t>
        </is>
      </c>
      <c r="E308" t="inlineStr">
        <is>
          <t>PST</t>
        </is>
      </c>
      <c r="F308" t="inlineStr">
        <is>
          <t>Pest</t>
        </is>
      </c>
      <c r="G308" t="inlineStr">
        <is>
          <t>Medium</t>
        </is>
      </c>
      <c r="H308" t="inlineStr">
        <is>
          <t>Pest Control</t>
        </is>
      </c>
      <c r="I308" t="inlineStr">
        <is>
          <t>IEMS-2609-0058</t>
        </is>
      </c>
      <c r="J308" t="inlineStr">
        <is>
          <t>In Progress</t>
        </is>
      </c>
      <c r="K308" t="inlineStr">
        <is>
          <t>Cockroach infestation along the drains in front of #01-05 Pasir Indah Avenue 6.</t>
        </is>
      </c>
    </row>
    <row r="309">
      <c r="A309" t="inlineStr">
        <is>
          <t>FB-2026-00880</t>
        </is>
      </c>
      <c r="B309" s="6" t="n">
        <v>46294</v>
      </c>
      <c r="C309" t="inlineStr">
        <is>
          <t>Email</t>
        </is>
      </c>
      <c r="D309" t="inlineStr">
        <is>
          <t>U-KR323-01-05</t>
        </is>
      </c>
      <c r="E309" t="inlineStr">
        <is>
          <t>SEP</t>
        </is>
      </c>
      <c r="F309" t="inlineStr">
        <is>
          <t>Water Seepage / Leak</t>
        </is>
      </c>
      <c r="G309" t="inlineStr">
        <is>
          <t>Medium</t>
        </is>
      </c>
      <c r="H309" t="inlineStr">
        <is>
          <t>Civil &amp; Structural</t>
        </is>
      </c>
      <c r="I309" t="inlineStr">
        <is>
          <t>IEMS-2609-0059</t>
        </is>
      </c>
      <c r="J309" t="inlineStr">
        <is>
          <t>In Progress</t>
        </is>
      </c>
      <c r="K309" t="inlineStr">
        <is>
          <t>Roof slab above Blk 323 #01-05 leaking into shop. Have reported twice before!!</t>
        </is>
      </c>
    </row>
    <row r="310">
      <c r="A310" t="inlineStr">
        <is>
          <t>FB-2026-00881</t>
        </is>
      </c>
      <c r="B310" s="6" t="n">
        <v>46294</v>
      </c>
      <c r="C310" t="inlineStr">
        <is>
          <t>Email</t>
        </is>
      </c>
      <c r="D310" t="inlineStr">
        <is>
          <t>U-PI626-01-14</t>
        </is>
      </c>
      <c r="E310" t="inlineStr">
        <is>
          <t>NOI</t>
        </is>
      </c>
      <c r="F310" t="inlineStr">
        <is>
          <t>Noise / Nuisance</t>
        </is>
      </c>
      <c r="G310" t="inlineStr">
        <is>
          <t>Low</t>
        </is>
      </c>
      <c r="H310" t="inlineStr">
        <is>
          <t>Estate Compliance</t>
        </is>
      </c>
      <c r="J310" t="inlineStr">
        <is>
          <t>In Progress</t>
        </is>
      </c>
      <c r="K310" t="inlineStr">
        <is>
          <t>Karaoke noise from #01-14 Jalan Pasir Indah every night.</t>
        </is>
      </c>
    </row>
    <row r="311">
      <c r="A311" t="inlineStr">
        <is>
          <t>FB-2026-00882</t>
        </is>
      </c>
      <c r="B311" s="6" t="n">
        <v>46294</v>
      </c>
      <c r="C311" t="inlineStr">
        <is>
          <t>Walk-in</t>
        </is>
      </c>
      <c r="D311" t="inlineStr">
        <is>
          <t>U-ST501-01-05</t>
        </is>
      </c>
      <c r="E311" t="inlineStr">
        <is>
          <t>PST</t>
        </is>
      </c>
      <c r="F311" t="inlineStr">
        <is>
          <t>Pest</t>
        </is>
      </c>
      <c r="G311" t="inlineStr">
        <is>
          <t>Medium</t>
        </is>
      </c>
      <c r="H311" t="inlineStr">
        <is>
          <t>Pest Control</t>
        </is>
      </c>
      <c r="I311" t="inlineStr">
        <is>
          <t>IEMS-2609-0060</t>
        </is>
      </c>
      <c r="J311" t="inlineStr">
        <is>
          <t>In Progress</t>
        </is>
      </c>
      <c r="K311" t="inlineStr">
        <is>
          <t>Termites found eating the door frame of Fresh Valley Fruit Trading (#01-05).</t>
        </is>
      </c>
    </row>
    <row r="312">
      <c r="A312" t="inlineStr">
        <is>
          <t>FB-2026-00883</t>
        </is>
      </c>
      <c r="B312" s="6" t="n">
        <v>46294</v>
      </c>
      <c r="C312" t="inlineStr">
        <is>
          <t>Email</t>
        </is>
      </c>
      <c r="D312" t="inlineStr">
        <is>
          <t>U-CD142-01-06</t>
        </is>
      </c>
      <c r="E312" t="inlineStr">
        <is>
          <t>ENC</t>
        </is>
      </c>
      <c r="F312" t="inlineStr">
        <is>
          <t>Obstruction / Encroachment</t>
        </is>
      </c>
      <c r="G312" t="inlineStr">
        <is>
          <t>Low</t>
        </is>
      </c>
      <c r="H312" t="inlineStr">
        <is>
          <t>Estate Compliance</t>
        </is>
      </c>
      <c r="J312" t="inlineStr">
        <is>
          <t>In Progress</t>
        </is>
      </c>
      <c r="K312" t="inlineStr">
        <is>
          <t>Phoenix Provision Shop displaying goods all the way into the walkway at Blk 142, wheelchair cannot pass.</t>
        </is>
      </c>
    </row>
    <row r="313">
      <c r="A313" t="inlineStr">
        <is>
          <t>FB-2026-00884</t>
        </is>
      </c>
      <c r="B313" s="6" t="n">
        <v>46294</v>
      </c>
      <c r="C313" t="inlineStr">
        <is>
          <t>Hotline</t>
        </is>
      </c>
      <c r="D313" t="inlineStr">
        <is>
          <t>U-RH450-01-05</t>
        </is>
      </c>
      <c r="E313" t="inlineStr">
        <is>
          <t>ENC</t>
        </is>
      </c>
      <c r="F313" t="inlineStr">
        <is>
          <t>Obstruction / Encroachment</t>
        </is>
      </c>
      <c r="G313" t="inlineStr">
        <is>
          <t>Low</t>
        </is>
      </c>
      <c r="H313" t="inlineStr">
        <is>
          <t>Estate Compliance</t>
        </is>
      </c>
      <c r="J313" t="inlineStr">
        <is>
          <t>Open</t>
        </is>
      </c>
      <c r="K313" t="inlineStr">
        <is>
          <t>Racks of Smart Kids Store Pte Ltd (#01-05) placed beyond the yellow line, blocking pedestrians.</t>
        </is>
      </c>
    </row>
    <row r="314">
      <c r="A314" t="inlineStr">
        <is>
          <t>FB-2026-00885</t>
        </is>
      </c>
      <c r="B314" s="6" t="n">
        <v>46295</v>
      </c>
      <c r="C314" t="inlineStr">
        <is>
          <t>Email</t>
        </is>
      </c>
      <c r="D314" t="inlineStr">
        <is>
          <t>U-KR369-02-07</t>
        </is>
      </c>
      <c r="E314" t="inlineStr">
        <is>
          <t>SEP</t>
        </is>
      </c>
      <c r="F314" t="inlineStr">
        <is>
          <t>Water Seepage / Leak</t>
        </is>
      </c>
      <c r="G314" t="inlineStr">
        <is>
          <t>Medium</t>
        </is>
      </c>
      <c r="H314" t="inlineStr">
        <is>
          <t>Civil &amp; Structural</t>
        </is>
      </c>
      <c r="I314" t="inlineStr">
        <is>
          <t>IEMS-2610-0001</t>
        </is>
      </c>
      <c r="J314" t="inlineStr">
        <is>
          <t>Open</t>
        </is>
      </c>
      <c r="K314" t="inlineStr">
        <is>
          <t>Ceiling leaking inside Hock Lee Clinic &amp; Surgery Pte Ltd (#02-07) whenever it rains. Water stains and some stock damaged.</t>
        </is>
      </c>
    </row>
    <row r="315">
      <c r="A315" t="inlineStr">
        <is>
          <t>FB-2026-00886</t>
        </is>
      </c>
      <c r="B315" s="6" t="n">
        <v>46295</v>
      </c>
      <c r="C315" t="inlineStr">
        <is>
          <t>MP Letter</t>
        </is>
      </c>
      <c r="D315" t="inlineStr">
        <is>
          <t>U-CD133-01-10</t>
        </is>
      </c>
      <c r="E315" t="inlineStr">
        <is>
          <t>ENC</t>
        </is>
      </c>
      <c r="F315" t="inlineStr">
        <is>
          <t>Obstruction / Encroachment</t>
        </is>
      </c>
      <c r="G315" t="inlineStr">
        <is>
          <t>High</t>
        </is>
      </c>
      <c r="H315" t="inlineStr">
        <is>
          <t>Estate Compliance</t>
        </is>
      </c>
      <c r="J315" t="inlineStr">
        <is>
          <t>Open</t>
        </is>
      </c>
      <c r="K315" t="inlineStr">
        <is>
          <t>Tables and chairs of Joo Chiat Kueh Corner Pte Ltd occupying the corridor, Cendana Street 11.</t>
        </is>
      </c>
    </row>
    <row r="316">
      <c r="A316" t="inlineStr">
        <is>
          <t>FB-2026-00887</t>
        </is>
      </c>
      <c r="B316" s="6" t="n">
        <v>46295</v>
      </c>
      <c r="C316" t="inlineStr">
        <is>
          <t>Email</t>
        </is>
      </c>
      <c r="D316" t="inlineStr">
        <is>
          <t>U-RH460-01-14</t>
        </is>
      </c>
      <c r="E316" t="inlineStr">
        <is>
          <t>ENC</t>
        </is>
      </c>
      <c r="F316" t="inlineStr">
        <is>
          <t>Obstruction / Encroachment</t>
        </is>
      </c>
      <c r="G316" t="inlineStr">
        <is>
          <t>Low</t>
        </is>
      </c>
      <c r="H316" t="inlineStr">
        <is>
          <t>Estate Compliance</t>
        </is>
      </c>
      <c r="J316" t="inlineStr">
        <is>
          <t>In Progress</t>
        </is>
      </c>
      <c r="K316" t="inlineStr">
        <is>
          <t>Tables and chairs of Kian Huat TCM Clinic Pte Ltd occupying the corridor, Rimba Heights Street 45.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3" t="inlineStr">
        <is>
          <t>Team</t>
        </is>
      </c>
      <c r="B1" s="3" t="inlineStr">
        <is>
          <t>Tickets raised</t>
        </is>
      </c>
      <c r="C1" s="3" t="inlineStr">
        <is>
          <t>Closed</t>
        </is>
      </c>
      <c r="D1" s="3" t="inlineStr">
        <is>
          <t>SLA met</t>
        </is>
      </c>
      <c r="E1" s="3" t="inlineStr">
        <is>
          <t>SLA %</t>
        </is>
      </c>
      <c r="F1" s="3" t="inlineStr">
        <is>
          <t>Misrouted</t>
        </is>
      </c>
    </row>
    <row r="2">
      <c r="A2" t="inlineStr">
        <is>
          <t>Civil &amp; Structural</t>
        </is>
      </c>
      <c r="B2" t="n">
        <v>61</v>
      </c>
      <c r="C2" t="n">
        <v>54</v>
      </c>
      <c r="D2" t="n">
        <v>40</v>
      </c>
      <c r="E2" s="7">
        <f>IF(C2=0,"",D2/C2)</f>
        <v/>
      </c>
      <c r="F2" t="n">
        <v>3</v>
      </c>
    </row>
    <row r="3">
      <c r="A3" t="inlineStr">
        <is>
          <t>Estate Compliance</t>
        </is>
      </c>
      <c r="B3" t="n">
        <v>8</v>
      </c>
      <c r="C3" t="n">
        <v>7</v>
      </c>
      <c r="D3" t="n">
        <v>7</v>
      </c>
      <c r="E3" s="7">
        <f>IF(C3=0,"",D3/C3)</f>
        <v/>
      </c>
      <c r="F3" t="n">
        <v>0</v>
      </c>
    </row>
    <row r="4">
      <c r="A4" t="inlineStr">
        <is>
          <t>M&amp;E</t>
        </is>
      </c>
      <c r="B4" t="n">
        <v>63</v>
      </c>
      <c r="C4" t="n">
        <v>57</v>
      </c>
      <c r="D4" t="n">
        <v>34</v>
      </c>
      <c r="E4" s="7">
        <f>IF(C4=0,"",D4/C4)</f>
        <v/>
      </c>
      <c r="F4" t="n">
        <v>2</v>
      </c>
    </row>
    <row r="5">
      <c r="A5" t="inlineStr">
        <is>
          <t>Pest Control</t>
        </is>
      </c>
      <c r="B5" t="n">
        <v>32</v>
      </c>
      <c r="C5" t="n">
        <v>25</v>
      </c>
      <c r="D5" t="n">
        <v>19</v>
      </c>
      <c r="E5" s="7">
        <f>IF(C5=0,"",D5/C5)</f>
        <v/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Grace Chua</dc:creator>
  <dc:title xmlns:dc="http://purl.org/dc/elements/1.1/">Defect &amp; Feedback Stats Q3 2026</dc:title>
  <dcterms:created xmlns:dcterms="http://purl.org/dc/terms/" xmlns:xsi="http://www.w3.org/2001/XMLSchema-instance" xsi:type="dcterms:W3CDTF">2026-10-03T09:00:00Z</dcterms:created>
  <dcterms:modified xmlns:dcterms="http://purl.org/dc/terms/" xmlns:xsi="http://www.w3.org/2001/XMLSchema-instance" xsi:type="dcterms:W3CDTF">2026-10-10T09:29:40Z</dcterms:modified>
  <cp:lastModifiedBy>Grace Chua</cp:lastModifiedBy>
</cp:coreProperties>
</file>