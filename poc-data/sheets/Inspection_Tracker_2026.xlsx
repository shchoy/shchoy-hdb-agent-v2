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cker" sheetId="2" state="visible" r:id="rId2"/>
  </sheets>
  <definedNames>
    <definedName name="_xlnm._FilterDatabase" localSheetId="1" hidden="1">'Tracker'!$A$1:$L$1866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mmm-yyyy"/>
  </numFmts>
  <fonts count="5">
    <font>
      <name val="Calibri"/>
      <family val="2"/>
      <color theme="1"/>
      <sz val="11"/>
      <scheme val="minor"/>
    </font>
    <font>
      <b val="1"/>
    </font>
    <font>
      <b val="1"/>
      <color rgb="001F3A5F"/>
      <sz val="14"/>
    </font>
    <font>
      <i val="1"/>
      <color rgb="00555555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166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INSPECTION TRACKER 2026</t>
        </is>
      </c>
    </row>
    <row r="2">
      <c r="A2" s="2" t="inlineStr">
        <is>
          <t>Counts by month and outcome (formulas on Tracker sheet)</t>
        </is>
      </c>
    </row>
    <row r="4">
      <c r="A4" s="3" t="inlineStr">
        <is>
          <t>Month</t>
        </is>
      </c>
      <c r="B4" s="3" t="inlineStr">
        <is>
          <t>Compliant</t>
        </is>
      </c>
      <c r="C4" s="3" t="inlineStr">
        <is>
          <t>Minor Breach</t>
        </is>
      </c>
      <c r="D4" s="3" t="inlineStr">
        <is>
          <t>Major Breach</t>
        </is>
      </c>
      <c r="E4" s="3" t="inlineStr">
        <is>
          <t>Total</t>
        </is>
      </c>
    </row>
    <row r="5">
      <c r="A5" s="4" t="n">
        <v>46023</v>
      </c>
      <c r="B5">
        <f>COUNTIFS(Tracker!$B$2:$B$1866,"&gt;="&amp;$A5,Tracker!$B$2:$B$1866,"&lt;"&amp;EDATE($A5,1),Tracker!$H$2:$H$1866,"Compliant")</f>
        <v/>
      </c>
      <c r="C5">
        <f>COUNTIFS(Tracker!$B$2:$B$1866,"&gt;="&amp;$A5,Tracker!$B$2:$B$1866,"&lt;"&amp;EDATE($A5,1),Tracker!$H$2:$H$1866,"Minor Breach")</f>
        <v/>
      </c>
      <c r="D5">
        <f>COUNTIFS(Tracker!$B$2:$B$1866,"&gt;="&amp;$A5,Tracker!$B$2:$B$1866,"&lt;"&amp;EDATE($A5,1),Tracker!$H$2:$H$1866,"Major Breach")</f>
        <v/>
      </c>
      <c r="E5">
        <f>SUM(B5:D5)</f>
        <v/>
      </c>
    </row>
    <row r="6">
      <c r="A6" s="4" t="n">
        <v>46054</v>
      </c>
      <c r="B6">
        <f>COUNTIFS(Tracker!$B$2:$B$1866,"&gt;="&amp;$A6,Tracker!$B$2:$B$1866,"&lt;"&amp;EDATE($A6,1),Tracker!$H$2:$H$1866,"Compliant")</f>
        <v/>
      </c>
      <c r="C6">
        <f>COUNTIFS(Tracker!$B$2:$B$1866,"&gt;="&amp;$A6,Tracker!$B$2:$B$1866,"&lt;"&amp;EDATE($A6,1),Tracker!$H$2:$H$1866,"Minor Breach")</f>
        <v/>
      </c>
      <c r="D6">
        <f>COUNTIFS(Tracker!$B$2:$B$1866,"&gt;="&amp;$A6,Tracker!$B$2:$B$1866,"&lt;"&amp;EDATE($A6,1),Tracker!$H$2:$H$1866,"Major Breach")</f>
        <v/>
      </c>
      <c r="E6">
        <f>SUM(B6:D6)</f>
        <v/>
      </c>
    </row>
    <row r="7">
      <c r="A7" s="4" t="n">
        <v>46082</v>
      </c>
      <c r="B7">
        <f>COUNTIFS(Tracker!$B$2:$B$1866,"&gt;="&amp;$A7,Tracker!$B$2:$B$1866,"&lt;"&amp;EDATE($A7,1),Tracker!$H$2:$H$1866,"Compliant")</f>
        <v/>
      </c>
      <c r="C7">
        <f>COUNTIFS(Tracker!$B$2:$B$1866,"&gt;="&amp;$A7,Tracker!$B$2:$B$1866,"&lt;"&amp;EDATE($A7,1),Tracker!$H$2:$H$1866,"Minor Breach")</f>
        <v/>
      </c>
      <c r="D7">
        <f>COUNTIFS(Tracker!$B$2:$B$1866,"&gt;="&amp;$A7,Tracker!$B$2:$B$1866,"&lt;"&amp;EDATE($A7,1),Tracker!$H$2:$H$1866,"Major Breach")</f>
        <v/>
      </c>
      <c r="E7">
        <f>SUM(B7:D7)</f>
        <v/>
      </c>
    </row>
    <row r="8">
      <c r="A8" s="4" t="n">
        <v>46113</v>
      </c>
      <c r="B8">
        <f>COUNTIFS(Tracker!$B$2:$B$1866,"&gt;="&amp;$A8,Tracker!$B$2:$B$1866,"&lt;"&amp;EDATE($A8,1),Tracker!$H$2:$H$1866,"Compliant")</f>
        <v/>
      </c>
      <c r="C8">
        <f>COUNTIFS(Tracker!$B$2:$B$1866,"&gt;="&amp;$A8,Tracker!$B$2:$B$1866,"&lt;"&amp;EDATE($A8,1),Tracker!$H$2:$H$1866,"Minor Breach")</f>
        <v/>
      </c>
      <c r="D8">
        <f>COUNTIFS(Tracker!$B$2:$B$1866,"&gt;="&amp;$A8,Tracker!$B$2:$B$1866,"&lt;"&amp;EDATE($A8,1),Tracker!$H$2:$H$1866,"Major Breach")</f>
        <v/>
      </c>
      <c r="E8">
        <f>SUM(B8:D8)</f>
        <v/>
      </c>
    </row>
    <row r="9">
      <c r="A9" s="4" t="n">
        <v>46143</v>
      </c>
      <c r="B9">
        <f>COUNTIFS(Tracker!$B$2:$B$1866,"&gt;="&amp;$A9,Tracker!$B$2:$B$1866,"&lt;"&amp;EDATE($A9,1),Tracker!$H$2:$H$1866,"Compliant")</f>
        <v/>
      </c>
      <c r="C9">
        <f>COUNTIFS(Tracker!$B$2:$B$1866,"&gt;="&amp;$A9,Tracker!$B$2:$B$1866,"&lt;"&amp;EDATE($A9,1),Tracker!$H$2:$H$1866,"Minor Breach")</f>
        <v/>
      </c>
      <c r="D9">
        <f>COUNTIFS(Tracker!$B$2:$B$1866,"&gt;="&amp;$A9,Tracker!$B$2:$B$1866,"&lt;"&amp;EDATE($A9,1),Tracker!$H$2:$H$1866,"Major Breach")</f>
        <v/>
      </c>
      <c r="E9">
        <f>SUM(B9:D9)</f>
        <v/>
      </c>
    </row>
    <row r="10">
      <c r="A10" s="4" t="n">
        <v>46174</v>
      </c>
      <c r="B10">
        <f>COUNTIFS(Tracker!$B$2:$B$1866,"&gt;="&amp;$A10,Tracker!$B$2:$B$1866,"&lt;"&amp;EDATE($A10,1),Tracker!$H$2:$H$1866,"Compliant")</f>
        <v/>
      </c>
      <c r="C10">
        <f>COUNTIFS(Tracker!$B$2:$B$1866,"&gt;="&amp;$A10,Tracker!$B$2:$B$1866,"&lt;"&amp;EDATE($A10,1),Tracker!$H$2:$H$1866,"Minor Breach")</f>
        <v/>
      </c>
      <c r="D10">
        <f>COUNTIFS(Tracker!$B$2:$B$1866,"&gt;="&amp;$A10,Tracker!$B$2:$B$1866,"&lt;"&amp;EDATE($A10,1),Tracker!$H$2:$H$1866,"Major Breach")</f>
        <v/>
      </c>
      <c r="E10">
        <f>SUM(B10:D10)</f>
        <v/>
      </c>
    </row>
    <row r="11">
      <c r="A11" s="4" t="n">
        <v>46204</v>
      </c>
      <c r="B11">
        <f>COUNTIFS(Tracker!$B$2:$B$1866,"&gt;="&amp;$A11,Tracker!$B$2:$B$1866,"&lt;"&amp;EDATE($A11,1),Tracker!$H$2:$H$1866,"Compliant")</f>
        <v/>
      </c>
      <c r="C11">
        <f>COUNTIFS(Tracker!$B$2:$B$1866,"&gt;="&amp;$A11,Tracker!$B$2:$B$1866,"&lt;"&amp;EDATE($A11,1),Tracker!$H$2:$H$1866,"Minor Breach")</f>
        <v/>
      </c>
      <c r="D11">
        <f>COUNTIFS(Tracker!$B$2:$B$1866,"&gt;="&amp;$A11,Tracker!$B$2:$B$1866,"&lt;"&amp;EDATE($A11,1),Tracker!$H$2:$H$1866,"Major Breach")</f>
        <v/>
      </c>
      <c r="E11">
        <f>SUM(B11:D11)</f>
        <v/>
      </c>
    </row>
    <row r="12">
      <c r="A12" s="4" t="n">
        <v>46235</v>
      </c>
      <c r="B12">
        <f>COUNTIFS(Tracker!$B$2:$B$1866,"&gt;="&amp;$A12,Tracker!$B$2:$B$1866,"&lt;"&amp;EDATE($A12,1),Tracker!$H$2:$H$1866,"Compliant")</f>
        <v/>
      </c>
      <c r="C12">
        <f>COUNTIFS(Tracker!$B$2:$B$1866,"&gt;="&amp;$A12,Tracker!$B$2:$B$1866,"&lt;"&amp;EDATE($A12,1),Tracker!$H$2:$H$1866,"Minor Breach")</f>
        <v/>
      </c>
      <c r="D12">
        <f>COUNTIFS(Tracker!$B$2:$B$1866,"&gt;="&amp;$A12,Tracker!$B$2:$B$1866,"&lt;"&amp;EDATE($A12,1),Tracker!$H$2:$H$1866,"Major Breach")</f>
        <v/>
      </c>
      <c r="E12">
        <f>SUM(B12:D12)</f>
        <v/>
      </c>
    </row>
    <row r="13">
      <c r="A13" s="4" t="n">
        <v>46266</v>
      </c>
      <c r="B13">
        <f>COUNTIFS(Tracker!$B$2:$B$1866,"&gt;="&amp;$A13,Tracker!$B$2:$B$1866,"&lt;"&amp;EDATE($A13,1),Tracker!$H$2:$H$1866,"Compliant")</f>
        <v/>
      </c>
      <c r="C13">
        <f>COUNTIFS(Tracker!$B$2:$B$1866,"&gt;="&amp;$A13,Tracker!$B$2:$B$1866,"&lt;"&amp;EDATE($A13,1),Tracker!$H$2:$H$1866,"Minor Breach")</f>
        <v/>
      </c>
      <c r="D13">
        <f>COUNTIFS(Tracker!$B$2:$B$1866,"&gt;="&amp;$A13,Tracker!$B$2:$B$1866,"&lt;"&amp;EDATE($A13,1),Tracker!$H$2:$H$1866,"Major Breach")</f>
        <v/>
      </c>
      <c r="E13">
        <f>SUM(B13:D13)</f>
        <v/>
      </c>
    </row>
    <row r="15">
      <c r="A15" s="5" t="inlineStr">
        <is>
          <t>NB officer names typed inconsistently - use Officer ID mapping in PLG Records for reporting.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3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3" t="inlineStr">
        <is>
          <t>Inspection ID</t>
        </is>
      </c>
      <c r="B1" s="3" t="inlineStr">
        <is>
          <t>Date</t>
        </is>
      </c>
      <c r="C1" s="3" t="inlineStr">
        <is>
          <t>Unit</t>
        </is>
      </c>
      <c r="D1" s="3" t="inlineStr">
        <is>
          <t>Town</t>
        </is>
      </c>
      <c r="E1" s="3" t="inlineStr">
        <is>
          <t>Officer</t>
        </is>
      </c>
      <c r="F1" s="3" t="inlineStr">
        <is>
          <t>Type</t>
        </is>
      </c>
      <c r="G1" s="3" t="inlineStr">
        <is>
          <t>Finding</t>
        </is>
      </c>
      <c r="H1" s="3" t="inlineStr">
        <is>
          <t>Outcome</t>
        </is>
      </c>
      <c r="I1" s="3" t="inlineStr">
        <is>
          <t>F/U due</t>
        </is>
      </c>
      <c r="J1" s="3" t="inlineStr">
        <is>
          <t>Closed</t>
        </is>
      </c>
      <c r="K1" s="3" t="inlineStr">
        <is>
          <t>Days to close</t>
        </is>
      </c>
      <c r="L1" s="3" t="inlineStr">
        <is>
          <t>Status</t>
        </is>
      </c>
    </row>
    <row r="2">
      <c r="A2" t="inlineStr">
        <is>
          <t>INSP-2026-0001</t>
        </is>
      </c>
      <c r="B2" s="6" t="n">
        <v>46023</v>
      </c>
      <c r="C2" t="inlineStr">
        <is>
          <t>U-BV219-01-09</t>
        </is>
      </c>
      <c r="D2" t="inlineStr">
        <is>
          <t>Bayshore Vale</t>
        </is>
      </c>
      <c r="E2" t="inlineStr">
        <is>
          <t>D. Ong</t>
        </is>
      </c>
      <c r="F2" t="inlineStr">
        <is>
          <t>Routine</t>
        </is>
      </c>
      <c r="G2" t="inlineStr">
        <is>
          <t>NONE</t>
        </is>
      </c>
      <c r="H2" t="inlineStr">
        <is>
          <t>Compliant</t>
        </is>
      </c>
      <c r="I2" s="6" t="n"/>
      <c r="J2" s="6" t="n"/>
      <c r="K2">
        <f>IF(J2="","",J2-B2)</f>
        <v/>
      </c>
      <c r="L2">
        <f>IF(H2="Compliant","N/A",IF(J2&lt;&gt;"","Closed",IF(I2&lt;DATE(2026,9,30),"OVERDUE","Open")))</f>
        <v/>
      </c>
    </row>
    <row r="3">
      <c r="A3" t="inlineStr">
        <is>
          <t>INSP-2026-0002</t>
        </is>
      </c>
      <c r="B3" s="6" t="n">
        <v>46023</v>
      </c>
      <c r="C3" t="inlineStr">
        <is>
          <t>U-RH455-01-21</t>
        </is>
      </c>
      <c r="D3" t="inlineStr">
        <is>
          <t>Rimba Heights</t>
        </is>
      </c>
      <c r="E3" t="inlineStr">
        <is>
          <t>Ben Ho</t>
        </is>
      </c>
      <c r="F3" t="inlineStr">
        <is>
          <t>Routine</t>
        </is>
      </c>
      <c r="G3" t="inlineStr">
        <is>
          <t>DISPLAY_ENCROACH</t>
        </is>
      </c>
      <c r="H3" t="inlineStr">
        <is>
          <t>Minor Breach</t>
        </is>
      </c>
      <c r="I3" s="6" t="n">
        <v>46037</v>
      </c>
      <c r="J3" s="6" t="n">
        <v>46042</v>
      </c>
      <c r="K3">
        <f>IF(J3="","",J3-B3)</f>
        <v/>
      </c>
      <c r="L3">
        <f>IF(H3="Compliant","N/A",IF(J3&lt;&gt;"","Closed",IF(I3&lt;DATE(2026,9,30),"OVERDUE","Open")))</f>
        <v/>
      </c>
    </row>
    <row r="4">
      <c r="A4" t="inlineStr">
        <is>
          <t>INSP-2026-0003</t>
        </is>
      </c>
      <c r="B4" s="6" t="n">
        <v>46023</v>
      </c>
      <c r="C4" t="inlineStr">
        <is>
          <t>U-BV229-01-09</t>
        </is>
      </c>
      <c r="D4" t="inlineStr">
        <is>
          <t>Bayshore Vale</t>
        </is>
      </c>
      <c r="E4" t="inlineStr">
        <is>
          <t>Daniel O.</t>
        </is>
      </c>
      <c r="F4" t="inlineStr">
        <is>
          <t>Routine</t>
        </is>
      </c>
      <c r="G4" t="inlineStr">
        <is>
          <t>UNAUTH_TRADE</t>
        </is>
      </c>
      <c r="H4" t="inlineStr">
        <is>
          <t>Major Breach</t>
        </is>
      </c>
      <c r="I4" s="6" t="n">
        <v>46030</v>
      </c>
      <c r="J4" s="6" t="n">
        <v>46030</v>
      </c>
      <c r="K4">
        <f>IF(J4="","",J4-B4)</f>
        <v/>
      </c>
      <c r="L4">
        <f>IF(H4="Compliant","N/A",IF(J4&lt;&gt;"","Closed",IF(I4&lt;DATE(2026,9,30),"OVERDUE","Open")))</f>
        <v/>
      </c>
    </row>
    <row r="5">
      <c r="A5" t="inlineStr">
        <is>
          <t>INSP-2026-0004</t>
        </is>
      </c>
      <c r="B5" s="6" t="n">
        <v>46024</v>
      </c>
      <c r="C5" t="inlineStr">
        <is>
          <t>U-ST528-01-13</t>
        </is>
      </c>
      <c r="D5" t="inlineStr">
        <is>
          <t>Sungai Tinggi</t>
        </is>
      </c>
      <c r="E5" t="inlineStr">
        <is>
          <t>Ben Ho</t>
        </is>
      </c>
      <c r="F5" t="inlineStr">
        <is>
          <t>Routine</t>
        </is>
      </c>
      <c r="G5" t="inlineStr">
        <is>
          <t>NONE</t>
        </is>
      </c>
      <c r="H5" t="inlineStr">
        <is>
          <t>Compliant</t>
        </is>
      </c>
      <c r="I5" s="6" t="n"/>
      <c r="J5" s="6" t="n"/>
      <c r="K5">
        <f>IF(J5="","",J5-B5)</f>
        <v/>
      </c>
      <c r="L5">
        <f>IF(H5="Compliant","N/A",IF(J5&lt;&gt;"","Closed",IF(I5&lt;DATE(2026,9,30),"OVERDUE","Open")))</f>
        <v/>
      </c>
    </row>
    <row r="6">
      <c r="A6" t="inlineStr">
        <is>
          <t>INSP-2026-0005</t>
        </is>
      </c>
      <c r="B6" s="6" t="n">
        <v>46024</v>
      </c>
      <c r="C6" t="inlineStr">
        <is>
          <t>U-KR333-01-01</t>
        </is>
      </c>
      <c r="D6" t="inlineStr">
        <is>
          <t>Kebun Raya</t>
        </is>
      </c>
      <c r="E6" t="inlineStr">
        <is>
          <t>D. Ong</t>
        </is>
      </c>
      <c r="F6" t="inlineStr">
        <is>
          <t>Routine</t>
        </is>
      </c>
      <c r="G6" t="inlineStr">
        <is>
          <t>DISPLAY_ENCROACH</t>
        </is>
      </c>
      <c r="H6" t="inlineStr">
        <is>
          <t>Minor Breach</t>
        </is>
      </c>
      <c r="I6" s="6" t="n">
        <v>46038</v>
      </c>
      <c r="J6" s="6" t="n">
        <v>46037</v>
      </c>
      <c r="K6">
        <f>IF(J6="","",J6-B6)</f>
        <v/>
      </c>
      <c r="L6">
        <f>IF(H6="Compliant","N/A",IF(J6&lt;&gt;"","Closed",IF(I6&lt;DATE(2026,9,30),"OVERDUE","Open")))</f>
        <v/>
      </c>
    </row>
    <row r="7">
      <c r="A7" t="inlineStr">
        <is>
          <t>INSP-2026-0006</t>
        </is>
      </c>
      <c r="B7" s="6" t="n">
        <v>46024</v>
      </c>
      <c r="C7" t="inlineStr">
        <is>
          <t>U-KR345-01-03</t>
        </is>
      </c>
      <c r="D7" t="inlineStr">
        <is>
          <t>Kebun Raya</t>
        </is>
      </c>
      <c r="E7" t="inlineStr">
        <is>
          <t>B. Ho</t>
        </is>
      </c>
      <c r="F7" t="inlineStr">
        <is>
          <t>Complaint-driven</t>
        </is>
      </c>
      <c r="G7" t="inlineStr">
        <is>
          <t>NONE</t>
        </is>
      </c>
      <c r="H7" t="inlineStr">
        <is>
          <t>Compliant</t>
        </is>
      </c>
      <c r="I7" s="6" t="n"/>
      <c r="J7" s="6" t="n"/>
      <c r="K7">
        <f>IF(J7="","",J7-B7)</f>
        <v/>
      </c>
      <c r="L7">
        <f>IF(H7="Compliant","N/A",IF(J7&lt;&gt;"","Closed",IF(I7&lt;DATE(2026,9,30),"OVERDUE","Open")))</f>
        <v/>
      </c>
    </row>
    <row r="8">
      <c r="A8" t="inlineStr">
        <is>
          <t>INSP-2026-0007</t>
        </is>
      </c>
      <c r="B8" s="6" t="n">
        <v>46024</v>
      </c>
      <c r="C8" t="inlineStr">
        <is>
          <t>U-ST579-01-02</t>
        </is>
      </c>
      <c r="D8" t="inlineStr">
        <is>
          <t>Sungai Tinggi</t>
        </is>
      </c>
      <c r="E8" t="inlineStr">
        <is>
          <t>Daniel Ong</t>
        </is>
      </c>
      <c r="F8" t="inlineStr">
        <is>
          <t>Routine</t>
        </is>
      </c>
      <c r="G8" t="inlineStr">
        <is>
          <t>NONE</t>
        </is>
      </c>
      <c r="H8" t="inlineStr">
        <is>
          <t>Compliant</t>
        </is>
      </c>
      <c r="I8" s="6" t="n"/>
      <c r="J8" s="6" t="n"/>
      <c r="K8">
        <f>IF(J8="","",J8-B8)</f>
        <v/>
      </c>
      <c r="L8">
        <f>IF(H8="Compliant","N/A",IF(J8&lt;&gt;"","Closed",IF(I8&lt;DATE(2026,9,30),"OVERDUE","Open")))</f>
        <v/>
      </c>
    </row>
    <row r="9">
      <c r="A9" t="inlineStr">
        <is>
          <t>INSP-2026-0008</t>
        </is>
      </c>
      <c r="B9" s="6" t="n">
        <v>46024</v>
      </c>
      <c r="C9" t="inlineStr">
        <is>
          <t>U-RH401-01-05</t>
        </is>
      </c>
      <c r="D9" t="inlineStr">
        <is>
          <t>Rimba Heights</t>
        </is>
      </c>
      <c r="E9" t="inlineStr">
        <is>
          <t>D. Ong</t>
        </is>
      </c>
      <c r="F9" t="inlineStr">
        <is>
          <t>Routine</t>
        </is>
      </c>
      <c r="G9" t="inlineStr">
        <is>
          <t>NONE</t>
        </is>
      </c>
      <c r="H9" t="inlineStr">
        <is>
          <t>Compliant</t>
        </is>
      </c>
      <c r="I9" s="6" t="n"/>
      <c r="J9" s="6" t="n"/>
      <c r="K9">
        <f>IF(J9="","",J9-B9)</f>
        <v/>
      </c>
      <c r="L9">
        <f>IF(H9="Compliant","N/A",IF(J9&lt;&gt;"","Closed",IF(I9&lt;DATE(2026,9,30),"OVERDUE","Open")))</f>
        <v/>
      </c>
    </row>
    <row r="10">
      <c r="A10" t="inlineStr">
        <is>
          <t>INSP-2026-0009</t>
        </is>
      </c>
      <c r="B10" s="6" t="n">
        <v>46024</v>
      </c>
      <c r="C10" t="inlineStr">
        <is>
          <t>U-BV297-02-06</t>
        </is>
      </c>
      <c r="D10" t="inlineStr">
        <is>
          <t>Bayshore Vale</t>
        </is>
      </c>
      <c r="E10" t="inlineStr">
        <is>
          <t>M. Lim</t>
        </is>
      </c>
      <c r="F10" t="inlineStr">
        <is>
          <t>Routine</t>
        </is>
      </c>
      <c r="G10" t="inlineStr">
        <is>
          <t>HYGIENE</t>
        </is>
      </c>
      <c r="H10" t="inlineStr">
        <is>
          <t>Minor Breach</t>
        </is>
      </c>
      <c r="I10" s="6" t="n">
        <v>46038</v>
      </c>
      <c r="J10" s="6" t="n">
        <v>46047</v>
      </c>
      <c r="K10">
        <f>IF(J10="","",J10-B10)</f>
        <v/>
      </c>
      <c r="L10">
        <f>IF(H10="Compliant","N/A",IF(J10&lt;&gt;"","Closed",IF(I10&lt;DATE(2026,9,30),"OVERDUE","Open")))</f>
        <v/>
      </c>
    </row>
    <row r="11">
      <c r="A11" t="inlineStr">
        <is>
          <t>INSP-2026-0010</t>
        </is>
      </c>
      <c r="B11" s="6" t="n">
        <v>46024</v>
      </c>
      <c r="C11" t="inlineStr">
        <is>
          <t>U-RH482-01-01</t>
        </is>
      </c>
      <c r="D11" t="inlineStr">
        <is>
          <t>Rimba Heights</t>
        </is>
      </c>
      <c r="E11" t="inlineStr">
        <is>
          <t>Benjamin Ho</t>
        </is>
      </c>
      <c r="F11" t="inlineStr">
        <is>
          <t>Routine</t>
        </is>
      </c>
      <c r="G11" t="inlineStr">
        <is>
          <t>NONE</t>
        </is>
      </c>
      <c r="H11" t="inlineStr">
        <is>
          <t>Compliant</t>
        </is>
      </c>
      <c r="I11" s="6" t="n"/>
      <c r="J11" s="6" t="n"/>
      <c r="K11">
        <f>IF(J11="","",J11-B11)</f>
        <v/>
      </c>
      <c r="L11">
        <f>IF(H11="Compliant","N/A",IF(J11&lt;&gt;"","Closed",IF(I11&lt;DATE(2026,9,30),"OVERDUE","Open")))</f>
        <v/>
      </c>
    </row>
    <row r="12">
      <c r="A12" t="inlineStr">
        <is>
          <t>INSP-2026-0011</t>
        </is>
      </c>
      <c r="B12" s="6" t="n">
        <v>46024</v>
      </c>
      <c r="C12" t="inlineStr">
        <is>
          <t>U-PI609-01-02</t>
        </is>
      </c>
      <c r="D12" t="inlineStr">
        <is>
          <t>Pasir Indah</t>
        </is>
      </c>
      <c r="E12" t="inlineStr">
        <is>
          <t>Marcus Lim</t>
        </is>
      </c>
      <c r="F12" t="inlineStr">
        <is>
          <t>Follow-up</t>
        </is>
      </c>
      <c r="G12" t="inlineStr">
        <is>
          <t>NONE</t>
        </is>
      </c>
      <c r="H12" t="inlineStr">
        <is>
          <t>Compliant</t>
        </is>
      </c>
      <c r="I12" s="6" t="n"/>
      <c r="J12" s="6" t="n"/>
      <c r="K12">
        <f>IF(J12="","",J12-B12)</f>
        <v/>
      </c>
      <c r="L12">
        <f>IF(H12="Compliant","N/A",IF(J12&lt;&gt;"","Closed",IF(I12&lt;DATE(2026,9,30),"OVERDUE","Open")))</f>
        <v/>
      </c>
    </row>
    <row r="13">
      <c r="A13" t="inlineStr">
        <is>
          <t>INSP-2026-0012</t>
        </is>
      </c>
      <c r="B13" s="6" t="n">
        <v>46025</v>
      </c>
      <c r="C13" t="inlineStr">
        <is>
          <t>U-RH428-01-04</t>
        </is>
      </c>
      <c r="D13" t="inlineStr">
        <is>
          <t>Rimba Heights</t>
        </is>
      </c>
      <c r="E13" t="inlineStr">
        <is>
          <t>daniel ong</t>
        </is>
      </c>
      <c r="F13" t="inlineStr">
        <is>
          <t>Routine</t>
        </is>
      </c>
      <c r="G13" t="inlineStr">
        <is>
          <t>NONE</t>
        </is>
      </c>
      <c r="H13" t="inlineStr">
        <is>
          <t>Compliant</t>
        </is>
      </c>
      <c r="I13" s="6" t="n"/>
      <c r="J13" s="6" t="n"/>
      <c r="K13">
        <f>IF(J13="","",J13-B13)</f>
        <v/>
      </c>
      <c r="L13">
        <f>IF(H13="Compliant","N/A",IF(J13&lt;&gt;"","Closed",IF(I13&lt;DATE(2026,9,30),"OVERDUE","Open")))</f>
        <v/>
      </c>
    </row>
    <row r="14">
      <c r="A14" t="inlineStr">
        <is>
          <t>INSP-2026-0013</t>
        </is>
      </c>
      <c r="B14" s="6" t="n">
        <v>46026</v>
      </c>
      <c r="C14" t="inlineStr">
        <is>
          <t>U-CD109-01-10</t>
        </is>
      </c>
      <c r="D14" t="inlineStr">
        <is>
          <t>Cendana</t>
        </is>
      </c>
      <c r="E14" t="inlineStr">
        <is>
          <t>Daniel O.</t>
        </is>
      </c>
      <c r="F14" t="inlineStr">
        <is>
          <t>Follow-up</t>
        </is>
      </c>
      <c r="G14" t="inlineStr">
        <is>
          <t>NONE</t>
        </is>
      </c>
      <c r="H14" t="inlineStr">
        <is>
          <t>Compliant</t>
        </is>
      </c>
      <c r="I14" s="6" t="n"/>
      <c r="J14" s="6" t="n"/>
      <c r="K14">
        <f>IF(J14="","",J14-B14)</f>
        <v/>
      </c>
      <c r="L14">
        <f>IF(H14="Compliant","N/A",IF(J14&lt;&gt;"","Closed",IF(I14&lt;DATE(2026,9,30),"OVERDUE","Open")))</f>
        <v/>
      </c>
    </row>
    <row r="15">
      <c r="A15" t="inlineStr">
        <is>
          <t>INSP-2026-0014</t>
        </is>
      </c>
      <c r="B15" s="6" t="n">
        <v>46026</v>
      </c>
      <c r="C15" t="inlineStr">
        <is>
          <t>U-CD136-01-06</t>
        </is>
      </c>
      <c r="D15" t="inlineStr">
        <is>
          <t>Cendana</t>
        </is>
      </c>
      <c r="E15" t="inlineStr">
        <is>
          <t>Marcus Lim</t>
        </is>
      </c>
      <c r="F15" t="inlineStr">
        <is>
          <t>Routine</t>
        </is>
      </c>
      <c r="G15" t="inlineStr">
        <is>
          <t>NONE</t>
        </is>
      </c>
      <c r="H15" t="inlineStr">
        <is>
          <t>Compliant</t>
        </is>
      </c>
      <c r="I15" s="6" t="n"/>
      <c r="J15" s="6" t="n"/>
      <c r="K15">
        <f>IF(J15="","",J15-B15)</f>
        <v/>
      </c>
      <c r="L15">
        <f>IF(H15="Compliant","N/A",IF(J15&lt;&gt;"","Closed",IF(I15&lt;DATE(2026,9,30),"OVERDUE","Open")))</f>
        <v/>
      </c>
    </row>
    <row r="16">
      <c r="A16" t="inlineStr">
        <is>
          <t>INSP-2026-0015</t>
        </is>
      </c>
      <c r="B16" s="6" t="n">
        <v>46026</v>
      </c>
      <c r="C16" t="inlineStr">
        <is>
          <t>U-BV290-01-06</t>
        </is>
      </c>
      <c r="D16" t="inlineStr">
        <is>
          <t>Bayshore Vale</t>
        </is>
      </c>
      <c r="E16" t="inlineStr">
        <is>
          <t>M. Lim</t>
        </is>
      </c>
      <c r="F16" t="inlineStr">
        <is>
          <t>Routine</t>
        </is>
      </c>
      <c r="G16" t="inlineStr">
        <is>
          <t>NONE</t>
        </is>
      </c>
      <c r="H16" t="inlineStr">
        <is>
          <t>Compliant</t>
        </is>
      </c>
      <c r="I16" s="6" t="n"/>
      <c r="J16" s="6" t="n"/>
      <c r="K16">
        <f>IF(J16="","",J16-B16)</f>
        <v/>
      </c>
      <c r="L16">
        <f>IF(H16="Compliant","N/A",IF(J16&lt;&gt;"","Closed",IF(I16&lt;DATE(2026,9,30),"OVERDUE","Open")))</f>
        <v/>
      </c>
    </row>
    <row r="17">
      <c r="A17" t="inlineStr">
        <is>
          <t>INSP-2026-0016</t>
        </is>
      </c>
      <c r="B17" s="6" t="n">
        <v>46026</v>
      </c>
      <c r="C17" t="inlineStr">
        <is>
          <t>U-KR310-01-07</t>
        </is>
      </c>
      <c r="D17" t="inlineStr">
        <is>
          <t>Kebun Raya</t>
        </is>
      </c>
      <c r="E17" t="inlineStr">
        <is>
          <t>Daniel O.</t>
        </is>
      </c>
      <c r="F17" t="inlineStr">
        <is>
          <t>Routine</t>
        </is>
      </c>
      <c r="G17" t="inlineStr">
        <is>
          <t>NONE</t>
        </is>
      </c>
      <c r="H17" t="inlineStr">
        <is>
          <t>Compliant</t>
        </is>
      </c>
      <c r="I17" s="6" t="n"/>
      <c r="J17" s="6" t="n"/>
      <c r="K17">
        <f>IF(J17="","",J17-B17)</f>
        <v/>
      </c>
      <c r="L17">
        <f>IF(H17="Compliant","N/A",IF(J17&lt;&gt;"","Closed",IF(I17&lt;DATE(2026,9,30),"OVERDUE","Open")))</f>
        <v/>
      </c>
    </row>
    <row r="18">
      <c r="A18" t="inlineStr">
        <is>
          <t>INSP-2026-0017</t>
        </is>
      </c>
      <c r="B18" s="6" t="n">
        <v>46026</v>
      </c>
      <c r="C18" t="inlineStr">
        <is>
          <t>U-PI625-01-05</t>
        </is>
      </c>
      <c r="D18" t="inlineStr">
        <is>
          <t>Pasir Indah</t>
        </is>
      </c>
      <c r="E18" t="inlineStr">
        <is>
          <t>Daniel Ong</t>
        </is>
      </c>
      <c r="F18" t="inlineStr">
        <is>
          <t>Routine</t>
        </is>
      </c>
      <c r="G18" t="inlineStr">
        <is>
          <t>NONE</t>
        </is>
      </c>
      <c r="H18" t="inlineStr">
        <is>
          <t>Compliant</t>
        </is>
      </c>
      <c r="I18" s="6" t="n"/>
      <c r="J18" s="6" t="n"/>
      <c r="K18">
        <f>IF(J18="","",J18-B18)</f>
        <v/>
      </c>
      <c r="L18">
        <f>IF(H18="Compliant","N/A",IF(J18&lt;&gt;"","Closed",IF(I18&lt;DATE(2026,9,30),"OVERDUE","Open")))</f>
        <v/>
      </c>
    </row>
    <row r="19">
      <c r="A19" t="inlineStr">
        <is>
          <t>INSP-2026-0018</t>
        </is>
      </c>
      <c r="B19" s="6" t="n">
        <v>46026</v>
      </c>
      <c r="C19" t="inlineStr">
        <is>
          <t>U-RH460-01-02</t>
        </is>
      </c>
      <c r="D19" t="inlineStr">
        <is>
          <t>Rimba Heights</t>
        </is>
      </c>
      <c r="E19" t="inlineStr">
        <is>
          <t>daniel ong</t>
        </is>
      </c>
      <c r="F19" t="inlineStr">
        <is>
          <t>Complaint-driven</t>
        </is>
      </c>
      <c r="G19" t="inlineStr">
        <is>
          <t>NONE</t>
        </is>
      </c>
      <c r="H19" t="inlineStr">
        <is>
          <t>Compliant</t>
        </is>
      </c>
      <c r="I19" s="6" t="n"/>
      <c r="J19" s="6" t="n"/>
      <c r="K19">
        <f>IF(J19="","",J19-B19)</f>
        <v/>
      </c>
      <c r="L19">
        <f>IF(H19="Compliant","N/A",IF(J19&lt;&gt;"","Closed",IF(I19&lt;DATE(2026,9,30),"OVERDUE","Open")))</f>
        <v/>
      </c>
    </row>
    <row r="20">
      <c r="A20" t="inlineStr">
        <is>
          <t>INSP-2026-0019</t>
        </is>
      </c>
      <c r="B20" s="6" t="n">
        <v>46026</v>
      </c>
      <c r="C20" t="inlineStr">
        <is>
          <t>U-RH460-01-05</t>
        </is>
      </c>
      <c r="D20" t="inlineStr">
        <is>
          <t>Rimba Heights</t>
        </is>
      </c>
      <c r="E20" t="inlineStr">
        <is>
          <t>B. Ho</t>
        </is>
      </c>
      <c r="F20" t="inlineStr">
        <is>
          <t>Routine</t>
        </is>
      </c>
      <c r="G20" t="inlineStr">
        <is>
          <t>NONE</t>
        </is>
      </c>
      <c r="H20" t="inlineStr">
        <is>
          <t>Compliant</t>
        </is>
      </c>
      <c r="I20" s="6" t="n"/>
      <c r="J20" s="6" t="n"/>
      <c r="K20">
        <f>IF(J20="","",J20-B20)</f>
        <v/>
      </c>
      <c r="L20">
        <f>IF(H20="Compliant","N/A",IF(J20&lt;&gt;"","Closed",IF(I20&lt;DATE(2026,9,30),"OVERDUE","Open")))</f>
        <v/>
      </c>
    </row>
    <row r="21">
      <c r="A21" t="inlineStr">
        <is>
          <t>INSP-2026-0020</t>
        </is>
      </c>
      <c r="B21" s="6" t="n">
        <v>46026</v>
      </c>
      <c r="C21" t="inlineStr">
        <is>
          <t>U-PI615-01-13</t>
        </is>
      </c>
      <c r="D21" t="inlineStr">
        <is>
          <t>Pasir Indah</t>
        </is>
      </c>
      <c r="E21" t="inlineStr">
        <is>
          <t>daniel ong</t>
        </is>
      </c>
      <c r="F21" t="inlineStr">
        <is>
          <t>Routine</t>
        </is>
      </c>
      <c r="G21" t="inlineStr">
        <is>
          <t>NONE</t>
        </is>
      </c>
      <c r="H21" t="inlineStr">
        <is>
          <t>Compliant</t>
        </is>
      </c>
      <c r="I21" s="6" t="n"/>
      <c r="J21" s="6" t="n"/>
      <c r="K21">
        <f>IF(J21="","",J21-B21)</f>
        <v/>
      </c>
      <c r="L21">
        <f>IF(H21="Compliant","N/A",IF(J21&lt;&gt;"","Closed",IF(I21&lt;DATE(2026,9,30),"OVERDUE","Open")))</f>
        <v/>
      </c>
    </row>
    <row r="22">
      <c r="A22" t="inlineStr">
        <is>
          <t>INSP-2026-0021</t>
        </is>
      </c>
      <c r="B22" s="6" t="n">
        <v>46027</v>
      </c>
      <c r="C22" t="inlineStr">
        <is>
          <t>U-BV256-01-11</t>
        </is>
      </c>
      <c r="D22" t="inlineStr">
        <is>
          <t>Bayshore Vale</t>
        </is>
      </c>
      <c r="E22" t="inlineStr">
        <is>
          <t>marcus</t>
        </is>
      </c>
      <c r="F22" t="inlineStr">
        <is>
          <t>Routine</t>
        </is>
      </c>
      <c r="G22" t="inlineStr">
        <is>
          <t>NONE</t>
        </is>
      </c>
      <c r="H22" t="inlineStr">
        <is>
          <t>Compliant</t>
        </is>
      </c>
      <c r="I22" s="6" t="n"/>
      <c r="J22" s="6" t="n"/>
      <c r="K22">
        <f>IF(J22="","",J22-B22)</f>
        <v/>
      </c>
      <c r="L22">
        <f>IF(H22="Compliant","N/A",IF(J22&lt;&gt;"","Closed",IF(I22&lt;DATE(2026,9,30),"OVERDUE","Open")))</f>
        <v/>
      </c>
    </row>
    <row r="23">
      <c r="A23" t="inlineStr">
        <is>
          <t>INSP-2026-0022</t>
        </is>
      </c>
      <c r="B23" s="6" t="n">
        <v>46027</v>
      </c>
      <c r="C23" t="inlineStr">
        <is>
          <t>U-PI668-01-11</t>
        </is>
      </c>
      <c r="D23" t="inlineStr">
        <is>
          <t>Pasir Indah</t>
        </is>
      </c>
      <c r="E23" t="inlineStr">
        <is>
          <t>Marcus Lim</t>
        </is>
      </c>
      <c r="F23" t="inlineStr">
        <is>
          <t>Follow-up</t>
        </is>
      </c>
      <c r="G23" t="inlineStr">
        <is>
          <t>NONE</t>
        </is>
      </c>
      <c r="H23" t="inlineStr">
        <is>
          <t>Compliant</t>
        </is>
      </c>
      <c r="I23" s="6" t="n"/>
      <c r="J23" s="6" t="n"/>
      <c r="K23">
        <f>IF(J23="","",J23-B23)</f>
        <v/>
      </c>
      <c r="L23">
        <f>IF(H23="Compliant","N/A",IF(J23&lt;&gt;"","Closed",IF(I23&lt;DATE(2026,9,30),"OVERDUE","Open")))</f>
        <v/>
      </c>
    </row>
    <row r="24">
      <c r="A24" t="inlineStr">
        <is>
          <t>INSP-2026-0023</t>
        </is>
      </c>
      <c r="B24" s="6" t="n">
        <v>46027</v>
      </c>
      <c r="C24" t="inlineStr">
        <is>
          <t>U-RH485-01-02</t>
        </is>
      </c>
      <c r="D24" t="inlineStr">
        <is>
          <t>Rimba Heights</t>
        </is>
      </c>
      <c r="E24" t="inlineStr">
        <is>
          <t>Ben Ho</t>
        </is>
      </c>
      <c r="F24" t="inlineStr">
        <is>
          <t>Follow-up</t>
        </is>
      </c>
      <c r="G24" t="inlineStr">
        <is>
          <t>DISPLAY_ENCROACH</t>
        </is>
      </c>
      <c r="H24" t="inlineStr">
        <is>
          <t>Minor Breach</t>
        </is>
      </c>
      <c r="I24" s="6" t="n">
        <v>46041</v>
      </c>
      <c r="J24" s="6" t="n">
        <v>46043</v>
      </c>
      <c r="K24">
        <f>IF(J24="","",J24-B24)</f>
        <v/>
      </c>
      <c r="L24">
        <f>IF(H24="Compliant","N/A",IF(J24&lt;&gt;"","Closed",IF(I24&lt;DATE(2026,9,30),"OVERDUE","Open")))</f>
        <v/>
      </c>
    </row>
    <row r="25">
      <c r="A25" t="inlineStr">
        <is>
          <t>INSP-2026-0024</t>
        </is>
      </c>
      <c r="B25" s="6" t="n">
        <v>46027</v>
      </c>
      <c r="C25" t="inlineStr">
        <is>
          <t>U-ST564-01-13</t>
        </is>
      </c>
      <c r="D25" t="inlineStr">
        <is>
          <t>Sungai Tinggi</t>
        </is>
      </c>
      <c r="E25" t="inlineStr">
        <is>
          <t>B. Ho</t>
        </is>
      </c>
      <c r="F25" t="inlineStr">
        <is>
          <t>Follow-up</t>
        </is>
      </c>
      <c r="G25" t="inlineStr">
        <is>
          <t>NONE</t>
        </is>
      </c>
      <c r="H25" t="inlineStr">
        <is>
          <t>Compliant</t>
        </is>
      </c>
      <c r="I25" s="6" t="n"/>
      <c r="J25" s="6" t="n"/>
      <c r="K25">
        <f>IF(J25="","",J25-B25)</f>
        <v/>
      </c>
      <c r="L25">
        <f>IF(H25="Compliant","N/A",IF(J25&lt;&gt;"","Closed",IF(I25&lt;DATE(2026,9,30),"OVERDUE","Open")))</f>
        <v/>
      </c>
    </row>
    <row r="26">
      <c r="A26" t="inlineStr">
        <is>
          <t>INSP-2026-0025</t>
        </is>
      </c>
      <c r="B26" s="6" t="n">
        <v>46027</v>
      </c>
      <c r="C26" t="inlineStr">
        <is>
          <t>U-RH401-01-06</t>
        </is>
      </c>
      <c r="D26" t="inlineStr">
        <is>
          <t>Rimba Heights</t>
        </is>
      </c>
      <c r="E26" t="inlineStr">
        <is>
          <t>Daniel Ong</t>
        </is>
      </c>
      <c r="F26" t="inlineStr">
        <is>
          <t>Routine</t>
        </is>
      </c>
      <c r="G26" t="inlineStr">
        <is>
          <t>NONE</t>
        </is>
      </c>
      <c r="H26" t="inlineStr">
        <is>
          <t>Compliant</t>
        </is>
      </c>
      <c r="I26" s="6" t="n"/>
      <c r="J26" s="6" t="n"/>
      <c r="K26">
        <f>IF(J26="","",J26-B26)</f>
        <v/>
      </c>
      <c r="L26">
        <f>IF(H26="Compliant","N/A",IF(J26&lt;&gt;"","Closed",IF(I26&lt;DATE(2026,9,30),"OVERDUE","Open")))</f>
        <v/>
      </c>
    </row>
    <row r="27">
      <c r="A27" t="inlineStr">
        <is>
          <t>INSP-2026-0026</t>
        </is>
      </c>
      <c r="B27" s="6" t="n">
        <v>46027</v>
      </c>
      <c r="C27" t="inlineStr">
        <is>
          <t>U-CD142-01-08</t>
        </is>
      </c>
      <c r="D27" t="inlineStr">
        <is>
          <t>Cendana</t>
        </is>
      </c>
      <c r="E27" t="inlineStr">
        <is>
          <t>Marcus Lim</t>
        </is>
      </c>
      <c r="F27" t="inlineStr">
        <is>
          <t>Routine</t>
        </is>
      </c>
      <c r="G27" t="inlineStr">
        <is>
          <t>NONE</t>
        </is>
      </c>
      <c r="H27" t="inlineStr">
        <is>
          <t>Compliant</t>
        </is>
      </c>
      <c r="I27" s="6" t="n"/>
      <c r="J27" s="6" t="n"/>
      <c r="K27">
        <f>IF(J27="","",J27-B27)</f>
        <v/>
      </c>
      <c r="L27">
        <f>IF(H27="Compliant","N/A",IF(J27&lt;&gt;"","Closed",IF(I27&lt;DATE(2026,9,30),"OVERDUE","Open")))</f>
        <v/>
      </c>
    </row>
    <row r="28">
      <c r="A28" t="inlineStr">
        <is>
          <t>INSP-2026-0027</t>
        </is>
      </c>
      <c r="B28" s="6" t="n">
        <v>46027</v>
      </c>
      <c r="C28" t="inlineStr">
        <is>
          <t>U-RH401-02-04</t>
        </is>
      </c>
      <c r="D28" t="inlineStr">
        <is>
          <t>Rimba Heights</t>
        </is>
      </c>
      <c r="E28" t="inlineStr">
        <is>
          <t>B. Ho</t>
        </is>
      </c>
      <c r="F28" t="inlineStr">
        <is>
          <t>Routine</t>
        </is>
      </c>
      <c r="G28" t="inlineStr">
        <is>
          <t>NONE</t>
        </is>
      </c>
      <c r="H28" t="inlineStr">
        <is>
          <t>Compliant</t>
        </is>
      </c>
      <c r="I28" s="6" t="n"/>
      <c r="J28" s="6" t="n"/>
      <c r="K28">
        <f>IF(J28="","",J28-B28)</f>
        <v/>
      </c>
      <c r="L28">
        <f>IF(H28="Compliant","N/A",IF(J28&lt;&gt;"","Closed",IF(I28&lt;DATE(2026,9,30),"OVERDUE","Open")))</f>
        <v/>
      </c>
    </row>
    <row r="29">
      <c r="A29" t="inlineStr">
        <is>
          <t>INSP-2026-0028</t>
        </is>
      </c>
      <c r="B29" s="6" t="n">
        <v>46028</v>
      </c>
      <c r="C29" t="inlineStr">
        <is>
          <t>U-BV205-01-11</t>
        </is>
      </c>
      <c r="D29" t="inlineStr">
        <is>
          <t>Bayshore Vale</t>
        </is>
      </c>
      <c r="E29" t="inlineStr">
        <is>
          <t>M. Lim</t>
        </is>
      </c>
      <c r="F29" t="inlineStr">
        <is>
          <t>Routine</t>
        </is>
      </c>
      <c r="G29" t="inlineStr">
        <is>
          <t>NONE</t>
        </is>
      </c>
      <c r="H29" t="inlineStr">
        <is>
          <t>Compliant</t>
        </is>
      </c>
      <c r="I29" s="6" t="n"/>
      <c r="J29" s="6" t="n"/>
      <c r="K29">
        <f>IF(J29="","",J29-B29)</f>
        <v/>
      </c>
      <c r="L29">
        <f>IF(H29="Compliant","N/A",IF(J29&lt;&gt;"","Closed",IF(I29&lt;DATE(2026,9,30),"OVERDUE","Open")))</f>
        <v/>
      </c>
    </row>
    <row r="30">
      <c r="A30" t="inlineStr">
        <is>
          <t>INSP-2026-0029</t>
        </is>
      </c>
      <c r="B30" s="6" t="n">
        <v>46028</v>
      </c>
      <c r="C30" t="inlineStr">
        <is>
          <t>U-CD120-01-02</t>
        </is>
      </c>
      <c r="D30" t="inlineStr">
        <is>
          <t>Cendana</t>
        </is>
      </c>
      <c r="E30" t="inlineStr">
        <is>
          <t>daniel ong</t>
        </is>
      </c>
      <c r="F30" t="inlineStr">
        <is>
          <t>Routine</t>
        </is>
      </c>
      <c r="G30" t="inlineStr">
        <is>
          <t>UNAPPROVED_AA</t>
        </is>
      </c>
      <c r="H30" t="inlineStr">
        <is>
          <t>Minor Breach</t>
        </is>
      </c>
      <c r="I30" s="6" t="n">
        <v>46042</v>
      </c>
      <c r="J30" s="6" t="n">
        <v>46043</v>
      </c>
      <c r="K30">
        <f>IF(J30="","",J30-B30)</f>
        <v/>
      </c>
      <c r="L30">
        <f>IF(H30="Compliant","N/A",IF(J30&lt;&gt;"","Closed",IF(I30&lt;DATE(2026,9,30),"OVERDUE","Open")))</f>
        <v/>
      </c>
    </row>
    <row r="31">
      <c r="A31" t="inlineStr">
        <is>
          <t>INSP-2026-0030</t>
        </is>
      </c>
      <c r="B31" s="6" t="n">
        <v>46028</v>
      </c>
      <c r="C31" t="inlineStr">
        <is>
          <t>U-PI646-01-05</t>
        </is>
      </c>
      <c r="D31" t="inlineStr">
        <is>
          <t>Pasir Indah</t>
        </is>
      </c>
      <c r="E31" t="inlineStr">
        <is>
          <t>daniel ong</t>
        </is>
      </c>
      <c r="F31" t="inlineStr">
        <is>
          <t>Follow-up</t>
        </is>
      </c>
      <c r="G31" t="inlineStr">
        <is>
          <t>NONE</t>
        </is>
      </c>
      <c r="H31" t="inlineStr">
        <is>
          <t>Compliant</t>
        </is>
      </c>
      <c r="I31" s="6" t="n"/>
      <c r="J31" s="6" t="n"/>
      <c r="K31">
        <f>IF(J31="","",J31-B31)</f>
        <v/>
      </c>
      <c r="L31">
        <f>IF(H31="Compliant","N/A",IF(J31&lt;&gt;"","Closed",IF(I31&lt;DATE(2026,9,30),"OVERDUE","Open")))</f>
        <v/>
      </c>
    </row>
    <row r="32">
      <c r="A32" t="inlineStr">
        <is>
          <t>INSP-2026-0031</t>
        </is>
      </c>
      <c r="B32" s="6" t="n">
        <v>46028</v>
      </c>
      <c r="C32" t="inlineStr">
        <is>
          <t>U-KR333-01-12</t>
        </is>
      </c>
      <c r="D32" t="inlineStr">
        <is>
          <t>Kebun Raya</t>
        </is>
      </c>
      <c r="E32" t="inlineStr">
        <is>
          <t>D. Ong</t>
        </is>
      </c>
      <c r="F32" t="inlineStr">
        <is>
          <t>Complaint-driven</t>
        </is>
      </c>
      <c r="G32" t="inlineStr">
        <is>
          <t>NONE</t>
        </is>
      </c>
      <c r="H32" t="inlineStr">
        <is>
          <t>Compliant</t>
        </is>
      </c>
      <c r="I32" s="6" t="n"/>
      <c r="J32" s="6" t="n"/>
      <c r="K32">
        <f>IF(J32="","",J32-B32)</f>
        <v/>
      </c>
      <c r="L32">
        <f>IF(H32="Compliant","N/A",IF(J32&lt;&gt;"","Closed",IF(I32&lt;DATE(2026,9,30),"OVERDUE","Open")))</f>
        <v/>
      </c>
    </row>
    <row r="33">
      <c r="A33" t="inlineStr">
        <is>
          <t>INSP-2026-0032</t>
        </is>
      </c>
      <c r="B33" s="6" t="n">
        <v>46028</v>
      </c>
      <c r="C33" t="inlineStr">
        <is>
          <t>U-ST513-01-09</t>
        </is>
      </c>
      <c r="D33" t="inlineStr">
        <is>
          <t>Sungai Tinggi</t>
        </is>
      </c>
      <c r="E33" t="inlineStr">
        <is>
          <t>D. Ong</t>
        </is>
      </c>
      <c r="F33" t="inlineStr">
        <is>
          <t>Routine</t>
        </is>
      </c>
      <c r="G33" t="inlineStr">
        <is>
          <t>NONE</t>
        </is>
      </c>
      <c r="H33" t="inlineStr">
        <is>
          <t>Compliant</t>
        </is>
      </c>
      <c r="I33" s="6" t="n"/>
      <c r="J33" s="6" t="n"/>
      <c r="K33">
        <f>IF(J33="","",J33-B33)</f>
        <v/>
      </c>
      <c r="L33">
        <f>IF(H33="Compliant","N/A",IF(J33&lt;&gt;"","Closed",IF(I33&lt;DATE(2026,9,30),"OVERDUE","Open")))</f>
        <v/>
      </c>
    </row>
    <row r="34">
      <c r="A34" t="inlineStr">
        <is>
          <t>INSP-2026-0033</t>
        </is>
      </c>
      <c r="B34" s="6" t="n">
        <v>46028</v>
      </c>
      <c r="C34" t="inlineStr">
        <is>
          <t>U-RH455-01-10</t>
        </is>
      </c>
      <c r="D34" t="inlineStr">
        <is>
          <t>Rimba Heights</t>
        </is>
      </c>
      <c r="E34" t="inlineStr">
        <is>
          <t>Daniel O.</t>
        </is>
      </c>
      <c r="F34" t="inlineStr">
        <is>
          <t>Routine</t>
        </is>
      </c>
      <c r="G34" t="inlineStr">
        <is>
          <t>UNAUTH_TRADE</t>
        </is>
      </c>
      <c r="H34" t="inlineStr">
        <is>
          <t>Major Breach</t>
        </is>
      </c>
      <c r="I34" s="6" t="n">
        <v>46035</v>
      </c>
      <c r="J34" s="6" t="n">
        <v>46032</v>
      </c>
      <c r="K34">
        <f>IF(J34="","",J34-B34)</f>
        <v/>
      </c>
      <c r="L34">
        <f>IF(H34="Compliant","N/A",IF(J34&lt;&gt;"","Closed",IF(I34&lt;DATE(2026,9,30),"OVERDUE","Open")))</f>
        <v/>
      </c>
    </row>
    <row r="35">
      <c r="A35" t="inlineStr">
        <is>
          <t>INSP-2026-0034</t>
        </is>
      </c>
      <c r="B35" s="6" t="n">
        <v>46028</v>
      </c>
      <c r="C35" t="inlineStr">
        <is>
          <t>U-PI646-01-03</t>
        </is>
      </c>
      <c r="D35" t="inlineStr">
        <is>
          <t>Pasir Indah</t>
        </is>
      </c>
      <c r="E35" t="inlineStr">
        <is>
          <t>D. Ong</t>
        </is>
      </c>
      <c r="F35" t="inlineStr">
        <is>
          <t>Routine</t>
        </is>
      </c>
      <c r="G35" t="inlineStr">
        <is>
          <t>NONE</t>
        </is>
      </c>
      <c r="H35" t="inlineStr">
        <is>
          <t>Compliant</t>
        </is>
      </c>
      <c r="I35" s="6" t="n"/>
      <c r="J35" s="6" t="n"/>
      <c r="K35">
        <f>IF(J35="","",J35-B35)</f>
        <v/>
      </c>
      <c r="L35">
        <f>IF(H35="Compliant","N/A",IF(J35&lt;&gt;"","Closed",IF(I35&lt;DATE(2026,9,30),"OVERDUE","Open")))</f>
        <v/>
      </c>
    </row>
    <row r="36">
      <c r="A36" t="inlineStr">
        <is>
          <t>INSP-2026-0035</t>
        </is>
      </c>
      <c r="B36" s="6" t="n">
        <v>46028</v>
      </c>
      <c r="C36" t="inlineStr">
        <is>
          <t>U-ST522-01-04</t>
        </is>
      </c>
      <c r="D36" t="inlineStr">
        <is>
          <t>Sungai Tinggi</t>
        </is>
      </c>
      <c r="E36" t="inlineStr">
        <is>
          <t>daniel ong</t>
        </is>
      </c>
      <c r="F36" t="inlineStr">
        <is>
          <t>Routine</t>
        </is>
      </c>
      <c r="G36" t="inlineStr">
        <is>
          <t>DISPLAY_ENCROACH</t>
        </is>
      </c>
      <c r="H36" t="inlineStr">
        <is>
          <t>Minor Breach</t>
        </is>
      </c>
      <c r="I36" s="6" t="n">
        <v>46042</v>
      </c>
      <c r="J36" s="6" t="n"/>
      <c r="K36">
        <f>IF(J36="","",J36-B36)</f>
        <v/>
      </c>
      <c r="L36">
        <f>IF(H36="Compliant","N/A",IF(J36&lt;&gt;"","Closed",IF(I36&lt;DATE(2026,9,30),"OVERDUE","Open")))</f>
        <v/>
      </c>
    </row>
    <row r="37">
      <c r="A37" t="inlineStr">
        <is>
          <t>INSP-2026-0036</t>
        </is>
      </c>
      <c r="B37" s="6" t="n">
        <v>46029</v>
      </c>
      <c r="C37" t="inlineStr">
        <is>
          <t>U-RH482-01-04</t>
        </is>
      </c>
      <c r="D37" t="inlineStr">
        <is>
          <t>Rimba Heights</t>
        </is>
      </c>
      <c r="E37" t="inlineStr">
        <is>
          <t>Daniel Ong</t>
        </is>
      </c>
      <c r="F37" t="inlineStr">
        <is>
          <t>Routine</t>
        </is>
      </c>
      <c r="G37" t="inlineStr">
        <is>
          <t>NONE</t>
        </is>
      </c>
      <c r="H37" t="inlineStr">
        <is>
          <t>Compliant</t>
        </is>
      </c>
      <c r="I37" s="6" t="n"/>
      <c r="J37" s="6" t="n"/>
      <c r="K37">
        <f>IF(J37="","",J37-B37)</f>
        <v/>
      </c>
      <c r="L37">
        <f>IF(H37="Compliant","N/A",IF(J37&lt;&gt;"","Closed",IF(I37&lt;DATE(2026,9,30),"OVERDUE","Open")))</f>
        <v/>
      </c>
    </row>
    <row r="38">
      <c r="A38" t="inlineStr">
        <is>
          <t>INSP-2026-0037</t>
        </is>
      </c>
      <c r="B38" s="6" t="n">
        <v>46029</v>
      </c>
      <c r="C38" t="inlineStr">
        <is>
          <t>U-ST512-01-05</t>
        </is>
      </c>
      <c r="D38" t="inlineStr">
        <is>
          <t>Sungai Tinggi</t>
        </is>
      </c>
      <c r="E38" t="inlineStr">
        <is>
          <t>Benjamin Ho</t>
        </is>
      </c>
      <c r="F38" t="inlineStr">
        <is>
          <t>Routine</t>
        </is>
      </c>
      <c r="G38" t="inlineStr">
        <is>
          <t>NONE</t>
        </is>
      </c>
      <c r="H38" t="inlineStr">
        <is>
          <t>Compliant</t>
        </is>
      </c>
      <c r="I38" s="6" t="n"/>
      <c r="J38" s="6" t="n"/>
      <c r="K38">
        <f>IF(J38="","",J38-B38)</f>
        <v/>
      </c>
      <c r="L38">
        <f>IF(H38="Compliant","N/A",IF(J38&lt;&gt;"","Closed",IF(I38&lt;DATE(2026,9,30),"OVERDUE","Open")))</f>
        <v/>
      </c>
    </row>
    <row r="39">
      <c r="A39" t="inlineStr">
        <is>
          <t>INSP-2026-0038</t>
        </is>
      </c>
      <c r="B39" s="6" t="n">
        <v>46029</v>
      </c>
      <c r="C39" t="inlineStr">
        <is>
          <t>U-ST556-02-04</t>
        </is>
      </c>
      <c r="D39" t="inlineStr">
        <is>
          <t>Sungai Tinggi</t>
        </is>
      </c>
      <c r="E39" t="inlineStr">
        <is>
          <t>Daniel Ong</t>
        </is>
      </c>
      <c r="F39" t="inlineStr">
        <is>
          <t>Follow-up</t>
        </is>
      </c>
      <c r="G39" t="inlineStr">
        <is>
          <t>NONE</t>
        </is>
      </c>
      <c r="H39" t="inlineStr">
        <is>
          <t>Compliant</t>
        </is>
      </c>
      <c r="I39" s="6" t="n"/>
      <c r="J39" s="6" t="n"/>
      <c r="K39">
        <f>IF(J39="","",J39-B39)</f>
        <v/>
      </c>
      <c r="L39">
        <f>IF(H39="Compliant","N/A",IF(J39&lt;&gt;"","Closed",IF(I39&lt;DATE(2026,9,30),"OVERDUE","Open")))</f>
        <v/>
      </c>
    </row>
    <row r="40">
      <c r="A40" t="inlineStr">
        <is>
          <t>INSP-2026-0039</t>
        </is>
      </c>
      <c r="B40" s="6" t="n">
        <v>46029</v>
      </c>
      <c r="C40" t="inlineStr">
        <is>
          <t>U-PI693-01-11</t>
        </is>
      </c>
      <c r="D40" t="inlineStr">
        <is>
          <t>Pasir Indah</t>
        </is>
      </c>
      <c r="E40" t="inlineStr">
        <is>
          <t>marcus</t>
        </is>
      </c>
      <c r="F40" t="inlineStr">
        <is>
          <t>Follow-up</t>
        </is>
      </c>
      <c r="G40" t="inlineStr">
        <is>
          <t>NONE</t>
        </is>
      </c>
      <c r="H40" t="inlineStr">
        <is>
          <t>Compliant</t>
        </is>
      </c>
      <c r="I40" s="6" t="n"/>
      <c r="J40" s="6" t="n"/>
      <c r="K40">
        <f>IF(J40="","",J40-B40)</f>
        <v/>
      </c>
      <c r="L40">
        <f>IF(H40="Compliant","N/A",IF(J40&lt;&gt;"","Closed",IF(I40&lt;DATE(2026,9,30),"OVERDUE","Open")))</f>
        <v/>
      </c>
    </row>
    <row r="41">
      <c r="A41" t="inlineStr">
        <is>
          <t>INSP-2026-0040</t>
        </is>
      </c>
      <c r="B41" s="6" t="n">
        <v>46029</v>
      </c>
      <c r="C41" t="inlineStr">
        <is>
          <t>U-ST513-01-08</t>
        </is>
      </c>
      <c r="D41" t="inlineStr">
        <is>
          <t>Sungai Tinggi</t>
        </is>
      </c>
      <c r="E41" t="inlineStr">
        <is>
          <t>Daniel O.</t>
        </is>
      </c>
      <c r="F41" t="inlineStr">
        <is>
          <t>Routine</t>
        </is>
      </c>
      <c r="G41" t="inlineStr">
        <is>
          <t>NONE</t>
        </is>
      </c>
      <c r="H41" t="inlineStr">
        <is>
          <t>Compliant</t>
        </is>
      </c>
      <c r="I41" s="6" t="n"/>
      <c r="J41" s="6" t="n"/>
      <c r="K41">
        <f>IF(J41="","",J41-B41)</f>
        <v/>
      </c>
      <c r="L41">
        <f>IF(H41="Compliant","N/A",IF(J41&lt;&gt;"","Closed",IF(I41&lt;DATE(2026,9,30),"OVERDUE","Open")))</f>
        <v/>
      </c>
    </row>
    <row r="42">
      <c r="A42" t="inlineStr">
        <is>
          <t>INSP-2026-0041</t>
        </is>
      </c>
      <c r="B42" s="6" t="n">
        <v>46029</v>
      </c>
      <c r="C42" t="inlineStr">
        <is>
          <t>U-PI627-01-04</t>
        </is>
      </c>
      <c r="D42" t="inlineStr">
        <is>
          <t>Pasir Indah</t>
        </is>
      </c>
      <c r="E42" t="inlineStr">
        <is>
          <t>Daniel Ong</t>
        </is>
      </c>
      <c r="F42" t="inlineStr">
        <is>
          <t>Follow-up</t>
        </is>
      </c>
      <c r="G42" t="inlineStr">
        <is>
          <t>NONE</t>
        </is>
      </c>
      <c r="H42" t="inlineStr">
        <is>
          <t>Compliant</t>
        </is>
      </c>
      <c r="I42" s="6" t="n"/>
      <c r="J42" s="6" t="n"/>
      <c r="K42">
        <f>IF(J42="","",J42-B42)</f>
        <v/>
      </c>
      <c r="L42">
        <f>IF(H42="Compliant","N/A",IF(J42&lt;&gt;"","Closed",IF(I42&lt;DATE(2026,9,30),"OVERDUE","Open")))</f>
        <v/>
      </c>
    </row>
    <row r="43">
      <c r="A43" t="inlineStr">
        <is>
          <t>INSP-2026-0042</t>
        </is>
      </c>
      <c r="B43" s="6" t="n">
        <v>46029</v>
      </c>
      <c r="C43" t="inlineStr">
        <is>
          <t>U-CD173-02-02</t>
        </is>
      </c>
      <c r="D43" t="inlineStr">
        <is>
          <t>Cendana</t>
        </is>
      </c>
      <c r="E43" t="inlineStr">
        <is>
          <t>Daniel Ong</t>
        </is>
      </c>
      <c r="F43" t="inlineStr">
        <is>
          <t>Routine</t>
        </is>
      </c>
      <c r="G43" t="inlineStr">
        <is>
          <t>NONE</t>
        </is>
      </c>
      <c r="H43" t="inlineStr">
        <is>
          <t>Compliant</t>
        </is>
      </c>
      <c r="I43" s="6" t="n"/>
      <c r="J43" s="6" t="n"/>
      <c r="K43">
        <f>IF(J43="","",J43-B43)</f>
        <v/>
      </c>
      <c r="L43">
        <f>IF(H43="Compliant","N/A",IF(J43&lt;&gt;"","Closed",IF(I43&lt;DATE(2026,9,30),"OVERDUE","Open")))</f>
        <v/>
      </c>
    </row>
    <row r="44">
      <c r="A44" t="inlineStr">
        <is>
          <t>INSP-2026-0043</t>
        </is>
      </c>
      <c r="B44" s="6" t="n">
        <v>46029</v>
      </c>
      <c r="C44" t="inlineStr">
        <is>
          <t>U-CD142-01-04</t>
        </is>
      </c>
      <c r="D44" t="inlineStr">
        <is>
          <t>Cendana</t>
        </is>
      </c>
      <c r="E44" t="inlineStr">
        <is>
          <t>daniel ong</t>
        </is>
      </c>
      <c r="F44" t="inlineStr">
        <is>
          <t>Follow-up</t>
        </is>
      </c>
      <c r="G44" t="inlineStr">
        <is>
          <t>NONE</t>
        </is>
      </c>
      <c r="H44" t="inlineStr">
        <is>
          <t>Compliant</t>
        </is>
      </c>
      <c r="I44" s="6" t="n"/>
      <c r="J44" s="6" t="n"/>
      <c r="K44">
        <f>IF(J44="","",J44-B44)</f>
        <v/>
      </c>
      <c r="L44">
        <f>IF(H44="Compliant","N/A",IF(J44&lt;&gt;"","Closed",IF(I44&lt;DATE(2026,9,30),"OVERDUE","Open")))</f>
        <v/>
      </c>
    </row>
    <row r="45">
      <c r="A45" t="inlineStr">
        <is>
          <t>INSP-2026-0044</t>
        </is>
      </c>
      <c r="B45" s="6" t="n">
        <v>46029</v>
      </c>
      <c r="C45" t="inlineStr">
        <is>
          <t>U-KR369-01-03</t>
        </is>
      </c>
      <c r="D45" t="inlineStr">
        <is>
          <t>Kebun Raya</t>
        </is>
      </c>
      <c r="E45" t="inlineStr">
        <is>
          <t>B. Ho</t>
        </is>
      </c>
      <c r="F45" t="inlineStr">
        <is>
          <t>Routine</t>
        </is>
      </c>
      <c r="G45" t="inlineStr">
        <is>
          <t>NONE</t>
        </is>
      </c>
      <c r="H45" t="inlineStr">
        <is>
          <t>Compliant</t>
        </is>
      </c>
      <c r="I45" s="6" t="n"/>
      <c r="J45" s="6" t="n"/>
      <c r="K45">
        <f>IF(J45="","",J45-B45)</f>
        <v/>
      </c>
      <c r="L45">
        <f>IF(H45="Compliant","N/A",IF(J45&lt;&gt;"","Closed",IF(I45&lt;DATE(2026,9,30),"OVERDUE","Open")))</f>
        <v/>
      </c>
    </row>
    <row r="46">
      <c r="A46" t="inlineStr">
        <is>
          <t>INSP-2026-0045</t>
        </is>
      </c>
      <c r="B46" s="6" t="n">
        <v>46030</v>
      </c>
      <c r="C46" t="inlineStr">
        <is>
          <t>U-RH434-01-07</t>
        </is>
      </c>
      <c r="D46" t="inlineStr">
        <is>
          <t>Rimba Heights</t>
        </is>
      </c>
      <c r="E46" t="inlineStr">
        <is>
          <t>Benjamin Ho</t>
        </is>
      </c>
      <c r="F46" t="inlineStr">
        <is>
          <t>Complaint-driven</t>
        </is>
      </c>
      <c r="G46" t="inlineStr">
        <is>
          <t>NONE</t>
        </is>
      </c>
      <c r="H46" t="inlineStr">
        <is>
          <t>Compliant</t>
        </is>
      </c>
      <c r="I46" s="6" t="n"/>
      <c r="J46" s="6" t="n"/>
      <c r="K46">
        <f>IF(J46="","",J46-B46)</f>
        <v/>
      </c>
      <c r="L46">
        <f>IF(H46="Compliant","N/A",IF(J46&lt;&gt;"","Closed",IF(I46&lt;DATE(2026,9,30),"OVERDUE","Open")))</f>
        <v/>
      </c>
    </row>
    <row r="47">
      <c r="A47" t="inlineStr">
        <is>
          <t>INSP-2026-0046</t>
        </is>
      </c>
      <c r="B47" s="6" t="n">
        <v>46030</v>
      </c>
      <c r="C47" t="inlineStr">
        <is>
          <t>U-ST596-01-03</t>
        </is>
      </c>
      <c r="D47" t="inlineStr">
        <is>
          <t>Sungai Tinggi</t>
        </is>
      </c>
      <c r="E47" t="inlineStr">
        <is>
          <t>D. Ong</t>
        </is>
      </c>
      <c r="F47" t="inlineStr">
        <is>
          <t>Follow-up</t>
        </is>
      </c>
      <c r="G47" t="inlineStr">
        <is>
          <t>NONE</t>
        </is>
      </c>
      <c r="H47" t="inlineStr">
        <is>
          <t>Compliant</t>
        </is>
      </c>
      <c r="I47" s="6" t="n"/>
      <c r="J47" s="6" t="n"/>
      <c r="K47">
        <f>IF(J47="","",J47-B47)</f>
        <v/>
      </c>
      <c r="L47">
        <f>IF(H47="Compliant","N/A",IF(J47&lt;&gt;"","Closed",IF(I47&lt;DATE(2026,9,30),"OVERDUE","Open")))</f>
        <v/>
      </c>
    </row>
    <row r="48">
      <c r="A48" t="inlineStr">
        <is>
          <t>INSP-2026-0047</t>
        </is>
      </c>
      <c r="B48" s="6" t="n">
        <v>46030</v>
      </c>
      <c r="C48" t="inlineStr">
        <is>
          <t>U-PI670-01-05</t>
        </is>
      </c>
      <c r="D48" t="inlineStr">
        <is>
          <t>Pasir Indah</t>
        </is>
      </c>
      <c r="E48" t="inlineStr">
        <is>
          <t>marcus</t>
        </is>
      </c>
      <c r="F48" t="inlineStr">
        <is>
          <t>Follow-up</t>
        </is>
      </c>
      <c r="G48" t="inlineStr">
        <is>
          <t>HYGIENE</t>
        </is>
      </c>
      <c r="H48" t="inlineStr">
        <is>
          <t>Minor Breach</t>
        </is>
      </c>
      <c r="I48" s="6" t="n">
        <v>46044</v>
      </c>
      <c r="J48" s="6" t="n">
        <v>46047</v>
      </c>
      <c r="K48">
        <f>IF(J48="","",J48-B48)</f>
        <v/>
      </c>
      <c r="L48">
        <f>IF(H48="Compliant","N/A",IF(J48&lt;&gt;"","Closed",IF(I48&lt;DATE(2026,9,30),"OVERDUE","Open")))</f>
        <v/>
      </c>
    </row>
    <row r="49">
      <c r="A49" t="inlineStr">
        <is>
          <t>INSP-2026-0048</t>
        </is>
      </c>
      <c r="B49" s="6" t="n">
        <v>46030</v>
      </c>
      <c r="C49" t="inlineStr">
        <is>
          <t>U-PI675-02-07</t>
        </is>
      </c>
      <c r="D49" t="inlineStr">
        <is>
          <t>Pasir Indah</t>
        </is>
      </c>
      <c r="E49" t="inlineStr">
        <is>
          <t>Marcus Lim</t>
        </is>
      </c>
      <c r="F49" t="inlineStr">
        <is>
          <t>Routine</t>
        </is>
      </c>
      <c r="G49" t="inlineStr">
        <is>
          <t>NONE</t>
        </is>
      </c>
      <c r="H49" t="inlineStr">
        <is>
          <t>Compliant</t>
        </is>
      </c>
      <c r="I49" s="6" t="n"/>
      <c r="J49" s="6" t="n"/>
      <c r="K49">
        <f>IF(J49="","",J49-B49)</f>
        <v/>
      </c>
      <c r="L49">
        <f>IF(H49="Compliant","N/A",IF(J49&lt;&gt;"","Closed",IF(I49&lt;DATE(2026,9,30),"OVERDUE","Open")))</f>
        <v/>
      </c>
    </row>
    <row r="50">
      <c r="A50" t="inlineStr">
        <is>
          <t>INSP-2026-0049</t>
        </is>
      </c>
      <c r="B50" s="6" t="n">
        <v>46030</v>
      </c>
      <c r="C50" t="inlineStr">
        <is>
          <t>U-BV284-01-05</t>
        </is>
      </c>
      <c r="D50" t="inlineStr">
        <is>
          <t>Bayshore Vale</t>
        </is>
      </c>
      <c r="E50" t="inlineStr">
        <is>
          <t>Daniel O.</t>
        </is>
      </c>
      <c r="F50" t="inlineStr">
        <is>
          <t>Complaint-driven</t>
        </is>
      </c>
      <c r="G50" t="inlineStr">
        <is>
          <t>UNAPPROVED_AA</t>
        </is>
      </c>
      <c r="H50" t="inlineStr">
        <is>
          <t>Minor Breach</t>
        </is>
      </c>
      <c r="I50" s="6" t="n">
        <v>46044</v>
      </c>
      <c r="J50" s="6" t="n">
        <v>46050</v>
      </c>
      <c r="K50">
        <f>IF(J50="","",J50-B50)</f>
        <v/>
      </c>
      <c r="L50">
        <f>IF(H50="Compliant","N/A",IF(J50&lt;&gt;"","Closed",IF(I50&lt;DATE(2026,9,30),"OVERDUE","Open")))</f>
        <v/>
      </c>
    </row>
    <row r="51">
      <c r="A51" t="inlineStr">
        <is>
          <t>INSP-2026-0050</t>
        </is>
      </c>
      <c r="B51" s="6" t="n">
        <v>46030</v>
      </c>
      <c r="C51" t="inlineStr">
        <is>
          <t>U-CD153-01-04</t>
        </is>
      </c>
      <c r="D51" t="inlineStr">
        <is>
          <t>Cendana</t>
        </is>
      </c>
      <c r="E51" t="inlineStr">
        <is>
          <t>Daniel Ong</t>
        </is>
      </c>
      <c r="F51" t="inlineStr">
        <is>
          <t>Routine</t>
        </is>
      </c>
      <c r="G51" t="inlineStr">
        <is>
          <t>UNAUTH_TRADE</t>
        </is>
      </c>
      <c r="H51" t="inlineStr">
        <is>
          <t>Major Breach</t>
        </is>
      </c>
      <c r="I51" s="6" t="n">
        <v>46037</v>
      </c>
      <c r="J51" s="6" t="n">
        <v>46033</v>
      </c>
      <c r="K51">
        <f>IF(J51="","",J51-B51)</f>
        <v/>
      </c>
      <c r="L51">
        <f>IF(H51="Compliant","N/A",IF(J51&lt;&gt;"","Closed",IF(I51&lt;DATE(2026,9,30),"OVERDUE","Open")))</f>
        <v/>
      </c>
    </row>
    <row r="52">
      <c r="A52" t="inlineStr">
        <is>
          <t>INSP-2026-0051</t>
        </is>
      </c>
      <c r="B52" s="6" t="n">
        <v>46030</v>
      </c>
      <c r="C52" t="inlineStr">
        <is>
          <t>U-CD119-01-04</t>
        </is>
      </c>
      <c r="D52" t="inlineStr">
        <is>
          <t>Cendana</t>
        </is>
      </c>
      <c r="E52" t="inlineStr">
        <is>
          <t>marcus</t>
        </is>
      </c>
      <c r="F52" t="inlineStr">
        <is>
          <t>Routine</t>
        </is>
      </c>
      <c r="G52" t="inlineStr">
        <is>
          <t>NONE</t>
        </is>
      </c>
      <c r="H52" t="inlineStr">
        <is>
          <t>Compliant</t>
        </is>
      </c>
      <c r="I52" s="6" t="n"/>
      <c r="J52" s="6" t="n"/>
      <c r="K52">
        <f>IF(J52="","",J52-B52)</f>
        <v/>
      </c>
      <c r="L52">
        <f>IF(H52="Compliant","N/A",IF(J52&lt;&gt;"","Closed",IF(I52&lt;DATE(2026,9,30),"OVERDUE","Open")))</f>
        <v/>
      </c>
    </row>
    <row r="53">
      <c r="A53" t="inlineStr">
        <is>
          <t>INSP-2026-0052</t>
        </is>
      </c>
      <c r="B53" s="6" t="n">
        <v>46030</v>
      </c>
      <c r="C53" t="inlineStr">
        <is>
          <t>U-KR368-01-06</t>
        </is>
      </c>
      <c r="D53" t="inlineStr">
        <is>
          <t>Kebun Raya</t>
        </is>
      </c>
      <c r="E53" t="inlineStr">
        <is>
          <t>Daniel Ong</t>
        </is>
      </c>
      <c r="F53" t="inlineStr">
        <is>
          <t>Routine</t>
        </is>
      </c>
      <c r="G53" t="inlineStr">
        <is>
          <t>DISPLAY_ENCROACH</t>
        </is>
      </c>
      <c r="H53" t="inlineStr">
        <is>
          <t>Minor Breach</t>
        </is>
      </c>
      <c r="I53" s="6" t="n">
        <v>46044</v>
      </c>
      <c r="J53" s="6" t="n">
        <v>46050</v>
      </c>
      <c r="K53">
        <f>IF(J53="","",J53-B53)</f>
        <v/>
      </c>
      <c r="L53">
        <f>IF(H53="Compliant","N/A",IF(J53&lt;&gt;"","Closed",IF(I53&lt;DATE(2026,9,30),"OVERDUE","Open")))</f>
        <v/>
      </c>
    </row>
    <row r="54">
      <c r="A54" t="inlineStr">
        <is>
          <t>INSP-2026-0053</t>
        </is>
      </c>
      <c r="B54" s="6" t="n">
        <v>46031</v>
      </c>
      <c r="C54" t="inlineStr">
        <is>
          <t>U-CD143-01-07</t>
        </is>
      </c>
      <c r="D54" t="inlineStr">
        <is>
          <t>Cendana</t>
        </is>
      </c>
      <c r="E54" t="inlineStr">
        <is>
          <t>marcus</t>
        </is>
      </c>
      <c r="F54" t="inlineStr">
        <is>
          <t>Routine</t>
        </is>
      </c>
      <c r="G54" t="inlineStr">
        <is>
          <t>NONE</t>
        </is>
      </c>
      <c r="H54" t="inlineStr">
        <is>
          <t>Compliant</t>
        </is>
      </c>
      <c r="I54" s="6" t="n"/>
      <c r="J54" s="6" t="n"/>
      <c r="K54">
        <f>IF(J54="","",J54-B54)</f>
        <v/>
      </c>
      <c r="L54">
        <f>IF(H54="Compliant","N/A",IF(J54&lt;&gt;"","Closed",IF(I54&lt;DATE(2026,9,30),"OVERDUE","Open")))</f>
        <v/>
      </c>
    </row>
    <row r="55">
      <c r="A55" t="inlineStr">
        <is>
          <t>INSP-2026-0054</t>
        </is>
      </c>
      <c r="B55" s="6" t="n">
        <v>46031</v>
      </c>
      <c r="C55" t="inlineStr">
        <is>
          <t>U-KR330-01-01</t>
        </is>
      </c>
      <c r="D55" t="inlineStr">
        <is>
          <t>Kebun Raya</t>
        </is>
      </c>
      <c r="E55" t="inlineStr">
        <is>
          <t>D. Ong</t>
        </is>
      </c>
      <c r="F55" t="inlineStr">
        <is>
          <t>Complaint-driven</t>
        </is>
      </c>
      <c r="G55" t="inlineStr">
        <is>
          <t>UNAPPROVED_AA</t>
        </is>
      </c>
      <c r="H55" t="inlineStr">
        <is>
          <t>Minor Breach</t>
        </is>
      </c>
      <c r="I55" s="6" t="n">
        <v>46045</v>
      </c>
      <c r="J55" s="6" t="n"/>
      <c r="K55">
        <f>IF(J55="","",J55-B55)</f>
        <v/>
      </c>
      <c r="L55">
        <f>IF(H55="Compliant","N/A",IF(J55&lt;&gt;"","Closed",IF(I55&lt;DATE(2026,9,30),"OVERDUE","Open")))</f>
        <v/>
      </c>
    </row>
    <row r="56">
      <c r="A56" t="inlineStr">
        <is>
          <t>INSP-2026-0055</t>
        </is>
      </c>
      <c r="B56" s="6" t="n">
        <v>46031</v>
      </c>
      <c r="C56" t="inlineStr">
        <is>
          <t>U-CD118-01-18</t>
        </is>
      </c>
      <c r="D56" t="inlineStr">
        <is>
          <t>Cendana</t>
        </is>
      </c>
      <c r="E56" t="inlineStr">
        <is>
          <t>Daniel Ong</t>
        </is>
      </c>
      <c r="F56" t="inlineStr">
        <is>
          <t>Routine</t>
        </is>
      </c>
      <c r="G56" t="inlineStr">
        <is>
          <t>FIRE_SAFETY</t>
        </is>
      </c>
      <c r="H56" t="inlineStr">
        <is>
          <t>Major Breach</t>
        </is>
      </c>
      <c r="I56" s="6" t="n">
        <v>46038</v>
      </c>
      <c r="J56" s="6" t="n">
        <v>46043</v>
      </c>
      <c r="K56">
        <f>IF(J56="","",J56-B56)</f>
        <v/>
      </c>
      <c r="L56">
        <f>IF(H56="Compliant","N/A",IF(J56&lt;&gt;"","Closed",IF(I56&lt;DATE(2026,9,30),"OVERDUE","Open")))</f>
        <v/>
      </c>
    </row>
    <row r="57">
      <c r="A57" t="inlineStr">
        <is>
          <t>INSP-2026-0056</t>
        </is>
      </c>
      <c r="B57" s="6" t="n">
        <v>46031</v>
      </c>
      <c r="C57" t="inlineStr">
        <is>
          <t>U-ST537-01-01</t>
        </is>
      </c>
      <c r="D57" t="inlineStr">
        <is>
          <t>Sungai Tinggi</t>
        </is>
      </c>
      <c r="E57" t="inlineStr">
        <is>
          <t>Daniel O.</t>
        </is>
      </c>
      <c r="F57" t="inlineStr">
        <is>
          <t>Routine</t>
        </is>
      </c>
      <c r="G57" t="inlineStr">
        <is>
          <t>NONE</t>
        </is>
      </c>
      <c r="H57" t="inlineStr">
        <is>
          <t>Compliant</t>
        </is>
      </c>
      <c r="I57" s="6" t="n"/>
      <c r="J57" s="6" t="n"/>
      <c r="K57">
        <f>IF(J57="","",J57-B57)</f>
        <v/>
      </c>
      <c r="L57">
        <f>IF(H57="Compliant","N/A",IF(J57&lt;&gt;"","Closed",IF(I57&lt;DATE(2026,9,30),"OVERDUE","Open")))</f>
        <v/>
      </c>
    </row>
    <row r="58">
      <c r="A58" t="inlineStr">
        <is>
          <t>INSP-2026-0057</t>
        </is>
      </c>
      <c r="B58" s="6" t="n">
        <v>46031</v>
      </c>
      <c r="C58" t="inlineStr">
        <is>
          <t>U-KR386-01-02</t>
        </is>
      </c>
      <c r="D58" t="inlineStr">
        <is>
          <t>Kebun Raya</t>
        </is>
      </c>
      <c r="E58" t="inlineStr">
        <is>
          <t>B. Ho</t>
        </is>
      </c>
      <c r="F58" t="inlineStr">
        <is>
          <t>Follow-up</t>
        </is>
      </c>
      <c r="G58" t="inlineStr">
        <is>
          <t>HYGIENE</t>
        </is>
      </c>
      <c r="H58" t="inlineStr">
        <is>
          <t>Minor Breach</t>
        </is>
      </c>
      <c r="I58" s="6" t="n">
        <v>46045</v>
      </c>
      <c r="J58" s="6" t="n">
        <v>46045</v>
      </c>
      <c r="K58">
        <f>IF(J58="","",J58-B58)</f>
        <v/>
      </c>
      <c r="L58">
        <f>IF(H58="Compliant","N/A",IF(J58&lt;&gt;"","Closed",IF(I58&lt;DATE(2026,9,30),"OVERDUE","Open")))</f>
        <v/>
      </c>
    </row>
    <row r="59">
      <c r="A59" t="inlineStr">
        <is>
          <t>INSP-2026-0058</t>
        </is>
      </c>
      <c r="B59" s="6" t="n">
        <v>46031</v>
      </c>
      <c r="C59" t="inlineStr">
        <is>
          <t>U-BV233-01-01</t>
        </is>
      </c>
      <c r="D59" t="inlineStr">
        <is>
          <t>Bayshore Vale</t>
        </is>
      </c>
      <c r="E59" t="inlineStr">
        <is>
          <t>M. Lim</t>
        </is>
      </c>
      <c r="F59" t="inlineStr">
        <is>
          <t>Routine</t>
        </is>
      </c>
      <c r="G59" t="inlineStr">
        <is>
          <t>NONE</t>
        </is>
      </c>
      <c r="H59" t="inlineStr">
        <is>
          <t>Compliant</t>
        </is>
      </c>
      <c r="I59" s="6" t="n"/>
      <c r="J59" s="6" t="n"/>
      <c r="K59">
        <f>IF(J59="","",J59-B59)</f>
        <v/>
      </c>
      <c r="L59">
        <f>IF(H59="Compliant","N/A",IF(J59&lt;&gt;"","Closed",IF(I59&lt;DATE(2026,9,30),"OVERDUE","Open")))</f>
        <v/>
      </c>
    </row>
    <row r="60">
      <c r="A60" t="inlineStr">
        <is>
          <t>INSP-2026-0059</t>
        </is>
      </c>
      <c r="B60" s="6" t="n">
        <v>46032</v>
      </c>
      <c r="C60" t="inlineStr">
        <is>
          <t>U-RH460-01-01</t>
        </is>
      </c>
      <c r="D60" t="inlineStr">
        <is>
          <t>Rimba Heights</t>
        </is>
      </c>
      <c r="E60" t="inlineStr">
        <is>
          <t>Daniel Ong</t>
        </is>
      </c>
      <c r="F60" t="inlineStr">
        <is>
          <t>Routine</t>
        </is>
      </c>
      <c r="G60" t="inlineStr">
        <is>
          <t>UNAPPROVED_AA</t>
        </is>
      </c>
      <c r="H60" t="inlineStr">
        <is>
          <t>Minor Breach</t>
        </is>
      </c>
      <c r="I60" s="6" t="n">
        <v>46046</v>
      </c>
      <c r="J60" s="6" t="n">
        <v>46041</v>
      </c>
      <c r="K60">
        <f>IF(J60="","",J60-B60)</f>
        <v/>
      </c>
      <c r="L60">
        <f>IF(H60="Compliant","N/A",IF(J60&lt;&gt;"","Closed",IF(I60&lt;DATE(2026,9,30),"OVERDUE","Open")))</f>
        <v/>
      </c>
    </row>
    <row r="61">
      <c r="A61" t="inlineStr">
        <is>
          <t>INSP-2026-0060</t>
        </is>
      </c>
      <c r="B61" s="6" t="n">
        <v>46032</v>
      </c>
      <c r="C61" t="inlineStr">
        <is>
          <t>U-CD189-01-04</t>
        </is>
      </c>
      <c r="D61" t="inlineStr">
        <is>
          <t>Cendana</t>
        </is>
      </c>
      <c r="E61" t="inlineStr">
        <is>
          <t>daniel ong</t>
        </is>
      </c>
      <c r="F61" t="inlineStr">
        <is>
          <t>Routine</t>
        </is>
      </c>
      <c r="G61" t="inlineStr">
        <is>
          <t>NONE</t>
        </is>
      </c>
      <c r="H61" t="inlineStr">
        <is>
          <t>Compliant</t>
        </is>
      </c>
      <c r="I61" s="6" t="n"/>
      <c r="J61" s="6" t="n"/>
      <c r="K61">
        <f>IF(J61="","",J61-B61)</f>
        <v/>
      </c>
      <c r="L61">
        <f>IF(H61="Compliant","N/A",IF(J61&lt;&gt;"","Closed",IF(I61&lt;DATE(2026,9,30),"OVERDUE","Open")))</f>
        <v/>
      </c>
    </row>
    <row r="62">
      <c r="A62" t="inlineStr">
        <is>
          <t>INSP-2026-0061</t>
        </is>
      </c>
      <c r="B62" s="6" t="n">
        <v>46032</v>
      </c>
      <c r="C62" t="inlineStr">
        <is>
          <t>U-PI679-01-07</t>
        </is>
      </c>
      <c r="D62" t="inlineStr">
        <is>
          <t>Pasir Indah</t>
        </is>
      </c>
      <c r="E62" t="inlineStr">
        <is>
          <t>daniel ong</t>
        </is>
      </c>
      <c r="F62" t="inlineStr">
        <is>
          <t>Complaint-driven</t>
        </is>
      </c>
      <c r="G62" t="inlineStr">
        <is>
          <t>NONE</t>
        </is>
      </c>
      <c r="H62" t="inlineStr">
        <is>
          <t>Compliant</t>
        </is>
      </c>
      <c r="I62" s="6" t="n"/>
      <c r="J62" s="6" t="n"/>
      <c r="K62">
        <f>IF(J62="","",J62-B62)</f>
        <v/>
      </c>
      <c r="L62">
        <f>IF(H62="Compliant","N/A",IF(J62&lt;&gt;"","Closed",IF(I62&lt;DATE(2026,9,30),"OVERDUE","Open")))</f>
        <v/>
      </c>
    </row>
    <row r="63">
      <c r="A63" t="inlineStr">
        <is>
          <t>INSP-2026-0062</t>
        </is>
      </c>
      <c r="B63" s="6" t="n">
        <v>46032</v>
      </c>
      <c r="C63" t="inlineStr">
        <is>
          <t>U-BV229-01-11</t>
        </is>
      </c>
      <c r="D63" t="inlineStr">
        <is>
          <t>Bayshore Vale</t>
        </is>
      </c>
      <c r="E63" t="inlineStr">
        <is>
          <t>D. Ong</t>
        </is>
      </c>
      <c r="F63" t="inlineStr">
        <is>
          <t>Routine</t>
        </is>
      </c>
      <c r="G63" t="inlineStr">
        <is>
          <t>NONE</t>
        </is>
      </c>
      <c r="H63" t="inlineStr">
        <is>
          <t>Compliant</t>
        </is>
      </c>
      <c r="I63" s="6" t="n"/>
      <c r="J63" s="6" t="n"/>
      <c r="K63">
        <f>IF(J63="","",J63-B63)</f>
        <v/>
      </c>
      <c r="L63">
        <f>IF(H63="Compliant","N/A",IF(J63&lt;&gt;"","Closed",IF(I63&lt;DATE(2026,9,30),"OVERDUE","Open")))</f>
        <v/>
      </c>
    </row>
    <row r="64">
      <c r="A64" t="inlineStr">
        <is>
          <t>INSP-2026-0063</t>
        </is>
      </c>
      <c r="B64" s="6" t="n">
        <v>46032</v>
      </c>
      <c r="C64" t="inlineStr">
        <is>
          <t>U-CD118-01-07</t>
        </is>
      </c>
      <c r="D64" t="inlineStr">
        <is>
          <t>Cendana</t>
        </is>
      </c>
      <c r="E64" t="inlineStr">
        <is>
          <t>M. Lim</t>
        </is>
      </c>
      <c r="F64" t="inlineStr">
        <is>
          <t>Routine</t>
        </is>
      </c>
      <c r="G64" t="inlineStr">
        <is>
          <t>NONE</t>
        </is>
      </c>
      <c r="H64" t="inlineStr">
        <is>
          <t>Compliant</t>
        </is>
      </c>
      <c r="I64" s="6" t="n"/>
      <c r="J64" s="6" t="n"/>
      <c r="K64">
        <f>IF(J64="","",J64-B64)</f>
        <v/>
      </c>
      <c r="L64">
        <f>IF(H64="Compliant","N/A",IF(J64&lt;&gt;"","Closed",IF(I64&lt;DATE(2026,9,30),"OVERDUE","Open")))</f>
        <v/>
      </c>
    </row>
    <row r="65">
      <c r="A65" t="inlineStr">
        <is>
          <t>INSP-2026-0064</t>
        </is>
      </c>
      <c r="B65" s="6" t="n">
        <v>46032</v>
      </c>
      <c r="C65" t="inlineStr">
        <is>
          <t>U-KR368-01-05</t>
        </is>
      </c>
      <c r="D65" t="inlineStr">
        <is>
          <t>Kebun Raya</t>
        </is>
      </c>
      <c r="E65" t="inlineStr">
        <is>
          <t>Ben Ho</t>
        </is>
      </c>
      <c r="F65" t="inlineStr">
        <is>
          <t>Routine</t>
        </is>
      </c>
      <c r="G65" t="inlineStr">
        <is>
          <t>NONE</t>
        </is>
      </c>
      <c r="H65" t="inlineStr">
        <is>
          <t>Compliant</t>
        </is>
      </c>
      <c r="I65" s="6" t="n"/>
      <c r="J65" s="6" t="n"/>
      <c r="K65">
        <f>IF(J65="","",J65-B65)</f>
        <v/>
      </c>
      <c r="L65">
        <f>IF(H65="Compliant","N/A",IF(J65&lt;&gt;"","Closed",IF(I65&lt;DATE(2026,9,30),"OVERDUE","Open")))</f>
        <v/>
      </c>
    </row>
    <row r="66">
      <c r="A66" t="inlineStr">
        <is>
          <t>INSP-2026-0065</t>
        </is>
      </c>
      <c r="B66" s="6" t="n">
        <v>46032</v>
      </c>
      <c r="C66" t="inlineStr">
        <is>
          <t>U-RH471-01-04</t>
        </is>
      </c>
      <c r="D66" t="inlineStr">
        <is>
          <t>Rimba Heights</t>
        </is>
      </c>
      <c r="E66" t="inlineStr">
        <is>
          <t>Benjamin Ho</t>
        </is>
      </c>
      <c r="F66" t="inlineStr">
        <is>
          <t>Routine</t>
        </is>
      </c>
      <c r="G66" t="inlineStr">
        <is>
          <t>NONE</t>
        </is>
      </c>
      <c r="H66" t="inlineStr">
        <is>
          <t>Compliant</t>
        </is>
      </c>
      <c r="I66" s="6" t="n"/>
      <c r="J66" s="6" t="n"/>
      <c r="K66">
        <f>IF(J66="","",J66-B66)</f>
        <v/>
      </c>
      <c r="L66">
        <f>IF(H66="Compliant","N/A",IF(J66&lt;&gt;"","Closed",IF(I66&lt;DATE(2026,9,30),"OVERDUE","Open")))</f>
        <v/>
      </c>
    </row>
    <row r="67">
      <c r="A67" t="inlineStr">
        <is>
          <t>INSP-2026-0066</t>
        </is>
      </c>
      <c r="B67" s="6" t="n">
        <v>46032</v>
      </c>
      <c r="C67" t="inlineStr">
        <is>
          <t>U-PI642-01-08</t>
        </is>
      </c>
      <c r="D67" t="inlineStr">
        <is>
          <t>Pasir Indah</t>
        </is>
      </c>
      <c r="E67" t="inlineStr">
        <is>
          <t>Daniel Ong</t>
        </is>
      </c>
      <c r="F67" t="inlineStr">
        <is>
          <t>Routine</t>
        </is>
      </c>
      <c r="G67" t="inlineStr">
        <is>
          <t>NONE</t>
        </is>
      </c>
      <c r="H67" t="inlineStr">
        <is>
          <t>Compliant</t>
        </is>
      </c>
      <c r="I67" s="6" t="n"/>
      <c r="J67" s="6" t="n"/>
      <c r="K67">
        <f>IF(J67="","",J67-B67)</f>
        <v/>
      </c>
      <c r="L67">
        <f>IF(H67="Compliant","N/A",IF(J67&lt;&gt;"","Closed",IF(I67&lt;DATE(2026,9,30),"OVERDUE","Open")))</f>
        <v/>
      </c>
    </row>
    <row r="68">
      <c r="A68" t="inlineStr">
        <is>
          <t>INSP-2026-0067</t>
        </is>
      </c>
      <c r="B68" s="6" t="n">
        <v>46032</v>
      </c>
      <c r="C68" t="inlineStr">
        <is>
          <t>U-CD105-01-11</t>
        </is>
      </c>
      <c r="D68" t="inlineStr">
        <is>
          <t>Cendana</t>
        </is>
      </c>
      <c r="E68" t="inlineStr">
        <is>
          <t>marcus</t>
        </is>
      </c>
      <c r="F68" t="inlineStr">
        <is>
          <t>Routine</t>
        </is>
      </c>
      <c r="G68" t="inlineStr">
        <is>
          <t>NONE</t>
        </is>
      </c>
      <c r="H68" t="inlineStr">
        <is>
          <t>Compliant</t>
        </is>
      </c>
      <c r="I68" s="6" t="n"/>
      <c r="J68" s="6" t="n"/>
      <c r="K68">
        <f>IF(J68="","",J68-B68)</f>
        <v/>
      </c>
      <c r="L68">
        <f>IF(H68="Compliant","N/A",IF(J68&lt;&gt;"","Closed",IF(I68&lt;DATE(2026,9,30),"OVERDUE","Open")))</f>
        <v/>
      </c>
    </row>
    <row r="69">
      <c r="A69" t="inlineStr">
        <is>
          <t>INSP-2026-0068</t>
        </is>
      </c>
      <c r="B69" s="6" t="n">
        <v>46033</v>
      </c>
      <c r="C69" t="inlineStr">
        <is>
          <t>U-RH420-01-04</t>
        </is>
      </c>
      <c r="D69" t="inlineStr">
        <is>
          <t>Rimba Heights</t>
        </is>
      </c>
      <c r="E69" t="inlineStr">
        <is>
          <t>Benjamin Ho</t>
        </is>
      </c>
      <c r="F69" t="inlineStr">
        <is>
          <t>Complaint-driven</t>
        </is>
      </c>
      <c r="G69" t="inlineStr">
        <is>
          <t>NONE</t>
        </is>
      </c>
      <c r="H69" t="inlineStr">
        <is>
          <t>Compliant</t>
        </is>
      </c>
      <c r="I69" s="6" t="n"/>
      <c r="J69" s="6" t="n"/>
      <c r="K69">
        <f>IF(J69="","",J69-B69)</f>
        <v/>
      </c>
      <c r="L69">
        <f>IF(H69="Compliant","N/A",IF(J69&lt;&gt;"","Closed",IF(I69&lt;DATE(2026,9,30),"OVERDUE","Open")))</f>
        <v/>
      </c>
    </row>
    <row r="70">
      <c r="A70" t="inlineStr">
        <is>
          <t>INSP-2026-0069</t>
        </is>
      </c>
      <c r="B70" s="6" t="n">
        <v>46033</v>
      </c>
      <c r="C70" t="inlineStr">
        <is>
          <t>U-BV230-01-01</t>
        </is>
      </c>
      <c r="D70" t="inlineStr">
        <is>
          <t>Bayshore Vale</t>
        </is>
      </c>
      <c r="E70" t="inlineStr">
        <is>
          <t>D. Ong</t>
        </is>
      </c>
      <c r="F70" t="inlineStr">
        <is>
          <t>Complaint-driven</t>
        </is>
      </c>
      <c r="G70" t="inlineStr">
        <is>
          <t>NONE</t>
        </is>
      </c>
      <c r="H70" t="inlineStr">
        <is>
          <t>Compliant</t>
        </is>
      </c>
      <c r="I70" s="6" t="n"/>
      <c r="J70" s="6" t="n"/>
      <c r="K70">
        <f>IF(J70="","",J70-B70)</f>
        <v/>
      </c>
      <c r="L70">
        <f>IF(H70="Compliant","N/A",IF(J70&lt;&gt;"","Closed",IF(I70&lt;DATE(2026,9,30),"OVERDUE","Open")))</f>
        <v/>
      </c>
    </row>
    <row r="71">
      <c r="A71" t="inlineStr">
        <is>
          <t>INSP-2026-0070</t>
        </is>
      </c>
      <c r="B71" s="6" t="n">
        <v>46033</v>
      </c>
      <c r="C71" t="inlineStr">
        <is>
          <t>U-RH434-01-01</t>
        </is>
      </c>
      <c r="D71" t="inlineStr">
        <is>
          <t>Rimba Heights</t>
        </is>
      </c>
      <c r="E71" t="inlineStr">
        <is>
          <t>Daniel O.</t>
        </is>
      </c>
      <c r="F71" t="inlineStr">
        <is>
          <t>Routine</t>
        </is>
      </c>
      <c r="G71" t="inlineStr">
        <is>
          <t>DISPLAY_ENCROACH</t>
        </is>
      </c>
      <c r="H71" t="inlineStr">
        <is>
          <t>Minor Breach</t>
        </is>
      </c>
      <c r="I71" s="6" t="n">
        <v>46047</v>
      </c>
      <c r="J71" s="6" t="n"/>
      <c r="K71">
        <f>IF(J71="","",J71-B71)</f>
        <v/>
      </c>
      <c r="L71">
        <f>IF(H71="Compliant","N/A",IF(J71&lt;&gt;"","Closed",IF(I71&lt;DATE(2026,9,30),"OVERDUE","Open")))</f>
        <v/>
      </c>
    </row>
    <row r="72">
      <c r="A72" t="inlineStr">
        <is>
          <t>INSP-2026-0071</t>
        </is>
      </c>
      <c r="B72" s="6" t="n">
        <v>46033</v>
      </c>
      <c r="C72" t="inlineStr">
        <is>
          <t>U-RH464-01-02</t>
        </is>
      </c>
      <c r="D72" t="inlineStr">
        <is>
          <t>Rimba Heights</t>
        </is>
      </c>
      <c r="E72" t="inlineStr">
        <is>
          <t>B. Ho</t>
        </is>
      </c>
      <c r="F72" t="inlineStr">
        <is>
          <t>Routine</t>
        </is>
      </c>
      <c r="G72" t="inlineStr">
        <is>
          <t>NONE</t>
        </is>
      </c>
      <c r="H72" t="inlineStr">
        <is>
          <t>Compliant</t>
        </is>
      </c>
      <c r="I72" s="6" t="n"/>
      <c r="J72" s="6" t="n"/>
      <c r="K72">
        <f>IF(J72="","",J72-B72)</f>
        <v/>
      </c>
      <c r="L72">
        <f>IF(H72="Compliant","N/A",IF(J72&lt;&gt;"","Closed",IF(I72&lt;DATE(2026,9,30),"OVERDUE","Open")))</f>
        <v/>
      </c>
    </row>
    <row r="73">
      <c r="A73" t="inlineStr">
        <is>
          <t>INSP-2026-0072</t>
        </is>
      </c>
      <c r="B73" s="6" t="n">
        <v>46033</v>
      </c>
      <c r="C73" t="inlineStr">
        <is>
          <t>U-RH491-02-08</t>
        </is>
      </c>
      <c r="D73" t="inlineStr">
        <is>
          <t>Rimba Heights</t>
        </is>
      </c>
      <c r="E73" t="inlineStr">
        <is>
          <t>B. Ho</t>
        </is>
      </c>
      <c r="F73" t="inlineStr">
        <is>
          <t>Routine</t>
        </is>
      </c>
      <c r="G73" t="inlineStr">
        <is>
          <t>UNAPPROVED_AA</t>
        </is>
      </c>
      <c r="H73" t="inlineStr">
        <is>
          <t>Minor Breach</t>
        </is>
      </c>
      <c r="I73" s="6" t="n">
        <v>46047</v>
      </c>
      <c r="J73" s="6" t="n">
        <v>46050</v>
      </c>
      <c r="K73">
        <f>IF(J73="","",J73-B73)</f>
        <v/>
      </c>
      <c r="L73">
        <f>IF(H73="Compliant","N/A",IF(J73&lt;&gt;"","Closed",IF(I73&lt;DATE(2026,9,30),"OVERDUE","Open")))</f>
        <v/>
      </c>
    </row>
    <row r="74">
      <c r="A74" t="inlineStr">
        <is>
          <t>INSP-2026-0073</t>
        </is>
      </c>
      <c r="B74" s="6" t="n">
        <v>46033</v>
      </c>
      <c r="C74" t="inlineStr">
        <is>
          <t>U-PI614-01-08</t>
        </is>
      </c>
      <c r="D74" t="inlineStr">
        <is>
          <t>Pasir Indah</t>
        </is>
      </c>
      <c r="E74" t="inlineStr">
        <is>
          <t>daniel ong</t>
        </is>
      </c>
      <c r="F74" t="inlineStr">
        <is>
          <t>Routine</t>
        </is>
      </c>
      <c r="G74" t="inlineStr">
        <is>
          <t>UNAUTH_TRADE</t>
        </is>
      </c>
      <c r="H74" t="inlineStr">
        <is>
          <t>Major Breach</t>
        </is>
      </c>
      <c r="I74" s="6" t="n">
        <v>46040</v>
      </c>
      <c r="J74" s="6" t="n">
        <v>46035</v>
      </c>
      <c r="K74">
        <f>IF(J74="","",J74-B74)</f>
        <v/>
      </c>
      <c r="L74">
        <f>IF(H74="Compliant","N/A",IF(J74&lt;&gt;"","Closed",IF(I74&lt;DATE(2026,9,30),"OVERDUE","Open")))</f>
        <v/>
      </c>
    </row>
    <row r="75">
      <c r="A75" t="inlineStr">
        <is>
          <t>INSP-2026-0074</t>
        </is>
      </c>
      <c r="B75" s="6" t="n">
        <v>46034</v>
      </c>
      <c r="C75" t="inlineStr">
        <is>
          <t>U-CD109-01-08</t>
        </is>
      </c>
      <c r="D75" t="inlineStr">
        <is>
          <t>Cendana</t>
        </is>
      </c>
      <c r="E75" t="inlineStr">
        <is>
          <t>Daniel O.</t>
        </is>
      </c>
      <c r="F75" t="inlineStr">
        <is>
          <t>Routine</t>
        </is>
      </c>
      <c r="G75" t="inlineStr">
        <is>
          <t>FIRE_SAFETY</t>
        </is>
      </c>
      <c r="H75" t="inlineStr">
        <is>
          <t>Major Breach</t>
        </is>
      </c>
      <c r="I75" s="6" t="n">
        <v>46041</v>
      </c>
      <c r="J75" s="6" t="n">
        <v>46048</v>
      </c>
      <c r="K75">
        <f>IF(J75="","",J75-B75)</f>
        <v/>
      </c>
      <c r="L75">
        <f>IF(H75="Compliant","N/A",IF(J75&lt;&gt;"","Closed",IF(I75&lt;DATE(2026,9,30),"OVERDUE","Open")))</f>
        <v/>
      </c>
    </row>
    <row r="76">
      <c r="A76" t="inlineStr">
        <is>
          <t>INSP-2026-0075</t>
        </is>
      </c>
      <c r="B76" s="6" t="n">
        <v>46034</v>
      </c>
      <c r="C76" t="inlineStr">
        <is>
          <t>U-CD165-01-04</t>
        </is>
      </c>
      <c r="D76" t="inlineStr">
        <is>
          <t>Cendana</t>
        </is>
      </c>
      <c r="E76" t="inlineStr">
        <is>
          <t>D. Ong</t>
        </is>
      </c>
      <c r="F76" t="inlineStr">
        <is>
          <t>Routine</t>
        </is>
      </c>
      <c r="G76" t="inlineStr">
        <is>
          <t>NONE</t>
        </is>
      </c>
      <c r="H76" t="inlineStr">
        <is>
          <t>Compliant</t>
        </is>
      </c>
      <c r="I76" s="6" t="n"/>
      <c r="J76" s="6" t="n"/>
      <c r="K76">
        <f>IF(J76="","",J76-B76)</f>
        <v/>
      </c>
      <c r="L76">
        <f>IF(H76="Compliant","N/A",IF(J76&lt;&gt;"","Closed",IF(I76&lt;DATE(2026,9,30),"OVERDUE","Open")))</f>
        <v/>
      </c>
    </row>
    <row r="77">
      <c r="A77" t="inlineStr">
        <is>
          <t>INSP-2026-0076</t>
        </is>
      </c>
      <c r="B77" s="6" t="n">
        <v>46034</v>
      </c>
      <c r="C77" t="inlineStr">
        <is>
          <t>U-CD174-01-01</t>
        </is>
      </c>
      <c r="D77" t="inlineStr">
        <is>
          <t>Cendana</t>
        </is>
      </c>
      <c r="E77" t="inlineStr">
        <is>
          <t>Marcus Lim</t>
        </is>
      </c>
      <c r="F77" t="inlineStr">
        <is>
          <t>Complaint-driven</t>
        </is>
      </c>
      <c r="G77" t="inlineStr">
        <is>
          <t>DISPLAY_ENCROACH</t>
        </is>
      </c>
      <c r="H77" t="inlineStr">
        <is>
          <t>Minor Breach</t>
        </is>
      </c>
      <c r="I77" s="6" t="n">
        <v>46048</v>
      </c>
      <c r="J77" s="6" t="n">
        <v>46045</v>
      </c>
      <c r="K77">
        <f>IF(J77="","",J77-B77)</f>
        <v/>
      </c>
      <c r="L77">
        <f>IF(H77="Compliant","N/A",IF(J77&lt;&gt;"","Closed",IF(I77&lt;DATE(2026,9,30),"OVERDUE","Open")))</f>
        <v/>
      </c>
    </row>
    <row r="78">
      <c r="A78" t="inlineStr">
        <is>
          <t>INSP-2026-0077</t>
        </is>
      </c>
      <c r="B78" s="6" t="n">
        <v>46034</v>
      </c>
      <c r="C78" t="inlineStr">
        <is>
          <t>U-RH485-01-01</t>
        </is>
      </c>
      <c r="D78" t="inlineStr">
        <is>
          <t>Rimba Heights</t>
        </is>
      </c>
      <c r="E78" t="inlineStr">
        <is>
          <t>D. Ong</t>
        </is>
      </c>
      <c r="F78" t="inlineStr">
        <is>
          <t>Routine</t>
        </is>
      </c>
      <c r="G78" t="inlineStr">
        <is>
          <t>FIRE_SAFETY</t>
        </is>
      </c>
      <c r="H78" t="inlineStr">
        <is>
          <t>Major Breach</t>
        </is>
      </c>
      <c r="I78" s="6" t="n">
        <v>46041</v>
      </c>
      <c r="J78" s="6" t="n"/>
      <c r="K78">
        <f>IF(J78="","",J78-B78)</f>
        <v/>
      </c>
      <c r="L78">
        <f>IF(H78="Compliant","N/A",IF(J78&lt;&gt;"","Closed",IF(I78&lt;DATE(2026,9,30),"OVERDUE","Open")))</f>
        <v/>
      </c>
    </row>
    <row r="79">
      <c r="A79" t="inlineStr">
        <is>
          <t>INSP-2026-0078</t>
        </is>
      </c>
      <c r="B79" s="6" t="n">
        <v>46034</v>
      </c>
      <c r="C79" t="inlineStr">
        <is>
          <t>U-ST501-01-06</t>
        </is>
      </c>
      <c r="D79" t="inlineStr">
        <is>
          <t>Sungai Tinggi</t>
        </is>
      </c>
      <c r="E79" t="inlineStr">
        <is>
          <t>daniel ong</t>
        </is>
      </c>
      <c r="F79" t="inlineStr">
        <is>
          <t>Routine</t>
        </is>
      </c>
      <c r="G79" t="inlineStr">
        <is>
          <t>NONE</t>
        </is>
      </c>
      <c r="H79" t="inlineStr">
        <is>
          <t>Compliant</t>
        </is>
      </c>
      <c r="I79" s="6" t="n"/>
      <c r="J79" s="6" t="n"/>
      <c r="K79">
        <f>IF(J79="","",J79-B79)</f>
        <v/>
      </c>
      <c r="L79">
        <f>IF(H79="Compliant","N/A",IF(J79&lt;&gt;"","Closed",IF(I79&lt;DATE(2026,9,30),"OVERDUE","Open")))</f>
        <v/>
      </c>
    </row>
    <row r="80">
      <c r="A80" t="inlineStr">
        <is>
          <t>INSP-2026-0079</t>
        </is>
      </c>
      <c r="B80" s="6" t="n">
        <v>46034</v>
      </c>
      <c r="C80" t="inlineStr">
        <is>
          <t>U-RH456-01-07</t>
        </is>
      </c>
      <c r="D80" t="inlineStr">
        <is>
          <t>Rimba Heights</t>
        </is>
      </c>
      <c r="E80" t="inlineStr">
        <is>
          <t>Ben Ho</t>
        </is>
      </c>
      <c r="F80" t="inlineStr">
        <is>
          <t>Routine</t>
        </is>
      </c>
      <c r="G80" t="inlineStr">
        <is>
          <t>NONE</t>
        </is>
      </c>
      <c r="H80" t="inlineStr">
        <is>
          <t>Compliant</t>
        </is>
      </c>
      <c r="I80" s="6" t="n"/>
      <c r="J80" s="6" t="n"/>
      <c r="K80">
        <f>IF(J80="","",J80-B80)</f>
        <v/>
      </c>
      <c r="L80">
        <f>IF(H80="Compliant","N/A",IF(J80&lt;&gt;"","Closed",IF(I80&lt;DATE(2026,9,30),"OVERDUE","Open")))</f>
        <v/>
      </c>
    </row>
    <row r="81">
      <c r="A81" t="inlineStr">
        <is>
          <t>INSP-2026-0080</t>
        </is>
      </c>
      <c r="B81" s="6" t="n">
        <v>46034</v>
      </c>
      <c r="C81" t="inlineStr">
        <is>
          <t>U-CD160-01-05</t>
        </is>
      </c>
      <c r="D81" t="inlineStr">
        <is>
          <t>Cendana</t>
        </is>
      </c>
      <c r="E81" t="inlineStr">
        <is>
          <t>Marcus Lim</t>
        </is>
      </c>
      <c r="F81" t="inlineStr">
        <is>
          <t>Routine</t>
        </is>
      </c>
      <c r="G81" t="inlineStr">
        <is>
          <t>NONE</t>
        </is>
      </c>
      <c r="H81" t="inlineStr">
        <is>
          <t>Compliant</t>
        </is>
      </c>
      <c r="I81" s="6" t="n"/>
      <c r="J81" s="6" t="n"/>
      <c r="K81">
        <f>IF(J81="","",J81-B81)</f>
        <v/>
      </c>
      <c r="L81">
        <f>IF(H81="Compliant","N/A",IF(J81&lt;&gt;"","Closed",IF(I81&lt;DATE(2026,9,30),"OVERDUE","Open")))</f>
        <v/>
      </c>
    </row>
    <row r="82">
      <c r="A82" t="inlineStr">
        <is>
          <t>INSP-2026-0081</t>
        </is>
      </c>
      <c r="B82" s="6" t="n">
        <v>46034</v>
      </c>
      <c r="C82" t="inlineStr">
        <is>
          <t>U-PI627-01-31</t>
        </is>
      </c>
      <c r="D82" t="inlineStr">
        <is>
          <t>Pasir Indah</t>
        </is>
      </c>
      <c r="E82" t="inlineStr">
        <is>
          <t>Marcus Lim</t>
        </is>
      </c>
      <c r="F82" t="inlineStr">
        <is>
          <t>Routine</t>
        </is>
      </c>
      <c r="G82" t="inlineStr">
        <is>
          <t>NONE</t>
        </is>
      </c>
      <c r="H82" t="inlineStr">
        <is>
          <t>Compliant</t>
        </is>
      </c>
      <c r="I82" s="6" t="n"/>
      <c r="J82" s="6" t="n"/>
      <c r="K82">
        <f>IF(J82="","",J82-B82)</f>
        <v/>
      </c>
      <c r="L82">
        <f>IF(H82="Compliant","N/A",IF(J82&lt;&gt;"","Closed",IF(I82&lt;DATE(2026,9,30),"OVERDUE","Open")))</f>
        <v/>
      </c>
    </row>
    <row r="83">
      <c r="A83" t="inlineStr">
        <is>
          <t>INSP-2026-0082</t>
        </is>
      </c>
      <c r="B83" s="6" t="n">
        <v>46034</v>
      </c>
      <c r="C83" t="inlineStr">
        <is>
          <t>U-KR317-01-01</t>
        </is>
      </c>
      <c r="D83" t="inlineStr">
        <is>
          <t>Kebun Raya</t>
        </is>
      </c>
      <c r="E83" t="inlineStr">
        <is>
          <t>Ben Ho</t>
        </is>
      </c>
      <c r="F83" t="inlineStr">
        <is>
          <t>Routine</t>
        </is>
      </c>
      <c r="G83" t="inlineStr">
        <is>
          <t>UNAPPROVED_AA</t>
        </is>
      </c>
      <c r="H83" t="inlineStr">
        <is>
          <t>Minor Breach</t>
        </is>
      </c>
      <c r="I83" s="6" t="n">
        <v>46048</v>
      </c>
      <c r="J83" s="6" t="n">
        <v>46051</v>
      </c>
      <c r="K83">
        <f>IF(J83="","",J83-B83)</f>
        <v/>
      </c>
      <c r="L83">
        <f>IF(H83="Compliant","N/A",IF(J83&lt;&gt;"","Closed",IF(I83&lt;DATE(2026,9,30),"OVERDUE","Open")))</f>
        <v/>
      </c>
    </row>
    <row r="84">
      <c r="A84" t="inlineStr">
        <is>
          <t>INSP-2026-0083</t>
        </is>
      </c>
      <c r="B84" s="6" t="n">
        <v>46034</v>
      </c>
      <c r="C84" t="inlineStr">
        <is>
          <t>U-CD133-01-10</t>
        </is>
      </c>
      <c r="D84" t="inlineStr">
        <is>
          <t>Cendana</t>
        </is>
      </c>
      <c r="E84" t="inlineStr">
        <is>
          <t>Daniel Ong</t>
        </is>
      </c>
      <c r="F84" t="inlineStr">
        <is>
          <t>Routine</t>
        </is>
      </c>
      <c r="G84" t="inlineStr">
        <is>
          <t>NONE</t>
        </is>
      </c>
      <c r="H84" t="inlineStr">
        <is>
          <t>Compliant</t>
        </is>
      </c>
      <c r="I84" s="6" t="n"/>
      <c r="J84" s="6" t="n"/>
      <c r="K84">
        <f>IF(J84="","",J84-B84)</f>
        <v/>
      </c>
      <c r="L84">
        <f>IF(H84="Compliant","N/A",IF(J84&lt;&gt;"","Closed",IF(I84&lt;DATE(2026,9,30),"OVERDUE","Open")))</f>
        <v/>
      </c>
    </row>
    <row r="85">
      <c r="A85" t="inlineStr">
        <is>
          <t>INSP-2026-0084</t>
        </is>
      </c>
      <c r="B85" s="6" t="n">
        <v>46034</v>
      </c>
      <c r="C85" t="inlineStr">
        <is>
          <t>U-ST501-01-14</t>
        </is>
      </c>
      <c r="D85" t="inlineStr">
        <is>
          <t>Sungai Tinggi</t>
        </is>
      </c>
      <c r="E85" t="inlineStr">
        <is>
          <t>Ben Ho</t>
        </is>
      </c>
      <c r="F85" t="inlineStr">
        <is>
          <t>Routine</t>
        </is>
      </c>
      <c r="G85" t="inlineStr">
        <is>
          <t>NONE</t>
        </is>
      </c>
      <c r="H85" t="inlineStr">
        <is>
          <t>Compliant</t>
        </is>
      </c>
      <c r="I85" s="6" t="n"/>
      <c r="J85" s="6" t="n"/>
      <c r="K85">
        <f>IF(J85="","",J85-B85)</f>
        <v/>
      </c>
      <c r="L85">
        <f>IF(H85="Compliant","N/A",IF(J85&lt;&gt;"","Closed",IF(I85&lt;DATE(2026,9,30),"OVERDUE","Open")))</f>
        <v/>
      </c>
    </row>
    <row r="86">
      <c r="A86" t="inlineStr">
        <is>
          <t>INSP-2026-0085</t>
        </is>
      </c>
      <c r="B86" s="6" t="n">
        <v>46034</v>
      </c>
      <c r="C86" t="inlineStr">
        <is>
          <t>U-CD152-01-12</t>
        </is>
      </c>
      <c r="D86" t="inlineStr">
        <is>
          <t>Cendana</t>
        </is>
      </c>
      <c r="E86" t="inlineStr">
        <is>
          <t>daniel ong</t>
        </is>
      </c>
      <c r="F86" t="inlineStr">
        <is>
          <t>Routine</t>
        </is>
      </c>
      <c r="G86" t="inlineStr">
        <is>
          <t>NONE</t>
        </is>
      </c>
      <c r="H86" t="inlineStr">
        <is>
          <t>Compliant</t>
        </is>
      </c>
      <c r="I86" s="6" t="n"/>
      <c r="J86" s="6" t="n"/>
      <c r="K86">
        <f>IF(J86="","",J86-B86)</f>
        <v/>
      </c>
      <c r="L86">
        <f>IF(H86="Compliant","N/A",IF(J86&lt;&gt;"","Closed",IF(I86&lt;DATE(2026,9,30),"OVERDUE","Open")))</f>
        <v/>
      </c>
    </row>
    <row r="87">
      <c r="A87" t="inlineStr">
        <is>
          <t>INSP-2026-0086</t>
        </is>
      </c>
      <c r="B87" s="6" t="n">
        <v>46034</v>
      </c>
      <c r="C87" t="inlineStr">
        <is>
          <t>U-CD170-02-07</t>
        </is>
      </c>
      <c r="D87" t="inlineStr">
        <is>
          <t>Cendana</t>
        </is>
      </c>
      <c r="E87" t="inlineStr">
        <is>
          <t>Daniel Ong</t>
        </is>
      </c>
      <c r="F87" t="inlineStr">
        <is>
          <t>Complaint-driven</t>
        </is>
      </c>
      <c r="G87" t="inlineStr">
        <is>
          <t>NONE</t>
        </is>
      </c>
      <c r="H87" t="inlineStr">
        <is>
          <t>Compliant</t>
        </is>
      </c>
      <c r="I87" s="6" t="n"/>
      <c r="J87" s="6" t="n"/>
      <c r="K87">
        <f>IF(J87="","",J87-B87)</f>
        <v/>
      </c>
      <c r="L87">
        <f>IF(H87="Compliant","N/A",IF(J87&lt;&gt;"","Closed",IF(I87&lt;DATE(2026,9,30),"OVERDUE","Open")))</f>
        <v/>
      </c>
    </row>
    <row r="88">
      <c r="A88" t="inlineStr">
        <is>
          <t>INSP-2026-0087</t>
        </is>
      </c>
      <c r="B88" s="6" t="n">
        <v>46035</v>
      </c>
      <c r="C88" t="inlineStr">
        <is>
          <t>U-PI678-01-03</t>
        </is>
      </c>
      <c r="D88" t="inlineStr">
        <is>
          <t>Pasir Indah</t>
        </is>
      </c>
      <c r="E88" t="inlineStr">
        <is>
          <t>Daniel Ong</t>
        </is>
      </c>
      <c r="F88" t="inlineStr">
        <is>
          <t>Routine</t>
        </is>
      </c>
      <c r="G88" t="inlineStr">
        <is>
          <t>NONE</t>
        </is>
      </c>
      <c r="H88" t="inlineStr">
        <is>
          <t>Compliant</t>
        </is>
      </c>
      <c r="I88" s="6" t="n"/>
      <c r="J88" s="6" t="n"/>
      <c r="K88">
        <f>IF(J88="","",J88-B88)</f>
        <v/>
      </c>
      <c r="L88">
        <f>IF(H88="Compliant","N/A",IF(J88&lt;&gt;"","Closed",IF(I88&lt;DATE(2026,9,30),"OVERDUE","Open")))</f>
        <v/>
      </c>
    </row>
    <row r="89">
      <c r="A89" t="inlineStr">
        <is>
          <t>INSP-2026-0088</t>
        </is>
      </c>
      <c r="B89" s="6" t="n">
        <v>46035</v>
      </c>
      <c r="C89" t="inlineStr">
        <is>
          <t>U-CD185-01-05</t>
        </is>
      </c>
      <c r="D89" t="inlineStr">
        <is>
          <t>Cendana</t>
        </is>
      </c>
      <c r="E89" t="inlineStr">
        <is>
          <t>D. Ong</t>
        </is>
      </c>
      <c r="F89" t="inlineStr">
        <is>
          <t>Routine</t>
        </is>
      </c>
      <c r="G89" t="inlineStr">
        <is>
          <t>NONE</t>
        </is>
      </c>
      <c r="H89" t="inlineStr">
        <is>
          <t>Compliant</t>
        </is>
      </c>
      <c r="I89" s="6" t="n"/>
      <c r="J89" s="6" t="n"/>
      <c r="K89">
        <f>IF(J89="","",J89-B89)</f>
        <v/>
      </c>
      <c r="L89">
        <f>IF(H89="Compliant","N/A",IF(J89&lt;&gt;"","Closed",IF(I89&lt;DATE(2026,9,30),"OVERDUE","Open")))</f>
        <v/>
      </c>
    </row>
    <row r="90">
      <c r="A90" t="inlineStr">
        <is>
          <t>INSP-2026-0089</t>
        </is>
      </c>
      <c r="B90" s="6" t="n">
        <v>46035</v>
      </c>
      <c r="C90" t="inlineStr">
        <is>
          <t>U-RH441-01-06</t>
        </is>
      </c>
      <c r="D90" t="inlineStr">
        <is>
          <t>Rimba Heights</t>
        </is>
      </c>
      <c r="E90" t="inlineStr">
        <is>
          <t>B. Ho</t>
        </is>
      </c>
      <c r="F90" t="inlineStr">
        <is>
          <t>Complaint-driven</t>
        </is>
      </c>
      <c r="G90" t="inlineStr">
        <is>
          <t>NONE</t>
        </is>
      </c>
      <c r="H90" t="inlineStr">
        <is>
          <t>Compliant</t>
        </is>
      </c>
      <c r="I90" s="6" t="n"/>
      <c r="J90" s="6" t="n"/>
      <c r="K90">
        <f>IF(J90="","",J90-B90)</f>
        <v/>
      </c>
      <c r="L90">
        <f>IF(H90="Compliant","N/A",IF(J90&lt;&gt;"","Closed",IF(I90&lt;DATE(2026,9,30),"OVERDUE","Open")))</f>
        <v/>
      </c>
    </row>
    <row r="91">
      <c r="A91" t="inlineStr">
        <is>
          <t>INSP-2026-0090</t>
        </is>
      </c>
      <c r="B91" s="6" t="n">
        <v>46035</v>
      </c>
      <c r="C91" t="inlineStr">
        <is>
          <t>U-ST566-01-03</t>
        </is>
      </c>
      <c r="D91" t="inlineStr">
        <is>
          <t>Sungai Tinggi</t>
        </is>
      </c>
      <c r="E91" t="inlineStr">
        <is>
          <t>daniel ong</t>
        </is>
      </c>
      <c r="F91" t="inlineStr">
        <is>
          <t>Routine</t>
        </is>
      </c>
      <c r="G91" t="inlineStr">
        <is>
          <t>NONE</t>
        </is>
      </c>
      <c r="H91" t="inlineStr">
        <is>
          <t>Compliant</t>
        </is>
      </c>
      <c r="I91" s="6" t="n"/>
      <c r="J91" s="6" t="n"/>
      <c r="K91">
        <f>IF(J91="","",J91-B91)</f>
        <v/>
      </c>
      <c r="L91">
        <f>IF(H91="Compliant","N/A",IF(J91&lt;&gt;"","Closed",IF(I91&lt;DATE(2026,9,30),"OVERDUE","Open")))</f>
        <v/>
      </c>
    </row>
    <row r="92">
      <c r="A92" t="inlineStr">
        <is>
          <t>INSP-2026-0091</t>
        </is>
      </c>
      <c r="B92" s="6" t="n">
        <v>46035</v>
      </c>
      <c r="C92" t="inlineStr">
        <is>
          <t>U-BV215-01-14</t>
        </is>
      </c>
      <c r="D92" t="inlineStr">
        <is>
          <t>Bayshore Vale</t>
        </is>
      </c>
      <c r="E92" t="inlineStr">
        <is>
          <t>D. Ong</t>
        </is>
      </c>
      <c r="F92" t="inlineStr">
        <is>
          <t>Follow-up</t>
        </is>
      </c>
      <c r="G92" t="inlineStr">
        <is>
          <t>DISPLAY_ENCROACH</t>
        </is>
      </c>
      <c r="H92" t="inlineStr">
        <is>
          <t>Minor Breach</t>
        </is>
      </c>
      <c r="I92" s="6" t="n">
        <v>46049</v>
      </c>
      <c r="J92" s="6" t="n">
        <v>46047</v>
      </c>
      <c r="K92">
        <f>IF(J92="","",J92-B92)</f>
        <v/>
      </c>
      <c r="L92">
        <f>IF(H92="Compliant","N/A",IF(J92&lt;&gt;"","Closed",IF(I92&lt;DATE(2026,9,30),"OVERDUE","Open")))</f>
        <v/>
      </c>
    </row>
    <row r="93">
      <c r="A93" t="inlineStr">
        <is>
          <t>INSP-2026-0092</t>
        </is>
      </c>
      <c r="B93" s="6" t="n">
        <v>46035</v>
      </c>
      <c r="C93" t="inlineStr">
        <is>
          <t>U-KR345-01-08</t>
        </is>
      </c>
      <c r="D93" t="inlineStr">
        <is>
          <t>Kebun Raya</t>
        </is>
      </c>
      <c r="E93" t="inlineStr">
        <is>
          <t>Daniel O.</t>
        </is>
      </c>
      <c r="F93" t="inlineStr">
        <is>
          <t>Routine</t>
        </is>
      </c>
      <c r="G93" t="inlineStr">
        <is>
          <t>UNAPPROVED_AA</t>
        </is>
      </c>
      <c r="H93" t="inlineStr">
        <is>
          <t>Minor Breach</t>
        </is>
      </c>
      <c r="I93" s="6" t="n">
        <v>46049</v>
      </c>
      <c r="J93" s="6" t="n">
        <v>46055</v>
      </c>
      <c r="K93">
        <f>IF(J93="","",J93-B93)</f>
        <v/>
      </c>
      <c r="L93">
        <f>IF(H93="Compliant","N/A",IF(J93&lt;&gt;"","Closed",IF(I93&lt;DATE(2026,9,30),"OVERDUE","Open")))</f>
        <v/>
      </c>
    </row>
    <row r="94">
      <c r="A94" t="inlineStr">
        <is>
          <t>INSP-2026-0093</t>
        </is>
      </c>
      <c r="B94" s="6" t="n">
        <v>46035</v>
      </c>
      <c r="C94" t="inlineStr">
        <is>
          <t>U-RH438-02-05</t>
        </is>
      </c>
      <c r="D94" t="inlineStr">
        <is>
          <t>Rimba Heights</t>
        </is>
      </c>
      <c r="E94" t="inlineStr">
        <is>
          <t>Daniel O.</t>
        </is>
      </c>
      <c r="F94" t="inlineStr">
        <is>
          <t>Routine</t>
        </is>
      </c>
      <c r="G94" t="inlineStr">
        <is>
          <t>NONE</t>
        </is>
      </c>
      <c r="H94" t="inlineStr">
        <is>
          <t>Compliant</t>
        </is>
      </c>
      <c r="I94" s="6" t="n"/>
      <c r="J94" s="6" t="n"/>
      <c r="K94">
        <f>IF(J94="","",J94-B94)</f>
        <v/>
      </c>
      <c r="L94">
        <f>IF(H94="Compliant","N/A",IF(J94&lt;&gt;"","Closed",IF(I94&lt;DATE(2026,9,30),"OVERDUE","Open")))</f>
        <v/>
      </c>
    </row>
    <row r="95">
      <c r="A95" t="inlineStr">
        <is>
          <t>INSP-2026-0094</t>
        </is>
      </c>
      <c r="B95" s="6" t="n">
        <v>46035</v>
      </c>
      <c r="C95" t="inlineStr">
        <is>
          <t>U-BV237-01-08</t>
        </is>
      </c>
      <c r="D95" t="inlineStr">
        <is>
          <t>Bayshore Vale</t>
        </is>
      </c>
      <c r="E95" t="inlineStr">
        <is>
          <t>Daniel Ong</t>
        </is>
      </c>
      <c r="F95" t="inlineStr">
        <is>
          <t>Routine</t>
        </is>
      </c>
      <c r="G95" t="inlineStr">
        <is>
          <t>NONE</t>
        </is>
      </c>
      <c r="H95" t="inlineStr">
        <is>
          <t>Compliant</t>
        </is>
      </c>
      <c r="I95" s="6" t="n"/>
      <c r="J95" s="6" t="n"/>
      <c r="K95">
        <f>IF(J95="","",J95-B95)</f>
        <v/>
      </c>
      <c r="L95">
        <f>IF(H95="Compliant","N/A",IF(J95&lt;&gt;"","Closed",IF(I95&lt;DATE(2026,9,30),"OVERDUE","Open")))</f>
        <v/>
      </c>
    </row>
    <row r="96">
      <c r="A96" t="inlineStr">
        <is>
          <t>INSP-2026-0095</t>
        </is>
      </c>
      <c r="B96" s="6" t="n">
        <v>46035</v>
      </c>
      <c r="C96" t="inlineStr">
        <is>
          <t>U-ST589-01-07</t>
        </is>
      </c>
      <c r="D96" t="inlineStr">
        <is>
          <t>Sungai Tinggi</t>
        </is>
      </c>
      <c r="E96" t="inlineStr">
        <is>
          <t>D. Ong</t>
        </is>
      </c>
      <c r="F96" t="inlineStr">
        <is>
          <t>Follow-up</t>
        </is>
      </c>
      <c r="G96" t="inlineStr">
        <is>
          <t>NONE</t>
        </is>
      </c>
      <c r="H96" t="inlineStr">
        <is>
          <t>Compliant</t>
        </is>
      </c>
      <c r="I96" s="6" t="n"/>
      <c r="J96" s="6" t="n"/>
      <c r="K96">
        <f>IF(J96="","",J96-B96)</f>
        <v/>
      </c>
      <c r="L96">
        <f>IF(H96="Compliant","N/A",IF(J96&lt;&gt;"","Closed",IF(I96&lt;DATE(2026,9,30),"OVERDUE","Open")))</f>
        <v/>
      </c>
    </row>
    <row r="97">
      <c r="A97" t="inlineStr">
        <is>
          <t>INSP-2026-0096</t>
        </is>
      </c>
      <c r="B97" s="6" t="n">
        <v>46035</v>
      </c>
      <c r="C97" t="inlineStr">
        <is>
          <t>U-CD129-01-01</t>
        </is>
      </c>
      <c r="D97" t="inlineStr">
        <is>
          <t>Cendana</t>
        </is>
      </c>
      <c r="E97" t="inlineStr">
        <is>
          <t>Daniel Ong</t>
        </is>
      </c>
      <c r="F97" t="inlineStr">
        <is>
          <t>Routine</t>
        </is>
      </c>
      <c r="G97" t="inlineStr">
        <is>
          <t>UNAUTH_SUBLET</t>
        </is>
      </c>
      <c r="H97" t="inlineStr">
        <is>
          <t>Major Breach</t>
        </is>
      </c>
      <c r="I97" s="6" t="n">
        <v>46042</v>
      </c>
      <c r="J97" s="6" t="n">
        <v>46047</v>
      </c>
      <c r="K97">
        <f>IF(J97="","",J97-B97)</f>
        <v/>
      </c>
      <c r="L97">
        <f>IF(H97="Compliant","N/A",IF(J97&lt;&gt;"","Closed",IF(I97&lt;DATE(2026,9,30),"OVERDUE","Open")))</f>
        <v/>
      </c>
    </row>
    <row r="98">
      <c r="A98" t="inlineStr">
        <is>
          <t>INSP-2026-0097</t>
        </is>
      </c>
      <c r="B98" s="6" t="n">
        <v>46035</v>
      </c>
      <c r="C98" t="inlineStr">
        <is>
          <t>U-ST566-01-04</t>
        </is>
      </c>
      <c r="D98" t="inlineStr">
        <is>
          <t>Sungai Tinggi</t>
        </is>
      </c>
      <c r="E98" t="inlineStr">
        <is>
          <t>Benjamin Ho</t>
        </is>
      </c>
      <c r="F98" t="inlineStr">
        <is>
          <t>Routine</t>
        </is>
      </c>
      <c r="G98" t="inlineStr">
        <is>
          <t>NONE</t>
        </is>
      </c>
      <c r="H98" t="inlineStr">
        <is>
          <t>Compliant</t>
        </is>
      </c>
      <c r="I98" s="6" t="n"/>
      <c r="J98" s="6" t="n"/>
      <c r="K98">
        <f>IF(J98="","",J98-B98)</f>
        <v/>
      </c>
      <c r="L98">
        <f>IF(H98="Compliant","N/A",IF(J98&lt;&gt;"","Closed",IF(I98&lt;DATE(2026,9,30),"OVERDUE","Open")))</f>
        <v/>
      </c>
    </row>
    <row r="99">
      <c r="A99" t="inlineStr">
        <is>
          <t>INSP-2026-0098</t>
        </is>
      </c>
      <c r="B99" s="6" t="n">
        <v>46035</v>
      </c>
      <c r="C99" t="inlineStr">
        <is>
          <t>U-ST512-01-02</t>
        </is>
      </c>
      <c r="D99" t="inlineStr">
        <is>
          <t>Sungai Tinggi</t>
        </is>
      </c>
      <c r="E99" t="inlineStr">
        <is>
          <t>Daniel O.</t>
        </is>
      </c>
      <c r="F99" t="inlineStr">
        <is>
          <t>Routine</t>
        </is>
      </c>
      <c r="G99" t="inlineStr">
        <is>
          <t>NONE</t>
        </is>
      </c>
      <c r="H99" t="inlineStr">
        <is>
          <t>Compliant</t>
        </is>
      </c>
      <c r="I99" s="6" t="n"/>
      <c r="J99" s="6" t="n"/>
      <c r="K99">
        <f>IF(J99="","",J99-B99)</f>
        <v/>
      </c>
      <c r="L99">
        <f>IF(H99="Compliant","N/A",IF(J99&lt;&gt;"","Closed",IF(I99&lt;DATE(2026,9,30),"OVERDUE","Open")))</f>
        <v/>
      </c>
    </row>
    <row r="100">
      <c r="A100" t="inlineStr">
        <is>
          <t>INSP-2026-0099</t>
        </is>
      </c>
      <c r="B100" s="6" t="n">
        <v>46035</v>
      </c>
      <c r="C100" t="inlineStr">
        <is>
          <t>U-RH464-01-05</t>
        </is>
      </c>
      <c r="D100" t="inlineStr">
        <is>
          <t>Rimba Heights</t>
        </is>
      </c>
      <c r="E100" t="inlineStr">
        <is>
          <t>B. Ho</t>
        </is>
      </c>
      <c r="F100" t="inlineStr">
        <is>
          <t>Follow-up</t>
        </is>
      </c>
      <c r="G100" t="inlineStr">
        <is>
          <t>DISPLAY_ENCROACH</t>
        </is>
      </c>
      <c r="H100" t="inlineStr">
        <is>
          <t>Minor Breach</t>
        </is>
      </c>
      <c r="I100" s="6" t="n">
        <v>46049</v>
      </c>
      <c r="J100" s="6" t="n">
        <v>46051</v>
      </c>
      <c r="K100">
        <f>IF(J100="","",J100-B100)</f>
        <v/>
      </c>
      <c r="L100">
        <f>IF(H100="Compliant","N/A",IF(J100&lt;&gt;"","Closed",IF(I100&lt;DATE(2026,9,30),"OVERDUE","Open")))</f>
        <v/>
      </c>
    </row>
    <row r="101">
      <c r="A101" t="inlineStr">
        <is>
          <t>INSP-2026-0100</t>
        </is>
      </c>
      <c r="B101" s="6" t="n">
        <v>46035</v>
      </c>
      <c r="C101" t="inlineStr">
        <is>
          <t>U-CD142-01-09</t>
        </is>
      </c>
      <c r="D101" t="inlineStr">
        <is>
          <t>Cendana</t>
        </is>
      </c>
      <c r="E101" t="inlineStr">
        <is>
          <t>M. Lim</t>
        </is>
      </c>
      <c r="F101" t="inlineStr">
        <is>
          <t>Routine</t>
        </is>
      </c>
      <c r="G101" t="inlineStr">
        <is>
          <t>NONE</t>
        </is>
      </c>
      <c r="H101" t="inlineStr">
        <is>
          <t>Compliant</t>
        </is>
      </c>
      <c r="I101" s="6" t="n"/>
      <c r="J101" s="6" t="n"/>
      <c r="K101">
        <f>IF(J101="","",J101-B101)</f>
        <v/>
      </c>
      <c r="L101">
        <f>IF(H101="Compliant","N/A",IF(J101&lt;&gt;"","Closed",IF(I101&lt;DATE(2026,9,30),"OVERDUE","Open")))</f>
        <v/>
      </c>
    </row>
    <row r="102">
      <c r="A102" t="inlineStr">
        <is>
          <t>INSP-2026-0101</t>
        </is>
      </c>
      <c r="B102" s="6" t="n">
        <v>46035</v>
      </c>
      <c r="C102" t="inlineStr">
        <is>
          <t>U-PI642-02-13</t>
        </is>
      </c>
      <c r="D102" t="inlineStr">
        <is>
          <t>Pasir Indah</t>
        </is>
      </c>
      <c r="E102" t="inlineStr">
        <is>
          <t>Marcus Lim</t>
        </is>
      </c>
      <c r="F102" t="inlineStr">
        <is>
          <t>Routine</t>
        </is>
      </c>
      <c r="G102" t="inlineStr">
        <is>
          <t>STRUCTURAL_DEFECT</t>
        </is>
      </c>
      <c r="H102" t="inlineStr">
        <is>
          <t>Major Breach</t>
        </is>
      </c>
      <c r="I102" s="6" t="n">
        <v>46042</v>
      </c>
      <c r="J102" s="6" t="n">
        <v>46041</v>
      </c>
      <c r="K102">
        <f>IF(J102="","",J102-B102)</f>
        <v/>
      </c>
      <c r="L102">
        <f>IF(H102="Compliant","N/A",IF(J102&lt;&gt;"","Closed",IF(I102&lt;DATE(2026,9,30),"OVERDUE","Open")))</f>
        <v/>
      </c>
    </row>
    <row r="103">
      <c r="A103" t="inlineStr">
        <is>
          <t>INSP-2026-0102</t>
        </is>
      </c>
      <c r="B103" s="6" t="n">
        <v>46036</v>
      </c>
      <c r="C103" t="inlineStr">
        <is>
          <t>U-KR345-01-07</t>
        </is>
      </c>
      <c r="D103" t="inlineStr">
        <is>
          <t>Kebun Raya</t>
        </is>
      </c>
      <c r="E103" t="inlineStr">
        <is>
          <t>D. Ong</t>
        </is>
      </c>
      <c r="F103" t="inlineStr">
        <is>
          <t>Routine</t>
        </is>
      </c>
      <c r="G103" t="inlineStr">
        <is>
          <t>NONE</t>
        </is>
      </c>
      <c r="H103" t="inlineStr">
        <is>
          <t>Compliant</t>
        </is>
      </c>
      <c r="I103" s="6" t="n"/>
      <c r="J103" s="6" t="n"/>
      <c r="K103">
        <f>IF(J103="","",J103-B103)</f>
        <v/>
      </c>
      <c r="L103">
        <f>IF(H103="Compliant","N/A",IF(J103&lt;&gt;"","Closed",IF(I103&lt;DATE(2026,9,30),"OVERDUE","Open")))</f>
        <v/>
      </c>
    </row>
    <row r="104">
      <c r="A104" t="inlineStr">
        <is>
          <t>INSP-2026-0103</t>
        </is>
      </c>
      <c r="B104" s="6" t="n">
        <v>46036</v>
      </c>
      <c r="C104" t="inlineStr">
        <is>
          <t>U-PI626-01-09</t>
        </is>
      </c>
      <c r="D104" t="inlineStr">
        <is>
          <t>Pasir Indah</t>
        </is>
      </c>
      <c r="E104" t="inlineStr">
        <is>
          <t>D. Ong</t>
        </is>
      </c>
      <c r="F104" t="inlineStr">
        <is>
          <t>Routine</t>
        </is>
      </c>
      <c r="G104" t="inlineStr">
        <is>
          <t>NONE</t>
        </is>
      </c>
      <c r="H104" t="inlineStr">
        <is>
          <t>Compliant</t>
        </is>
      </c>
      <c r="I104" s="6" t="n"/>
      <c r="J104" s="6" t="n"/>
      <c r="K104">
        <f>IF(J104="","",J104-B104)</f>
        <v/>
      </c>
      <c r="L104">
        <f>IF(H104="Compliant","N/A",IF(J104&lt;&gt;"","Closed",IF(I104&lt;DATE(2026,9,30),"OVERDUE","Open")))</f>
        <v/>
      </c>
    </row>
    <row r="105">
      <c r="A105" t="inlineStr">
        <is>
          <t>INSP-2026-0104</t>
        </is>
      </c>
      <c r="B105" s="6" t="n">
        <v>46036</v>
      </c>
      <c r="C105" t="inlineStr">
        <is>
          <t>U-BV205-01-09</t>
        </is>
      </c>
      <c r="D105" t="inlineStr">
        <is>
          <t>Bayshore Vale</t>
        </is>
      </c>
      <c r="E105" t="inlineStr">
        <is>
          <t>Daniel Ong</t>
        </is>
      </c>
      <c r="F105" t="inlineStr">
        <is>
          <t>Routine</t>
        </is>
      </c>
      <c r="G105" t="inlineStr">
        <is>
          <t>NONE</t>
        </is>
      </c>
      <c r="H105" t="inlineStr">
        <is>
          <t>Compliant</t>
        </is>
      </c>
      <c r="I105" s="6" t="n"/>
      <c r="J105" s="6" t="n"/>
      <c r="K105">
        <f>IF(J105="","",J105-B105)</f>
        <v/>
      </c>
      <c r="L105">
        <f>IF(H105="Compliant","N/A",IF(J105&lt;&gt;"","Closed",IF(I105&lt;DATE(2026,9,30),"OVERDUE","Open")))</f>
        <v/>
      </c>
    </row>
    <row r="106">
      <c r="A106" t="inlineStr">
        <is>
          <t>INSP-2026-0105</t>
        </is>
      </c>
      <c r="B106" s="6" t="n">
        <v>46036</v>
      </c>
      <c r="C106" t="inlineStr">
        <is>
          <t>U-KR359-01-01</t>
        </is>
      </c>
      <c r="D106" t="inlineStr">
        <is>
          <t>Kebun Raya</t>
        </is>
      </c>
      <c r="E106" t="inlineStr">
        <is>
          <t>Daniel Ong</t>
        </is>
      </c>
      <c r="F106" t="inlineStr">
        <is>
          <t>Follow-up</t>
        </is>
      </c>
      <c r="G106" t="inlineStr">
        <is>
          <t>NONE</t>
        </is>
      </c>
      <c r="H106" t="inlineStr">
        <is>
          <t>Compliant</t>
        </is>
      </c>
      <c r="I106" s="6" t="n"/>
      <c r="J106" s="6" t="n"/>
      <c r="K106">
        <f>IF(J106="","",J106-B106)</f>
        <v/>
      </c>
      <c r="L106">
        <f>IF(H106="Compliant","N/A",IF(J106&lt;&gt;"","Closed",IF(I106&lt;DATE(2026,9,30),"OVERDUE","Open")))</f>
        <v/>
      </c>
    </row>
    <row r="107">
      <c r="A107" t="inlineStr">
        <is>
          <t>INSP-2026-0106</t>
        </is>
      </c>
      <c r="B107" s="6" t="n">
        <v>46036</v>
      </c>
      <c r="C107" t="inlineStr">
        <is>
          <t>U-CD189-01-02</t>
        </is>
      </c>
      <c r="D107" t="inlineStr">
        <is>
          <t>Cendana</t>
        </is>
      </c>
      <c r="E107" t="inlineStr">
        <is>
          <t>M. Lim</t>
        </is>
      </c>
      <c r="F107" t="inlineStr">
        <is>
          <t>Follow-up</t>
        </is>
      </c>
      <c r="G107" t="inlineStr">
        <is>
          <t>NONE</t>
        </is>
      </c>
      <c r="H107" t="inlineStr">
        <is>
          <t>Compliant</t>
        </is>
      </c>
      <c r="I107" s="6" t="n"/>
      <c r="J107" s="6" t="n"/>
      <c r="K107">
        <f>IF(J107="","",J107-B107)</f>
        <v/>
      </c>
      <c r="L107">
        <f>IF(H107="Compliant","N/A",IF(J107&lt;&gt;"","Closed",IF(I107&lt;DATE(2026,9,30),"OVERDUE","Open")))</f>
        <v/>
      </c>
    </row>
    <row r="108">
      <c r="A108" t="inlineStr">
        <is>
          <t>INSP-2026-0107</t>
        </is>
      </c>
      <c r="B108" s="6" t="n">
        <v>46037</v>
      </c>
      <c r="C108" t="inlineStr">
        <is>
          <t>U-PI696-01-04</t>
        </is>
      </c>
      <c r="D108" t="inlineStr">
        <is>
          <t>Pasir Indah</t>
        </is>
      </c>
      <c r="E108" t="inlineStr">
        <is>
          <t>D. Ong</t>
        </is>
      </c>
      <c r="F108" t="inlineStr">
        <is>
          <t>Routine</t>
        </is>
      </c>
      <c r="G108" t="inlineStr">
        <is>
          <t>NONE</t>
        </is>
      </c>
      <c r="H108" t="inlineStr">
        <is>
          <t>Compliant</t>
        </is>
      </c>
      <c r="I108" s="6" t="n"/>
      <c r="J108" s="6" t="n"/>
      <c r="K108">
        <f>IF(J108="","",J108-B108)</f>
        <v/>
      </c>
      <c r="L108">
        <f>IF(H108="Compliant","N/A",IF(J108&lt;&gt;"","Closed",IF(I108&lt;DATE(2026,9,30),"OVERDUE","Open")))</f>
        <v/>
      </c>
    </row>
    <row r="109">
      <c r="A109" t="inlineStr">
        <is>
          <t>INSP-2026-0108</t>
        </is>
      </c>
      <c r="B109" s="6" t="n">
        <v>46037</v>
      </c>
      <c r="C109" t="inlineStr">
        <is>
          <t>U-CD142-01-03</t>
        </is>
      </c>
      <c r="D109" t="inlineStr">
        <is>
          <t>Cendana</t>
        </is>
      </c>
      <c r="E109" t="inlineStr">
        <is>
          <t>Daniel O.</t>
        </is>
      </c>
      <c r="F109" t="inlineStr">
        <is>
          <t>Routine</t>
        </is>
      </c>
      <c r="G109" t="inlineStr">
        <is>
          <t>NONE</t>
        </is>
      </c>
      <c r="H109" t="inlineStr">
        <is>
          <t>Compliant</t>
        </is>
      </c>
      <c r="I109" s="6" t="n"/>
      <c r="J109" s="6" t="n"/>
      <c r="K109">
        <f>IF(J109="","",J109-B109)</f>
        <v/>
      </c>
      <c r="L109">
        <f>IF(H109="Compliant","N/A",IF(J109&lt;&gt;"","Closed",IF(I109&lt;DATE(2026,9,30),"OVERDUE","Open")))</f>
        <v/>
      </c>
    </row>
    <row r="110">
      <c r="A110" t="inlineStr">
        <is>
          <t>INSP-2026-0109</t>
        </is>
      </c>
      <c r="B110" s="6" t="n">
        <v>46037</v>
      </c>
      <c r="C110" t="inlineStr">
        <is>
          <t>U-RH455-01-25</t>
        </is>
      </c>
      <c r="D110" t="inlineStr">
        <is>
          <t>Rimba Heights</t>
        </is>
      </c>
      <c r="E110" t="inlineStr">
        <is>
          <t>D. Ong</t>
        </is>
      </c>
      <c r="F110" t="inlineStr">
        <is>
          <t>Routine</t>
        </is>
      </c>
      <c r="G110" t="inlineStr">
        <is>
          <t>NONE</t>
        </is>
      </c>
      <c r="H110" t="inlineStr">
        <is>
          <t>Compliant</t>
        </is>
      </c>
      <c r="I110" s="6" t="n"/>
      <c r="J110" s="6" t="n"/>
      <c r="K110">
        <f>IF(J110="","",J110-B110)</f>
        <v/>
      </c>
      <c r="L110">
        <f>IF(H110="Compliant","N/A",IF(J110&lt;&gt;"","Closed",IF(I110&lt;DATE(2026,9,30),"OVERDUE","Open")))</f>
        <v/>
      </c>
    </row>
    <row r="111">
      <c r="A111" t="inlineStr">
        <is>
          <t>INSP-2026-0110</t>
        </is>
      </c>
      <c r="B111" s="6" t="n">
        <v>46037</v>
      </c>
      <c r="C111" t="inlineStr">
        <is>
          <t>U-PI634-01-14</t>
        </is>
      </c>
      <c r="D111" t="inlineStr">
        <is>
          <t>Pasir Indah</t>
        </is>
      </c>
      <c r="E111" t="inlineStr">
        <is>
          <t>daniel ong</t>
        </is>
      </c>
      <c r="F111" t="inlineStr">
        <is>
          <t>Routine</t>
        </is>
      </c>
      <c r="G111" t="inlineStr">
        <is>
          <t>NONE</t>
        </is>
      </c>
      <c r="H111" t="inlineStr">
        <is>
          <t>Compliant</t>
        </is>
      </c>
      <c r="I111" s="6" t="n"/>
      <c r="J111" s="6" t="n"/>
      <c r="K111">
        <f>IF(J111="","",J111-B111)</f>
        <v/>
      </c>
      <c r="L111">
        <f>IF(H111="Compliant","N/A",IF(J111&lt;&gt;"","Closed",IF(I111&lt;DATE(2026,9,30),"OVERDUE","Open")))</f>
        <v/>
      </c>
    </row>
    <row r="112">
      <c r="A112" t="inlineStr">
        <is>
          <t>INSP-2026-0111</t>
        </is>
      </c>
      <c r="B112" s="6" t="n">
        <v>46037</v>
      </c>
      <c r="C112" t="inlineStr">
        <is>
          <t>U-CD142-01-07</t>
        </is>
      </c>
      <c r="D112" t="inlineStr">
        <is>
          <t>Cendana</t>
        </is>
      </c>
      <c r="E112" t="inlineStr">
        <is>
          <t>daniel ong</t>
        </is>
      </c>
      <c r="F112" t="inlineStr">
        <is>
          <t>Follow-up</t>
        </is>
      </c>
      <c r="G112" t="inlineStr">
        <is>
          <t>NONE</t>
        </is>
      </c>
      <c r="H112" t="inlineStr">
        <is>
          <t>Compliant</t>
        </is>
      </c>
      <c r="I112" s="6" t="n"/>
      <c r="J112" s="6" t="n"/>
      <c r="K112">
        <f>IF(J112="","",J112-B112)</f>
        <v/>
      </c>
      <c r="L112">
        <f>IF(H112="Compliant","N/A",IF(J112&lt;&gt;"","Closed",IF(I112&lt;DATE(2026,9,30),"OVERDUE","Open")))</f>
        <v/>
      </c>
    </row>
    <row r="113">
      <c r="A113" t="inlineStr">
        <is>
          <t>INSP-2026-0112</t>
        </is>
      </c>
      <c r="B113" s="6" t="n">
        <v>46037</v>
      </c>
      <c r="C113" t="inlineStr">
        <is>
          <t>U-KR349-01-05</t>
        </is>
      </c>
      <c r="D113" t="inlineStr">
        <is>
          <t>Kebun Raya</t>
        </is>
      </c>
      <c r="E113" t="inlineStr">
        <is>
          <t>B. Ho</t>
        </is>
      </c>
      <c r="F113" t="inlineStr">
        <is>
          <t>Routine</t>
        </is>
      </c>
      <c r="G113" t="inlineStr">
        <is>
          <t>UNAPPROVED_AA</t>
        </is>
      </c>
      <c r="H113" t="inlineStr">
        <is>
          <t>Minor Breach</t>
        </is>
      </c>
      <c r="I113" s="6" t="n">
        <v>46051</v>
      </c>
      <c r="J113" s="6" t="n">
        <v>46056</v>
      </c>
      <c r="K113">
        <f>IF(J113="","",J113-B113)</f>
        <v/>
      </c>
      <c r="L113">
        <f>IF(H113="Compliant","N/A",IF(J113&lt;&gt;"","Closed",IF(I113&lt;DATE(2026,9,30),"OVERDUE","Open")))</f>
        <v/>
      </c>
    </row>
    <row r="114">
      <c r="A114" t="inlineStr">
        <is>
          <t>INSP-2026-0113</t>
        </is>
      </c>
      <c r="B114" s="6" t="n">
        <v>46037</v>
      </c>
      <c r="C114" t="inlineStr">
        <is>
          <t>U-CD108-02-03</t>
        </is>
      </c>
      <c r="D114" t="inlineStr">
        <is>
          <t>Cendana</t>
        </is>
      </c>
      <c r="E114" t="inlineStr">
        <is>
          <t>D. Ong</t>
        </is>
      </c>
      <c r="F114" t="inlineStr">
        <is>
          <t>Follow-up</t>
        </is>
      </c>
      <c r="G114" t="inlineStr">
        <is>
          <t>DISPLAY_ENCROACH</t>
        </is>
      </c>
      <c r="H114" t="inlineStr">
        <is>
          <t>Minor Breach</t>
        </is>
      </c>
      <c r="I114" s="6" t="n">
        <v>46051</v>
      </c>
      <c r="J114" s="6" t="n">
        <v>46058</v>
      </c>
      <c r="K114">
        <f>IF(J114="","",J114-B114)</f>
        <v/>
      </c>
      <c r="L114">
        <f>IF(H114="Compliant","N/A",IF(J114&lt;&gt;"","Closed",IF(I114&lt;DATE(2026,9,30),"OVERDUE","Open")))</f>
        <v/>
      </c>
    </row>
    <row r="115">
      <c r="A115" t="inlineStr">
        <is>
          <t>INSP-2026-0114</t>
        </is>
      </c>
      <c r="B115" s="6" t="n">
        <v>46038</v>
      </c>
      <c r="C115" t="inlineStr">
        <is>
          <t>U-ST518-01-02</t>
        </is>
      </c>
      <c r="D115" t="inlineStr">
        <is>
          <t>Sungai Tinggi</t>
        </is>
      </c>
      <c r="E115" t="inlineStr">
        <is>
          <t>Daniel O.</t>
        </is>
      </c>
      <c r="F115" t="inlineStr">
        <is>
          <t>Routine</t>
        </is>
      </c>
      <c r="G115" t="inlineStr">
        <is>
          <t>NONE</t>
        </is>
      </c>
      <c r="H115" t="inlineStr">
        <is>
          <t>Compliant</t>
        </is>
      </c>
      <c r="I115" s="6" t="n"/>
      <c r="J115" s="6" t="n"/>
      <c r="K115">
        <f>IF(J115="","",J115-B115)</f>
        <v/>
      </c>
      <c r="L115">
        <f>IF(H115="Compliant","N/A",IF(J115&lt;&gt;"","Closed",IF(I115&lt;DATE(2026,9,30),"OVERDUE","Open")))</f>
        <v/>
      </c>
    </row>
    <row r="116">
      <c r="A116" t="inlineStr">
        <is>
          <t>INSP-2026-0115</t>
        </is>
      </c>
      <c r="B116" s="6" t="n">
        <v>46038</v>
      </c>
      <c r="C116" t="inlineStr">
        <is>
          <t>U-BV290-01-06</t>
        </is>
      </c>
      <c r="D116" t="inlineStr">
        <is>
          <t>Bayshore Vale</t>
        </is>
      </c>
      <c r="E116" t="inlineStr">
        <is>
          <t>Marcus Lim</t>
        </is>
      </c>
      <c r="F116" t="inlineStr">
        <is>
          <t>Routine</t>
        </is>
      </c>
      <c r="G116" t="inlineStr">
        <is>
          <t>HYGIENE</t>
        </is>
      </c>
      <c r="H116" t="inlineStr">
        <is>
          <t>Minor Breach</t>
        </is>
      </c>
      <c r="I116" s="6" t="n">
        <v>46052</v>
      </c>
      <c r="J116" s="6" t="n"/>
      <c r="K116">
        <f>IF(J116="","",J116-B116)</f>
        <v/>
      </c>
      <c r="L116">
        <f>IF(H116="Compliant","N/A",IF(J116&lt;&gt;"","Closed",IF(I116&lt;DATE(2026,9,30),"OVERDUE","Open")))</f>
        <v/>
      </c>
    </row>
    <row r="117">
      <c r="A117" t="inlineStr">
        <is>
          <t>INSP-2026-0116</t>
        </is>
      </c>
      <c r="B117" s="6" t="n">
        <v>46038</v>
      </c>
      <c r="C117" t="inlineStr">
        <is>
          <t>U-CD135-01-08</t>
        </is>
      </c>
      <c r="D117" t="inlineStr">
        <is>
          <t>Cendana</t>
        </is>
      </c>
      <c r="E117" t="inlineStr">
        <is>
          <t>marcus</t>
        </is>
      </c>
      <c r="F117" t="inlineStr">
        <is>
          <t>Follow-up</t>
        </is>
      </c>
      <c r="G117" t="inlineStr">
        <is>
          <t>NONE</t>
        </is>
      </c>
      <c r="H117" t="inlineStr">
        <is>
          <t>Compliant</t>
        </is>
      </c>
      <c r="I117" s="6" t="n"/>
      <c r="J117" s="6" t="n"/>
      <c r="K117">
        <f>IF(J117="","",J117-B117)</f>
        <v/>
      </c>
      <c r="L117">
        <f>IF(H117="Compliant","N/A",IF(J117&lt;&gt;"","Closed",IF(I117&lt;DATE(2026,9,30),"OVERDUE","Open")))</f>
        <v/>
      </c>
    </row>
    <row r="118">
      <c r="A118" t="inlineStr">
        <is>
          <t>INSP-2026-0117</t>
        </is>
      </c>
      <c r="B118" s="6" t="n">
        <v>46038</v>
      </c>
      <c r="C118" t="inlineStr">
        <is>
          <t>U-ST518-02-05</t>
        </is>
      </c>
      <c r="D118" t="inlineStr">
        <is>
          <t>Sungai Tinggi</t>
        </is>
      </c>
      <c r="E118" t="inlineStr">
        <is>
          <t>Daniel O.</t>
        </is>
      </c>
      <c r="F118" t="inlineStr">
        <is>
          <t>Routine</t>
        </is>
      </c>
      <c r="G118" t="inlineStr">
        <is>
          <t>NONE</t>
        </is>
      </c>
      <c r="H118" t="inlineStr">
        <is>
          <t>Compliant</t>
        </is>
      </c>
      <c r="I118" s="6" t="n"/>
      <c r="J118" s="6" t="n"/>
      <c r="K118">
        <f>IF(J118="","",J118-B118)</f>
        <v/>
      </c>
      <c r="L118">
        <f>IF(H118="Compliant","N/A",IF(J118&lt;&gt;"","Closed",IF(I118&lt;DATE(2026,9,30),"OVERDUE","Open")))</f>
        <v/>
      </c>
    </row>
    <row r="119">
      <c r="A119" t="inlineStr">
        <is>
          <t>INSP-2026-0118</t>
        </is>
      </c>
      <c r="B119" s="6" t="n">
        <v>46039</v>
      </c>
      <c r="C119" t="inlineStr">
        <is>
          <t>U-RH484-01-11</t>
        </is>
      </c>
      <c r="D119" t="inlineStr">
        <is>
          <t>Rimba Heights</t>
        </is>
      </c>
      <c r="E119" t="inlineStr">
        <is>
          <t>Daniel Ong</t>
        </is>
      </c>
      <c r="F119" t="inlineStr">
        <is>
          <t>Routine</t>
        </is>
      </c>
      <c r="G119" t="inlineStr">
        <is>
          <t>NONE</t>
        </is>
      </c>
      <c r="H119" t="inlineStr">
        <is>
          <t>Compliant</t>
        </is>
      </c>
      <c r="I119" s="6" t="n"/>
      <c r="J119" s="6" t="n"/>
      <c r="K119">
        <f>IF(J119="","",J119-B119)</f>
        <v/>
      </c>
      <c r="L119">
        <f>IF(H119="Compliant","N/A",IF(J119&lt;&gt;"","Closed",IF(I119&lt;DATE(2026,9,30),"OVERDUE","Open")))</f>
        <v/>
      </c>
    </row>
    <row r="120">
      <c r="A120" t="inlineStr">
        <is>
          <t>INSP-2026-0119</t>
        </is>
      </c>
      <c r="B120" s="6" t="n">
        <v>46039</v>
      </c>
      <c r="C120" t="inlineStr">
        <is>
          <t>U-CD142-01-06</t>
        </is>
      </c>
      <c r="D120" t="inlineStr">
        <is>
          <t>Cendana</t>
        </is>
      </c>
      <c r="E120" t="inlineStr">
        <is>
          <t>D. Ong</t>
        </is>
      </c>
      <c r="F120" t="inlineStr">
        <is>
          <t>Routine</t>
        </is>
      </c>
      <c r="G120" t="inlineStr">
        <is>
          <t>NONE</t>
        </is>
      </c>
      <c r="H120" t="inlineStr">
        <is>
          <t>Compliant</t>
        </is>
      </c>
      <c r="I120" s="6" t="n"/>
      <c r="J120" s="6" t="n"/>
      <c r="K120">
        <f>IF(J120="","",J120-B120)</f>
        <v/>
      </c>
      <c r="L120">
        <f>IF(H120="Compliant","N/A",IF(J120&lt;&gt;"","Closed",IF(I120&lt;DATE(2026,9,30),"OVERDUE","Open")))</f>
        <v/>
      </c>
    </row>
    <row r="121">
      <c r="A121" t="inlineStr">
        <is>
          <t>INSP-2026-0120</t>
        </is>
      </c>
      <c r="B121" s="6" t="n">
        <v>46039</v>
      </c>
      <c r="C121" t="inlineStr">
        <is>
          <t>U-PI626-01-08</t>
        </is>
      </c>
      <c r="D121" t="inlineStr">
        <is>
          <t>Pasir Indah</t>
        </is>
      </c>
      <c r="E121" t="inlineStr">
        <is>
          <t>Daniel O.</t>
        </is>
      </c>
      <c r="F121" t="inlineStr">
        <is>
          <t>Routine</t>
        </is>
      </c>
      <c r="G121" t="inlineStr">
        <is>
          <t>NONE</t>
        </is>
      </c>
      <c r="H121" t="inlineStr">
        <is>
          <t>Compliant</t>
        </is>
      </c>
      <c r="I121" s="6" t="n"/>
      <c r="J121" s="6" t="n"/>
      <c r="K121">
        <f>IF(J121="","",J121-B121)</f>
        <v/>
      </c>
      <c r="L121">
        <f>IF(H121="Compliant","N/A",IF(J121&lt;&gt;"","Closed",IF(I121&lt;DATE(2026,9,30),"OVERDUE","Open")))</f>
        <v/>
      </c>
    </row>
    <row r="122">
      <c r="A122" t="inlineStr">
        <is>
          <t>INSP-2026-0121</t>
        </is>
      </c>
      <c r="B122" s="6" t="n">
        <v>46039</v>
      </c>
      <c r="C122" t="inlineStr">
        <is>
          <t>U-BV290-01-11</t>
        </is>
      </c>
      <c r="D122" t="inlineStr">
        <is>
          <t>Bayshore Vale</t>
        </is>
      </c>
      <c r="E122" t="inlineStr">
        <is>
          <t>daniel ong</t>
        </is>
      </c>
      <c r="F122" t="inlineStr">
        <is>
          <t>Routine</t>
        </is>
      </c>
      <c r="G122" t="inlineStr">
        <is>
          <t>NONE</t>
        </is>
      </c>
      <c r="H122" t="inlineStr">
        <is>
          <t>Compliant</t>
        </is>
      </c>
      <c r="I122" s="6" t="n"/>
      <c r="J122" s="6" t="n"/>
      <c r="K122">
        <f>IF(J122="","",J122-B122)</f>
        <v/>
      </c>
      <c r="L122">
        <f>IF(H122="Compliant","N/A",IF(J122&lt;&gt;"","Closed",IF(I122&lt;DATE(2026,9,30),"OVERDUE","Open")))</f>
        <v/>
      </c>
    </row>
    <row r="123">
      <c r="A123" t="inlineStr">
        <is>
          <t>INSP-2026-0122</t>
        </is>
      </c>
      <c r="B123" s="6" t="n">
        <v>46039</v>
      </c>
      <c r="C123" t="inlineStr">
        <is>
          <t>U-RH485-02-06</t>
        </is>
      </c>
      <c r="D123" t="inlineStr">
        <is>
          <t>Rimba Heights</t>
        </is>
      </c>
      <c r="E123" t="inlineStr">
        <is>
          <t>D. Ong</t>
        </is>
      </c>
      <c r="F123" t="inlineStr">
        <is>
          <t>Routine</t>
        </is>
      </c>
      <c r="G123" t="inlineStr">
        <is>
          <t>NONE</t>
        </is>
      </c>
      <c r="H123" t="inlineStr">
        <is>
          <t>Compliant</t>
        </is>
      </c>
      <c r="I123" s="6" t="n"/>
      <c r="J123" s="6" t="n"/>
      <c r="K123">
        <f>IF(J123="","",J123-B123)</f>
        <v/>
      </c>
      <c r="L123">
        <f>IF(H123="Compliant","N/A",IF(J123&lt;&gt;"","Closed",IF(I123&lt;DATE(2026,9,30),"OVERDUE","Open")))</f>
        <v/>
      </c>
    </row>
    <row r="124">
      <c r="A124" t="inlineStr">
        <is>
          <t>INSP-2026-0123</t>
        </is>
      </c>
      <c r="B124" s="6" t="n">
        <v>46039</v>
      </c>
      <c r="C124" t="inlineStr">
        <is>
          <t>U-BV205-01-13</t>
        </is>
      </c>
      <c r="D124" t="inlineStr">
        <is>
          <t>Bayshore Vale</t>
        </is>
      </c>
      <c r="E124" t="inlineStr">
        <is>
          <t>marcus</t>
        </is>
      </c>
      <c r="F124" t="inlineStr">
        <is>
          <t>Routine</t>
        </is>
      </c>
      <c r="G124" t="inlineStr">
        <is>
          <t>UNAUTH_SUBLET</t>
        </is>
      </c>
      <c r="H124" t="inlineStr">
        <is>
          <t>Major Breach</t>
        </is>
      </c>
      <c r="I124" s="6" t="n">
        <v>46046</v>
      </c>
      <c r="J124" s="6" t="n">
        <v>46050</v>
      </c>
      <c r="K124">
        <f>IF(J124="","",J124-B124)</f>
        <v/>
      </c>
      <c r="L124">
        <f>IF(H124="Compliant","N/A",IF(J124&lt;&gt;"","Closed",IF(I124&lt;DATE(2026,9,30),"OVERDUE","Open")))</f>
        <v/>
      </c>
    </row>
    <row r="125">
      <c r="A125" t="inlineStr">
        <is>
          <t>INSP-2026-0124</t>
        </is>
      </c>
      <c r="B125" s="6" t="n">
        <v>46039</v>
      </c>
      <c r="C125" t="inlineStr">
        <is>
          <t>U-PI615-01-13</t>
        </is>
      </c>
      <c r="D125" t="inlineStr">
        <is>
          <t>Pasir Indah</t>
        </is>
      </c>
      <c r="E125" t="inlineStr">
        <is>
          <t>Marcus Lim</t>
        </is>
      </c>
      <c r="F125" t="inlineStr">
        <is>
          <t>Routine</t>
        </is>
      </c>
      <c r="G125" t="inlineStr">
        <is>
          <t>FIRE_SAFETY</t>
        </is>
      </c>
      <c r="H125" t="inlineStr">
        <is>
          <t>Major Breach</t>
        </is>
      </c>
      <c r="I125" s="6" t="n">
        <v>46046</v>
      </c>
      <c r="J125" s="6" t="n">
        <v>46051</v>
      </c>
      <c r="K125">
        <f>IF(J125="","",J125-B125)</f>
        <v/>
      </c>
      <c r="L125">
        <f>IF(H125="Compliant","N/A",IF(J125&lt;&gt;"","Closed",IF(I125&lt;DATE(2026,9,30),"OVERDUE","Open")))</f>
        <v/>
      </c>
    </row>
    <row r="126">
      <c r="A126" t="inlineStr">
        <is>
          <t>INSP-2026-0125</t>
        </is>
      </c>
      <c r="B126" s="6" t="n">
        <v>46039</v>
      </c>
      <c r="C126" t="inlineStr">
        <is>
          <t>U-BV229-01-09</t>
        </is>
      </c>
      <c r="D126" t="inlineStr">
        <is>
          <t>Bayshore Vale</t>
        </is>
      </c>
      <c r="E126" t="inlineStr">
        <is>
          <t>M. Lim</t>
        </is>
      </c>
      <c r="F126" t="inlineStr">
        <is>
          <t>Routine</t>
        </is>
      </c>
      <c r="G126" t="inlineStr">
        <is>
          <t>NONE</t>
        </is>
      </c>
      <c r="H126" t="inlineStr">
        <is>
          <t>Compliant</t>
        </is>
      </c>
      <c r="I126" s="6" t="n"/>
      <c r="J126" s="6" t="n"/>
      <c r="K126">
        <f>IF(J126="","",J126-B126)</f>
        <v/>
      </c>
      <c r="L126">
        <f>IF(H126="Compliant","N/A",IF(J126&lt;&gt;"","Closed",IF(I126&lt;DATE(2026,9,30),"OVERDUE","Open")))</f>
        <v/>
      </c>
    </row>
    <row r="127">
      <c r="A127" t="inlineStr">
        <is>
          <t>INSP-2026-0126</t>
        </is>
      </c>
      <c r="B127" s="6" t="n">
        <v>46039</v>
      </c>
      <c r="C127" t="inlineStr">
        <is>
          <t>U-PI627-01-21</t>
        </is>
      </c>
      <c r="D127" t="inlineStr">
        <is>
          <t>Pasir Indah</t>
        </is>
      </c>
      <c r="E127" t="inlineStr">
        <is>
          <t>Daniel O.</t>
        </is>
      </c>
      <c r="F127" t="inlineStr">
        <is>
          <t>Routine</t>
        </is>
      </c>
      <c r="G127" t="inlineStr">
        <is>
          <t>UNAUTH_TRADE</t>
        </is>
      </c>
      <c r="H127" t="inlineStr">
        <is>
          <t>Major Breach</t>
        </is>
      </c>
      <c r="I127" s="6" t="n">
        <v>46046</v>
      </c>
      <c r="J127" s="6" t="n"/>
      <c r="K127">
        <f>IF(J127="","",J127-B127)</f>
        <v/>
      </c>
      <c r="L127">
        <f>IF(H127="Compliant","N/A",IF(J127&lt;&gt;"","Closed",IF(I127&lt;DATE(2026,9,30),"OVERDUE","Open")))</f>
        <v/>
      </c>
    </row>
    <row r="128">
      <c r="A128" t="inlineStr">
        <is>
          <t>INSP-2026-0127</t>
        </is>
      </c>
      <c r="B128" s="6" t="n">
        <v>46040</v>
      </c>
      <c r="C128" t="inlineStr">
        <is>
          <t>U-BV273-01-08</t>
        </is>
      </c>
      <c r="D128" t="inlineStr">
        <is>
          <t>Bayshore Vale</t>
        </is>
      </c>
      <c r="E128" t="inlineStr">
        <is>
          <t>marcus</t>
        </is>
      </c>
      <c r="F128" t="inlineStr">
        <is>
          <t>Routine</t>
        </is>
      </c>
      <c r="G128" t="inlineStr">
        <is>
          <t>NONE</t>
        </is>
      </c>
      <c r="H128" t="inlineStr">
        <is>
          <t>Compliant</t>
        </is>
      </c>
      <c r="I128" s="6" t="n"/>
      <c r="J128" s="6" t="n"/>
      <c r="K128">
        <f>IF(J128="","",J128-B128)</f>
        <v/>
      </c>
      <c r="L128">
        <f>IF(H128="Compliant","N/A",IF(J128&lt;&gt;"","Closed",IF(I128&lt;DATE(2026,9,30),"OVERDUE","Open")))</f>
        <v/>
      </c>
    </row>
    <row r="129">
      <c r="A129" t="inlineStr">
        <is>
          <t>INSP-2026-0128</t>
        </is>
      </c>
      <c r="B129" s="6" t="n">
        <v>46040</v>
      </c>
      <c r="C129" t="inlineStr">
        <is>
          <t>U-KR329-01-11</t>
        </is>
      </c>
      <c r="D129" t="inlineStr">
        <is>
          <t>Kebun Raya</t>
        </is>
      </c>
      <c r="E129" t="inlineStr">
        <is>
          <t>Daniel Ong</t>
        </is>
      </c>
      <c r="F129" t="inlineStr">
        <is>
          <t>Complaint-driven</t>
        </is>
      </c>
      <c r="G129" t="inlineStr">
        <is>
          <t>NONE</t>
        </is>
      </c>
      <c r="H129" t="inlineStr">
        <is>
          <t>Compliant</t>
        </is>
      </c>
      <c r="I129" s="6" t="n"/>
      <c r="J129" s="6" t="n"/>
      <c r="K129">
        <f>IF(J129="","",J129-B129)</f>
        <v/>
      </c>
      <c r="L129">
        <f>IF(H129="Compliant","N/A",IF(J129&lt;&gt;"","Closed",IF(I129&lt;DATE(2026,9,30),"OVERDUE","Open")))</f>
        <v/>
      </c>
    </row>
    <row r="130">
      <c r="A130" t="inlineStr">
        <is>
          <t>INSP-2026-0129</t>
        </is>
      </c>
      <c r="B130" s="6" t="n">
        <v>46040</v>
      </c>
      <c r="C130" t="inlineStr">
        <is>
          <t>U-KR335-01-08</t>
        </is>
      </c>
      <c r="D130" t="inlineStr">
        <is>
          <t>Kebun Raya</t>
        </is>
      </c>
      <c r="E130" t="inlineStr">
        <is>
          <t>Ben Ho</t>
        </is>
      </c>
      <c r="F130" t="inlineStr">
        <is>
          <t>Routine</t>
        </is>
      </c>
      <c r="G130" t="inlineStr">
        <is>
          <t>NONE</t>
        </is>
      </c>
      <c r="H130" t="inlineStr">
        <is>
          <t>Compliant</t>
        </is>
      </c>
      <c r="I130" s="6" t="n"/>
      <c r="J130" s="6" t="n"/>
      <c r="K130">
        <f>IF(J130="","",J130-B130)</f>
        <v/>
      </c>
      <c r="L130">
        <f>IF(H130="Compliant","N/A",IF(J130&lt;&gt;"","Closed",IF(I130&lt;DATE(2026,9,30),"OVERDUE","Open")))</f>
        <v/>
      </c>
    </row>
    <row r="131">
      <c r="A131" t="inlineStr">
        <is>
          <t>INSP-2026-0130</t>
        </is>
      </c>
      <c r="B131" s="6" t="n">
        <v>46040</v>
      </c>
      <c r="C131" t="inlineStr">
        <is>
          <t>U-PI627-01-06</t>
        </is>
      </c>
      <c r="D131" t="inlineStr">
        <is>
          <t>Pasir Indah</t>
        </is>
      </c>
      <c r="E131" t="inlineStr">
        <is>
          <t>marcus</t>
        </is>
      </c>
      <c r="F131" t="inlineStr">
        <is>
          <t>Routine</t>
        </is>
      </c>
      <c r="G131" t="inlineStr">
        <is>
          <t>NONE</t>
        </is>
      </c>
      <c r="H131" t="inlineStr">
        <is>
          <t>Compliant</t>
        </is>
      </c>
      <c r="I131" s="6" t="n"/>
      <c r="J131" s="6" t="n"/>
      <c r="K131">
        <f>IF(J131="","",J131-B131)</f>
        <v/>
      </c>
      <c r="L131">
        <f>IF(H131="Compliant","N/A",IF(J131&lt;&gt;"","Closed",IF(I131&lt;DATE(2026,9,30),"OVERDUE","Open")))</f>
        <v/>
      </c>
    </row>
    <row r="132">
      <c r="A132" t="inlineStr">
        <is>
          <t>INSP-2026-0131</t>
        </is>
      </c>
      <c r="B132" s="6" t="n">
        <v>46040</v>
      </c>
      <c r="C132" t="inlineStr">
        <is>
          <t>U-ST536-01-03</t>
        </is>
      </c>
      <c r="D132" t="inlineStr">
        <is>
          <t>Sungai Tinggi</t>
        </is>
      </c>
      <c r="E132" t="inlineStr">
        <is>
          <t>Ben Ho</t>
        </is>
      </c>
      <c r="F132" t="inlineStr">
        <is>
          <t>Follow-up</t>
        </is>
      </c>
      <c r="G132" t="inlineStr">
        <is>
          <t>HYGIENE</t>
        </is>
      </c>
      <c r="H132" t="inlineStr">
        <is>
          <t>Minor Breach</t>
        </is>
      </c>
      <c r="I132" s="6" t="n">
        <v>46054</v>
      </c>
      <c r="J132" s="6" t="n">
        <v>46063</v>
      </c>
      <c r="K132">
        <f>IF(J132="","",J132-B132)</f>
        <v/>
      </c>
      <c r="L132">
        <f>IF(H132="Compliant","N/A",IF(J132&lt;&gt;"","Closed",IF(I132&lt;DATE(2026,9,30),"OVERDUE","Open")))</f>
        <v/>
      </c>
    </row>
    <row r="133">
      <c r="A133" t="inlineStr">
        <is>
          <t>INSP-2026-0132</t>
        </is>
      </c>
      <c r="B133" s="6" t="n">
        <v>46040</v>
      </c>
      <c r="C133" t="inlineStr">
        <is>
          <t>U-CD181-01-07</t>
        </is>
      </c>
      <c r="D133" t="inlineStr">
        <is>
          <t>Cendana</t>
        </is>
      </c>
      <c r="E133" t="inlineStr">
        <is>
          <t>D. Ong</t>
        </is>
      </c>
      <c r="F133" t="inlineStr">
        <is>
          <t>Routine</t>
        </is>
      </c>
      <c r="G133" t="inlineStr">
        <is>
          <t>NONE</t>
        </is>
      </c>
      <c r="H133" t="inlineStr">
        <is>
          <t>Compliant</t>
        </is>
      </c>
      <c r="I133" s="6" t="n"/>
      <c r="J133" s="6" t="n"/>
      <c r="K133">
        <f>IF(J133="","",J133-B133)</f>
        <v/>
      </c>
      <c r="L133">
        <f>IF(H133="Compliant","N/A",IF(J133&lt;&gt;"","Closed",IF(I133&lt;DATE(2026,9,30),"OVERDUE","Open")))</f>
        <v/>
      </c>
    </row>
    <row r="134">
      <c r="A134" t="inlineStr">
        <is>
          <t>INSP-2026-0133</t>
        </is>
      </c>
      <c r="B134" s="6" t="n">
        <v>46040</v>
      </c>
      <c r="C134" t="inlineStr">
        <is>
          <t>U-ST518-01-04</t>
        </is>
      </c>
      <c r="D134" t="inlineStr">
        <is>
          <t>Sungai Tinggi</t>
        </is>
      </c>
      <c r="E134" t="inlineStr">
        <is>
          <t>Daniel O.</t>
        </is>
      </c>
      <c r="F134" t="inlineStr">
        <is>
          <t>Routine</t>
        </is>
      </c>
      <c r="G134" t="inlineStr">
        <is>
          <t>STRUCTURAL_DEFECT</t>
        </is>
      </c>
      <c r="H134" t="inlineStr">
        <is>
          <t>Major Breach</t>
        </is>
      </c>
      <c r="I134" s="6" t="n">
        <v>46047</v>
      </c>
      <c r="J134" s="6" t="n">
        <v>46042</v>
      </c>
      <c r="K134">
        <f>IF(J134="","",J134-B134)</f>
        <v/>
      </c>
      <c r="L134">
        <f>IF(H134="Compliant","N/A",IF(J134&lt;&gt;"","Closed",IF(I134&lt;DATE(2026,9,30),"OVERDUE","Open")))</f>
        <v/>
      </c>
    </row>
    <row r="135">
      <c r="A135" t="inlineStr">
        <is>
          <t>INSP-2026-0134</t>
        </is>
      </c>
      <c r="B135" s="6" t="n">
        <v>46041</v>
      </c>
      <c r="C135" t="inlineStr">
        <is>
          <t>U-BV296-01-03</t>
        </is>
      </c>
      <c r="D135" t="inlineStr">
        <is>
          <t>Bayshore Vale</t>
        </is>
      </c>
      <c r="E135" t="inlineStr">
        <is>
          <t>D. Ong</t>
        </is>
      </c>
      <c r="F135" t="inlineStr">
        <is>
          <t>Routine</t>
        </is>
      </c>
      <c r="G135" t="inlineStr">
        <is>
          <t>DISPLAY_ENCROACH</t>
        </is>
      </c>
      <c r="H135" t="inlineStr">
        <is>
          <t>Minor Breach</t>
        </is>
      </c>
      <c r="I135" s="6" t="n">
        <v>46055</v>
      </c>
      <c r="J135" s="6" t="n">
        <v>46051</v>
      </c>
      <c r="K135">
        <f>IF(J135="","",J135-B135)</f>
        <v/>
      </c>
      <c r="L135">
        <f>IF(H135="Compliant","N/A",IF(J135&lt;&gt;"","Closed",IF(I135&lt;DATE(2026,9,30),"OVERDUE","Open")))</f>
        <v/>
      </c>
    </row>
    <row r="136">
      <c r="A136" t="inlineStr">
        <is>
          <t>INSP-2026-0135</t>
        </is>
      </c>
      <c r="B136" s="6" t="n">
        <v>46041</v>
      </c>
      <c r="C136" t="inlineStr">
        <is>
          <t>U-RH486-01-07</t>
        </is>
      </c>
      <c r="D136" t="inlineStr">
        <is>
          <t>Rimba Heights</t>
        </is>
      </c>
      <c r="E136" t="inlineStr">
        <is>
          <t>D. Ong</t>
        </is>
      </c>
      <c r="F136" t="inlineStr">
        <is>
          <t>Routine</t>
        </is>
      </c>
      <c r="G136" t="inlineStr">
        <is>
          <t>NONE</t>
        </is>
      </c>
      <c r="H136" t="inlineStr">
        <is>
          <t>Compliant</t>
        </is>
      </c>
      <c r="I136" s="6" t="n"/>
      <c r="J136" s="6" t="n"/>
      <c r="K136">
        <f>IF(J136="","",J136-B136)</f>
        <v/>
      </c>
      <c r="L136">
        <f>IF(H136="Compliant","N/A",IF(J136&lt;&gt;"","Closed",IF(I136&lt;DATE(2026,9,30),"OVERDUE","Open")))</f>
        <v/>
      </c>
    </row>
    <row r="137">
      <c r="A137" t="inlineStr">
        <is>
          <t>INSP-2026-0136</t>
        </is>
      </c>
      <c r="B137" s="6" t="n">
        <v>46041</v>
      </c>
      <c r="C137" t="inlineStr">
        <is>
          <t>U-KR341-01-08</t>
        </is>
      </c>
      <c r="D137" t="inlineStr">
        <is>
          <t>Kebun Raya</t>
        </is>
      </c>
      <c r="E137" t="inlineStr">
        <is>
          <t>Ben Ho</t>
        </is>
      </c>
      <c r="F137" t="inlineStr">
        <is>
          <t>Follow-up</t>
        </is>
      </c>
      <c r="G137" t="inlineStr">
        <is>
          <t>NONE</t>
        </is>
      </c>
      <c r="H137" t="inlineStr">
        <is>
          <t>Compliant</t>
        </is>
      </c>
      <c r="I137" s="6" t="n"/>
      <c r="J137" s="6" t="n"/>
      <c r="K137">
        <f>IF(J137="","",J137-B137)</f>
        <v/>
      </c>
      <c r="L137">
        <f>IF(H137="Compliant","N/A",IF(J137&lt;&gt;"","Closed",IF(I137&lt;DATE(2026,9,30),"OVERDUE","Open")))</f>
        <v/>
      </c>
    </row>
    <row r="138">
      <c r="A138" t="inlineStr">
        <is>
          <t>INSP-2026-0137</t>
        </is>
      </c>
      <c r="B138" s="6" t="n">
        <v>46041</v>
      </c>
      <c r="C138" t="inlineStr">
        <is>
          <t>U-RH450-01-01</t>
        </is>
      </c>
      <c r="D138" t="inlineStr">
        <is>
          <t>Rimba Heights</t>
        </is>
      </c>
      <c r="E138" t="inlineStr">
        <is>
          <t>Benjamin Ho</t>
        </is>
      </c>
      <c r="F138" t="inlineStr">
        <is>
          <t>Routine</t>
        </is>
      </c>
      <c r="G138" t="inlineStr">
        <is>
          <t>NONE</t>
        </is>
      </c>
      <c r="H138" t="inlineStr">
        <is>
          <t>Compliant</t>
        </is>
      </c>
      <c r="I138" s="6" t="n"/>
      <c r="J138" s="6" t="n"/>
      <c r="K138">
        <f>IF(J138="","",J138-B138)</f>
        <v/>
      </c>
      <c r="L138">
        <f>IF(H138="Compliant","N/A",IF(J138&lt;&gt;"","Closed",IF(I138&lt;DATE(2026,9,30),"OVERDUE","Open")))</f>
        <v/>
      </c>
    </row>
    <row r="139">
      <c r="A139" t="inlineStr">
        <is>
          <t>INSP-2026-0138</t>
        </is>
      </c>
      <c r="B139" s="6" t="n">
        <v>46042</v>
      </c>
      <c r="C139" t="inlineStr">
        <is>
          <t>U-RH455-01-08</t>
        </is>
      </c>
      <c r="D139" t="inlineStr">
        <is>
          <t>Rimba Heights</t>
        </is>
      </c>
      <c r="E139" t="inlineStr">
        <is>
          <t>Benjamin Ho</t>
        </is>
      </c>
      <c r="F139" t="inlineStr">
        <is>
          <t>Routine</t>
        </is>
      </c>
      <c r="G139" t="inlineStr">
        <is>
          <t>NONE</t>
        </is>
      </c>
      <c r="H139" t="inlineStr">
        <is>
          <t>Compliant</t>
        </is>
      </c>
      <c r="I139" s="6" t="n"/>
      <c r="J139" s="6" t="n"/>
      <c r="K139">
        <f>IF(J139="","",J139-B139)</f>
        <v/>
      </c>
      <c r="L139">
        <f>IF(H139="Compliant","N/A",IF(J139&lt;&gt;"","Closed",IF(I139&lt;DATE(2026,9,30),"OVERDUE","Open")))</f>
        <v/>
      </c>
    </row>
    <row r="140">
      <c r="A140" t="inlineStr">
        <is>
          <t>INSP-2026-0139</t>
        </is>
      </c>
      <c r="B140" s="6" t="n">
        <v>46042</v>
      </c>
      <c r="C140" t="inlineStr">
        <is>
          <t>U-PI609-01-07</t>
        </is>
      </c>
      <c r="D140" t="inlineStr">
        <is>
          <t>Pasir Indah</t>
        </is>
      </c>
      <c r="E140" t="inlineStr">
        <is>
          <t>D. Ong</t>
        </is>
      </c>
      <c r="F140" t="inlineStr">
        <is>
          <t>Complaint-driven</t>
        </is>
      </c>
      <c r="G140" t="inlineStr">
        <is>
          <t>NONE</t>
        </is>
      </c>
      <c r="H140" t="inlineStr">
        <is>
          <t>Compliant</t>
        </is>
      </c>
      <c r="I140" s="6" t="n"/>
      <c r="J140" s="6" t="n"/>
      <c r="K140">
        <f>IF(J140="","",J140-B140)</f>
        <v/>
      </c>
      <c r="L140">
        <f>IF(H140="Compliant","N/A",IF(J140&lt;&gt;"","Closed",IF(I140&lt;DATE(2026,9,30),"OVERDUE","Open")))</f>
        <v/>
      </c>
    </row>
    <row r="141">
      <c r="A141" t="inlineStr">
        <is>
          <t>INSP-2026-0140</t>
        </is>
      </c>
      <c r="B141" s="6" t="n">
        <v>46042</v>
      </c>
      <c r="C141" t="inlineStr">
        <is>
          <t>U-RH455-01-28</t>
        </is>
      </c>
      <c r="D141" t="inlineStr">
        <is>
          <t>Rimba Heights</t>
        </is>
      </c>
      <c r="E141" t="inlineStr">
        <is>
          <t>Daniel Ong</t>
        </is>
      </c>
      <c r="F141" t="inlineStr">
        <is>
          <t>Routine</t>
        </is>
      </c>
      <c r="G141" t="inlineStr">
        <is>
          <t>NONE</t>
        </is>
      </c>
      <c r="H141" t="inlineStr">
        <is>
          <t>Compliant</t>
        </is>
      </c>
      <c r="I141" s="6" t="n"/>
      <c r="J141" s="6" t="n"/>
      <c r="K141">
        <f>IF(J141="","",J141-B141)</f>
        <v/>
      </c>
      <c r="L141">
        <f>IF(H141="Compliant","N/A",IF(J141&lt;&gt;"","Closed",IF(I141&lt;DATE(2026,9,30),"OVERDUE","Open")))</f>
        <v/>
      </c>
    </row>
    <row r="142">
      <c r="A142" t="inlineStr">
        <is>
          <t>INSP-2026-0141</t>
        </is>
      </c>
      <c r="B142" s="6" t="n">
        <v>46043</v>
      </c>
      <c r="C142" t="inlineStr">
        <is>
          <t>U-CD174-01-11</t>
        </is>
      </c>
      <c r="D142" t="inlineStr">
        <is>
          <t>Cendana</t>
        </is>
      </c>
      <c r="E142" t="inlineStr">
        <is>
          <t>marcus</t>
        </is>
      </c>
      <c r="F142" t="inlineStr">
        <is>
          <t>Routine</t>
        </is>
      </c>
      <c r="G142" t="inlineStr">
        <is>
          <t>NONE</t>
        </is>
      </c>
      <c r="H142" t="inlineStr">
        <is>
          <t>Compliant</t>
        </is>
      </c>
      <c r="I142" s="6" t="n"/>
      <c r="J142" s="6" t="n"/>
      <c r="K142">
        <f>IF(J142="","",J142-B142)</f>
        <v/>
      </c>
      <c r="L142">
        <f>IF(H142="Compliant","N/A",IF(J142&lt;&gt;"","Closed",IF(I142&lt;DATE(2026,9,30),"OVERDUE","Open")))</f>
        <v/>
      </c>
    </row>
    <row r="143">
      <c r="A143" t="inlineStr">
        <is>
          <t>INSP-2026-0142</t>
        </is>
      </c>
      <c r="B143" s="6" t="n">
        <v>46043</v>
      </c>
      <c r="C143" t="inlineStr">
        <is>
          <t>U-ST545-01-04</t>
        </is>
      </c>
      <c r="D143" t="inlineStr">
        <is>
          <t>Sungai Tinggi</t>
        </is>
      </c>
      <c r="E143" t="inlineStr">
        <is>
          <t>Daniel O.</t>
        </is>
      </c>
      <c r="F143" t="inlineStr">
        <is>
          <t>Routine</t>
        </is>
      </c>
      <c r="G143" t="inlineStr">
        <is>
          <t>NONE</t>
        </is>
      </c>
      <c r="H143" t="inlineStr">
        <is>
          <t>Compliant</t>
        </is>
      </c>
      <c r="I143" s="6" t="n"/>
      <c r="J143" s="6" t="n"/>
      <c r="K143">
        <f>IF(J143="","",J143-B143)</f>
        <v/>
      </c>
      <c r="L143">
        <f>IF(H143="Compliant","N/A",IF(J143&lt;&gt;"","Closed",IF(I143&lt;DATE(2026,9,30),"OVERDUE","Open")))</f>
        <v/>
      </c>
    </row>
    <row r="144">
      <c r="A144" t="inlineStr">
        <is>
          <t>INSP-2026-0143</t>
        </is>
      </c>
      <c r="B144" s="6" t="n">
        <v>46043</v>
      </c>
      <c r="C144" t="inlineStr">
        <is>
          <t>U-CD153-01-02</t>
        </is>
      </c>
      <c r="D144" t="inlineStr">
        <is>
          <t>Cendana</t>
        </is>
      </c>
      <c r="E144" t="inlineStr">
        <is>
          <t>daniel ong</t>
        </is>
      </c>
      <c r="F144" t="inlineStr">
        <is>
          <t>Routine</t>
        </is>
      </c>
      <c r="G144" t="inlineStr">
        <is>
          <t>NONE</t>
        </is>
      </c>
      <c r="H144" t="inlineStr">
        <is>
          <t>Compliant</t>
        </is>
      </c>
      <c r="I144" s="6" t="n"/>
      <c r="J144" s="6" t="n"/>
      <c r="K144">
        <f>IF(J144="","",J144-B144)</f>
        <v/>
      </c>
      <c r="L144">
        <f>IF(H144="Compliant","N/A",IF(J144&lt;&gt;"","Closed",IF(I144&lt;DATE(2026,9,30),"OVERDUE","Open")))</f>
        <v/>
      </c>
    </row>
    <row r="145">
      <c r="A145" t="inlineStr">
        <is>
          <t>INSP-2026-0144</t>
        </is>
      </c>
      <c r="B145" s="6" t="n">
        <v>46043</v>
      </c>
      <c r="C145" t="inlineStr">
        <is>
          <t>U-CD153-01-05</t>
        </is>
      </c>
      <c r="D145" t="inlineStr">
        <is>
          <t>Cendana</t>
        </is>
      </c>
      <c r="E145" t="inlineStr">
        <is>
          <t>daniel ong</t>
        </is>
      </c>
      <c r="F145" t="inlineStr">
        <is>
          <t>Follow-up</t>
        </is>
      </c>
      <c r="G145" t="inlineStr">
        <is>
          <t>NONE</t>
        </is>
      </c>
      <c r="H145" t="inlineStr">
        <is>
          <t>Compliant</t>
        </is>
      </c>
      <c r="I145" s="6" t="n"/>
      <c r="J145" s="6" t="n"/>
      <c r="K145">
        <f>IF(J145="","",J145-B145)</f>
        <v/>
      </c>
      <c r="L145">
        <f>IF(H145="Compliant","N/A",IF(J145&lt;&gt;"","Closed",IF(I145&lt;DATE(2026,9,30),"OVERDUE","Open")))</f>
        <v/>
      </c>
    </row>
    <row r="146">
      <c r="A146" t="inlineStr">
        <is>
          <t>INSP-2026-0145</t>
        </is>
      </c>
      <c r="B146" s="6" t="n">
        <v>46043</v>
      </c>
      <c r="C146" t="inlineStr">
        <is>
          <t>U-KR318-02-10</t>
        </is>
      </c>
      <c r="D146" t="inlineStr">
        <is>
          <t>Kebun Raya</t>
        </is>
      </c>
      <c r="E146" t="inlineStr">
        <is>
          <t>Daniel O.</t>
        </is>
      </c>
      <c r="F146" t="inlineStr">
        <is>
          <t>Routine</t>
        </is>
      </c>
      <c r="G146" t="inlineStr">
        <is>
          <t>NONE</t>
        </is>
      </c>
      <c r="H146" t="inlineStr">
        <is>
          <t>Compliant</t>
        </is>
      </c>
      <c r="I146" s="6" t="n"/>
      <c r="J146" s="6" t="n"/>
      <c r="K146">
        <f>IF(J146="","",J146-B146)</f>
        <v/>
      </c>
      <c r="L146">
        <f>IF(H146="Compliant","N/A",IF(J146&lt;&gt;"","Closed",IF(I146&lt;DATE(2026,9,30),"OVERDUE","Open")))</f>
        <v/>
      </c>
    </row>
    <row r="147">
      <c r="A147" t="inlineStr">
        <is>
          <t>INSP-2026-0146</t>
        </is>
      </c>
      <c r="B147" s="6" t="n">
        <v>46043</v>
      </c>
      <c r="C147" t="inlineStr">
        <is>
          <t>U-BV231-01-02</t>
        </is>
      </c>
      <c r="D147" t="inlineStr">
        <is>
          <t>Bayshore Vale</t>
        </is>
      </c>
      <c r="E147" t="inlineStr">
        <is>
          <t>D. Ong</t>
        </is>
      </c>
      <c r="F147" t="inlineStr">
        <is>
          <t>Routine</t>
        </is>
      </c>
      <c r="G147" t="inlineStr">
        <is>
          <t>NONE</t>
        </is>
      </c>
      <c r="H147" t="inlineStr">
        <is>
          <t>Compliant</t>
        </is>
      </c>
      <c r="I147" s="6" t="n"/>
      <c r="J147" s="6" t="n"/>
      <c r="K147">
        <f>IF(J147="","",J147-B147)</f>
        <v/>
      </c>
      <c r="L147">
        <f>IF(H147="Compliant","N/A",IF(J147&lt;&gt;"","Closed",IF(I147&lt;DATE(2026,9,30),"OVERDUE","Open")))</f>
        <v/>
      </c>
    </row>
    <row r="148">
      <c r="A148" t="inlineStr">
        <is>
          <t>INSP-2026-0147</t>
        </is>
      </c>
      <c r="B148" s="6" t="n">
        <v>46044</v>
      </c>
      <c r="C148" t="inlineStr">
        <is>
          <t>U-PI609-01-03</t>
        </is>
      </c>
      <c r="D148" t="inlineStr">
        <is>
          <t>Pasir Indah</t>
        </is>
      </c>
      <c r="E148" t="inlineStr">
        <is>
          <t>M. Lim</t>
        </is>
      </c>
      <c r="F148" t="inlineStr">
        <is>
          <t>Routine</t>
        </is>
      </c>
      <c r="G148" t="inlineStr">
        <is>
          <t>UNAPPROVED_AA</t>
        </is>
      </c>
      <c r="H148" t="inlineStr">
        <is>
          <t>Minor Breach</t>
        </is>
      </c>
      <c r="I148" s="6" t="n">
        <v>46058</v>
      </c>
      <c r="J148" s="6" t="n"/>
      <c r="K148">
        <f>IF(J148="","",J148-B148)</f>
        <v/>
      </c>
      <c r="L148">
        <f>IF(H148="Compliant","N/A",IF(J148&lt;&gt;"","Closed",IF(I148&lt;DATE(2026,9,30),"OVERDUE","Open")))</f>
        <v/>
      </c>
    </row>
    <row r="149">
      <c r="A149" t="inlineStr">
        <is>
          <t>INSP-2026-0148</t>
        </is>
      </c>
      <c r="B149" s="6" t="n">
        <v>46044</v>
      </c>
      <c r="C149" t="inlineStr">
        <is>
          <t>U-PI627-01-03</t>
        </is>
      </c>
      <c r="D149" t="inlineStr">
        <is>
          <t>Pasir Indah</t>
        </is>
      </c>
      <c r="E149" t="inlineStr">
        <is>
          <t>Marcus Lim</t>
        </is>
      </c>
      <c r="F149" t="inlineStr">
        <is>
          <t>Routine</t>
        </is>
      </c>
      <c r="G149" t="inlineStr">
        <is>
          <t>NONE</t>
        </is>
      </c>
      <c r="H149" t="inlineStr">
        <is>
          <t>Compliant</t>
        </is>
      </c>
      <c r="I149" s="6" t="n"/>
      <c r="J149" s="6" t="n"/>
      <c r="K149">
        <f>IF(J149="","",J149-B149)</f>
        <v/>
      </c>
      <c r="L149">
        <f>IF(H149="Compliant","N/A",IF(J149&lt;&gt;"","Closed",IF(I149&lt;DATE(2026,9,30),"OVERDUE","Open")))</f>
        <v/>
      </c>
    </row>
    <row r="150">
      <c r="A150" t="inlineStr">
        <is>
          <t>INSP-2026-0149</t>
        </is>
      </c>
      <c r="B150" s="6" t="n">
        <v>46044</v>
      </c>
      <c r="C150" t="inlineStr">
        <is>
          <t>U-KR330-01-08</t>
        </is>
      </c>
      <c r="D150" t="inlineStr">
        <is>
          <t>Kebun Raya</t>
        </is>
      </c>
      <c r="E150" t="inlineStr">
        <is>
          <t>B. Ho</t>
        </is>
      </c>
      <c r="F150" t="inlineStr">
        <is>
          <t>Routine</t>
        </is>
      </c>
      <c r="G150" t="inlineStr">
        <is>
          <t>NONE</t>
        </is>
      </c>
      <c r="H150" t="inlineStr">
        <is>
          <t>Compliant</t>
        </is>
      </c>
      <c r="I150" s="6" t="n"/>
      <c r="J150" s="6" t="n"/>
      <c r="K150">
        <f>IF(J150="","",J150-B150)</f>
        <v/>
      </c>
      <c r="L150">
        <f>IF(H150="Compliant","N/A",IF(J150&lt;&gt;"","Closed",IF(I150&lt;DATE(2026,9,30),"OVERDUE","Open")))</f>
        <v/>
      </c>
    </row>
    <row r="151">
      <c r="A151" t="inlineStr">
        <is>
          <t>INSP-2026-0150</t>
        </is>
      </c>
      <c r="B151" s="6" t="n">
        <v>46044</v>
      </c>
      <c r="C151" t="inlineStr">
        <is>
          <t>U-BV205-01-05</t>
        </is>
      </c>
      <c r="D151" t="inlineStr">
        <is>
          <t>Bayshore Vale</t>
        </is>
      </c>
      <c r="E151" t="inlineStr">
        <is>
          <t>Daniel Ong</t>
        </is>
      </c>
      <c r="F151" t="inlineStr">
        <is>
          <t>Routine</t>
        </is>
      </c>
      <c r="G151" t="inlineStr">
        <is>
          <t>NONE</t>
        </is>
      </c>
      <c r="H151" t="inlineStr">
        <is>
          <t>Compliant</t>
        </is>
      </c>
      <c r="I151" s="6" t="n"/>
      <c r="J151" s="6" t="n"/>
      <c r="K151">
        <f>IF(J151="","",J151-B151)</f>
        <v/>
      </c>
      <c r="L151">
        <f>IF(H151="Compliant","N/A",IF(J151&lt;&gt;"","Closed",IF(I151&lt;DATE(2026,9,30),"OVERDUE","Open")))</f>
        <v/>
      </c>
    </row>
    <row r="152">
      <c r="A152" t="inlineStr">
        <is>
          <t>INSP-2026-0151</t>
        </is>
      </c>
      <c r="B152" s="6" t="n">
        <v>46044</v>
      </c>
      <c r="C152" t="inlineStr">
        <is>
          <t>U-PI693-02-09</t>
        </is>
      </c>
      <c r="D152" t="inlineStr">
        <is>
          <t>Pasir Indah</t>
        </is>
      </c>
      <c r="E152" t="inlineStr">
        <is>
          <t>daniel ong</t>
        </is>
      </c>
      <c r="F152" t="inlineStr">
        <is>
          <t>Routine</t>
        </is>
      </c>
      <c r="G152" t="inlineStr">
        <is>
          <t>NONE</t>
        </is>
      </c>
      <c r="H152" t="inlineStr">
        <is>
          <t>Compliant</t>
        </is>
      </c>
      <c r="I152" s="6" t="n"/>
      <c r="J152" s="6" t="n"/>
      <c r="K152">
        <f>IF(J152="","",J152-B152)</f>
        <v/>
      </c>
      <c r="L152">
        <f>IF(H152="Compliant","N/A",IF(J152&lt;&gt;"","Closed",IF(I152&lt;DATE(2026,9,30),"OVERDUE","Open")))</f>
        <v/>
      </c>
    </row>
    <row r="153">
      <c r="A153" t="inlineStr">
        <is>
          <t>INSP-2026-0152</t>
        </is>
      </c>
      <c r="B153" s="6" t="n">
        <v>46044</v>
      </c>
      <c r="C153" t="inlineStr">
        <is>
          <t>U-RH491-01-03</t>
        </is>
      </c>
      <c r="D153" t="inlineStr">
        <is>
          <t>Rimba Heights</t>
        </is>
      </c>
      <c r="E153" t="inlineStr">
        <is>
          <t>Ben Ho</t>
        </is>
      </c>
      <c r="F153" t="inlineStr">
        <is>
          <t>Follow-up</t>
        </is>
      </c>
      <c r="G153" t="inlineStr">
        <is>
          <t>STRUCTURAL_DEFECT</t>
        </is>
      </c>
      <c r="H153" t="inlineStr">
        <is>
          <t>Major Breach</t>
        </is>
      </c>
      <c r="I153" s="6" t="n">
        <v>46051</v>
      </c>
      <c r="J153" s="6" t="n">
        <v>46052</v>
      </c>
      <c r="K153">
        <f>IF(J153="","",J153-B153)</f>
        <v/>
      </c>
      <c r="L153">
        <f>IF(H153="Compliant","N/A",IF(J153&lt;&gt;"","Closed",IF(I153&lt;DATE(2026,9,30),"OVERDUE","Open")))</f>
        <v/>
      </c>
    </row>
    <row r="154">
      <c r="A154" t="inlineStr">
        <is>
          <t>INSP-2026-0153</t>
        </is>
      </c>
      <c r="B154" s="6" t="n">
        <v>46045</v>
      </c>
      <c r="C154" t="inlineStr">
        <is>
          <t>U-CD108-01-08</t>
        </is>
      </c>
      <c r="D154" t="inlineStr">
        <is>
          <t>Cendana</t>
        </is>
      </c>
      <c r="E154" t="inlineStr">
        <is>
          <t>Daniel Ong</t>
        </is>
      </c>
      <c r="F154" t="inlineStr">
        <is>
          <t>Routine</t>
        </is>
      </c>
      <c r="G154" t="inlineStr">
        <is>
          <t>NONE</t>
        </is>
      </c>
      <c r="H154" t="inlineStr">
        <is>
          <t>Compliant</t>
        </is>
      </c>
      <c r="I154" s="6" t="n"/>
      <c r="J154" s="6" t="n"/>
      <c r="K154">
        <f>IF(J154="","",J154-B154)</f>
        <v/>
      </c>
      <c r="L154">
        <f>IF(H154="Compliant","N/A",IF(J154&lt;&gt;"","Closed",IF(I154&lt;DATE(2026,9,30),"OVERDUE","Open")))</f>
        <v/>
      </c>
    </row>
    <row r="155">
      <c r="A155" t="inlineStr">
        <is>
          <t>INSP-2026-0154</t>
        </is>
      </c>
      <c r="B155" s="6" t="n">
        <v>46045</v>
      </c>
      <c r="C155" t="inlineStr">
        <is>
          <t>U-KR379-01-04</t>
        </is>
      </c>
      <c r="D155" t="inlineStr">
        <is>
          <t>Kebun Raya</t>
        </is>
      </c>
      <c r="E155" t="inlineStr">
        <is>
          <t>Daniel O.</t>
        </is>
      </c>
      <c r="F155" t="inlineStr">
        <is>
          <t>Routine</t>
        </is>
      </c>
      <c r="G155" t="inlineStr">
        <is>
          <t>NONE</t>
        </is>
      </c>
      <c r="H155" t="inlineStr">
        <is>
          <t>Compliant</t>
        </is>
      </c>
      <c r="I155" s="6" t="n"/>
      <c r="J155" s="6" t="n"/>
      <c r="K155">
        <f>IF(J155="","",J155-B155)</f>
        <v/>
      </c>
      <c r="L155">
        <f>IF(H155="Compliant","N/A",IF(J155&lt;&gt;"","Closed",IF(I155&lt;DATE(2026,9,30),"OVERDUE","Open")))</f>
        <v/>
      </c>
    </row>
    <row r="156">
      <c r="A156" t="inlineStr">
        <is>
          <t>INSP-2026-0155</t>
        </is>
      </c>
      <c r="B156" s="6" t="n">
        <v>46045</v>
      </c>
      <c r="C156" t="inlineStr">
        <is>
          <t>U-CD194-01-05</t>
        </is>
      </c>
      <c r="D156" t="inlineStr">
        <is>
          <t>Cendana</t>
        </is>
      </c>
      <c r="E156" t="inlineStr">
        <is>
          <t>Daniel O.</t>
        </is>
      </c>
      <c r="F156" t="inlineStr">
        <is>
          <t>Follow-up</t>
        </is>
      </c>
      <c r="G156" t="inlineStr">
        <is>
          <t>NONE</t>
        </is>
      </c>
      <c r="H156" t="inlineStr">
        <is>
          <t>Compliant</t>
        </is>
      </c>
      <c r="I156" s="6" t="n"/>
      <c r="J156" s="6" t="n"/>
      <c r="K156">
        <f>IF(J156="","",J156-B156)</f>
        <v/>
      </c>
      <c r="L156">
        <f>IF(H156="Compliant","N/A",IF(J156&lt;&gt;"","Closed",IF(I156&lt;DATE(2026,9,30),"OVERDUE","Open")))</f>
        <v/>
      </c>
    </row>
    <row r="157">
      <c r="A157" t="inlineStr">
        <is>
          <t>INSP-2026-0156</t>
        </is>
      </c>
      <c r="B157" s="6" t="n">
        <v>46045</v>
      </c>
      <c r="C157" t="inlineStr">
        <is>
          <t>U-KR317-02-06</t>
        </is>
      </c>
      <c r="D157" t="inlineStr">
        <is>
          <t>Kebun Raya</t>
        </is>
      </c>
      <c r="E157" t="inlineStr">
        <is>
          <t>Ben Ho</t>
        </is>
      </c>
      <c r="F157" t="inlineStr">
        <is>
          <t>Routine</t>
        </is>
      </c>
      <c r="G157" t="inlineStr">
        <is>
          <t>UNAUTH_SUBLET</t>
        </is>
      </c>
      <c r="H157" t="inlineStr">
        <is>
          <t>Major Breach</t>
        </is>
      </c>
      <c r="I157" s="6" t="n">
        <v>46052</v>
      </c>
      <c r="J157" s="6" t="n">
        <v>46048</v>
      </c>
      <c r="K157">
        <f>IF(J157="","",J157-B157)</f>
        <v/>
      </c>
      <c r="L157">
        <f>IF(H157="Compliant","N/A",IF(J157&lt;&gt;"","Closed",IF(I157&lt;DATE(2026,9,30),"OVERDUE","Open")))</f>
        <v/>
      </c>
    </row>
    <row r="158">
      <c r="A158" t="inlineStr">
        <is>
          <t>INSP-2026-0157</t>
        </is>
      </c>
      <c r="B158" s="6" t="n">
        <v>46045</v>
      </c>
      <c r="C158" t="inlineStr">
        <is>
          <t>U-RH401-01-01</t>
        </is>
      </c>
      <c r="D158" t="inlineStr">
        <is>
          <t>Rimba Heights</t>
        </is>
      </c>
      <c r="E158" t="inlineStr">
        <is>
          <t>Ben Ho</t>
        </is>
      </c>
      <c r="F158" t="inlineStr">
        <is>
          <t>Routine</t>
        </is>
      </c>
      <c r="G158" t="inlineStr">
        <is>
          <t>NONE</t>
        </is>
      </c>
      <c r="H158" t="inlineStr">
        <is>
          <t>Compliant</t>
        </is>
      </c>
      <c r="I158" s="6" t="n"/>
      <c r="J158" s="6" t="n"/>
      <c r="K158">
        <f>IF(J158="","",J158-B158)</f>
        <v/>
      </c>
      <c r="L158">
        <f>IF(H158="Compliant","N/A",IF(J158&lt;&gt;"","Closed",IF(I158&lt;DATE(2026,9,30),"OVERDUE","Open")))</f>
        <v/>
      </c>
    </row>
    <row r="159">
      <c r="A159" t="inlineStr">
        <is>
          <t>INSP-2026-0158</t>
        </is>
      </c>
      <c r="B159" s="6" t="n">
        <v>46045</v>
      </c>
      <c r="C159" t="inlineStr">
        <is>
          <t>U-KR333-01-03</t>
        </is>
      </c>
      <c r="D159" t="inlineStr">
        <is>
          <t>Kebun Raya</t>
        </is>
      </c>
      <c r="E159" t="inlineStr">
        <is>
          <t>D. Ong</t>
        </is>
      </c>
      <c r="F159" t="inlineStr">
        <is>
          <t>Routine</t>
        </is>
      </c>
      <c r="G159" t="inlineStr">
        <is>
          <t>DISPLAY_ENCROACH</t>
        </is>
      </c>
      <c r="H159" t="inlineStr">
        <is>
          <t>Minor Breach</t>
        </is>
      </c>
      <c r="I159" s="6" t="n">
        <v>46059</v>
      </c>
      <c r="J159" s="6" t="n">
        <v>46063</v>
      </c>
      <c r="K159">
        <f>IF(J159="","",J159-B159)</f>
        <v/>
      </c>
      <c r="L159">
        <f>IF(H159="Compliant","N/A",IF(J159&lt;&gt;"","Closed",IF(I159&lt;DATE(2026,9,30),"OVERDUE","Open")))</f>
        <v/>
      </c>
    </row>
    <row r="160">
      <c r="A160" t="inlineStr">
        <is>
          <t>INSP-2026-0159</t>
        </is>
      </c>
      <c r="B160" s="6" t="n">
        <v>46045</v>
      </c>
      <c r="C160" t="inlineStr">
        <is>
          <t>U-KR356-01-05</t>
        </is>
      </c>
      <c r="D160" t="inlineStr">
        <is>
          <t>Kebun Raya</t>
        </is>
      </c>
      <c r="E160" t="inlineStr">
        <is>
          <t>Daniel Ong</t>
        </is>
      </c>
      <c r="F160" t="inlineStr">
        <is>
          <t>Routine</t>
        </is>
      </c>
      <c r="G160" t="inlineStr">
        <is>
          <t>NONE</t>
        </is>
      </c>
      <c r="H160" t="inlineStr">
        <is>
          <t>Compliant</t>
        </is>
      </c>
      <c r="I160" s="6" t="n"/>
      <c r="J160" s="6" t="n"/>
      <c r="K160">
        <f>IF(J160="","",J160-B160)</f>
        <v/>
      </c>
      <c r="L160">
        <f>IF(H160="Compliant","N/A",IF(J160&lt;&gt;"","Closed",IF(I160&lt;DATE(2026,9,30),"OVERDUE","Open")))</f>
        <v/>
      </c>
    </row>
    <row r="161">
      <c r="A161" t="inlineStr">
        <is>
          <t>INSP-2026-0160</t>
        </is>
      </c>
      <c r="B161" s="6" t="n">
        <v>46046</v>
      </c>
      <c r="C161" t="inlineStr">
        <is>
          <t>U-KR371-01-09</t>
        </is>
      </c>
      <c r="D161" t="inlineStr">
        <is>
          <t>Kebun Raya</t>
        </is>
      </c>
      <c r="E161" t="inlineStr">
        <is>
          <t>B. Ho</t>
        </is>
      </c>
      <c r="F161" t="inlineStr">
        <is>
          <t>Routine</t>
        </is>
      </c>
      <c r="G161" t="inlineStr">
        <is>
          <t>NONE</t>
        </is>
      </c>
      <c r="H161" t="inlineStr">
        <is>
          <t>Compliant</t>
        </is>
      </c>
      <c r="I161" s="6" t="n"/>
      <c r="J161" s="6" t="n"/>
      <c r="K161">
        <f>IF(J161="","",J161-B161)</f>
        <v/>
      </c>
      <c r="L161">
        <f>IF(H161="Compliant","N/A",IF(J161&lt;&gt;"","Closed",IF(I161&lt;DATE(2026,9,30),"OVERDUE","Open")))</f>
        <v/>
      </c>
    </row>
    <row r="162">
      <c r="A162" t="inlineStr">
        <is>
          <t>INSP-2026-0161</t>
        </is>
      </c>
      <c r="B162" s="6" t="n">
        <v>46046</v>
      </c>
      <c r="C162" t="inlineStr">
        <is>
          <t>U-CD129-01-06</t>
        </is>
      </c>
      <c r="D162" t="inlineStr">
        <is>
          <t>Cendana</t>
        </is>
      </c>
      <c r="E162" t="inlineStr">
        <is>
          <t>Daniel Ong</t>
        </is>
      </c>
      <c r="F162" t="inlineStr">
        <is>
          <t>Routine</t>
        </is>
      </c>
      <c r="G162" t="inlineStr">
        <is>
          <t>DISPLAY_ENCROACH</t>
        </is>
      </c>
      <c r="H162" t="inlineStr">
        <is>
          <t>Minor Breach</t>
        </is>
      </c>
      <c r="I162" s="6" t="n">
        <v>46060</v>
      </c>
      <c r="J162" s="6" t="n">
        <v>46065</v>
      </c>
      <c r="K162">
        <f>IF(J162="","",J162-B162)</f>
        <v/>
      </c>
      <c r="L162">
        <f>IF(H162="Compliant","N/A",IF(J162&lt;&gt;"","Closed",IF(I162&lt;DATE(2026,9,30),"OVERDUE","Open")))</f>
        <v/>
      </c>
    </row>
    <row r="163">
      <c r="A163" t="inlineStr">
        <is>
          <t>INSP-2026-0162</t>
        </is>
      </c>
      <c r="B163" s="6" t="n">
        <v>46046</v>
      </c>
      <c r="C163" t="inlineStr">
        <is>
          <t>U-KR386-01-04</t>
        </is>
      </c>
      <c r="D163" t="inlineStr">
        <is>
          <t>Kebun Raya</t>
        </is>
      </c>
      <c r="E163" t="inlineStr">
        <is>
          <t>Ben Ho</t>
        </is>
      </c>
      <c r="F163" t="inlineStr">
        <is>
          <t>Routine</t>
        </is>
      </c>
      <c r="G163" t="inlineStr">
        <is>
          <t>DISPLAY_ENCROACH</t>
        </is>
      </c>
      <c r="H163" t="inlineStr">
        <is>
          <t>Minor Breach</t>
        </is>
      </c>
      <c r="I163" s="6" t="n">
        <v>46060</v>
      </c>
      <c r="J163" s="6" t="n">
        <v>46061</v>
      </c>
      <c r="K163">
        <f>IF(J163="","",J163-B163)</f>
        <v/>
      </c>
      <c r="L163">
        <f>IF(H163="Compliant","N/A",IF(J163&lt;&gt;"","Closed",IF(I163&lt;DATE(2026,9,30),"OVERDUE","Open")))</f>
        <v/>
      </c>
    </row>
    <row r="164">
      <c r="A164" t="inlineStr">
        <is>
          <t>INSP-2026-0163</t>
        </is>
      </c>
      <c r="B164" s="6" t="n">
        <v>46046</v>
      </c>
      <c r="C164" t="inlineStr">
        <is>
          <t>U-CD143-01-02</t>
        </is>
      </c>
      <c r="D164" t="inlineStr">
        <is>
          <t>Cendana</t>
        </is>
      </c>
      <c r="E164" t="inlineStr">
        <is>
          <t>M. Lim</t>
        </is>
      </c>
      <c r="F164" t="inlineStr">
        <is>
          <t>Routine</t>
        </is>
      </c>
      <c r="G164" t="inlineStr">
        <is>
          <t>NONE</t>
        </is>
      </c>
      <c r="H164" t="inlineStr">
        <is>
          <t>Compliant</t>
        </is>
      </c>
      <c r="I164" s="6" t="n"/>
      <c r="J164" s="6" t="n"/>
      <c r="K164">
        <f>IF(J164="","",J164-B164)</f>
        <v/>
      </c>
      <c r="L164">
        <f>IF(H164="Compliant","N/A",IF(J164&lt;&gt;"","Closed",IF(I164&lt;DATE(2026,9,30),"OVERDUE","Open")))</f>
        <v/>
      </c>
    </row>
    <row r="165">
      <c r="A165" t="inlineStr">
        <is>
          <t>INSP-2026-0164</t>
        </is>
      </c>
      <c r="B165" s="6" t="n">
        <v>46046</v>
      </c>
      <c r="C165" t="inlineStr">
        <is>
          <t>U-CD118-01-04</t>
        </is>
      </c>
      <c r="D165" t="inlineStr">
        <is>
          <t>Cendana</t>
        </is>
      </c>
      <c r="E165" t="inlineStr">
        <is>
          <t>daniel ong</t>
        </is>
      </c>
      <c r="F165" t="inlineStr">
        <is>
          <t>Complaint-driven</t>
        </is>
      </c>
      <c r="G165" t="inlineStr">
        <is>
          <t>NONE</t>
        </is>
      </c>
      <c r="H165" t="inlineStr">
        <is>
          <t>Compliant</t>
        </is>
      </c>
      <c r="I165" s="6" t="n"/>
      <c r="J165" s="6" t="n"/>
      <c r="K165">
        <f>IF(J165="","",J165-B165)</f>
        <v/>
      </c>
      <c r="L165">
        <f>IF(H165="Compliant","N/A",IF(J165&lt;&gt;"","Closed",IF(I165&lt;DATE(2026,9,30),"OVERDUE","Open")))</f>
        <v/>
      </c>
    </row>
    <row r="166">
      <c r="A166" t="inlineStr">
        <is>
          <t>INSP-2026-0165</t>
        </is>
      </c>
      <c r="B166" s="6" t="n">
        <v>46047</v>
      </c>
      <c r="C166" t="inlineStr">
        <is>
          <t>U-CD131-01-11</t>
        </is>
      </c>
      <c r="D166" t="inlineStr">
        <is>
          <t>Cendana</t>
        </is>
      </c>
      <c r="E166" t="inlineStr">
        <is>
          <t>Daniel O.</t>
        </is>
      </c>
      <c r="F166" t="inlineStr">
        <is>
          <t>Complaint-driven</t>
        </is>
      </c>
      <c r="G166" t="inlineStr">
        <is>
          <t>NONE</t>
        </is>
      </c>
      <c r="H166" t="inlineStr">
        <is>
          <t>Compliant</t>
        </is>
      </c>
      <c r="I166" s="6" t="n"/>
      <c r="J166" s="6" t="n"/>
      <c r="K166">
        <f>IF(J166="","",J166-B166)</f>
        <v/>
      </c>
      <c r="L166">
        <f>IF(H166="Compliant","N/A",IF(J166&lt;&gt;"","Closed",IF(I166&lt;DATE(2026,9,30),"OVERDUE","Open")))</f>
        <v/>
      </c>
    </row>
    <row r="167">
      <c r="A167" t="inlineStr">
        <is>
          <t>INSP-2026-0166</t>
        </is>
      </c>
      <c r="B167" s="6" t="n">
        <v>46047</v>
      </c>
      <c r="C167" t="inlineStr">
        <is>
          <t>U-RH455-01-19</t>
        </is>
      </c>
      <c r="D167" t="inlineStr">
        <is>
          <t>Rimba Heights</t>
        </is>
      </c>
      <c r="E167" t="inlineStr">
        <is>
          <t>Daniel O.</t>
        </is>
      </c>
      <c r="F167" t="inlineStr">
        <is>
          <t>Routine</t>
        </is>
      </c>
      <c r="G167" t="inlineStr">
        <is>
          <t>FIRE_SAFETY</t>
        </is>
      </c>
      <c r="H167" t="inlineStr">
        <is>
          <t>Major Breach</t>
        </is>
      </c>
      <c r="I167" s="6" t="n">
        <v>46054</v>
      </c>
      <c r="J167" s="6" t="n">
        <v>46063</v>
      </c>
      <c r="K167">
        <f>IF(J167="","",J167-B167)</f>
        <v/>
      </c>
      <c r="L167">
        <f>IF(H167="Compliant","N/A",IF(J167&lt;&gt;"","Closed",IF(I167&lt;DATE(2026,9,30),"OVERDUE","Open")))</f>
        <v/>
      </c>
    </row>
    <row r="168">
      <c r="A168" t="inlineStr">
        <is>
          <t>INSP-2026-0167</t>
        </is>
      </c>
      <c r="B168" s="6" t="n">
        <v>46047</v>
      </c>
      <c r="C168" t="inlineStr">
        <is>
          <t>U-BV266-01-11</t>
        </is>
      </c>
      <c r="D168" t="inlineStr">
        <is>
          <t>Bayshore Vale</t>
        </is>
      </c>
      <c r="E168" t="inlineStr">
        <is>
          <t>Daniel O.</t>
        </is>
      </c>
      <c r="F168" t="inlineStr">
        <is>
          <t>Follow-up</t>
        </is>
      </c>
      <c r="G168" t="inlineStr">
        <is>
          <t>NONE</t>
        </is>
      </c>
      <c r="H168" t="inlineStr">
        <is>
          <t>Compliant</t>
        </is>
      </c>
      <c r="I168" s="6" t="n"/>
      <c r="J168" s="6" t="n"/>
      <c r="K168">
        <f>IF(J168="","",J168-B168)</f>
        <v/>
      </c>
      <c r="L168">
        <f>IF(H168="Compliant","N/A",IF(J168&lt;&gt;"","Closed",IF(I168&lt;DATE(2026,9,30),"OVERDUE","Open")))</f>
        <v/>
      </c>
    </row>
    <row r="169">
      <c r="A169" t="inlineStr">
        <is>
          <t>INSP-2026-0168</t>
        </is>
      </c>
      <c r="B169" s="6" t="n">
        <v>46047</v>
      </c>
      <c r="C169" t="inlineStr">
        <is>
          <t>U-KR385-01-12</t>
        </is>
      </c>
      <c r="D169" t="inlineStr">
        <is>
          <t>Kebun Raya</t>
        </is>
      </c>
      <c r="E169" t="inlineStr">
        <is>
          <t>Benjamin Ho</t>
        </is>
      </c>
      <c r="F169" t="inlineStr">
        <is>
          <t>Complaint-driven</t>
        </is>
      </c>
      <c r="G169" t="inlineStr">
        <is>
          <t>UNAUTH_TRADE</t>
        </is>
      </c>
      <c r="H169" t="inlineStr">
        <is>
          <t>Major Breach</t>
        </is>
      </c>
      <c r="I169" s="6" t="n">
        <v>46054</v>
      </c>
      <c r="J169" s="6" t="n">
        <v>46062</v>
      </c>
      <c r="K169">
        <f>IF(J169="","",J169-B169)</f>
        <v/>
      </c>
      <c r="L169">
        <f>IF(H169="Compliant","N/A",IF(J169&lt;&gt;"","Closed",IF(I169&lt;DATE(2026,9,30),"OVERDUE","Open")))</f>
        <v/>
      </c>
    </row>
    <row r="170">
      <c r="A170" t="inlineStr">
        <is>
          <t>INSP-2026-0169</t>
        </is>
      </c>
      <c r="B170" s="6" t="n">
        <v>46047</v>
      </c>
      <c r="C170" t="inlineStr">
        <is>
          <t>U-BV283-01-03</t>
        </is>
      </c>
      <c r="D170" t="inlineStr">
        <is>
          <t>Bayshore Vale</t>
        </is>
      </c>
      <c r="E170" t="inlineStr">
        <is>
          <t>daniel ong</t>
        </is>
      </c>
      <c r="F170" t="inlineStr">
        <is>
          <t>Routine</t>
        </is>
      </c>
      <c r="G170" t="inlineStr">
        <is>
          <t>NONE</t>
        </is>
      </c>
      <c r="H170" t="inlineStr">
        <is>
          <t>Compliant</t>
        </is>
      </c>
      <c r="I170" s="6" t="n"/>
      <c r="J170" s="6" t="n"/>
      <c r="K170">
        <f>IF(J170="","",J170-B170)</f>
        <v/>
      </c>
      <c r="L170">
        <f>IF(H170="Compliant","N/A",IF(J170&lt;&gt;"","Closed",IF(I170&lt;DATE(2026,9,30),"OVERDUE","Open")))</f>
        <v/>
      </c>
    </row>
    <row r="171">
      <c r="A171" t="inlineStr">
        <is>
          <t>INSP-2026-0170</t>
        </is>
      </c>
      <c r="B171" s="6" t="n">
        <v>46047</v>
      </c>
      <c r="C171" t="inlineStr">
        <is>
          <t>U-PI657-01-03</t>
        </is>
      </c>
      <c r="D171" t="inlineStr">
        <is>
          <t>Pasir Indah</t>
        </is>
      </c>
      <c r="E171" t="inlineStr">
        <is>
          <t>Marcus Lim</t>
        </is>
      </c>
      <c r="F171" t="inlineStr">
        <is>
          <t>Routine</t>
        </is>
      </c>
      <c r="G171" t="inlineStr">
        <is>
          <t>NONE</t>
        </is>
      </c>
      <c r="H171" t="inlineStr">
        <is>
          <t>Compliant</t>
        </is>
      </c>
      <c r="I171" s="6" t="n"/>
      <c r="J171" s="6" t="n"/>
      <c r="K171">
        <f>IF(J171="","",J171-B171)</f>
        <v/>
      </c>
      <c r="L171">
        <f>IF(H171="Compliant","N/A",IF(J171&lt;&gt;"","Closed",IF(I171&lt;DATE(2026,9,30),"OVERDUE","Open")))</f>
        <v/>
      </c>
    </row>
    <row r="172">
      <c r="A172" t="inlineStr">
        <is>
          <t>INSP-2026-0171</t>
        </is>
      </c>
      <c r="B172" s="6" t="n">
        <v>46047</v>
      </c>
      <c r="C172" t="inlineStr">
        <is>
          <t>U-RH464-01-03</t>
        </is>
      </c>
      <c r="D172" t="inlineStr">
        <is>
          <t>Rimba Heights</t>
        </is>
      </c>
      <c r="E172" t="inlineStr">
        <is>
          <t>Daniel Ong</t>
        </is>
      </c>
      <c r="F172" t="inlineStr">
        <is>
          <t>Routine</t>
        </is>
      </c>
      <c r="G172" t="inlineStr">
        <is>
          <t>NONE</t>
        </is>
      </c>
      <c r="H172" t="inlineStr">
        <is>
          <t>Compliant</t>
        </is>
      </c>
      <c r="I172" s="6" t="n"/>
      <c r="J172" s="6" t="n"/>
      <c r="K172">
        <f>IF(J172="","",J172-B172)</f>
        <v/>
      </c>
      <c r="L172">
        <f>IF(H172="Compliant","N/A",IF(J172&lt;&gt;"","Closed",IF(I172&lt;DATE(2026,9,30),"OVERDUE","Open")))</f>
        <v/>
      </c>
    </row>
    <row r="173">
      <c r="A173" t="inlineStr">
        <is>
          <t>INSP-2026-0172</t>
        </is>
      </c>
      <c r="B173" s="6" t="n">
        <v>46047</v>
      </c>
      <c r="C173" t="inlineStr">
        <is>
          <t>U-CD136-01-10</t>
        </is>
      </c>
      <c r="D173" t="inlineStr">
        <is>
          <t>Cendana</t>
        </is>
      </c>
      <c r="E173" t="inlineStr">
        <is>
          <t>Marcus Lim</t>
        </is>
      </c>
      <c r="F173" t="inlineStr">
        <is>
          <t>Routine</t>
        </is>
      </c>
      <c r="G173" t="inlineStr">
        <is>
          <t>UNAUTH_TRADE</t>
        </is>
      </c>
      <c r="H173" t="inlineStr">
        <is>
          <t>Major Breach</t>
        </is>
      </c>
      <c r="I173" s="6" t="n">
        <v>46054</v>
      </c>
      <c r="J173" s="6" t="n">
        <v>46051</v>
      </c>
      <c r="K173">
        <f>IF(J173="","",J173-B173)</f>
        <v/>
      </c>
      <c r="L173">
        <f>IF(H173="Compliant","N/A",IF(J173&lt;&gt;"","Closed",IF(I173&lt;DATE(2026,9,30),"OVERDUE","Open")))</f>
        <v/>
      </c>
    </row>
    <row r="174">
      <c r="A174" t="inlineStr">
        <is>
          <t>INSP-2026-0173</t>
        </is>
      </c>
      <c r="B174" s="6" t="n">
        <v>46047</v>
      </c>
      <c r="C174" t="inlineStr">
        <is>
          <t>U-PI642-01-04</t>
        </is>
      </c>
      <c r="D174" t="inlineStr">
        <is>
          <t>Pasir Indah</t>
        </is>
      </c>
      <c r="E174" t="inlineStr">
        <is>
          <t>D. Ong</t>
        </is>
      </c>
      <c r="F174" t="inlineStr">
        <is>
          <t>Follow-up</t>
        </is>
      </c>
      <c r="G174" t="inlineStr">
        <is>
          <t>NONE</t>
        </is>
      </c>
      <c r="H174" t="inlineStr">
        <is>
          <t>Compliant</t>
        </is>
      </c>
      <c r="I174" s="6" t="n"/>
      <c r="J174" s="6" t="n"/>
      <c r="K174">
        <f>IF(J174="","",J174-B174)</f>
        <v/>
      </c>
      <c r="L174">
        <f>IF(H174="Compliant","N/A",IF(J174&lt;&gt;"","Closed",IF(I174&lt;DATE(2026,9,30),"OVERDUE","Open")))</f>
        <v/>
      </c>
    </row>
    <row r="175">
      <c r="A175" t="inlineStr">
        <is>
          <t>INSP-2026-0174</t>
        </is>
      </c>
      <c r="B175" s="6" t="n">
        <v>46048</v>
      </c>
      <c r="C175" t="inlineStr">
        <is>
          <t>U-KR369-02-07</t>
        </is>
      </c>
      <c r="D175" t="inlineStr">
        <is>
          <t>Kebun Raya</t>
        </is>
      </c>
      <c r="E175" t="inlineStr">
        <is>
          <t>Ben Ho</t>
        </is>
      </c>
      <c r="F175" t="inlineStr">
        <is>
          <t>Routine</t>
        </is>
      </c>
      <c r="G175" t="inlineStr">
        <is>
          <t>NONE</t>
        </is>
      </c>
      <c r="H175" t="inlineStr">
        <is>
          <t>Compliant</t>
        </is>
      </c>
      <c r="I175" s="6" t="n"/>
      <c r="J175" s="6" t="n"/>
      <c r="K175">
        <f>IF(J175="","",J175-B175)</f>
        <v/>
      </c>
      <c r="L175">
        <f>IF(H175="Compliant","N/A",IF(J175&lt;&gt;"","Closed",IF(I175&lt;DATE(2026,9,30),"OVERDUE","Open")))</f>
        <v/>
      </c>
    </row>
    <row r="176">
      <c r="A176" t="inlineStr">
        <is>
          <t>INSP-2026-0175</t>
        </is>
      </c>
      <c r="B176" s="6" t="n">
        <v>46048</v>
      </c>
      <c r="C176" t="inlineStr">
        <is>
          <t>U-KR379-01-08</t>
        </is>
      </c>
      <c r="D176" t="inlineStr">
        <is>
          <t>Kebun Raya</t>
        </is>
      </c>
      <c r="E176" t="inlineStr">
        <is>
          <t>Ben Ho</t>
        </is>
      </c>
      <c r="F176" t="inlineStr">
        <is>
          <t>Routine</t>
        </is>
      </c>
      <c r="G176" t="inlineStr">
        <is>
          <t>UNAUTH_SUBLET</t>
        </is>
      </c>
      <c r="H176" t="inlineStr">
        <is>
          <t>Major Breach</t>
        </is>
      </c>
      <c r="I176" s="6" t="n">
        <v>46055</v>
      </c>
      <c r="J176" s="6" t="n">
        <v>46055</v>
      </c>
      <c r="K176">
        <f>IF(J176="","",J176-B176)</f>
        <v/>
      </c>
      <c r="L176">
        <f>IF(H176="Compliant","N/A",IF(J176&lt;&gt;"","Closed",IF(I176&lt;DATE(2026,9,30),"OVERDUE","Open")))</f>
        <v/>
      </c>
    </row>
    <row r="177">
      <c r="A177" t="inlineStr">
        <is>
          <t>INSP-2026-0176</t>
        </is>
      </c>
      <c r="B177" s="6" t="n">
        <v>46048</v>
      </c>
      <c r="C177" t="inlineStr">
        <is>
          <t>U-KR379-01-09</t>
        </is>
      </c>
      <c r="D177" t="inlineStr">
        <is>
          <t>Kebun Raya</t>
        </is>
      </c>
      <c r="E177" t="inlineStr">
        <is>
          <t>daniel ong</t>
        </is>
      </c>
      <c r="F177" t="inlineStr">
        <is>
          <t>Routine</t>
        </is>
      </c>
      <c r="G177" t="inlineStr">
        <is>
          <t>NONE</t>
        </is>
      </c>
      <c r="H177" t="inlineStr">
        <is>
          <t>Compliant</t>
        </is>
      </c>
      <c r="I177" s="6" t="n"/>
      <c r="J177" s="6" t="n"/>
      <c r="K177">
        <f>IF(J177="","",J177-B177)</f>
        <v/>
      </c>
      <c r="L177">
        <f>IF(H177="Compliant","N/A",IF(J177&lt;&gt;"","Closed",IF(I177&lt;DATE(2026,9,30),"OVERDUE","Open")))</f>
        <v/>
      </c>
    </row>
    <row r="178">
      <c r="A178" t="inlineStr">
        <is>
          <t>INSP-2026-0177</t>
        </is>
      </c>
      <c r="B178" s="6" t="n">
        <v>46048</v>
      </c>
      <c r="C178" t="inlineStr">
        <is>
          <t>U-ST564-01-12</t>
        </is>
      </c>
      <c r="D178" t="inlineStr">
        <is>
          <t>Sungai Tinggi</t>
        </is>
      </c>
      <c r="E178" t="inlineStr">
        <is>
          <t>B. Ho</t>
        </is>
      </c>
      <c r="F178" t="inlineStr">
        <is>
          <t>Follow-up</t>
        </is>
      </c>
      <c r="G178" t="inlineStr">
        <is>
          <t>NONE</t>
        </is>
      </c>
      <c r="H178" t="inlineStr">
        <is>
          <t>Compliant</t>
        </is>
      </c>
      <c r="I178" s="6" t="n"/>
      <c r="J178" s="6" t="n"/>
      <c r="K178">
        <f>IF(J178="","",J178-B178)</f>
        <v/>
      </c>
      <c r="L178">
        <f>IF(H178="Compliant","N/A",IF(J178&lt;&gt;"","Closed",IF(I178&lt;DATE(2026,9,30),"OVERDUE","Open")))</f>
        <v/>
      </c>
    </row>
    <row r="179">
      <c r="A179" t="inlineStr">
        <is>
          <t>INSP-2026-0178</t>
        </is>
      </c>
      <c r="B179" s="6" t="n">
        <v>46048</v>
      </c>
      <c r="C179" t="inlineStr">
        <is>
          <t>U-KR333-02-13</t>
        </is>
      </c>
      <c r="D179" t="inlineStr">
        <is>
          <t>Kebun Raya</t>
        </is>
      </c>
      <c r="E179" t="inlineStr">
        <is>
          <t>D. Ong</t>
        </is>
      </c>
      <c r="F179" t="inlineStr">
        <is>
          <t>Routine</t>
        </is>
      </c>
      <c r="G179" t="inlineStr">
        <is>
          <t>NONE</t>
        </is>
      </c>
      <c r="H179" t="inlineStr">
        <is>
          <t>Compliant</t>
        </is>
      </c>
      <c r="I179" s="6" t="n"/>
      <c r="J179" s="6" t="n"/>
      <c r="K179">
        <f>IF(J179="","",J179-B179)</f>
        <v/>
      </c>
      <c r="L179">
        <f>IF(H179="Compliant","N/A",IF(J179&lt;&gt;"","Closed",IF(I179&lt;DATE(2026,9,30),"OVERDUE","Open")))</f>
        <v/>
      </c>
    </row>
    <row r="180">
      <c r="A180" t="inlineStr">
        <is>
          <t>INSP-2026-0179</t>
        </is>
      </c>
      <c r="B180" s="6" t="n">
        <v>46049</v>
      </c>
      <c r="C180" t="inlineStr">
        <is>
          <t>U-CD160-01-02</t>
        </is>
      </c>
      <c r="D180" t="inlineStr">
        <is>
          <t>Cendana</t>
        </is>
      </c>
      <c r="E180" t="inlineStr">
        <is>
          <t>D. Ong</t>
        </is>
      </c>
      <c r="F180" t="inlineStr">
        <is>
          <t>Routine</t>
        </is>
      </c>
      <c r="G180" t="inlineStr">
        <is>
          <t>UNAUTH_SUBLET</t>
        </is>
      </c>
      <c r="H180" t="inlineStr">
        <is>
          <t>Major Breach</t>
        </is>
      </c>
      <c r="I180" s="6" t="n">
        <v>46056</v>
      </c>
      <c r="J180" s="6" t="n">
        <v>46058</v>
      </c>
      <c r="K180">
        <f>IF(J180="","",J180-B180)</f>
        <v/>
      </c>
      <c r="L180">
        <f>IF(H180="Compliant","N/A",IF(J180&lt;&gt;"","Closed",IF(I180&lt;DATE(2026,9,30),"OVERDUE","Open")))</f>
        <v/>
      </c>
    </row>
    <row r="181">
      <c r="A181" t="inlineStr">
        <is>
          <t>INSP-2026-0180</t>
        </is>
      </c>
      <c r="B181" s="6" t="n">
        <v>46049</v>
      </c>
      <c r="C181" t="inlineStr">
        <is>
          <t>U-KR318-02-04</t>
        </is>
      </c>
      <c r="D181" t="inlineStr">
        <is>
          <t>Kebun Raya</t>
        </is>
      </c>
      <c r="E181" t="inlineStr">
        <is>
          <t>daniel ong</t>
        </is>
      </c>
      <c r="F181" t="inlineStr">
        <is>
          <t>Routine</t>
        </is>
      </c>
      <c r="G181" t="inlineStr">
        <is>
          <t>DISPLAY_ENCROACH</t>
        </is>
      </c>
      <c r="H181" t="inlineStr">
        <is>
          <t>Minor Breach</t>
        </is>
      </c>
      <c r="I181" s="6" t="n">
        <v>46063</v>
      </c>
      <c r="J181" s="6" t="n">
        <v>46060</v>
      </c>
      <c r="K181">
        <f>IF(J181="","",J181-B181)</f>
        <v/>
      </c>
      <c r="L181">
        <f>IF(H181="Compliant","N/A",IF(J181&lt;&gt;"","Closed",IF(I181&lt;DATE(2026,9,30),"OVERDUE","Open")))</f>
        <v/>
      </c>
    </row>
    <row r="182">
      <c r="A182" t="inlineStr">
        <is>
          <t>INSP-2026-0181</t>
        </is>
      </c>
      <c r="B182" s="6" t="n">
        <v>46049</v>
      </c>
      <c r="C182" t="inlineStr">
        <is>
          <t>U-KR362-01-06</t>
        </is>
      </c>
      <c r="D182" t="inlineStr">
        <is>
          <t>Kebun Raya</t>
        </is>
      </c>
      <c r="E182" t="inlineStr">
        <is>
          <t>D. Ong</t>
        </is>
      </c>
      <c r="F182" t="inlineStr">
        <is>
          <t>Follow-up</t>
        </is>
      </c>
      <c r="G182" t="inlineStr">
        <is>
          <t>HYGIENE</t>
        </is>
      </c>
      <c r="H182" t="inlineStr">
        <is>
          <t>Minor Breach</t>
        </is>
      </c>
      <c r="I182" s="6" t="n">
        <v>46063</v>
      </c>
      <c r="J182" s="6" t="n">
        <v>46060</v>
      </c>
      <c r="K182">
        <f>IF(J182="","",J182-B182)</f>
        <v/>
      </c>
      <c r="L182">
        <f>IF(H182="Compliant","N/A",IF(J182&lt;&gt;"","Closed",IF(I182&lt;DATE(2026,9,30),"OVERDUE","Open")))</f>
        <v/>
      </c>
    </row>
    <row r="183">
      <c r="A183" t="inlineStr">
        <is>
          <t>INSP-2026-0182</t>
        </is>
      </c>
      <c r="B183" s="6" t="n">
        <v>46049</v>
      </c>
      <c r="C183" t="inlineStr">
        <is>
          <t>U-KR385-01-10</t>
        </is>
      </c>
      <c r="D183" t="inlineStr">
        <is>
          <t>Kebun Raya</t>
        </is>
      </c>
      <c r="E183" t="inlineStr">
        <is>
          <t>Ben Ho</t>
        </is>
      </c>
      <c r="F183" t="inlineStr">
        <is>
          <t>Routine</t>
        </is>
      </c>
      <c r="G183" t="inlineStr">
        <is>
          <t>NONE</t>
        </is>
      </c>
      <c r="H183" t="inlineStr">
        <is>
          <t>Compliant</t>
        </is>
      </c>
      <c r="I183" s="6" t="n"/>
      <c r="J183" s="6" t="n"/>
      <c r="K183">
        <f>IF(J183="","",J183-B183)</f>
        <v/>
      </c>
      <c r="L183">
        <f>IF(H183="Compliant","N/A",IF(J183&lt;&gt;"","Closed",IF(I183&lt;DATE(2026,9,30),"OVERDUE","Open")))</f>
        <v/>
      </c>
    </row>
    <row r="184">
      <c r="A184" t="inlineStr">
        <is>
          <t>INSP-2026-0183</t>
        </is>
      </c>
      <c r="B184" s="6" t="n">
        <v>46049</v>
      </c>
      <c r="C184" t="inlineStr">
        <is>
          <t>U-BV237-01-03</t>
        </is>
      </c>
      <c r="D184" t="inlineStr">
        <is>
          <t>Bayshore Vale</t>
        </is>
      </c>
      <c r="E184" t="inlineStr">
        <is>
          <t>D. Ong</t>
        </is>
      </c>
      <c r="F184" t="inlineStr">
        <is>
          <t>Routine</t>
        </is>
      </c>
      <c r="G184" t="inlineStr">
        <is>
          <t>NONE</t>
        </is>
      </c>
      <c r="H184" t="inlineStr">
        <is>
          <t>Compliant</t>
        </is>
      </c>
      <c r="I184" s="6" t="n"/>
      <c r="J184" s="6" t="n"/>
      <c r="K184">
        <f>IF(J184="","",J184-B184)</f>
        <v/>
      </c>
      <c r="L184">
        <f>IF(H184="Compliant","N/A",IF(J184&lt;&gt;"","Closed",IF(I184&lt;DATE(2026,9,30),"OVERDUE","Open")))</f>
        <v/>
      </c>
    </row>
    <row r="185">
      <c r="A185" t="inlineStr">
        <is>
          <t>INSP-2026-0184</t>
        </is>
      </c>
      <c r="B185" s="6" t="n">
        <v>46050</v>
      </c>
      <c r="C185" t="inlineStr">
        <is>
          <t>U-CD185-01-07</t>
        </is>
      </c>
      <c r="D185" t="inlineStr">
        <is>
          <t>Cendana</t>
        </is>
      </c>
      <c r="E185" t="inlineStr">
        <is>
          <t>Daniel O.</t>
        </is>
      </c>
      <c r="F185" t="inlineStr">
        <is>
          <t>Routine</t>
        </is>
      </c>
      <c r="G185" t="inlineStr">
        <is>
          <t>UNAPPROVED_AA</t>
        </is>
      </c>
      <c r="H185" t="inlineStr">
        <is>
          <t>Minor Breach</t>
        </is>
      </c>
      <c r="I185" s="6" t="n">
        <v>46064</v>
      </c>
      <c r="J185" s="6" t="n">
        <v>46074</v>
      </c>
      <c r="K185">
        <f>IF(J185="","",J185-B185)</f>
        <v/>
      </c>
      <c r="L185">
        <f>IF(H185="Compliant","N/A",IF(J185&lt;&gt;"","Closed",IF(I185&lt;DATE(2026,9,30),"OVERDUE","Open")))</f>
        <v/>
      </c>
    </row>
    <row r="186">
      <c r="A186" t="inlineStr">
        <is>
          <t>INSP-2026-0185</t>
        </is>
      </c>
      <c r="B186" s="6" t="n">
        <v>46050</v>
      </c>
      <c r="C186" t="inlineStr">
        <is>
          <t>U-PI644-01-12</t>
        </is>
      </c>
      <c r="D186" t="inlineStr">
        <is>
          <t>Pasir Indah</t>
        </is>
      </c>
      <c r="E186" t="inlineStr">
        <is>
          <t>marcus</t>
        </is>
      </c>
      <c r="F186" t="inlineStr">
        <is>
          <t>Routine</t>
        </is>
      </c>
      <c r="G186" t="inlineStr">
        <is>
          <t>NONE</t>
        </is>
      </c>
      <c r="H186" t="inlineStr">
        <is>
          <t>Compliant</t>
        </is>
      </c>
      <c r="I186" s="6" t="n"/>
      <c r="J186" s="6" t="n"/>
      <c r="K186">
        <f>IF(J186="","",J186-B186)</f>
        <v/>
      </c>
      <c r="L186">
        <f>IF(H186="Compliant","N/A",IF(J186&lt;&gt;"","Closed",IF(I186&lt;DATE(2026,9,30),"OVERDUE","Open")))</f>
        <v/>
      </c>
    </row>
    <row r="187">
      <c r="A187" t="inlineStr">
        <is>
          <t>INSP-2026-0186</t>
        </is>
      </c>
      <c r="B187" s="6" t="n">
        <v>46050</v>
      </c>
      <c r="C187" t="inlineStr">
        <is>
          <t>U-KR371-01-06</t>
        </is>
      </c>
      <c r="D187" t="inlineStr">
        <is>
          <t>Kebun Raya</t>
        </is>
      </c>
      <c r="E187" t="inlineStr">
        <is>
          <t>daniel ong</t>
        </is>
      </c>
      <c r="F187" t="inlineStr">
        <is>
          <t>Routine</t>
        </is>
      </c>
      <c r="G187" t="inlineStr">
        <is>
          <t>NONE</t>
        </is>
      </c>
      <c r="H187" t="inlineStr">
        <is>
          <t>Compliant</t>
        </is>
      </c>
      <c r="I187" s="6" t="n"/>
      <c r="J187" s="6" t="n"/>
      <c r="K187">
        <f>IF(J187="","",J187-B187)</f>
        <v/>
      </c>
      <c r="L187">
        <f>IF(H187="Compliant","N/A",IF(J187&lt;&gt;"","Closed",IF(I187&lt;DATE(2026,9,30),"OVERDUE","Open")))</f>
        <v/>
      </c>
    </row>
    <row r="188">
      <c r="A188" t="inlineStr">
        <is>
          <t>INSP-2026-0187</t>
        </is>
      </c>
      <c r="B188" s="6" t="n">
        <v>46050</v>
      </c>
      <c r="C188" t="inlineStr">
        <is>
          <t>U-BV230-01-05</t>
        </is>
      </c>
      <c r="D188" t="inlineStr">
        <is>
          <t>Bayshore Vale</t>
        </is>
      </c>
      <c r="E188" t="inlineStr">
        <is>
          <t>Daniel Ong</t>
        </is>
      </c>
      <c r="F188" t="inlineStr">
        <is>
          <t>Routine</t>
        </is>
      </c>
      <c r="G188" t="inlineStr">
        <is>
          <t>HYGIENE</t>
        </is>
      </c>
      <c r="H188" t="inlineStr">
        <is>
          <t>Minor Breach</t>
        </is>
      </c>
      <c r="I188" s="6" t="n">
        <v>46064</v>
      </c>
      <c r="J188" s="6" t="n">
        <v>46071</v>
      </c>
      <c r="K188">
        <f>IF(J188="","",J188-B188)</f>
        <v/>
      </c>
      <c r="L188">
        <f>IF(H188="Compliant","N/A",IF(J188&lt;&gt;"","Closed",IF(I188&lt;DATE(2026,9,30),"OVERDUE","Open")))</f>
        <v/>
      </c>
    </row>
    <row r="189">
      <c r="A189" t="inlineStr">
        <is>
          <t>INSP-2026-0188</t>
        </is>
      </c>
      <c r="B189" s="6" t="n">
        <v>46050</v>
      </c>
      <c r="C189" t="inlineStr">
        <is>
          <t>U-PI627-01-27</t>
        </is>
      </c>
      <c r="D189" t="inlineStr">
        <is>
          <t>Pasir Indah</t>
        </is>
      </c>
      <c r="E189" t="inlineStr">
        <is>
          <t>Daniel O.</t>
        </is>
      </c>
      <c r="F189" t="inlineStr">
        <is>
          <t>Complaint-driven</t>
        </is>
      </c>
      <c r="G189" t="inlineStr">
        <is>
          <t>NONE</t>
        </is>
      </c>
      <c r="H189" t="inlineStr">
        <is>
          <t>Compliant</t>
        </is>
      </c>
      <c r="I189" s="6" t="n"/>
      <c r="J189" s="6" t="n"/>
      <c r="K189">
        <f>IF(J189="","",J189-B189)</f>
        <v/>
      </c>
      <c r="L189">
        <f>IF(H189="Compliant","N/A",IF(J189&lt;&gt;"","Closed",IF(I189&lt;DATE(2026,9,30),"OVERDUE","Open")))</f>
        <v/>
      </c>
    </row>
    <row r="190">
      <c r="A190" t="inlineStr">
        <is>
          <t>INSP-2026-0189</t>
        </is>
      </c>
      <c r="B190" s="6" t="n">
        <v>46050</v>
      </c>
      <c r="C190" t="inlineStr">
        <is>
          <t>U-BV214-01-30</t>
        </is>
      </c>
      <c r="D190" t="inlineStr">
        <is>
          <t>Bayshore Vale</t>
        </is>
      </c>
      <c r="E190" t="inlineStr">
        <is>
          <t>Daniel O.</t>
        </is>
      </c>
      <c r="F190" t="inlineStr">
        <is>
          <t>Complaint-driven</t>
        </is>
      </c>
      <c r="G190" t="inlineStr">
        <is>
          <t>UNAUTH_TRADE</t>
        </is>
      </c>
      <c r="H190" t="inlineStr">
        <is>
          <t>Major Breach</t>
        </is>
      </c>
      <c r="I190" s="6" t="n">
        <v>46057</v>
      </c>
      <c r="J190" s="6" t="n">
        <v>46061</v>
      </c>
      <c r="K190">
        <f>IF(J190="","",J190-B190)</f>
        <v/>
      </c>
      <c r="L190">
        <f>IF(H190="Compliant","N/A",IF(J190&lt;&gt;"","Closed",IF(I190&lt;DATE(2026,9,30),"OVERDUE","Open")))</f>
        <v/>
      </c>
    </row>
    <row r="191">
      <c r="A191" t="inlineStr">
        <is>
          <t>INSP-2026-0190</t>
        </is>
      </c>
      <c r="B191" s="6" t="n">
        <v>46050</v>
      </c>
      <c r="C191" t="inlineStr">
        <is>
          <t>U-RH450-01-03</t>
        </is>
      </c>
      <c r="D191" t="inlineStr">
        <is>
          <t>Rimba Heights</t>
        </is>
      </c>
      <c r="E191" t="inlineStr">
        <is>
          <t>Daniel Ong</t>
        </is>
      </c>
      <c r="F191" t="inlineStr">
        <is>
          <t>Routine</t>
        </is>
      </c>
      <c r="G191" t="inlineStr">
        <is>
          <t>NONE</t>
        </is>
      </c>
      <c r="H191" t="inlineStr">
        <is>
          <t>Compliant</t>
        </is>
      </c>
      <c r="I191" s="6" t="n"/>
      <c r="J191" s="6" t="n"/>
      <c r="K191">
        <f>IF(J191="","",J191-B191)</f>
        <v/>
      </c>
      <c r="L191">
        <f>IF(H191="Compliant","N/A",IF(J191&lt;&gt;"","Closed",IF(I191&lt;DATE(2026,9,30),"OVERDUE","Open")))</f>
        <v/>
      </c>
    </row>
    <row r="192">
      <c r="A192" t="inlineStr">
        <is>
          <t>INSP-2026-0191</t>
        </is>
      </c>
      <c r="B192" s="6" t="n">
        <v>46050</v>
      </c>
      <c r="C192" t="inlineStr">
        <is>
          <t>U-BV216-01-07</t>
        </is>
      </c>
      <c r="D192" t="inlineStr">
        <is>
          <t>Bayshore Vale</t>
        </is>
      </c>
      <c r="E192" t="inlineStr">
        <is>
          <t>marcus</t>
        </is>
      </c>
      <c r="F192" t="inlineStr">
        <is>
          <t>Routine</t>
        </is>
      </c>
      <c r="G192" t="inlineStr">
        <is>
          <t>NONE</t>
        </is>
      </c>
      <c r="H192" t="inlineStr">
        <is>
          <t>Compliant</t>
        </is>
      </c>
      <c r="I192" s="6" t="n"/>
      <c r="J192" s="6" t="n"/>
      <c r="K192">
        <f>IF(J192="","",J192-B192)</f>
        <v/>
      </c>
      <c r="L192">
        <f>IF(H192="Compliant","N/A",IF(J192&lt;&gt;"","Closed",IF(I192&lt;DATE(2026,9,30),"OVERDUE","Open")))</f>
        <v/>
      </c>
    </row>
    <row r="193">
      <c r="A193" t="inlineStr">
        <is>
          <t>INSP-2026-0192</t>
        </is>
      </c>
      <c r="B193" s="6" t="n">
        <v>46051</v>
      </c>
      <c r="C193" t="inlineStr">
        <is>
          <t>U-CD118-01-16</t>
        </is>
      </c>
      <c r="D193" t="inlineStr">
        <is>
          <t>Cendana</t>
        </is>
      </c>
      <c r="E193" t="inlineStr">
        <is>
          <t>D. Ong</t>
        </is>
      </c>
      <c r="F193" t="inlineStr">
        <is>
          <t>Routine</t>
        </is>
      </c>
      <c r="G193" t="inlineStr">
        <is>
          <t>NONE</t>
        </is>
      </c>
      <c r="H193" t="inlineStr">
        <is>
          <t>Compliant</t>
        </is>
      </c>
      <c r="I193" s="6" t="n"/>
      <c r="J193" s="6" t="n"/>
      <c r="K193">
        <f>IF(J193="","",J193-B193)</f>
        <v/>
      </c>
      <c r="L193">
        <f>IF(H193="Compliant","N/A",IF(J193&lt;&gt;"","Closed",IF(I193&lt;DATE(2026,9,30),"OVERDUE","Open")))</f>
        <v/>
      </c>
    </row>
    <row r="194">
      <c r="A194" t="inlineStr">
        <is>
          <t>INSP-2026-0193</t>
        </is>
      </c>
      <c r="B194" s="6" t="n">
        <v>46051</v>
      </c>
      <c r="C194" t="inlineStr">
        <is>
          <t>U-KR305-01-28</t>
        </is>
      </c>
      <c r="D194" t="inlineStr">
        <is>
          <t>Kebun Raya</t>
        </is>
      </c>
      <c r="E194" t="inlineStr">
        <is>
          <t>Benjamin Ho</t>
        </is>
      </c>
      <c r="F194" t="inlineStr">
        <is>
          <t>Routine</t>
        </is>
      </c>
      <c r="G194" t="inlineStr">
        <is>
          <t>DISPLAY_ENCROACH</t>
        </is>
      </c>
      <c r="H194" t="inlineStr">
        <is>
          <t>Minor Breach</t>
        </is>
      </c>
      <c r="I194" s="6" t="n">
        <v>46065</v>
      </c>
      <c r="J194" s="6" t="n">
        <v>46069</v>
      </c>
      <c r="K194">
        <f>IF(J194="","",J194-B194)</f>
        <v/>
      </c>
      <c r="L194">
        <f>IF(H194="Compliant","N/A",IF(J194&lt;&gt;"","Closed",IF(I194&lt;DATE(2026,9,30),"OVERDUE","Open")))</f>
        <v/>
      </c>
    </row>
    <row r="195">
      <c r="A195" t="inlineStr">
        <is>
          <t>INSP-2026-0194</t>
        </is>
      </c>
      <c r="B195" s="6" t="n">
        <v>46051</v>
      </c>
      <c r="C195" t="inlineStr">
        <is>
          <t>U-ST512-01-01</t>
        </is>
      </c>
      <c r="D195" t="inlineStr">
        <is>
          <t>Sungai Tinggi</t>
        </is>
      </c>
      <c r="E195" t="inlineStr">
        <is>
          <t>Daniel Ong</t>
        </is>
      </c>
      <c r="F195" t="inlineStr">
        <is>
          <t>Routine</t>
        </is>
      </c>
      <c r="G195" t="inlineStr">
        <is>
          <t>NONE</t>
        </is>
      </c>
      <c r="H195" t="inlineStr">
        <is>
          <t>Compliant</t>
        </is>
      </c>
      <c r="I195" s="6" t="n"/>
      <c r="J195" s="6" t="n"/>
      <c r="K195">
        <f>IF(J195="","",J195-B195)</f>
        <v/>
      </c>
      <c r="L195">
        <f>IF(H195="Compliant","N/A",IF(J195&lt;&gt;"","Closed",IF(I195&lt;DATE(2026,9,30),"OVERDUE","Open")))</f>
        <v/>
      </c>
    </row>
    <row r="196">
      <c r="A196" t="inlineStr">
        <is>
          <t>INSP-2026-0195</t>
        </is>
      </c>
      <c r="B196" s="6" t="n">
        <v>46051</v>
      </c>
      <c r="C196" t="inlineStr">
        <is>
          <t>U-RH441-01-01</t>
        </is>
      </c>
      <c r="D196" t="inlineStr">
        <is>
          <t>Rimba Heights</t>
        </is>
      </c>
      <c r="E196" t="inlineStr">
        <is>
          <t>Ben Ho</t>
        </is>
      </c>
      <c r="F196" t="inlineStr">
        <is>
          <t>Routine</t>
        </is>
      </c>
      <c r="G196" t="inlineStr">
        <is>
          <t>NONE</t>
        </is>
      </c>
      <c r="H196" t="inlineStr">
        <is>
          <t>Compliant</t>
        </is>
      </c>
      <c r="I196" s="6" t="n"/>
      <c r="J196" s="6" t="n"/>
      <c r="K196">
        <f>IF(J196="","",J196-B196)</f>
        <v/>
      </c>
      <c r="L196">
        <f>IF(H196="Compliant","N/A",IF(J196&lt;&gt;"","Closed",IF(I196&lt;DATE(2026,9,30),"OVERDUE","Open")))</f>
        <v/>
      </c>
    </row>
    <row r="197">
      <c r="A197" t="inlineStr">
        <is>
          <t>INSP-2026-0196</t>
        </is>
      </c>
      <c r="B197" s="6" t="n">
        <v>46051</v>
      </c>
      <c r="C197" t="inlineStr">
        <is>
          <t>U-ST583-01-02</t>
        </is>
      </c>
      <c r="D197" t="inlineStr">
        <is>
          <t>Sungai Tinggi</t>
        </is>
      </c>
      <c r="E197" t="inlineStr">
        <is>
          <t>Benjamin Ho</t>
        </is>
      </c>
      <c r="F197" t="inlineStr">
        <is>
          <t>Routine</t>
        </is>
      </c>
      <c r="G197" t="inlineStr">
        <is>
          <t>NONE</t>
        </is>
      </c>
      <c r="H197" t="inlineStr">
        <is>
          <t>Compliant</t>
        </is>
      </c>
      <c r="I197" s="6" t="n"/>
      <c r="J197" s="6" t="n"/>
      <c r="K197">
        <f>IF(J197="","",J197-B197)</f>
        <v/>
      </c>
      <c r="L197">
        <f>IF(H197="Compliant","N/A",IF(J197&lt;&gt;"","Closed",IF(I197&lt;DATE(2026,9,30),"OVERDUE","Open")))</f>
        <v/>
      </c>
    </row>
    <row r="198">
      <c r="A198" t="inlineStr">
        <is>
          <t>INSP-2026-0197</t>
        </is>
      </c>
      <c r="B198" s="6" t="n">
        <v>46051</v>
      </c>
      <c r="C198" t="inlineStr">
        <is>
          <t>U-ST535-01-05</t>
        </is>
      </c>
      <c r="D198" t="inlineStr">
        <is>
          <t>Sungai Tinggi</t>
        </is>
      </c>
      <c r="E198" t="inlineStr">
        <is>
          <t>Ben Ho</t>
        </is>
      </c>
      <c r="F198" t="inlineStr">
        <is>
          <t>Routine</t>
        </is>
      </c>
      <c r="G198" t="inlineStr">
        <is>
          <t>NONE</t>
        </is>
      </c>
      <c r="H198" t="inlineStr">
        <is>
          <t>Compliant</t>
        </is>
      </c>
      <c r="I198" s="6" t="n"/>
      <c r="J198" s="6" t="n"/>
      <c r="K198">
        <f>IF(J198="","",J198-B198)</f>
        <v/>
      </c>
      <c r="L198">
        <f>IF(H198="Compliant","N/A",IF(J198&lt;&gt;"","Closed",IF(I198&lt;DATE(2026,9,30),"OVERDUE","Open")))</f>
        <v/>
      </c>
    </row>
    <row r="199">
      <c r="A199" t="inlineStr">
        <is>
          <t>INSP-2026-0198</t>
        </is>
      </c>
      <c r="B199" s="6" t="n">
        <v>46051</v>
      </c>
      <c r="C199" t="inlineStr">
        <is>
          <t>U-PI696-01-01</t>
        </is>
      </c>
      <c r="D199" t="inlineStr">
        <is>
          <t>Pasir Indah</t>
        </is>
      </c>
      <c r="E199" t="inlineStr">
        <is>
          <t>daniel ong</t>
        </is>
      </c>
      <c r="F199" t="inlineStr">
        <is>
          <t>Routine</t>
        </is>
      </c>
      <c r="G199" t="inlineStr">
        <is>
          <t>HYGIENE</t>
        </is>
      </c>
      <c r="H199" t="inlineStr">
        <is>
          <t>Minor Breach</t>
        </is>
      </c>
      <c r="I199" s="6" t="n">
        <v>46065</v>
      </c>
      <c r="J199" s="6" t="n">
        <v>46074</v>
      </c>
      <c r="K199">
        <f>IF(J199="","",J199-B199)</f>
        <v/>
      </c>
      <c r="L199">
        <f>IF(H199="Compliant","N/A",IF(J199&lt;&gt;"","Closed",IF(I199&lt;DATE(2026,9,30),"OVERDUE","Open")))</f>
        <v/>
      </c>
    </row>
    <row r="200">
      <c r="A200" t="inlineStr">
        <is>
          <t>INSP-2026-0199</t>
        </is>
      </c>
      <c r="B200" s="6" t="n">
        <v>46051</v>
      </c>
      <c r="C200" t="inlineStr">
        <is>
          <t>U-PI627-01-31</t>
        </is>
      </c>
      <c r="D200" t="inlineStr">
        <is>
          <t>Pasir Indah</t>
        </is>
      </c>
      <c r="E200" t="inlineStr">
        <is>
          <t>D. Ong</t>
        </is>
      </c>
      <c r="F200" t="inlineStr">
        <is>
          <t>Routine</t>
        </is>
      </c>
      <c r="G200" t="inlineStr">
        <is>
          <t>NONE</t>
        </is>
      </c>
      <c r="H200" t="inlineStr">
        <is>
          <t>Compliant</t>
        </is>
      </c>
      <c r="I200" s="6" t="n"/>
      <c r="J200" s="6" t="n"/>
      <c r="K200">
        <f>IF(J200="","",J200-B200)</f>
        <v/>
      </c>
      <c r="L200">
        <f>IF(H200="Compliant","N/A",IF(J200&lt;&gt;"","Closed",IF(I200&lt;DATE(2026,9,30),"OVERDUE","Open")))</f>
        <v/>
      </c>
    </row>
    <row r="201">
      <c r="A201" t="inlineStr">
        <is>
          <t>INSP-2026-0200</t>
        </is>
      </c>
      <c r="B201" s="6" t="n">
        <v>46051</v>
      </c>
      <c r="C201" t="inlineStr">
        <is>
          <t>U-ST537-01-05</t>
        </is>
      </c>
      <c r="D201" t="inlineStr">
        <is>
          <t>Sungai Tinggi</t>
        </is>
      </c>
      <c r="E201" t="inlineStr">
        <is>
          <t>D. Ong</t>
        </is>
      </c>
      <c r="F201" t="inlineStr">
        <is>
          <t>Routine</t>
        </is>
      </c>
      <c r="G201" t="inlineStr">
        <is>
          <t>NONE</t>
        </is>
      </c>
      <c r="H201" t="inlineStr">
        <is>
          <t>Compliant</t>
        </is>
      </c>
      <c r="I201" s="6" t="n"/>
      <c r="J201" s="6" t="n"/>
      <c r="K201">
        <f>IF(J201="","",J201-B201)</f>
        <v/>
      </c>
      <c r="L201">
        <f>IF(H201="Compliant","N/A",IF(J201&lt;&gt;"","Closed",IF(I201&lt;DATE(2026,9,30),"OVERDUE","Open")))</f>
        <v/>
      </c>
    </row>
    <row r="202">
      <c r="A202" t="inlineStr">
        <is>
          <t>INSP-2026-0201</t>
        </is>
      </c>
      <c r="B202" s="6" t="n">
        <v>46051</v>
      </c>
      <c r="C202" t="inlineStr">
        <is>
          <t>U-CD105-01-08</t>
        </is>
      </c>
      <c r="D202" t="inlineStr">
        <is>
          <t>Cendana</t>
        </is>
      </c>
      <c r="E202" t="inlineStr">
        <is>
          <t>M. Lim</t>
        </is>
      </c>
      <c r="F202" t="inlineStr">
        <is>
          <t>Follow-up</t>
        </is>
      </c>
      <c r="G202" t="inlineStr">
        <is>
          <t>NONE</t>
        </is>
      </c>
      <c r="H202" t="inlineStr">
        <is>
          <t>Compliant</t>
        </is>
      </c>
      <c r="I202" s="6" t="n"/>
      <c r="J202" s="6" t="n"/>
      <c r="K202">
        <f>IF(J202="","",J202-B202)</f>
        <v/>
      </c>
      <c r="L202">
        <f>IF(H202="Compliant","N/A",IF(J202&lt;&gt;"","Closed",IF(I202&lt;DATE(2026,9,30),"OVERDUE","Open")))</f>
        <v/>
      </c>
    </row>
    <row r="203">
      <c r="A203" t="inlineStr">
        <is>
          <t>INSP-2026-0202</t>
        </is>
      </c>
      <c r="B203" s="6" t="n">
        <v>46051</v>
      </c>
      <c r="C203" t="inlineStr">
        <is>
          <t>U-BV277-01-01</t>
        </is>
      </c>
      <c r="D203" t="inlineStr">
        <is>
          <t>Bayshore Vale</t>
        </is>
      </c>
      <c r="E203" t="inlineStr">
        <is>
          <t>marcus</t>
        </is>
      </c>
      <c r="F203" t="inlineStr">
        <is>
          <t>Routine</t>
        </is>
      </c>
      <c r="G203" t="inlineStr">
        <is>
          <t>DISPLAY_ENCROACH</t>
        </is>
      </c>
      <c r="H203" t="inlineStr">
        <is>
          <t>Minor Breach</t>
        </is>
      </c>
      <c r="I203" s="6" t="n">
        <v>46065</v>
      </c>
      <c r="J203" s="6" t="n">
        <v>46063</v>
      </c>
      <c r="K203">
        <f>IF(J203="","",J203-B203)</f>
        <v/>
      </c>
      <c r="L203">
        <f>IF(H203="Compliant","N/A",IF(J203&lt;&gt;"","Closed",IF(I203&lt;DATE(2026,9,30),"OVERDUE","Open")))</f>
        <v/>
      </c>
    </row>
    <row r="204">
      <c r="A204" t="inlineStr">
        <is>
          <t>INSP-2026-0203</t>
        </is>
      </c>
      <c r="B204" s="6" t="n">
        <v>46052</v>
      </c>
      <c r="C204" t="inlineStr">
        <is>
          <t>U-BV296-01-08</t>
        </is>
      </c>
      <c r="D204" t="inlineStr">
        <is>
          <t>Bayshore Vale</t>
        </is>
      </c>
      <c r="E204" t="inlineStr">
        <is>
          <t>daniel ong</t>
        </is>
      </c>
      <c r="F204" t="inlineStr">
        <is>
          <t>Routine</t>
        </is>
      </c>
      <c r="G204" t="inlineStr">
        <is>
          <t>UNAUTH_TRADE</t>
        </is>
      </c>
      <c r="H204" t="inlineStr">
        <is>
          <t>Major Breach</t>
        </is>
      </c>
      <c r="I204" s="6" t="n">
        <v>46059</v>
      </c>
      <c r="J204" s="6" t="n">
        <v>46069</v>
      </c>
      <c r="K204">
        <f>IF(J204="","",J204-B204)</f>
        <v/>
      </c>
      <c r="L204">
        <f>IF(H204="Compliant","N/A",IF(J204&lt;&gt;"","Closed",IF(I204&lt;DATE(2026,9,30),"OVERDUE","Open")))</f>
        <v/>
      </c>
    </row>
    <row r="205">
      <c r="A205" t="inlineStr">
        <is>
          <t>INSP-2026-0204</t>
        </is>
      </c>
      <c r="B205" s="6" t="n">
        <v>46052</v>
      </c>
      <c r="C205" t="inlineStr">
        <is>
          <t>U-ST556-01-03</t>
        </is>
      </c>
      <c r="D205" t="inlineStr">
        <is>
          <t>Sungai Tinggi</t>
        </is>
      </c>
      <c r="E205" t="inlineStr">
        <is>
          <t>D. Ong</t>
        </is>
      </c>
      <c r="F205" t="inlineStr">
        <is>
          <t>Routine</t>
        </is>
      </c>
      <c r="G205" t="inlineStr">
        <is>
          <t>FIRE_SAFETY</t>
        </is>
      </c>
      <c r="H205" t="inlineStr">
        <is>
          <t>Major Breach</t>
        </is>
      </c>
      <c r="I205" s="6" t="n">
        <v>46059</v>
      </c>
      <c r="J205" s="6" t="n">
        <v>46067</v>
      </c>
      <c r="K205">
        <f>IF(J205="","",J205-B205)</f>
        <v/>
      </c>
      <c r="L205">
        <f>IF(H205="Compliant","N/A",IF(J205&lt;&gt;"","Closed",IF(I205&lt;DATE(2026,9,30),"OVERDUE","Open")))</f>
        <v/>
      </c>
    </row>
    <row r="206">
      <c r="A206" t="inlineStr">
        <is>
          <t>INSP-2026-0205</t>
        </is>
      </c>
      <c r="B206" s="6" t="n">
        <v>46052</v>
      </c>
      <c r="C206" t="inlineStr">
        <is>
          <t>U-PI626-01-03</t>
        </is>
      </c>
      <c r="D206" t="inlineStr">
        <is>
          <t>Pasir Indah</t>
        </is>
      </c>
      <c r="E206" t="inlineStr">
        <is>
          <t>D. Ong</t>
        </is>
      </c>
      <c r="F206" t="inlineStr">
        <is>
          <t>Routine</t>
        </is>
      </c>
      <c r="G206" t="inlineStr">
        <is>
          <t>NONE</t>
        </is>
      </c>
      <c r="H206" t="inlineStr">
        <is>
          <t>Compliant</t>
        </is>
      </c>
      <c r="I206" s="6" t="n"/>
      <c r="J206" s="6" t="n"/>
      <c r="K206">
        <f>IF(J206="","",J206-B206)</f>
        <v/>
      </c>
      <c r="L206">
        <f>IF(H206="Compliant","N/A",IF(J206&lt;&gt;"","Closed",IF(I206&lt;DATE(2026,9,30),"OVERDUE","Open")))</f>
        <v/>
      </c>
    </row>
    <row r="207">
      <c r="A207" t="inlineStr">
        <is>
          <t>INSP-2026-0206</t>
        </is>
      </c>
      <c r="B207" s="6" t="n">
        <v>46052</v>
      </c>
      <c r="C207" t="inlineStr">
        <is>
          <t>U-CD118-01-09</t>
        </is>
      </c>
      <c r="D207" t="inlineStr">
        <is>
          <t>Cendana</t>
        </is>
      </c>
      <c r="E207" t="inlineStr">
        <is>
          <t>marcus</t>
        </is>
      </c>
      <c r="F207" t="inlineStr">
        <is>
          <t>Routine</t>
        </is>
      </c>
      <c r="G207" t="inlineStr">
        <is>
          <t>DISPLAY_ENCROACH</t>
        </is>
      </c>
      <c r="H207" t="inlineStr">
        <is>
          <t>Minor Breach</t>
        </is>
      </c>
      <c r="I207" s="6" t="n">
        <v>46066</v>
      </c>
      <c r="J207" s="6" t="n">
        <v>46066</v>
      </c>
      <c r="K207">
        <f>IF(J207="","",J207-B207)</f>
        <v/>
      </c>
      <c r="L207">
        <f>IF(H207="Compliant","N/A",IF(J207&lt;&gt;"","Closed",IF(I207&lt;DATE(2026,9,30),"OVERDUE","Open")))</f>
        <v/>
      </c>
    </row>
    <row r="208">
      <c r="A208" t="inlineStr">
        <is>
          <t>INSP-2026-0207</t>
        </is>
      </c>
      <c r="B208" s="6" t="n">
        <v>46052</v>
      </c>
      <c r="C208" t="inlineStr">
        <is>
          <t>U-PI667-01-09</t>
        </is>
      </c>
      <c r="D208" t="inlineStr">
        <is>
          <t>Pasir Indah</t>
        </is>
      </c>
      <c r="E208" t="inlineStr">
        <is>
          <t>Daniel Ong</t>
        </is>
      </c>
      <c r="F208" t="inlineStr">
        <is>
          <t>Follow-up</t>
        </is>
      </c>
      <c r="G208" t="inlineStr">
        <is>
          <t>NONE</t>
        </is>
      </c>
      <c r="H208" t="inlineStr">
        <is>
          <t>Compliant</t>
        </is>
      </c>
      <c r="I208" s="6" t="n"/>
      <c r="J208" s="6" t="n"/>
      <c r="K208">
        <f>IF(J208="","",J208-B208)</f>
        <v/>
      </c>
      <c r="L208">
        <f>IF(H208="Compliant","N/A",IF(J208&lt;&gt;"","Closed",IF(I208&lt;DATE(2026,9,30),"OVERDUE","Open")))</f>
        <v/>
      </c>
    </row>
    <row r="209">
      <c r="A209" t="inlineStr">
        <is>
          <t>INSP-2026-0208</t>
        </is>
      </c>
      <c r="B209" s="6" t="n">
        <v>46052</v>
      </c>
      <c r="C209" t="inlineStr">
        <is>
          <t>U-CD108-01-06</t>
        </is>
      </c>
      <c r="D209" t="inlineStr">
        <is>
          <t>Cendana</t>
        </is>
      </c>
      <c r="E209" t="inlineStr">
        <is>
          <t>daniel ong</t>
        </is>
      </c>
      <c r="F209" t="inlineStr">
        <is>
          <t>Routine</t>
        </is>
      </c>
      <c r="G209" t="inlineStr">
        <is>
          <t>NONE</t>
        </is>
      </c>
      <c r="H209" t="inlineStr">
        <is>
          <t>Compliant</t>
        </is>
      </c>
      <c r="I209" s="6" t="n"/>
      <c r="J209" s="6" t="n"/>
      <c r="K209">
        <f>IF(J209="","",J209-B209)</f>
        <v/>
      </c>
      <c r="L209">
        <f>IF(H209="Compliant","N/A",IF(J209&lt;&gt;"","Closed",IF(I209&lt;DATE(2026,9,30),"OVERDUE","Open")))</f>
        <v/>
      </c>
    </row>
    <row r="210">
      <c r="A210" t="inlineStr">
        <is>
          <t>INSP-2026-0209</t>
        </is>
      </c>
      <c r="B210" s="6" t="n">
        <v>46052</v>
      </c>
      <c r="C210" t="inlineStr">
        <is>
          <t>U-PI627-01-25</t>
        </is>
      </c>
      <c r="D210" t="inlineStr">
        <is>
          <t>Pasir Indah</t>
        </is>
      </c>
      <c r="E210" t="inlineStr">
        <is>
          <t>Daniel O.</t>
        </is>
      </c>
      <c r="F210" t="inlineStr">
        <is>
          <t>Routine</t>
        </is>
      </c>
      <c r="G210" t="inlineStr">
        <is>
          <t>NONE</t>
        </is>
      </c>
      <c r="H210" t="inlineStr">
        <is>
          <t>Compliant</t>
        </is>
      </c>
      <c r="I210" s="6" t="n"/>
      <c r="J210" s="6" t="n"/>
      <c r="K210">
        <f>IF(J210="","",J210-B210)</f>
        <v/>
      </c>
      <c r="L210">
        <f>IF(H210="Compliant","N/A",IF(J210&lt;&gt;"","Closed",IF(I210&lt;DATE(2026,9,30),"OVERDUE","Open")))</f>
        <v/>
      </c>
    </row>
    <row r="211">
      <c r="A211" t="inlineStr">
        <is>
          <t>INSP-2026-0210</t>
        </is>
      </c>
      <c r="B211" s="6" t="n">
        <v>46053</v>
      </c>
      <c r="C211" t="inlineStr">
        <is>
          <t>U-PI684-01-03</t>
        </is>
      </c>
      <c r="D211" t="inlineStr">
        <is>
          <t>Pasir Indah</t>
        </is>
      </c>
      <c r="E211" t="inlineStr">
        <is>
          <t>marcus</t>
        </is>
      </c>
      <c r="F211" t="inlineStr">
        <is>
          <t>Routine</t>
        </is>
      </c>
      <c r="G211" t="inlineStr">
        <is>
          <t>NONE</t>
        </is>
      </c>
      <c r="H211" t="inlineStr">
        <is>
          <t>Compliant</t>
        </is>
      </c>
      <c r="I211" s="6" t="n"/>
      <c r="J211" s="6" t="n"/>
      <c r="K211">
        <f>IF(J211="","",J211-B211)</f>
        <v/>
      </c>
      <c r="L211">
        <f>IF(H211="Compliant","N/A",IF(J211&lt;&gt;"","Closed",IF(I211&lt;DATE(2026,9,30),"OVERDUE","Open")))</f>
        <v/>
      </c>
    </row>
    <row r="212">
      <c r="A212" t="inlineStr">
        <is>
          <t>INSP-2026-0211</t>
        </is>
      </c>
      <c r="B212" s="6" t="n">
        <v>46053</v>
      </c>
      <c r="C212" t="inlineStr">
        <is>
          <t>U-KR305-01-33</t>
        </is>
      </c>
      <c r="D212" t="inlineStr">
        <is>
          <t>Kebun Raya</t>
        </is>
      </c>
      <c r="E212" t="inlineStr">
        <is>
          <t>Daniel Ong</t>
        </is>
      </c>
      <c r="F212" t="inlineStr">
        <is>
          <t>Routine</t>
        </is>
      </c>
      <c r="G212" t="inlineStr">
        <is>
          <t>HYGIENE</t>
        </is>
      </c>
      <c r="H212" t="inlineStr">
        <is>
          <t>Minor Breach</t>
        </is>
      </c>
      <c r="I212" s="6" t="n">
        <v>46067</v>
      </c>
      <c r="J212" s="6" t="n"/>
      <c r="K212">
        <f>IF(J212="","",J212-B212)</f>
        <v/>
      </c>
      <c r="L212">
        <f>IF(H212="Compliant","N/A",IF(J212&lt;&gt;"","Closed",IF(I212&lt;DATE(2026,9,30),"OVERDUE","Open")))</f>
        <v/>
      </c>
    </row>
    <row r="213">
      <c r="A213" t="inlineStr">
        <is>
          <t>INSP-2026-0212</t>
        </is>
      </c>
      <c r="B213" s="6" t="n">
        <v>46053</v>
      </c>
      <c r="C213" t="inlineStr">
        <is>
          <t>U-KR362-02-01</t>
        </is>
      </c>
      <c r="D213" t="inlineStr">
        <is>
          <t>Kebun Raya</t>
        </is>
      </c>
      <c r="E213" t="inlineStr">
        <is>
          <t>Daniel Ong</t>
        </is>
      </c>
      <c r="F213" t="inlineStr">
        <is>
          <t>Routine</t>
        </is>
      </c>
      <c r="G213" t="inlineStr">
        <is>
          <t>NONE</t>
        </is>
      </c>
      <c r="H213" t="inlineStr">
        <is>
          <t>Compliant</t>
        </is>
      </c>
      <c r="I213" s="6" t="n"/>
      <c r="J213" s="6" t="n"/>
      <c r="K213">
        <f>IF(J213="","",J213-B213)</f>
        <v/>
      </c>
      <c r="L213">
        <f>IF(H213="Compliant","N/A",IF(J213&lt;&gt;"","Closed",IF(I213&lt;DATE(2026,9,30),"OVERDUE","Open")))</f>
        <v/>
      </c>
    </row>
    <row r="214">
      <c r="A214" t="inlineStr">
        <is>
          <t>INSP-2026-0213</t>
        </is>
      </c>
      <c r="B214" s="6" t="n">
        <v>46053</v>
      </c>
      <c r="C214" t="inlineStr">
        <is>
          <t>U-PI667-01-12</t>
        </is>
      </c>
      <c r="D214" t="inlineStr">
        <is>
          <t>Pasir Indah</t>
        </is>
      </c>
      <c r="E214" t="inlineStr">
        <is>
          <t>Daniel O.</t>
        </is>
      </c>
      <c r="F214" t="inlineStr">
        <is>
          <t>Complaint-driven</t>
        </is>
      </c>
      <c r="G214" t="inlineStr">
        <is>
          <t>UNAPPROVED_AA</t>
        </is>
      </c>
      <c r="H214" t="inlineStr">
        <is>
          <t>Minor Breach</t>
        </is>
      </c>
      <c r="I214" s="6" t="n">
        <v>46067</v>
      </c>
      <c r="J214" s="6" t="n">
        <v>46064</v>
      </c>
      <c r="K214">
        <f>IF(J214="","",J214-B214)</f>
        <v/>
      </c>
      <c r="L214">
        <f>IF(H214="Compliant","N/A",IF(J214&lt;&gt;"","Closed",IF(I214&lt;DATE(2026,9,30),"OVERDUE","Open")))</f>
        <v/>
      </c>
    </row>
    <row r="215">
      <c r="A215" t="inlineStr">
        <is>
          <t>INSP-2026-0214</t>
        </is>
      </c>
      <c r="B215" s="6" t="n">
        <v>46053</v>
      </c>
      <c r="C215" t="inlineStr">
        <is>
          <t>U-PI634-01-07</t>
        </is>
      </c>
      <c r="D215" t="inlineStr">
        <is>
          <t>Pasir Indah</t>
        </is>
      </c>
      <c r="E215" t="inlineStr">
        <is>
          <t>marcus</t>
        </is>
      </c>
      <c r="F215" t="inlineStr">
        <is>
          <t>Routine</t>
        </is>
      </c>
      <c r="G215" t="inlineStr">
        <is>
          <t>NONE</t>
        </is>
      </c>
      <c r="H215" t="inlineStr">
        <is>
          <t>Compliant</t>
        </is>
      </c>
      <c r="I215" s="6" t="n"/>
      <c r="J215" s="6" t="n"/>
      <c r="K215">
        <f>IF(J215="","",J215-B215)</f>
        <v/>
      </c>
      <c r="L215">
        <f>IF(H215="Compliant","N/A",IF(J215&lt;&gt;"","Closed",IF(I215&lt;DATE(2026,9,30),"OVERDUE","Open")))</f>
        <v/>
      </c>
    </row>
    <row r="216">
      <c r="A216" t="inlineStr">
        <is>
          <t>INSP-2026-0215</t>
        </is>
      </c>
      <c r="B216" s="6" t="n">
        <v>46054</v>
      </c>
      <c r="C216" t="inlineStr">
        <is>
          <t>U-ST593-01-02</t>
        </is>
      </c>
      <c r="D216" t="inlineStr">
        <is>
          <t>Sungai Tinggi</t>
        </is>
      </c>
      <c r="E216" t="inlineStr">
        <is>
          <t>D. Ong</t>
        </is>
      </c>
      <c r="F216" t="inlineStr">
        <is>
          <t>Routine</t>
        </is>
      </c>
      <c r="G216" t="inlineStr">
        <is>
          <t>NONE</t>
        </is>
      </c>
      <c r="H216" t="inlineStr">
        <is>
          <t>Compliant</t>
        </is>
      </c>
      <c r="I216" s="6" t="n"/>
      <c r="J216" s="6" t="n"/>
      <c r="K216">
        <f>IF(J216="","",J216-B216)</f>
        <v/>
      </c>
      <c r="L216">
        <f>IF(H216="Compliant","N/A",IF(J216&lt;&gt;"","Closed",IF(I216&lt;DATE(2026,9,30),"OVERDUE","Open")))</f>
        <v/>
      </c>
    </row>
    <row r="217">
      <c r="A217" t="inlineStr">
        <is>
          <t>INSP-2026-0216</t>
        </is>
      </c>
      <c r="B217" s="6" t="n">
        <v>46054</v>
      </c>
      <c r="C217" t="inlineStr">
        <is>
          <t>U-RH482-02-06</t>
        </is>
      </c>
      <c r="D217" t="inlineStr">
        <is>
          <t>Rimba Heights</t>
        </is>
      </c>
      <c r="E217" t="inlineStr">
        <is>
          <t>daniel ong</t>
        </is>
      </c>
      <c r="F217" t="inlineStr">
        <is>
          <t>Follow-up</t>
        </is>
      </c>
      <c r="G217" t="inlineStr">
        <is>
          <t>NONE</t>
        </is>
      </c>
      <c r="H217" t="inlineStr">
        <is>
          <t>Compliant</t>
        </is>
      </c>
      <c r="I217" s="6" t="n"/>
      <c r="J217" s="6" t="n"/>
      <c r="K217">
        <f>IF(J217="","",J217-B217)</f>
        <v/>
      </c>
      <c r="L217">
        <f>IF(H217="Compliant","N/A",IF(J217&lt;&gt;"","Closed",IF(I217&lt;DATE(2026,9,30),"OVERDUE","Open")))</f>
        <v/>
      </c>
    </row>
    <row r="218">
      <c r="A218" t="inlineStr">
        <is>
          <t>INSP-2026-0217</t>
        </is>
      </c>
      <c r="B218" s="6" t="n">
        <v>46054</v>
      </c>
      <c r="C218" t="inlineStr">
        <is>
          <t>U-ST512-01-31</t>
        </is>
      </c>
      <c r="D218" t="inlineStr">
        <is>
          <t>Sungai Tinggi</t>
        </is>
      </c>
      <c r="E218" t="inlineStr">
        <is>
          <t>D. Ong</t>
        </is>
      </c>
      <c r="F218" t="inlineStr">
        <is>
          <t>Complaint-driven</t>
        </is>
      </c>
      <c r="G218" t="inlineStr">
        <is>
          <t>UNAPPROVED_AA</t>
        </is>
      </c>
      <c r="H218" t="inlineStr">
        <is>
          <t>Minor Breach</t>
        </is>
      </c>
      <c r="I218" s="6" t="n">
        <v>46068</v>
      </c>
      <c r="J218" s="6" t="n">
        <v>46078</v>
      </c>
      <c r="K218">
        <f>IF(J218="","",J218-B218)</f>
        <v/>
      </c>
      <c r="L218">
        <f>IF(H218="Compliant","N/A",IF(J218&lt;&gt;"","Closed",IF(I218&lt;DATE(2026,9,30),"OVERDUE","Open")))</f>
        <v/>
      </c>
    </row>
    <row r="219">
      <c r="A219" t="inlineStr">
        <is>
          <t>INSP-2026-0218</t>
        </is>
      </c>
      <c r="B219" s="6" t="n">
        <v>46054</v>
      </c>
      <c r="C219" t="inlineStr">
        <is>
          <t>U-RH455-01-33</t>
        </is>
      </c>
      <c r="D219" t="inlineStr">
        <is>
          <t>Rimba Heights</t>
        </is>
      </c>
      <c r="E219" t="inlineStr">
        <is>
          <t>D. Ong</t>
        </is>
      </c>
      <c r="F219" t="inlineStr">
        <is>
          <t>Routine</t>
        </is>
      </c>
      <c r="G219" t="inlineStr">
        <is>
          <t>NONE</t>
        </is>
      </c>
      <c r="H219" t="inlineStr">
        <is>
          <t>Compliant</t>
        </is>
      </c>
      <c r="I219" s="6" t="n"/>
      <c r="J219" s="6" t="n"/>
      <c r="K219">
        <f>IF(J219="","",J219-B219)</f>
        <v/>
      </c>
      <c r="L219">
        <f>IF(H219="Compliant","N/A",IF(J219&lt;&gt;"","Closed",IF(I219&lt;DATE(2026,9,30),"OVERDUE","Open")))</f>
        <v/>
      </c>
    </row>
    <row r="220">
      <c r="A220" t="inlineStr">
        <is>
          <t>INSP-2026-0219</t>
        </is>
      </c>
      <c r="B220" s="6" t="n">
        <v>46054</v>
      </c>
      <c r="C220" t="inlineStr">
        <is>
          <t>U-RH437-01-02</t>
        </is>
      </c>
      <c r="D220" t="inlineStr">
        <is>
          <t>Rimba Heights</t>
        </is>
      </c>
      <c r="E220" t="inlineStr">
        <is>
          <t>Daniel Ong</t>
        </is>
      </c>
      <c r="F220" t="inlineStr">
        <is>
          <t>Routine</t>
        </is>
      </c>
      <c r="G220" t="inlineStr">
        <is>
          <t>DISPLAY_ENCROACH</t>
        </is>
      </c>
      <c r="H220" t="inlineStr">
        <is>
          <t>Minor Breach</t>
        </is>
      </c>
      <c r="I220" s="6" t="n">
        <v>46068</v>
      </c>
      <c r="J220" s="6" t="n">
        <v>46069</v>
      </c>
      <c r="K220">
        <f>IF(J220="","",J220-B220)</f>
        <v/>
      </c>
      <c r="L220">
        <f>IF(H220="Compliant","N/A",IF(J220&lt;&gt;"","Closed",IF(I220&lt;DATE(2026,9,30),"OVERDUE","Open")))</f>
        <v/>
      </c>
    </row>
    <row r="221">
      <c r="A221" t="inlineStr">
        <is>
          <t>INSP-2026-0220</t>
        </is>
      </c>
      <c r="B221" s="6" t="n">
        <v>46054</v>
      </c>
      <c r="C221" t="inlineStr">
        <is>
          <t>U-KR329-01-08</t>
        </is>
      </c>
      <c r="D221" t="inlineStr">
        <is>
          <t>Kebun Raya</t>
        </is>
      </c>
      <c r="E221" t="inlineStr">
        <is>
          <t>B. Ho</t>
        </is>
      </c>
      <c r="F221" t="inlineStr">
        <is>
          <t>Routine</t>
        </is>
      </c>
      <c r="G221" t="inlineStr">
        <is>
          <t>UNAUTH_SUBLET</t>
        </is>
      </c>
      <c r="H221" t="inlineStr">
        <is>
          <t>Major Breach</t>
        </is>
      </c>
      <c r="I221" s="6" t="n">
        <v>46061</v>
      </c>
      <c r="J221" s="6" t="n">
        <v>46071</v>
      </c>
      <c r="K221">
        <f>IF(J221="","",J221-B221)</f>
        <v/>
      </c>
      <c r="L221">
        <f>IF(H221="Compliant","N/A",IF(J221&lt;&gt;"","Closed",IF(I221&lt;DATE(2026,9,30),"OVERDUE","Open")))</f>
        <v/>
      </c>
    </row>
    <row r="222">
      <c r="A222" t="inlineStr">
        <is>
          <t>INSP-2026-0221</t>
        </is>
      </c>
      <c r="B222" s="6" t="n">
        <v>46055</v>
      </c>
      <c r="C222" t="inlineStr">
        <is>
          <t>U-BV214-01-14</t>
        </is>
      </c>
      <c r="D222" t="inlineStr">
        <is>
          <t>Bayshore Vale</t>
        </is>
      </c>
      <c r="E222" t="inlineStr">
        <is>
          <t>Daniel O.</t>
        </is>
      </c>
      <c r="F222" t="inlineStr">
        <is>
          <t>Routine</t>
        </is>
      </c>
      <c r="G222" t="inlineStr">
        <is>
          <t>NONE</t>
        </is>
      </c>
      <c r="H222" t="inlineStr">
        <is>
          <t>Compliant</t>
        </is>
      </c>
      <c r="I222" s="6" t="n"/>
      <c r="J222" s="6" t="n"/>
      <c r="K222">
        <f>IF(J222="","",J222-B222)</f>
        <v/>
      </c>
      <c r="L222">
        <f>IF(H222="Compliant","N/A",IF(J222&lt;&gt;"","Closed",IF(I222&lt;DATE(2026,9,30),"OVERDUE","Open")))</f>
        <v/>
      </c>
    </row>
    <row r="223">
      <c r="A223" t="inlineStr">
        <is>
          <t>INSP-2026-0222</t>
        </is>
      </c>
      <c r="B223" s="6" t="n">
        <v>46055</v>
      </c>
      <c r="C223" t="inlineStr">
        <is>
          <t>U-KR372-01-02</t>
        </is>
      </c>
      <c r="D223" t="inlineStr">
        <is>
          <t>Kebun Raya</t>
        </is>
      </c>
      <c r="E223" t="inlineStr">
        <is>
          <t>B. Ho</t>
        </is>
      </c>
      <c r="F223" t="inlineStr">
        <is>
          <t>Routine</t>
        </is>
      </c>
      <c r="G223" t="inlineStr">
        <is>
          <t>NONE</t>
        </is>
      </c>
      <c r="H223" t="inlineStr">
        <is>
          <t>Compliant</t>
        </is>
      </c>
      <c r="I223" s="6" t="n"/>
      <c r="J223" s="6" t="n"/>
      <c r="K223">
        <f>IF(J223="","",J223-B223)</f>
        <v/>
      </c>
      <c r="L223">
        <f>IF(H223="Compliant","N/A",IF(J223&lt;&gt;"","Closed",IF(I223&lt;DATE(2026,9,30),"OVERDUE","Open")))</f>
        <v/>
      </c>
    </row>
    <row r="224">
      <c r="A224" t="inlineStr">
        <is>
          <t>INSP-2026-0223</t>
        </is>
      </c>
      <c r="B224" s="6" t="n">
        <v>46055</v>
      </c>
      <c r="C224" t="inlineStr">
        <is>
          <t>U-CD165-01-02</t>
        </is>
      </c>
      <c r="D224" t="inlineStr">
        <is>
          <t>Cendana</t>
        </is>
      </c>
      <c r="E224" t="inlineStr">
        <is>
          <t>daniel ong</t>
        </is>
      </c>
      <c r="F224" t="inlineStr">
        <is>
          <t>Complaint-driven</t>
        </is>
      </c>
      <c r="G224" t="inlineStr">
        <is>
          <t>NONE</t>
        </is>
      </c>
      <c r="H224" t="inlineStr">
        <is>
          <t>Compliant</t>
        </is>
      </c>
      <c r="I224" s="6" t="n"/>
      <c r="J224" s="6" t="n"/>
      <c r="K224">
        <f>IF(J224="","",J224-B224)</f>
        <v/>
      </c>
      <c r="L224">
        <f>IF(H224="Compliant","N/A",IF(J224&lt;&gt;"","Closed",IF(I224&lt;DATE(2026,9,30),"OVERDUE","Open")))</f>
        <v/>
      </c>
    </row>
    <row r="225">
      <c r="A225" t="inlineStr">
        <is>
          <t>INSP-2026-0224</t>
        </is>
      </c>
      <c r="B225" s="6" t="n">
        <v>46055</v>
      </c>
      <c r="C225" t="inlineStr">
        <is>
          <t>U-BV290-01-03</t>
        </is>
      </c>
      <c r="D225" t="inlineStr">
        <is>
          <t>Bayshore Vale</t>
        </is>
      </c>
      <c r="E225" t="inlineStr">
        <is>
          <t>Marcus Lim</t>
        </is>
      </c>
      <c r="F225" t="inlineStr">
        <is>
          <t>Routine</t>
        </is>
      </c>
      <c r="G225" t="inlineStr">
        <is>
          <t>NONE</t>
        </is>
      </c>
      <c r="H225" t="inlineStr">
        <is>
          <t>Compliant</t>
        </is>
      </c>
      <c r="I225" s="6" t="n"/>
      <c r="J225" s="6" t="n"/>
      <c r="K225">
        <f>IF(J225="","",J225-B225)</f>
        <v/>
      </c>
      <c r="L225">
        <f>IF(H225="Compliant","N/A",IF(J225&lt;&gt;"","Closed",IF(I225&lt;DATE(2026,9,30),"OVERDUE","Open")))</f>
        <v/>
      </c>
    </row>
    <row r="226">
      <c r="A226" t="inlineStr">
        <is>
          <t>INSP-2026-0225</t>
        </is>
      </c>
      <c r="B226" s="6" t="n">
        <v>46055</v>
      </c>
      <c r="C226" t="inlineStr">
        <is>
          <t>U-PI609-01-02</t>
        </is>
      </c>
      <c r="D226" t="inlineStr">
        <is>
          <t>Pasir Indah</t>
        </is>
      </c>
      <c r="E226" t="inlineStr">
        <is>
          <t>Daniel Ong</t>
        </is>
      </c>
      <c r="F226" t="inlineStr">
        <is>
          <t>Routine</t>
        </is>
      </c>
      <c r="G226" t="inlineStr">
        <is>
          <t>NONE</t>
        </is>
      </c>
      <c r="H226" t="inlineStr">
        <is>
          <t>Compliant</t>
        </is>
      </c>
      <c r="I226" s="6" t="n"/>
      <c r="J226" s="6" t="n"/>
      <c r="K226">
        <f>IF(J226="","",J226-B226)</f>
        <v/>
      </c>
      <c r="L226">
        <f>IF(H226="Compliant","N/A",IF(J226&lt;&gt;"","Closed",IF(I226&lt;DATE(2026,9,30),"OVERDUE","Open")))</f>
        <v/>
      </c>
    </row>
    <row r="227">
      <c r="A227" t="inlineStr">
        <is>
          <t>INSP-2026-0226</t>
        </is>
      </c>
      <c r="B227" s="6" t="n">
        <v>46055</v>
      </c>
      <c r="C227" t="inlineStr">
        <is>
          <t>U-RH473-01-02</t>
        </is>
      </c>
      <c r="D227" t="inlineStr">
        <is>
          <t>Rimba Heights</t>
        </is>
      </c>
      <c r="E227" t="inlineStr">
        <is>
          <t>daniel ong</t>
        </is>
      </c>
      <c r="F227" t="inlineStr">
        <is>
          <t>Routine</t>
        </is>
      </c>
      <c r="G227" t="inlineStr">
        <is>
          <t>NONE</t>
        </is>
      </c>
      <c r="H227" t="inlineStr">
        <is>
          <t>Compliant</t>
        </is>
      </c>
      <c r="I227" s="6" t="n"/>
      <c r="J227" s="6" t="n"/>
      <c r="K227">
        <f>IF(J227="","",J227-B227)</f>
        <v/>
      </c>
      <c r="L227">
        <f>IF(H227="Compliant","N/A",IF(J227&lt;&gt;"","Closed",IF(I227&lt;DATE(2026,9,30),"OVERDUE","Open")))</f>
        <v/>
      </c>
    </row>
    <row r="228">
      <c r="A228" t="inlineStr">
        <is>
          <t>INSP-2026-0227</t>
        </is>
      </c>
      <c r="B228" s="6" t="n">
        <v>46055</v>
      </c>
      <c r="C228" t="inlineStr">
        <is>
          <t>U-KR356-01-05</t>
        </is>
      </c>
      <c r="D228" t="inlineStr">
        <is>
          <t>Kebun Raya</t>
        </is>
      </c>
      <c r="E228" t="inlineStr">
        <is>
          <t>Ben Ho</t>
        </is>
      </c>
      <c r="F228" t="inlineStr">
        <is>
          <t>Complaint-driven</t>
        </is>
      </c>
      <c r="G228" t="inlineStr">
        <is>
          <t>NONE</t>
        </is>
      </c>
      <c r="H228" t="inlineStr">
        <is>
          <t>Compliant</t>
        </is>
      </c>
      <c r="I228" s="6" t="n"/>
      <c r="J228" s="6" t="n"/>
      <c r="K228">
        <f>IF(J228="","",J228-B228)</f>
        <v/>
      </c>
      <c r="L228">
        <f>IF(H228="Compliant","N/A",IF(J228&lt;&gt;"","Closed",IF(I228&lt;DATE(2026,9,30),"OVERDUE","Open")))</f>
        <v/>
      </c>
    </row>
    <row r="229">
      <c r="A229" t="inlineStr">
        <is>
          <t>INSP-2026-0228</t>
        </is>
      </c>
      <c r="B229" s="6" t="n">
        <v>46056</v>
      </c>
      <c r="C229" t="inlineStr">
        <is>
          <t>U-CD118-01-03</t>
        </is>
      </c>
      <c r="D229" t="inlineStr">
        <is>
          <t>Cendana</t>
        </is>
      </c>
      <c r="E229" t="inlineStr">
        <is>
          <t>D. Ong</t>
        </is>
      </c>
      <c r="F229" t="inlineStr">
        <is>
          <t>Routine</t>
        </is>
      </c>
      <c r="G229" t="inlineStr">
        <is>
          <t>FIRE_SAFETY</t>
        </is>
      </c>
      <c r="H229" t="inlineStr">
        <is>
          <t>Major Breach</t>
        </is>
      </c>
      <c r="I229" s="6" t="n">
        <v>46063</v>
      </c>
      <c r="J229" s="6" t="n">
        <v>46072</v>
      </c>
      <c r="K229">
        <f>IF(J229="","",J229-B229)</f>
        <v/>
      </c>
      <c r="L229">
        <f>IF(H229="Compliant","N/A",IF(J229&lt;&gt;"","Closed",IF(I229&lt;DATE(2026,9,30),"OVERDUE","Open")))</f>
        <v/>
      </c>
    </row>
    <row r="230">
      <c r="A230" t="inlineStr">
        <is>
          <t>INSP-2026-0229</t>
        </is>
      </c>
      <c r="B230" s="6" t="n">
        <v>46056</v>
      </c>
      <c r="C230" t="inlineStr">
        <is>
          <t>U-ST596-01-04</t>
        </is>
      </c>
      <c r="D230" t="inlineStr">
        <is>
          <t>Sungai Tinggi</t>
        </is>
      </c>
      <c r="E230" t="inlineStr">
        <is>
          <t>Daniel Ong</t>
        </is>
      </c>
      <c r="F230" t="inlineStr">
        <is>
          <t>Routine</t>
        </is>
      </c>
      <c r="G230" t="inlineStr">
        <is>
          <t>UNAUTH_TRADE</t>
        </is>
      </c>
      <c r="H230" t="inlineStr">
        <is>
          <t>Major Breach</t>
        </is>
      </c>
      <c r="I230" s="6" t="n">
        <v>46063</v>
      </c>
      <c r="J230" s="6" t="n">
        <v>46068</v>
      </c>
      <c r="K230">
        <f>IF(J230="","",J230-B230)</f>
        <v/>
      </c>
      <c r="L230">
        <f>IF(H230="Compliant","N/A",IF(J230&lt;&gt;"","Closed",IF(I230&lt;DATE(2026,9,30),"OVERDUE","Open")))</f>
        <v/>
      </c>
    </row>
    <row r="231">
      <c r="A231" t="inlineStr">
        <is>
          <t>INSP-2026-0230</t>
        </is>
      </c>
      <c r="B231" s="6" t="n">
        <v>46057</v>
      </c>
      <c r="C231" t="inlineStr">
        <is>
          <t>U-ST579-01-08</t>
        </is>
      </c>
      <c r="D231" t="inlineStr">
        <is>
          <t>Sungai Tinggi</t>
        </is>
      </c>
      <c r="E231" t="inlineStr">
        <is>
          <t>Daniel Ong</t>
        </is>
      </c>
      <c r="F231" t="inlineStr">
        <is>
          <t>Routine</t>
        </is>
      </c>
      <c r="G231" t="inlineStr">
        <is>
          <t>NONE</t>
        </is>
      </c>
      <c r="H231" t="inlineStr">
        <is>
          <t>Compliant</t>
        </is>
      </c>
      <c r="I231" s="6" t="n"/>
      <c r="J231" s="6" t="n"/>
      <c r="K231">
        <f>IF(J231="","",J231-B231)</f>
        <v/>
      </c>
      <c r="L231">
        <f>IF(H231="Compliant","N/A",IF(J231&lt;&gt;"","Closed",IF(I231&lt;DATE(2026,9,30),"OVERDUE","Open")))</f>
        <v/>
      </c>
    </row>
    <row r="232">
      <c r="A232" t="inlineStr">
        <is>
          <t>INSP-2026-0231</t>
        </is>
      </c>
      <c r="B232" s="6" t="n">
        <v>46057</v>
      </c>
      <c r="C232" t="inlineStr">
        <is>
          <t>U-KR329-01-02</t>
        </is>
      </c>
      <c r="D232" t="inlineStr">
        <is>
          <t>Kebun Raya</t>
        </is>
      </c>
      <c r="E232" t="inlineStr">
        <is>
          <t>D. Ong</t>
        </is>
      </c>
      <c r="F232" t="inlineStr">
        <is>
          <t>Routine</t>
        </is>
      </c>
      <c r="G232" t="inlineStr">
        <is>
          <t>NONE</t>
        </is>
      </c>
      <c r="H232" t="inlineStr">
        <is>
          <t>Compliant</t>
        </is>
      </c>
      <c r="I232" s="6" t="n"/>
      <c r="J232" s="6" t="n"/>
      <c r="K232">
        <f>IF(J232="","",J232-B232)</f>
        <v/>
      </c>
      <c r="L232">
        <f>IF(H232="Compliant","N/A",IF(J232&lt;&gt;"","Closed",IF(I232&lt;DATE(2026,9,30),"OVERDUE","Open")))</f>
        <v/>
      </c>
    </row>
    <row r="233">
      <c r="A233" t="inlineStr">
        <is>
          <t>INSP-2026-0232</t>
        </is>
      </c>
      <c r="B233" s="6" t="n">
        <v>46057</v>
      </c>
      <c r="C233" t="inlineStr">
        <is>
          <t>U-RH428-01-01</t>
        </is>
      </c>
      <c r="D233" t="inlineStr">
        <is>
          <t>Rimba Heights</t>
        </is>
      </c>
      <c r="E233" t="inlineStr">
        <is>
          <t>B. Ho</t>
        </is>
      </c>
      <c r="F233" t="inlineStr">
        <is>
          <t>Routine</t>
        </is>
      </c>
      <c r="G233" t="inlineStr">
        <is>
          <t>UNAUTH_SUBLET</t>
        </is>
      </c>
      <c r="H233" t="inlineStr">
        <is>
          <t>Major Breach</t>
        </is>
      </c>
      <c r="I233" s="6" t="n">
        <v>46064</v>
      </c>
      <c r="J233" s="6" t="n">
        <v>46069</v>
      </c>
      <c r="K233">
        <f>IF(J233="","",J233-B233)</f>
        <v/>
      </c>
      <c r="L233">
        <f>IF(H233="Compliant","N/A",IF(J233&lt;&gt;"","Closed",IF(I233&lt;DATE(2026,9,30),"OVERDUE","Open")))</f>
        <v/>
      </c>
    </row>
    <row r="234">
      <c r="A234" t="inlineStr">
        <is>
          <t>INSP-2026-0233</t>
        </is>
      </c>
      <c r="B234" s="6" t="n">
        <v>46057</v>
      </c>
      <c r="C234" t="inlineStr">
        <is>
          <t>U-CD109-01-09</t>
        </is>
      </c>
      <c r="D234" t="inlineStr">
        <is>
          <t>Cendana</t>
        </is>
      </c>
      <c r="E234" t="inlineStr">
        <is>
          <t>Daniel O.</t>
        </is>
      </c>
      <c r="F234" t="inlineStr">
        <is>
          <t>Routine</t>
        </is>
      </c>
      <c r="G234" t="inlineStr">
        <is>
          <t>NONE</t>
        </is>
      </c>
      <c r="H234" t="inlineStr">
        <is>
          <t>Compliant</t>
        </is>
      </c>
      <c r="I234" s="6" t="n"/>
      <c r="J234" s="6" t="n"/>
      <c r="K234">
        <f>IF(J234="","",J234-B234)</f>
        <v/>
      </c>
      <c r="L234">
        <f>IF(H234="Compliant","N/A",IF(J234&lt;&gt;"","Closed",IF(I234&lt;DATE(2026,9,30),"OVERDUE","Open")))</f>
        <v/>
      </c>
    </row>
    <row r="235">
      <c r="A235" t="inlineStr">
        <is>
          <t>INSP-2026-0234</t>
        </is>
      </c>
      <c r="B235" s="6" t="n">
        <v>46057</v>
      </c>
      <c r="C235" t="inlineStr">
        <is>
          <t>U-ST537-01-05</t>
        </is>
      </c>
      <c r="D235" t="inlineStr">
        <is>
          <t>Sungai Tinggi</t>
        </is>
      </c>
      <c r="E235" t="inlineStr">
        <is>
          <t>Daniel O.</t>
        </is>
      </c>
      <c r="F235" t="inlineStr">
        <is>
          <t>Follow-up</t>
        </is>
      </c>
      <c r="G235" t="inlineStr">
        <is>
          <t>HYGIENE</t>
        </is>
      </c>
      <c r="H235" t="inlineStr">
        <is>
          <t>Minor Breach</t>
        </is>
      </c>
      <c r="I235" s="6" t="n">
        <v>46071</v>
      </c>
      <c r="J235" s="6" t="n">
        <v>46078</v>
      </c>
      <c r="K235">
        <f>IF(J235="","",J235-B235)</f>
        <v/>
      </c>
      <c r="L235">
        <f>IF(H235="Compliant","N/A",IF(J235&lt;&gt;"","Closed",IF(I235&lt;DATE(2026,9,30),"OVERDUE","Open")))</f>
        <v/>
      </c>
    </row>
    <row r="236">
      <c r="A236" t="inlineStr">
        <is>
          <t>INSP-2026-0235</t>
        </is>
      </c>
      <c r="B236" s="6" t="n">
        <v>46057</v>
      </c>
      <c r="C236" t="inlineStr">
        <is>
          <t>U-ST545-01-01</t>
        </is>
      </c>
      <c r="D236" t="inlineStr">
        <is>
          <t>Sungai Tinggi</t>
        </is>
      </c>
      <c r="E236" t="inlineStr">
        <is>
          <t>Ben Ho</t>
        </is>
      </c>
      <c r="F236" t="inlineStr">
        <is>
          <t>Complaint-driven</t>
        </is>
      </c>
      <c r="G236" t="inlineStr">
        <is>
          <t>NONE</t>
        </is>
      </c>
      <c r="H236" t="inlineStr">
        <is>
          <t>Compliant</t>
        </is>
      </c>
      <c r="I236" s="6" t="n"/>
      <c r="J236" s="6" t="n"/>
      <c r="K236">
        <f>IF(J236="","",J236-B236)</f>
        <v/>
      </c>
      <c r="L236">
        <f>IF(H236="Compliant","N/A",IF(J236&lt;&gt;"","Closed",IF(I236&lt;DATE(2026,9,30),"OVERDUE","Open")))</f>
        <v/>
      </c>
    </row>
    <row r="237">
      <c r="A237" t="inlineStr">
        <is>
          <t>INSP-2026-0236</t>
        </is>
      </c>
      <c r="B237" s="6" t="n">
        <v>46058</v>
      </c>
      <c r="C237" t="inlineStr">
        <is>
          <t>U-KR385-01-03</t>
        </is>
      </c>
      <c r="D237" t="inlineStr">
        <is>
          <t>Kebun Raya</t>
        </is>
      </c>
      <c r="E237" t="inlineStr">
        <is>
          <t>Ben Ho</t>
        </is>
      </c>
      <c r="F237" t="inlineStr">
        <is>
          <t>Complaint-driven</t>
        </is>
      </c>
      <c r="G237" t="inlineStr">
        <is>
          <t>NONE</t>
        </is>
      </c>
      <c r="H237" t="inlineStr">
        <is>
          <t>Compliant</t>
        </is>
      </c>
      <c r="I237" s="6" t="n"/>
      <c r="J237" s="6" t="n"/>
      <c r="K237">
        <f>IF(J237="","",J237-B237)</f>
        <v/>
      </c>
      <c r="L237">
        <f>IF(H237="Compliant","N/A",IF(J237&lt;&gt;"","Closed",IF(I237&lt;DATE(2026,9,30),"OVERDUE","Open")))</f>
        <v/>
      </c>
    </row>
    <row r="238">
      <c r="A238" t="inlineStr">
        <is>
          <t>INSP-2026-0237</t>
        </is>
      </c>
      <c r="B238" s="6" t="n">
        <v>46058</v>
      </c>
      <c r="C238" t="inlineStr">
        <is>
          <t>U-KR356-02-04</t>
        </is>
      </c>
      <c r="D238" t="inlineStr">
        <is>
          <t>Kebun Raya</t>
        </is>
      </c>
      <c r="E238" t="inlineStr">
        <is>
          <t>Benjamin Ho</t>
        </is>
      </c>
      <c r="F238" t="inlineStr">
        <is>
          <t>Routine</t>
        </is>
      </c>
      <c r="G238" t="inlineStr">
        <is>
          <t>HYGIENE</t>
        </is>
      </c>
      <c r="H238" t="inlineStr">
        <is>
          <t>Minor Breach</t>
        </is>
      </c>
      <c r="I238" s="6" t="n">
        <v>46072</v>
      </c>
      <c r="J238" s="6" t="n">
        <v>46070</v>
      </c>
      <c r="K238">
        <f>IF(J238="","",J238-B238)</f>
        <v/>
      </c>
      <c r="L238">
        <f>IF(H238="Compliant","N/A",IF(J238&lt;&gt;"","Closed",IF(I238&lt;DATE(2026,9,30),"OVERDUE","Open")))</f>
        <v/>
      </c>
    </row>
    <row r="239">
      <c r="A239" t="inlineStr">
        <is>
          <t>INSP-2026-0238</t>
        </is>
      </c>
      <c r="B239" s="6" t="n">
        <v>46058</v>
      </c>
      <c r="C239" t="inlineStr">
        <is>
          <t>U-BV290-02-01</t>
        </is>
      </c>
      <c r="D239" t="inlineStr">
        <is>
          <t>Bayshore Vale</t>
        </is>
      </c>
      <c r="E239" t="inlineStr">
        <is>
          <t>Daniel O.</t>
        </is>
      </c>
      <c r="F239" t="inlineStr">
        <is>
          <t>Routine</t>
        </is>
      </c>
      <c r="G239" t="inlineStr">
        <is>
          <t>NONE</t>
        </is>
      </c>
      <c r="H239" t="inlineStr">
        <is>
          <t>Compliant</t>
        </is>
      </c>
      <c r="I239" s="6" t="n"/>
      <c r="J239" s="6" t="n"/>
      <c r="K239">
        <f>IF(J239="","",J239-B239)</f>
        <v/>
      </c>
      <c r="L239">
        <f>IF(H239="Compliant","N/A",IF(J239&lt;&gt;"","Closed",IF(I239&lt;DATE(2026,9,30),"OVERDUE","Open")))</f>
        <v/>
      </c>
    </row>
    <row r="240">
      <c r="A240" t="inlineStr">
        <is>
          <t>INSP-2026-0239</t>
        </is>
      </c>
      <c r="B240" s="6" t="n">
        <v>46058</v>
      </c>
      <c r="C240" t="inlineStr">
        <is>
          <t>U-ST545-01-09</t>
        </is>
      </c>
      <c r="D240" t="inlineStr">
        <is>
          <t>Sungai Tinggi</t>
        </is>
      </c>
      <c r="E240" t="inlineStr">
        <is>
          <t>Daniel O.</t>
        </is>
      </c>
      <c r="F240" t="inlineStr">
        <is>
          <t>Routine</t>
        </is>
      </c>
      <c r="G240" t="inlineStr">
        <is>
          <t>NONE</t>
        </is>
      </c>
      <c r="H240" t="inlineStr">
        <is>
          <t>Compliant</t>
        </is>
      </c>
      <c r="I240" s="6" t="n"/>
      <c r="J240" s="6" t="n"/>
      <c r="K240">
        <f>IF(J240="","",J240-B240)</f>
        <v/>
      </c>
      <c r="L240">
        <f>IF(H240="Compliant","N/A",IF(J240&lt;&gt;"","Closed",IF(I240&lt;DATE(2026,9,30),"OVERDUE","Open")))</f>
        <v/>
      </c>
    </row>
    <row r="241">
      <c r="A241" t="inlineStr">
        <is>
          <t>INSP-2026-0240</t>
        </is>
      </c>
      <c r="B241" s="6" t="n">
        <v>46058</v>
      </c>
      <c r="C241" t="inlineStr">
        <is>
          <t>U-ST528-02-12</t>
        </is>
      </c>
      <c r="D241" t="inlineStr">
        <is>
          <t>Sungai Tinggi</t>
        </is>
      </c>
      <c r="E241" t="inlineStr">
        <is>
          <t>Daniel O.</t>
        </is>
      </c>
      <c r="F241" t="inlineStr">
        <is>
          <t>Routine</t>
        </is>
      </c>
      <c r="G241" t="inlineStr">
        <is>
          <t>NONE</t>
        </is>
      </c>
      <c r="H241" t="inlineStr">
        <is>
          <t>Compliant</t>
        </is>
      </c>
      <c r="I241" s="6" t="n"/>
      <c r="J241" s="6" t="n"/>
      <c r="K241">
        <f>IF(J241="","",J241-B241)</f>
        <v/>
      </c>
      <c r="L241">
        <f>IF(H241="Compliant","N/A",IF(J241&lt;&gt;"","Closed",IF(I241&lt;DATE(2026,9,30),"OVERDUE","Open")))</f>
        <v/>
      </c>
    </row>
    <row r="242">
      <c r="A242" t="inlineStr">
        <is>
          <t>INSP-2026-0241</t>
        </is>
      </c>
      <c r="B242" s="6" t="n">
        <v>46058</v>
      </c>
      <c r="C242" t="inlineStr">
        <is>
          <t>U-KR386-01-04</t>
        </is>
      </c>
      <c r="D242" t="inlineStr">
        <is>
          <t>Kebun Raya</t>
        </is>
      </c>
      <c r="E242" t="inlineStr">
        <is>
          <t>D. Ong</t>
        </is>
      </c>
      <c r="F242" t="inlineStr">
        <is>
          <t>Routine</t>
        </is>
      </c>
      <c r="G242" t="inlineStr">
        <is>
          <t>NONE</t>
        </is>
      </c>
      <c r="H242" t="inlineStr">
        <is>
          <t>Compliant</t>
        </is>
      </c>
      <c r="I242" s="6" t="n"/>
      <c r="J242" s="6" t="n"/>
      <c r="K242">
        <f>IF(J242="","",J242-B242)</f>
        <v/>
      </c>
      <c r="L242">
        <f>IF(H242="Compliant","N/A",IF(J242&lt;&gt;"","Closed",IF(I242&lt;DATE(2026,9,30),"OVERDUE","Open")))</f>
        <v/>
      </c>
    </row>
    <row r="243">
      <c r="A243" t="inlineStr">
        <is>
          <t>INSP-2026-0242</t>
        </is>
      </c>
      <c r="B243" s="6" t="n">
        <v>46058</v>
      </c>
      <c r="C243" t="inlineStr">
        <is>
          <t>U-RH437-01-09</t>
        </is>
      </c>
      <c r="D243" t="inlineStr">
        <is>
          <t>Rimba Heights</t>
        </is>
      </c>
      <c r="E243" t="inlineStr">
        <is>
          <t>Ben Ho</t>
        </is>
      </c>
      <c r="F243" t="inlineStr">
        <is>
          <t>Routine</t>
        </is>
      </c>
      <c r="G243" t="inlineStr">
        <is>
          <t>NONE</t>
        </is>
      </c>
      <c r="H243" t="inlineStr">
        <is>
          <t>Compliant</t>
        </is>
      </c>
      <c r="I243" s="6" t="n"/>
      <c r="J243" s="6" t="n"/>
      <c r="K243">
        <f>IF(J243="","",J243-B243)</f>
        <v/>
      </c>
      <c r="L243">
        <f>IF(H243="Compliant","N/A",IF(J243&lt;&gt;"","Closed",IF(I243&lt;DATE(2026,9,30),"OVERDUE","Open")))</f>
        <v/>
      </c>
    </row>
    <row r="244">
      <c r="A244" t="inlineStr">
        <is>
          <t>INSP-2026-0243</t>
        </is>
      </c>
      <c r="B244" s="6" t="n">
        <v>46058</v>
      </c>
      <c r="C244" t="inlineStr">
        <is>
          <t>U-PI642-01-06</t>
        </is>
      </c>
      <c r="D244" t="inlineStr">
        <is>
          <t>Pasir Indah</t>
        </is>
      </c>
      <c r="E244" t="inlineStr">
        <is>
          <t>Daniel Ong</t>
        </is>
      </c>
      <c r="F244" t="inlineStr">
        <is>
          <t>Routine</t>
        </is>
      </c>
      <c r="G244" t="inlineStr">
        <is>
          <t>NONE</t>
        </is>
      </c>
      <c r="H244" t="inlineStr">
        <is>
          <t>Compliant</t>
        </is>
      </c>
      <c r="I244" s="6" t="n"/>
      <c r="J244" s="6" t="n"/>
      <c r="K244">
        <f>IF(J244="","",J244-B244)</f>
        <v/>
      </c>
      <c r="L244">
        <f>IF(H244="Compliant","N/A",IF(J244&lt;&gt;"","Closed",IF(I244&lt;DATE(2026,9,30),"OVERDUE","Open")))</f>
        <v/>
      </c>
    </row>
    <row r="245">
      <c r="A245" t="inlineStr">
        <is>
          <t>INSP-2026-0244</t>
        </is>
      </c>
      <c r="B245" s="6" t="n">
        <v>46058</v>
      </c>
      <c r="C245" t="inlineStr">
        <is>
          <t>U-PI626-01-10</t>
        </is>
      </c>
      <c r="D245" t="inlineStr">
        <is>
          <t>Pasir Indah</t>
        </is>
      </c>
      <c r="E245" t="inlineStr">
        <is>
          <t>Daniel O.</t>
        </is>
      </c>
      <c r="F245" t="inlineStr">
        <is>
          <t>Complaint-driven</t>
        </is>
      </c>
      <c r="G245" t="inlineStr">
        <is>
          <t>NONE</t>
        </is>
      </c>
      <c r="H245" t="inlineStr">
        <is>
          <t>Compliant</t>
        </is>
      </c>
      <c r="I245" s="6" t="n"/>
      <c r="J245" s="6" t="n"/>
      <c r="K245">
        <f>IF(J245="","",J245-B245)</f>
        <v/>
      </c>
      <c r="L245">
        <f>IF(H245="Compliant","N/A",IF(J245&lt;&gt;"","Closed",IF(I245&lt;DATE(2026,9,30),"OVERDUE","Open")))</f>
        <v/>
      </c>
    </row>
    <row r="246">
      <c r="A246" t="inlineStr">
        <is>
          <t>INSP-2026-0245</t>
        </is>
      </c>
      <c r="B246" s="6" t="n">
        <v>46059</v>
      </c>
      <c r="C246" t="inlineStr">
        <is>
          <t>U-KR358-01-07</t>
        </is>
      </c>
      <c r="D246" t="inlineStr">
        <is>
          <t>Kebun Raya</t>
        </is>
      </c>
      <c r="E246" t="inlineStr">
        <is>
          <t>Ben Ho</t>
        </is>
      </c>
      <c r="F246" t="inlineStr">
        <is>
          <t>Routine</t>
        </is>
      </c>
      <c r="G246" t="inlineStr">
        <is>
          <t>FIRE_SAFETY</t>
        </is>
      </c>
      <c r="H246" t="inlineStr">
        <is>
          <t>Major Breach</t>
        </is>
      </c>
      <c r="I246" s="6" t="n">
        <v>46066</v>
      </c>
      <c r="J246" s="6" t="n">
        <v>46062</v>
      </c>
      <c r="K246">
        <f>IF(J246="","",J246-B246)</f>
        <v/>
      </c>
      <c r="L246">
        <f>IF(H246="Compliant","N/A",IF(J246&lt;&gt;"","Closed",IF(I246&lt;DATE(2026,9,30),"OVERDUE","Open")))</f>
        <v/>
      </c>
    </row>
    <row r="247">
      <c r="A247" t="inlineStr">
        <is>
          <t>INSP-2026-0246</t>
        </is>
      </c>
      <c r="B247" s="6" t="n">
        <v>46059</v>
      </c>
      <c r="C247" t="inlineStr">
        <is>
          <t>U-KR358-01-02</t>
        </is>
      </c>
      <c r="D247" t="inlineStr">
        <is>
          <t>Kebun Raya</t>
        </is>
      </c>
      <c r="E247" t="inlineStr">
        <is>
          <t>B. Ho</t>
        </is>
      </c>
      <c r="F247" t="inlineStr">
        <is>
          <t>Follow-up</t>
        </is>
      </c>
      <c r="G247" t="inlineStr">
        <is>
          <t>DISPLAY_ENCROACH</t>
        </is>
      </c>
      <c r="H247" t="inlineStr">
        <is>
          <t>Minor Breach</t>
        </is>
      </c>
      <c r="I247" s="6" t="n">
        <v>46073</v>
      </c>
      <c r="J247" s="6" t="n"/>
      <c r="K247">
        <f>IF(J247="","",J247-B247)</f>
        <v/>
      </c>
      <c r="L247">
        <f>IF(H247="Compliant","N/A",IF(J247&lt;&gt;"","Closed",IF(I247&lt;DATE(2026,9,30),"OVERDUE","Open")))</f>
        <v/>
      </c>
    </row>
    <row r="248">
      <c r="A248" t="inlineStr">
        <is>
          <t>INSP-2026-0247</t>
        </is>
      </c>
      <c r="B248" s="6" t="n">
        <v>46059</v>
      </c>
      <c r="C248" t="inlineStr">
        <is>
          <t>U-CD136-01-02</t>
        </is>
      </c>
      <c r="D248" t="inlineStr">
        <is>
          <t>Cendana</t>
        </is>
      </c>
      <c r="E248" t="inlineStr">
        <is>
          <t>Marcus Lim</t>
        </is>
      </c>
      <c r="F248" t="inlineStr">
        <is>
          <t>Routine</t>
        </is>
      </c>
      <c r="G248" t="inlineStr">
        <is>
          <t>HYGIENE</t>
        </is>
      </c>
      <c r="H248" t="inlineStr">
        <is>
          <t>Minor Breach</t>
        </is>
      </c>
      <c r="I248" s="6" t="n">
        <v>46073</v>
      </c>
      <c r="J248" s="6" t="n">
        <v>46075</v>
      </c>
      <c r="K248">
        <f>IF(J248="","",J248-B248)</f>
        <v/>
      </c>
      <c r="L248">
        <f>IF(H248="Compliant","N/A",IF(J248&lt;&gt;"","Closed",IF(I248&lt;DATE(2026,9,30),"OVERDUE","Open")))</f>
        <v/>
      </c>
    </row>
    <row r="249">
      <c r="A249" t="inlineStr">
        <is>
          <t>INSP-2026-0248</t>
        </is>
      </c>
      <c r="B249" s="6" t="n">
        <v>46059</v>
      </c>
      <c r="C249" t="inlineStr">
        <is>
          <t>U-RH425-01-04</t>
        </is>
      </c>
      <c r="D249" t="inlineStr">
        <is>
          <t>Rimba Heights</t>
        </is>
      </c>
      <c r="E249" t="inlineStr">
        <is>
          <t>Daniel O.</t>
        </is>
      </c>
      <c r="F249" t="inlineStr">
        <is>
          <t>Routine</t>
        </is>
      </c>
      <c r="G249" t="inlineStr">
        <is>
          <t>DISPLAY_ENCROACH</t>
        </is>
      </c>
      <c r="H249" t="inlineStr">
        <is>
          <t>Minor Breach</t>
        </is>
      </c>
      <c r="I249" s="6" t="n">
        <v>46073</v>
      </c>
      <c r="J249" s="6" t="n">
        <v>46070</v>
      </c>
      <c r="K249">
        <f>IF(J249="","",J249-B249)</f>
        <v/>
      </c>
      <c r="L249">
        <f>IF(H249="Compliant","N/A",IF(J249&lt;&gt;"","Closed",IF(I249&lt;DATE(2026,9,30),"OVERDUE","Open")))</f>
        <v/>
      </c>
    </row>
    <row r="250">
      <c r="A250" t="inlineStr">
        <is>
          <t>INSP-2026-0249</t>
        </is>
      </c>
      <c r="B250" s="6" t="n">
        <v>46059</v>
      </c>
      <c r="C250" t="inlineStr">
        <is>
          <t>U-CD109-01-07</t>
        </is>
      </c>
      <c r="D250" t="inlineStr">
        <is>
          <t>Cendana</t>
        </is>
      </c>
      <c r="E250" t="inlineStr">
        <is>
          <t>Marcus Lim</t>
        </is>
      </c>
      <c r="F250" t="inlineStr">
        <is>
          <t>Routine</t>
        </is>
      </c>
      <c r="G250" t="inlineStr">
        <is>
          <t>NONE</t>
        </is>
      </c>
      <c r="H250" t="inlineStr">
        <is>
          <t>Compliant</t>
        </is>
      </c>
      <c r="I250" s="6" t="n"/>
      <c r="J250" s="6" t="n"/>
      <c r="K250">
        <f>IF(J250="","",J250-B250)</f>
        <v/>
      </c>
      <c r="L250">
        <f>IF(H250="Compliant","N/A",IF(J250&lt;&gt;"","Closed",IF(I250&lt;DATE(2026,9,30),"OVERDUE","Open")))</f>
        <v/>
      </c>
    </row>
    <row r="251">
      <c r="A251" t="inlineStr">
        <is>
          <t>INSP-2026-0250</t>
        </is>
      </c>
      <c r="B251" s="6" t="n">
        <v>46059</v>
      </c>
      <c r="C251" t="inlineStr">
        <is>
          <t>U-PI657-01-09</t>
        </is>
      </c>
      <c r="D251" t="inlineStr">
        <is>
          <t>Pasir Indah</t>
        </is>
      </c>
      <c r="E251" t="inlineStr">
        <is>
          <t>Daniel Ong</t>
        </is>
      </c>
      <c r="F251" t="inlineStr">
        <is>
          <t>Complaint-driven</t>
        </is>
      </c>
      <c r="G251" t="inlineStr">
        <is>
          <t>NONE</t>
        </is>
      </c>
      <c r="H251" t="inlineStr">
        <is>
          <t>Compliant</t>
        </is>
      </c>
      <c r="I251" s="6" t="n"/>
      <c r="J251" s="6" t="n"/>
      <c r="K251">
        <f>IF(J251="","",J251-B251)</f>
        <v/>
      </c>
      <c r="L251">
        <f>IF(H251="Compliant","N/A",IF(J251&lt;&gt;"","Closed",IF(I251&lt;DATE(2026,9,30),"OVERDUE","Open")))</f>
        <v/>
      </c>
    </row>
    <row r="252">
      <c r="A252" t="inlineStr">
        <is>
          <t>INSP-2026-0251</t>
        </is>
      </c>
      <c r="B252" s="6" t="n">
        <v>46059</v>
      </c>
      <c r="C252" t="inlineStr">
        <is>
          <t>U-RH437-01-09</t>
        </is>
      </c>
      <c r="D252" t="inlineStr">
        <is>
          <t>Rimba Heights</t>
        </is>
      </c>
      <c r="E252" t="inlineStr">
        <is>
          <t>Benjamin Ho</t>
        </is>
      </c>
      <c r="F252" t="inlineStr">
        <is>
          <t>Routine</t>
        </is>
      </c>
      <c r="G252" t="inlineStr">
        <is>
          <t>NONE</t>
        </is>
      </c>
      <c r="H252" t="inlineStr">
        <is>
          <t>Compliant</t>
        </is>
      </c>
      <c r="I252" s="6" t="n"/>
      <c r="J252" s="6" t="n"/>
      <c r="K252">
        <f>IF(J252="","",J252-B252)</f>
        <v/>
      </c>
      <c r="L252">
        <f>IF(H252="Compliant","N/A",IF(J252&lt;&gt;"","Closed",IF(I252&lt;DATE(2026,9,30),"OVERDUE","Open")))</f>
        <v/>
      </c>
    </row>
    <row r="253">
      <c r="A253" t="inlineStr">
        <is>
          <t>INSP-2026-0252</t>
        </is>
      </c>
      <c r="B253" s="6" t="n">
        <v>46059</v>
      </c>
      <c r="C253" t="inlineStr">
        <is>
          <t>U-CD170-01-09</t>
        </is>
      </c>
      <c r="D253" t="inlineStr">
        <is>
          <t>Cendana</t>
        </is>
      </c>
      <c r="E253" t="inlineStr">
        <is>
          <t>marcus</t>
        </is>
      </c>
      <c r="F253" t="inlineStr">
        <is>
          <t>Routine</t>
        </is>
      </c>
      <c r="G253" t="inlineStr">
        <is>
          <t>NONE</t>
        </is>
      </c>
      <c r="H253" t="inlineStr">
        <is>
          <t>Compliant</t>
        </is>
      </c>
      <c r="I253" s="6" t="n"/>
      <c r="J253" s="6" t="n"/>
      <c r="K253">
        <f>IF(J253="","",J253-B253)</f>
        <v/>
      </c>
      <c r="L253">
        <f>IF(H253="Compliant","N/A",IF(J253&lt;&gt;"","Closed",IF(I253&lt;DATE(2026,9,30),"OVERDUE","Open")))</f>
        <v/>
      </c>
    </row>
    <row r="254">
      <c r="A254" t="inlineStr">
        <is>
          <t>INSP-2026-0253</t>
        </is>
      </c>
      <c r="B254" s="6" t="n">
        <v>46060</v>
      </c>
      <c r="C254" t="inlineStr">
        <is>
          <t>U-RH407-01-02</t>
        </is>
      </c>
      <c r="D254" t="inlineStr">
        <is>
          <t>Rimba Heights</t>
        </is>
      </c>
      <c r="E254" t="inlineStr">
        <is>
          <t>B. Ho</t>
        </is>
      </c>
      <c r="F254" t="inlineStr">
        <is>
          <t>Follow-up</t>
        </is>
      </c>
      <c r="G254" t="inlineStr">
        <is>
          <t>NONE</t>
        </is>
      </c>
      <c r="H254" t="inlineStr">
        <is>
          <t>Compliant</t>
        </is>
      </c>
      <c r="I254" s="6" t="n"/>
      <c r="J254" s="6" t="n"/>
      <c r="K254">
        <f>IF(J254="","",J254-B254)</f>
        <v/>
      </c>
      <c r="L254">
        <f>IF(H254="Compliant","N/A",IF(J254&lt;&gt;"","Closed",IF(I254&lt;DATE(2026,9,30),"OVERDUE","Open")))</f>
        <v/>
      </c>
    </row>
    <row r="255">
      <c r="A255" t="inlineStr">
        <is>
          <t>INSP-2026-0254</t>
        </is>
      </c>
      <c r="B255" s="6" t="n">
        <v>46060</v>
      </c>
      <c r="C255" t="inlineStr">
        <is>
          <t>U-ST583-01-02</t>
        </is>
      </c>
      <c r="D255" t="inlineStr">
        <is>
          <t>Sungai Tinggi</t>
        </is>
      </c>
      <c r="E255" t="inlineStr">
        <is>
          <t>Daniel O.</t>
        </is>
      </c>
      <c r="F255" t="inlineStr">
        <is>
          <t>Routine</t>
        </is>
      </c>
      <c r="G255" t="inlineStr">
        <is>
          <t>NONE</t>
        </is>
      </c>
      <c r="H255" t="inlineStr">
        <is>
          <t>Compliant</t>
        </is>
      </c>
      <c r="I255" s="6" t="n"/>
      <c r="J255" s="6" t="n"/>
      <c r="K255">
        <f>IF(J255="","",J255-B255)</f>
        <v/>
      </c>
      <c r="L255">
        <f>IF(H255="Compliant","N/A",IF(J255&lt;&gt;"","Closed",IF(I255&lt;DATE(2026,9,30),"OVERDUE","Open")))</f>
        <v/>
      </c>
    </row>
    <row r="256">
      <c r="A256" t="inlineStr">
        <is>
          <t>INSP-2026-0255</t>
        </is>
      </c>
      <c r="B256" s="6" t="n">
        <v>46060</v>
      </c>
      <c r="C256" t="inlineStr">
        <is>
          <t>U-CD190-01-08</t>
        </is>
      </c>
      <c r="D256" t="inlineStr">
        <is>
          <t>Cendana</t>
        </is>
      </c>
      <c r="E256" t="inlineStr">
        <is>
          <t>daniel ong</t>
        </is>
      </c>
      <c r="F256" t="inlineStr">
        <is>
          <t>Follow-up</t>
        </is>
      </c>
      <c r="G256" t="inlineStr">
        <is>
          <t>DISPLAY_ENCROACH</t>
        </is>
      </c>
      <c r="H256" t="inlineStr">
        <is>
          <t>Minor Breach</t>
        </is>
      </c>
      <c r="I256" s="6" t="n">
        <v>46074</v>
      </c>
      <c r="J256" s="6" t="n"/>
      <c r="K256">
        <f>IF(J256="","",J256-B256)</f>
        <v/>
      </c>
      <c r="L256">
        <f>IF(H256="Compliant","N/A",IF(J256&lt;&gt;"","Closed",IF(I256&lt;DATE(2026,9,30),"OVERDUE","Open")))</f>
        <v/>
      </c>
    </row>
    <row r="257">
      <c r="A257" t="inlineStr">
        <is>
          <t>INSP-2026-0256</t>
        </is>
      </c>
      <c r="B257" s="6" t="n">
        <v>46060</v>
      </c>
      <c r="C257" t="inlineStr">
        <is>
          <t>U-BV237-01-07</t>
        </is>
      </c>
      <c r="D257" t="inlineStr">
        <is>
          <t>Bayshore Vale</t>
        </is>
      </c>
      <c r="E257" t="inlineStr">
        <is>
          <t>marcus</t>
        </is>
      </c>
      <c r="F257" t="inlineStr">
        <is>
          <t>Routine</t>
        </is>
      </c>
      <c r="G257" t="inlineStr">
        <is>
          <t>NONE</t>
        </is>
      </c>
      <c r="H257" t="inlineStr">
        <is>
          <t>Compliant</t>
        </is>
      </c>
      <c r="I257" s="6" t="n"/>
      <c r="J257" s="6" t="n"/>
      <c r="K257">
        <f>IF(J257="","",J257-B257)</f>
        <v/>
      </c>
      <c r="L257">
        <f>IF(H257="Compliant","N/A",IF(J257&lt;&gt;"","Closed",IF(I257&lt;DATE(2026,9,30),"OVERDUE","Open")))</f>
        <v/>
      </c>
    </row>
    <row r="258">
      <c r="A258" t="inlineStr">
        <is>
          <t>INSP-2026-0257</t>
        </is>
      </c>
      <c r="B258" s="6" t="n">
        <v>46060</v>
      </c>
      <c r="C258" t="inlineStr">
        <is>
          <t>U-PI679-01-01</t>
        </is>
      </c>
      <c r="D258" t="inlineStr">
        <is>
          <t>Pasir Indah</t>
        </is>
      </c>
      <c r="E258" t="inlineStr">
        <is>
          <t>marcus</t>
        </is>
      </c>
      <c r="F258" t="inlineStr">
        <is>
          <t>Routine</t>
        </is>
      </c>
      <c r="G258" t="inlineStr">
        <is>
          <t>HYGIENE</t>
        </is>
      </c>
      <c r="H258" t="inlineStr">
        <is>
          <t>Minor Breach</t>
        </is>
      </c>
      <c r="I258" s="6" t="n">
        <v>46074</v>
      </c>
      <c r="J258" s="6" t="n"/>
      <c r="K258">
        <f>IF(J258="","",J258-B258)</f>
        <v/>
      </c>
      <c r="L258">
        <f>IF(H258="Compliant","N/A",IF(J258&lt;&gt;"","Closed",IF(I258&lt;DATE(2026,9,30),"OVERDUE","Open")))</f>
        <v/>
      </c>
    </row>
    <row r="259">
      <c r="A259" t="inlineStr">
        <is>
          <t>INSP-2026-0258</t>
        </is>
      </c>
      <c r="B259" s="6" t="n">
        <v>46060</v>
      </c>
      <c r="C259" t="inlineStr">
        <is>
          <t>U-PI657-02-01</t>
        </is>
      </c>
      <c r="D259" t="inlineStr">
        <is>
          <t>Pasir Indah</t>
        </is>
      </c>
      <c r="E259" t="inlineStr">
        <is>
          <t>marcus</t>
        </is>
      </c>
      <c r="F259" t="inlineStr">
        <is>
          <t>Routine</t>
        </is>
      </c>
      <c r="G259" t="inlineStr">
        <is>
          <t>NONE</t>
        </is>
      </c>
      <c r="H259" t="inlineStr">
        <is>
          <t>Compliant</t>
        </is>
      </c>
      <c r="I259" s="6" t="n"/>
      <c r="J259" s="6" t="n"/>
      <c r="K259">
        <f>IF(J259="","",J259-B259)</f>
        <v/>
      </c>
      <c r="L259">
        <f>IF(H259="Compliant","N/A",IF(J259&lt;&gt;"","Closed",IF(I259&lt;DATE(2026,9,30),"OVERDUE","Open")))</f>
        <v/>
      </c>
    </row>
    <row r="260">
      <c r="A260" t="inlineStr">
        <is>
          <t>INSP-2026-0259</t>
        </is>
      </c>
      <c r="B260" s="6" t="n">
        <v>46060</v>
      </c>
      <c r="C260" t="inlineStr">
        <is>
          <t>U-PI668-01-03</t>
        </is>
      </c>
      <c r="D260" t="inlineStr">
        <is>
          <t>Pasir Indah</t>
        </is>
      </c>
      <c r="E260" t="inlineStr">
        <is>
          <t>Daniel O.</t>
        </is>
      </c>
      <c r="F260" t="inlineStr">
        <is>
          <t>Complaint-driven</t>
        </is>
      </c>
      <c r="G260" t="inlineStr">
        <is>
          <t>NONE</t>
        </is>
      </c>
      <c r="H260" t="inlineStr">
        <is>
          <t>Compliant</t>
        </is>
      </c>
      <c r="I260" s="6" t="n"/>
      <c r="J260" s="6" t="n"/>
      <c r="K260">
        <f>IF(J260="","",J260-B260)</f>
        <v/>
      </c>
      <c r="L260">
        <f>IF(H260="Compliant","N/A",IF(J260&lt;&gt;"","Closed",IF(I260&lt;DATE(2026,9,30),"OVERDUE","Open")))</f>
        <v/>
      </c>
    </row>
    <row r="261">
      <c r="A261" t="inlineStr">
        <is>
          <t>INSP-2026-0260</t>
        </is>
      </c>
      <c r="B261" s="6" t="n">
        <v>46061</v>
      </c>
      <c r="C261" t="inlineStr">
        <is>
          <t>U-BV288-01-10</t>
        </is>
      </c>
      <c r="D261" t="inlineStr">
        <is>
          <t>Bayshore Vale</t>
        </is>
      </c>
      <c r="E261" t="inlineStr">
        <is>
          <t>marcus</t>
        </is>
      </c>
      <c r="F261" t="inlineStr">
        <is>
          <t>Routine</t>
        </is>
      </c>
      <c r="G261" t="inlineStr">
        <is>
          <t>NONE</t>
        </is>
      </c>
      <c r="H261" t="inlineStr">
        <is>
          <t>Compliant</t>
        </is>
      </c>
      <c r="I261" s="6" t="n"/>
      <c r="J261" s="6" t="n"/>
      <c r="K261">
        <f>IF(J261="","",J261-B261)</f>
        <v/>
      </c>
      <c r="L261">
        <f>IF(H261="Compliant","N/A",IF(J261&lt;&gt;"","Closed",IF(I261&lt;DATE(2026,9,30),"OVERDUE","Open")))</f>
        <v/>
      </c>
    </row>
    <row r="262">
      <c r="A262" t="inlineStr">
        <is>
          <t>INSP-2026-0261</t>
        </is>
      </c>
      <c r="B262" s="6" t="n">
        <v>46061</v>
      </c>
      <c r="C262" t="inlineStr">
        <is>
          <t>U-BV231-01-01</t>
        </is>
      </c>
      <c r="D262" t="inlineStr">
        <is>
          <t>Bayshore Vale</t>
        </is>
      </c>
      <c r="E262" t="inlineStr">
        <is>
          <t>D. Ong</t>
        </is>
      </c>
      <c r="F262" t="inlineStr">
        <is>
          <t>Routine</t>
        </is>
      </c>
      <c r="G262" t="inlineStr">
        <is>
          <t>NONE</t>
        </is>
      </c>
      <c r="H262" t="inlineStr">
        <is>
          <t>Compliant</t>
        </is>
      </c>
      <c r="I262" s="6" t="n"/>
      <c r="J262" s="6" t="n"/>
      <c r="K262">
        <f>IF(J262="","",J262-B262)</f>
        <v/>
      </c>
      <c r="L262">
        <f>IF(H262="Compliant","N/A",IF(J262&lt;&gt;"","Closed",IF(I262&lt;DATE(2026,9,30),"OVERDUE","Open")))</f>
        <v/>
      </c>
    </row>
    <row r="263">
      <c r="A263" t="inlineStr">
        <is>
          <t>INSP-2026-0262</t>
        </is>
      </c>
      <c r="B263" s="6" t="n">
        <v>46061</v>
      </c>
      <c r="C263" t="inlineStr">
        <is>
          <t>U-ST579-01-01</t>
        </is>
      </c>
      <c r="D263" t="inlineStr">
        <is>
          <t>Sungai Tinggi</t>
        </is>
      </c>
      <c r="E263" t="inlineStr">
        <is>
          <t>Daniel O.</t>
        </is>
      </c>
      <c r="F263" t="inlineStr">
        <is>
          <t>Complaint-driven</t>
        </is>
      </c>
      <c r="G263" t="inlineStr">
        <is>
          <t>DISPLAY_ENCROACH</t>
        </is>
      </c>
      <c r="H263" t="inlineStr">
        <is>
          <t>Minor Breach</t>
        </is>
      </c>
      <c r="I263" s="6" t="n">
        <v>46075</v>
      </c>
      <c r="J263" s="6" t="n"/>
      <c r="K263">
        <f>IF(J263="","",J263-B263)</f>
        <v/>
      </c>
      <c r="L263">
        <f>IF(H263="Compliant","N/A",IF(J263&lt;&gt;"","Closed",IF(I263&lt;DATE(2026,9,30),"OVERDUE","Open")))</f>
        <v/>
      </c>
    </row>
    <row r="264">
      <c r="A264" t="inlineStr">
        <is>
          <t>INSP-2026-0263</t>
        </is>
      </c>
      <c r="B264" s="6" t="n">
        <v>46061</v>
      </c>
      <c r="C264" t="inlineStr">
        <is>
          <t>U-CD109-01-14</t>
        </is>
      </c>
      <c r="D264" t="inlineStr">
        <is>
          <t>Cendana</t>
        </is>
      </c>
      <c r="E264" t="inlineStr">
        <is>
          <t>Daniel Ong</t>
        </is>
      </c>
      <c r="F264" t="inlineStr">
        <is>
          <t>Routine</t>
        </is>
      </c>
      <c r="G264" t="inlineStr">
        <is>
          <t>NONE</t>
        </is>
      </c>
      <c r="H264" t="inlineStr">
        <is>
          <t>Compliant</t>
        </is>
      </c>
      <c r="I264" s="6" t="n"/>
      <c r="J264" s="6" t="n"/>
      <c r="K264">
        <f>IF(J264="","",J264-B264)</f>
        <v/>
      </c>
      <c r="L264">
        <f>IF(H264="Compliant","N/A",IF(J264&lt;&gt;"","Closed",IF(I264&lt;DATE(2026,9,30),"OVERDUE","Open")))</f>
        <v/>
      </c>
    </row>
    <row r="265">
      <c r="A265" t="inlineStr">
        <is>
          <t>INSP-2026-0264</t>
        </is>
      </c>
      <c r="B265" s="6" t="n">
        <v>46061</v>
      </c>
      <c r="C265" t="inlineStr">
        <is>
          <t>U-PI646-01-02</t>
        </is>
      </c>
      <c r="D265" t="inlineStr">
        <is>
          <t>Pasir Indah</t>
        </is>
      </c>
      <c r="E265" t="inlineStr">
        <is>
          <t>D. Ong</t>
        </is>
      </c>
      <c r="F265" t="inlineStr">
        <is>
          <t>Routine</t>
        </is>
      </c>
      <c r="G265" t="inlineStr">
        <is>
          <t>NONE</t>
        </is>
      </c>
      <c r="H265" t="inlineStr">
        <is>
          <t>Compliant</t>
        </is>
      </c>
      <c r="I265" s="6" t="n"/>
      <c r="J265" s="6" t="n"/>
      <c r="K265">
        <f>IF(J265="","",J265-B265)</f>
        <v/>
      </c>
      <c r="L265">
        <f>IF(H265="Compliant","N/A",IF(J265&lt;&gt;"","Closed",IF(I265&lt;DATE(2026,9,30),"OVERDUE","Open")))</f>
        <v/>
      </c>
    </row>
    <row r="266">
      <c r="A266" t="inlineStr">
        <is>
          <t>INSP-2026-0265</t>
        </is>
      </c>
      <c r="B266" s="6" t="n">
        <v>46061</v>
      </c>
      <c r="C266" t="inlineStr">
        <is>
          <t>U-KR385-01-06</t>
        </is>
      </c>
      <c r="D266" t="inlineStr">
        <is>
          <t>Kebun Raya</t>
        </is>
      </c>
      <c r="E266" t="inlineStr">
        <is>
          <t>B. Ho</t>
        </is>
      </c>
      <c r="F266" t="inlineStr">
        <is>
          <t>Routine</t>
        </is>
      </c>
      <c r="G266" t="inlineStr">
        <is>
          <t>NONE</t>
        </is>
      </c>
      <c r="H266" t="inlineStr">
        <is>
          <t>Compliant</t>
        </is>
      </c>
      <c r="I266" s="6" t="n"/>
      <c r="J266" s="6" t="n"/>
      <c r="K266">
        <f>IF(J266="","",J266-B266)</f>
        <v/>
      </c>
      <c r="L266">
        <f>IF(H266="Compliant","N/A",IF(J266&lt;&gt;"","Closed",IF(I266&lt;DATE(2026,9,30),"OVERDUE","Open")))</f>
        <v/>
      </c>
    </row>
    <row r="267">
      <c r="A267" t="inlineStr">
        <is>
          <t>INSP-2026-0266</t>
        </is>
      </c>
      <c r="B267" s="6" t="n">
        <v>46061</v>
      </c>
      <c r="C267" t="inlineStr">
        <is>
          <t>U-ST589-01-04</t>
        </is>
      </c>
      <c r="D267" t="inlineStr">
        <is>
          <t>Sungai Tinggi</t>
        </is>
      </c>
      <c r="E267" t="inlineStr">
        <is>
          <t>B. Ho</t>
        </is>
      </c>
      <c r="F267" t="inlineStr">
        <is>
          <t>Routine</t>
        </is>
      </c>
      <c r="G267" t="inlineStr">
        <is>
          <t>NONE</t>
        </is>
      </c>
      <c r="H267" t="inlineStr">
        <is>
          <t>Compliant</t>
        </is>
      </c>
      <c r="I267" s="6" t="n"/>
      <c r="J267" s="6" t="n"/>
      <c r="K267">
        <f>IF(J267="","",J267-B267)</f>
        <v/>
      </c>
      <c r="L267">
        <f>IF(H267="Compliant","N/A",IF(J267&lt;&gt;"","Closed",IF(I267&lt;DATE(2026,9,30),"OVERDUE","Open")))</f>
        <v/>
      </c>
    </row>
    <row r="268">
      <c r="A268" t="inlineStr">
        <is>
          <t>INSP-2026-0267</t>
        </is>
      </c>
      <c r="B268" s="6" t="n">
        <v>46061</v>
      </c>
      <c r="C268" t="inlineStr">
        <is>
          <t>U-CD136-01-08</t>
        </is>
      </c>
      <c r="D268" t="inlineStr">
        <is>
          <t>Cendana</t>
        </is>
      </c>
      <c r="E268" t="inlineStr">
        <is>
          <t>D. Ong</t>
        </is>
      </c>
      <c r="F268" t="inlineStr">
        <is>
          <t>Routine</t>
        </is>
      </c>
      <c r="G268" t="inlineStr">
        <is>
          <t>NONE</t>
        </is>
      </c>
      <c r="H268" t="inlineStr">
        <is>
          <t>Compliant</t>
        </is>
      </c>
      <c r="I268" s="6" t="n"/>
      <c r="J268" s="6" t="n"/>
      <c r="K268">
        <f>IF(J268="","",J268-B268)</f>
        <v/>
      </c>
      <c r="L268">
        <f>IF(H268="Compliant","N/A",IF(J268&lt;&gt;"","Closed",IF(I268&lt;DATE(2026,9,30),"OVERDUE","Open")))</f>
        <v/>
      </c>
    </row>
    <row r="269">
      <c r="A269" t="inlineStr">
        <is>
          <t>INSP-2026-0268</t>
        </is>
      </c>
      <c r="B269" s="6" t="n">
        <v>46062</v>
      </c>
      <c r="C269" t="inlineStr">
        <is>
          <t>U-BV204-01-02</t>
        </is>
      </c>
      <c r="D269" t="inlineStr">
        <is>
          <t>Bayshore Vale</t>
        </is>
      </c>
      <c r="E269" t="inlineStr">
        <is>
          <t>M. Lim</t>
        </is>
      </c>
      <c r="F269" t="inlineStr">
        <is>
          <t>Complaint-driven</t>
        </is>
      </c>
      <c r="G269" t="inlineStr">
        <is>
          <t>NONE</t>
        </is>
      </c>
      <c r="H269" t="inlineStr">
        <is>
          <t>Compliant</t>
        </is>
      </c>
      <c r="I269" s="6" t="n"/>
      <c r="J269" s="6" t="n"/>
      <c r="K269">
        <f>IF(J269="","",J269-B269)</f>
        <v/>
      </c>
      <c r="L269">
        <f>IF(H269="Compliant","N/A",IF(J269&lt;&gt;"","Closed",IF(I269&lt;DATE(2026,9,30),"OVERDUE","Open")))</f>
        <v/>
      </c>
    </row>
    <row r="270">
      <c r="A270" t="inlineStr">
        <is>
          <t>INSP-2026-0269</t>
        </is>
      </c>
      <c r="B270" s="6" t="n">
        <v>46062</v>
      </c>
      <c r="C270" t="inlineStr">
        <is>
          <t>U-PI644-01-10</t>
        </is>
      </c>
      <c r="D270" t="inlineStr">
        <is>
          <t>Pasir Indah</t>
        </is>
      </c>
      <c r="E270" t="inlineStr">
        <is>
          <t>daniel ong</t>
        </is>
      </c>
      <c r="F270" t="inlineStr">
        <is>
          <t>Routine</t>
        </is>
      </c>
      <c r="G270" t="inlineStr">
        <is>
          <t>NONE</t>
        </is>
      </c>
      <c r="H270" t="inlineStr">
        <is>
          <t>Compliant</t>
        </is>
      </c>
      <c r="I270" s="6" t="n"/>
      <c r="J270" s="6" t="n"/>
      <c r="K270">
        <f>IF(J270="","",J270-B270)</f>
        <v/>
      </c>
      <c r="L270">
        <f>IF(H270="Compliant","N/A",IF(J270&lt;&gt;"","Closed",IF(I270&lt;DATE(2026,9,30),"OVERDUE","Open")))</f>
        <v/>
      </c>
    </row>
    <row r="271">
      <c r="A271" t="inlineStr">
        <is>
          <t>INSP-2026-0270</t>
        </is>
      </c>
      <c r="B271" s="6" t="n">
        <v>46062</v>
      </c>
      <c r="C271" t="inlineStr">
        <is>
          <t>U-CD181-01-04</t>
        </is>
      </c>
      <c r="D271" t="inlineStr">
        <is>
          <t>Cendana</t>
        </is>
      </c>
      <c r="E271" t="inlineStr">
        <is>
          <t>M. Lim</t>
        </is>
      </c>
      <c r="F271" t="inlineStr">
        <is>
          <t>Routine</t>
        </is>
      </c>
      <c r="G271" t="inlineStr">
        <is>
          <t>NONE</t>
        </is>
      </c>
      <c r="H271" t="inlineStr">
        <is>
          <t>Compliant</t>
        </is>
      </c>
      <c r="I271" s="6" t="n"/>
      <c r="J271" s="6" t="n"/>
      <c r="K271">
        <f>IF(J271="","",J271-B271)</f>
        <v/>
      </c>
      <c r="L271">
        <f>IF(H271="Compliant","N/A",IF(J271&lt;&gt;"","Closed",IF(I271&lt;DATE(2026,9,30),"OVERDUE","Open")))</f>
        <v/>
      </c>
    </row>
    <row r="272">
      <c r="A272" t="inlineStr">
        <is>
          <t>INSP-2026-0271</t>
        </is>
      </c>
      <c r="B272" s="6" t="n">
        <v>46063</v>
      </c>
      <c r="C272" t="inlineStr">
        <is>
          <t>U-KR335-01-05</t>
        </is>
      </c>
      <c r="D272" t="inlineStr">
        <is>
          <t>Kebun Raya</t>
        </is>
      </c>
      <c r="E272" t="inlineStr">
        <is>
          <t>D. Ong</t>
        </is>
      </c>
      <c r="F272" t="inlineStr">
        <is>
          <t>Routine</t>
        </is>
      </c>
      <c r="G272" t="inlineStr">
        <is>
          <t>NONE</t>
        </is>
      </c>
      <c r="H272" t="inlineStr">
        <is>
          <t>Compliant</t>
        </is>
      </c>
      <c r="I272" s="6" t="n"/>
      <c r="J272" s="6" t="n"/>
      <c r="K272">
        <f>IF(J272="","",J272-B272)</f>
        <v/>
      </c>
      <c r="L272">
        <f>IF(H272="Compliant","N/A",IF(J272&lt;&gt;"","Closed",IF(I272&lt;DATE(2026,9,30),"OVERDUE","Open")))</f>
        <v/>
      </c>
    </row>
    <row r="273">
      <c r="A273" t="inlineStr">
        <is>
          <t>INSP-2026-0272</t>
        </is>
      </c>
      <c r="B273" s="6" t="n">
        <v>46063</v>
      </c>
      <c r="C273" t="inlineStr">
        <is>
          <t>U-ST579-01-07</t>
        </is>
      </c>
      <c r="D273" t="inlineStr">
        <is>
          <t>Sungai Tinggi</t>
        </is>
      </c>
      <c r="E273" t="inlineStr">
        <is>
          <t>Daniel Ong</t>
        </is>
      </c>
      <c r="F273" t="inlineStr">
        <is>
          <t>Routine</t>
        </is>
      </c>
      <c r="G273" t="inlineStr">
        <is>
          <t>NONE</t>
        </is>
      </c>
      <c r="H273" t="inlineStr">
        <is>
          <t>Compliant</t>
        </is>
      </c>
      <c r="I273" s="6" t="n"/>
      <c r="J273" s="6" t="n"/>
      <c r="K273">
        <f>IF(J273="","",J273-B273)</f>
        <v/>
      </c>
      <c r="L273">
        <f>IF(H273="Compliant","N/A",IF(J273&lt;&gt;"","Closed",IF(I273&lt;DATE(2026,9,30),"OVERDUE","Open")))</f>
        <v/>
      </c>
    </row>
    <row r="274">
      <c r="A274" t="inlineStr">
        <is>
          <t>INSP-2026-0273</t>
        </is>
      </c>
      <c r="B274" s="6" t="n">
        <v>46063</v>
      </c>
      <c r="C274" t="inlineStr">
        <is>
          <t>U-BV229-01-08</t>
        </is>
      </c>
      <c r="D274" t="inlineStr">
        <is>
          <t>Bayshore Vale</t>
        </is>
      </c>
      <c r="E274" t="inlineStr">
        <is>
          <t>Daniel O.</t>
        </is>
      </c>
      <c r="F274" t="inlineStr">
        <is>
          <t>Routine</t>
        </is>
      </c>
      <c r="G274" t="inlineStr">
        <is>
          <t>NONE</t>
        </is>
      </c>
      <c r="H274" t="inlineStr">
        <is>
          <t>Compliant</t>
        </is>
      </c>
      <c r="I274" s="6" t="n"/>
      <c r="J274" s="6" t="n"/>
      <c r="K274">
        <f>IF(J274="","",J274-B274)</f>
        <v/>
      </c>
      <c r="L274">
        <f>IF(H274="Compliant","N/A",IF(J274&lt;&gt;"","Closed",IF(I274&lt;DATE(2026,9,30),"OVERDUE","Open")))</f>
        <v/>
      </c>
    </row>
    <row r="275">
      <c r="A275" t="inlineStr">
        <is>
          <t>INSP-2026-0274</t>
        </is>
      </c>
      <c r="B275" s="6" t="n">
        <v>46063</v>
      </c>
      <c r="C275" t="inlineStr">
        <is>
          <t>U-KR335-01-12</t>
        </is>
      </c>
      <c r="D275" t="inlineStr">
        <is>
          <t>Kebun Raya</t>
        </is>
      </c>
      <c r="E275" t="inlineStr">
        <is>
          <t>D. Ong</t>
        </is>
      </c>
      <c r="F275" t="inlineStr">
        <is>
          <t>Complaint-driven</t>
        </is>
      </c>
      <c r="G275" t="inlineStr">
        <is>
          <t>NONE</t>
        </is>
      </c>
      <c r="H275" t="inlineStr">
        <is>
          <t>Compliant</t>
        </is>
      </c>
      <c r="I275" s="6" t="n"/>
      <c r="J275" s="6" t="n"/>
      <c r="K275">
        <f>IF(J275="","",J275-B275)</f>
        <v/>
      </c>
      <c r="L275">
        <f>IF(H275="Compliant","N/A",IF(J275&lt;&gt;"","Closed",IF(I275&lt;DATE(2026,9,30),"OVERDUE","Open")))</f>
        <v/>
      </c>
    </row>
    <row r="276">
      <c r="A276" t="inlineStr">
        <is>
          <t>INSP-2026-0275</t>
        </is>
      </c>
      <c r="B276" s="6" t="n">
        <v>46063</v>
      </c>
      <c r="C276" t="inlineStr">
        <is>
          <t>U-PI609-01-06</t>
        </is>
      </c>
      <c r="D276" t="inlineStr">
        <is>
          <t>Pasir Indah</t>
        </is>
      </c>
      <c r="E276" t="inlineStr">
        <is>
          <t>Daniel Ong</t>
        </is>
      </c>
      <c r="F276" t="inlineStr">
        <is>
          <t>Routine</t>
        </is>
      </c>
      <c r="G276" t="inlineStr">
        <is>
          <t>FIRE_SAFETY</t>
        </is>
      </c>
      <c r="H276" t="inlineStr">
        <is>
          <t>Major Breach</t>
        </is>
      </c>
      <c r="I276" s="6" t="n">
        <v>46070</v>
      </c>
      <c r="J276" s="6" t="n">
        <v>46080</v>
      </c>
      <c r="K276">
        <f>IF(J276="","",J276-B276)</f>
        <v/>
      </c>
      <c r="L276">
        <f>IF(H276="Compliant","N/A",IF(J276&lt;&gt;"","Closed",IF(I276&lt;DATE(2026,9,30),"OVERDUE","Open")))</f>
        <v/>
      </c>
    </row>
    <row r="277">
      <c r="A277" t="inlineStr">
        <is>
          <t>INSP-2026-0276</t>
        </is>
      </c>
      <c r="B277" s="6" t="n">
        <v>46063</v>
      </c>
      <c r="C277" t="inlineStr">
        <is>
          <t>U-BV271-01-11</t>
        </is>
      </c>
      <c r="D277" t="inlineStr">
        <is>
          <t>Bayshore Vale</t>
        </is>
      </c>
      <c r="E277" t="inlineStr">
        <is>
          <t>daniel ong</t>
        </is>
      </c>
      <c r="F277" t="inlineStr">
        <is>
          <t>Routine</t>
        </is>
      </c>
      <c r="G277" t="inlineStr">
        <is>
          <t>NONE</t>
        </is>
      </c>
      <c r="H277" t="inlineStr">
        <is>
          <t>Compliant</t>
        </is>
      </c>
      <c r="I277" s="6" t="n"/>
      <c r="J277" s="6" t="n"/>
      <c r="K277">
        <f>IF(J277="","",J277-B277)</f>
        <v/>
      </c>
      <c r="L277">
        <f>IF(H277="Compliant","N/A",IF(J277&lt;&gt;"","Closed",IF(I277&lt;DATE(2026,9,30),"OVERDUE","Open")))</f>
        <v/>
      </c>
    </row>
    <row r="278">
      <c r="A278" t="inlineStr">
        <is>
          <t>INSP-2026-0277</t>
        </is>
      </c>
      <c r="B278" s="6" t="n">
        <v>46063</v>
      </c>
      <c r="C278" t="inlineStr">
        <is>
          <t>U-KR323-01-03</t>
        </is>
      </c>
      <c r="D278" t="inlineStr">
        <is>
          <t>Kebun Raya</t>
        </is>
      </c>
      <c r="E278" t="inlineStr">
        <is>
          <t>Ben Ho</t>
        </is>
      </c>
      <c r="F278" t="inlineStr">
        <is>
          <t>Routine</t>
        </is>
      </c>
      <c r="G278" t="inlineStr">
        <is>
          <t>NONE</t>
        </is>
      </c>
      <c r="H278" t="inlineStr">
        <is>
          <t>Compliant</t>
        </is>
      </c>
      <c r="I278" s="6" t="n"/>
      <c r="J278" s="6" t="n"/>
      <c r="K278">
        <f>IF(J278="","",J278-B278)</f>
        <v/>
      </c>
      <c r="L278">
        <f>IF(H278="Compliant","N/A",IF(J278&lt;&gt;"","Closed",IF(I278&lt;DATE(2026,9,30),"OVERDUE","Open")))</f>
        <v/>
      </c>
    </row>
    <row r="279">
      <c r="A279" t="inlineStr">
        <is>
          <t>INSP-2026-0278</t>
        </is>
      </c>
      <c r="B279" s="6" t="n">
        <v>46063</v>
      </c>
      <c r="C279" t="inlineStr">
        <is>
          <t>U-ST538-01-02</t>
        </is>
      </c>
      <c r="D279" t="inlineStr">
        <is>
          <t>Sungai Tinggi</t>
        </is>
      </c>
      <c r="E279" t="inlineStr">
        <is>
          <t>Benjamin Ho</t>
        </is>
      </c>
      <c r="F279" t="inlineStr">
        <is>
          <t>Routine</t>
        </is>
      </c>
      <c r="G279" t="inlineStr">
        <is>
          <t>FIRE_SAFETY</t>
        </is>
      </c>
      <c r="H279" t="inlineStr">
        <is>
          <t>Major Breach</t>
        </is>
      </c>
      <c r="I279" s="6" t="n">
        <v>46070</v>
      </c>
      <c r="J279" s="6" t="n"/>
      <c r="K279">
        <f>IF(J279="","",J279-B279)</f>
        <v/>
      </c>
      <c r="L279">
        <f>IF(H279="Compliant","N/A",IF(J279&lt;&gt;"","Closed",IF(I279&lt;DATE(2026,9,30),"OVERDUE","Open")))</f>
        <v/>
      </c>
    </row>
    <row r="280">
      <c r="A280" t="inlineStr">
        <is>
          <t>INSP-2026-0279</t>
        </is>
      </c>
      <c r="B280" s="6" t="n">
        <v>46063</v>
      </c>
      <c r="C280" t="inlineStr">
        <is>
          <t>U-PI684-01-05</t>
        </is>
      </c>
      <c r="D280" t="inlineStr">
        <is>
          <t>Pasir Indah</t>
        </is>
      </c>
      <c r="E280" t="inlineStr">
        <is>
          <t>Daniel O.</t>
        </is>
      </c>
      <c r="F280" t="inlineStr">
        <is>
          <t>Follow-up</t>
        </is>
      </c>
      <c r="G280" t="inlineStr">
        <is>
          <t>UNAPPROVED_AA</t>
        </is>
      </c>
      <c r="H280" t="inlineStr">
        <is>
          <t>Minor Breach</t>
        </is>
      </c>
      <c r="I280" s="6" t="n">
        <v>46077</v>
      </c>
      <c r="J280" s="6" t="n">
        <v>46077</v>
      </c>
      <c r="K280">
        <f>IF(J280="","",J280-B280)</f>
        <v/>
      </c>
      <c r="L280">
        <f>IF(H280="Compliant","N/A",IF(J280&lt;&gt;"","Closed",IF(I280&lt;DATE(2026,9,30),"OVERDUE","Open")))</f>
        <v/>
      </c>
    </row>
    <row r="281">
      <c r="A281" t="inlineStr">
        <is>
          <t>INSP-2026-0280</t>
        </is>
      </c>
      <c r="B281" s="6" t="n">
        <v>46064</v>
      </c>
      <c r="C281" t="inlineStr">
        <is>
          <t>U-BV283-01-07</t>
        </is>
      </c>
      <c r="D281" t="inlineStr">
        <is>
          <t>Bayshore Vale</t>
        </is>
      </c>
      <c r="E281" t="inlineStr">
        <is>
          <t>daniel ong</t>
        </is>
      </c>
      <c r="F281" t="inlineStr">
        <is>
          <t>Routine</t>
        </is>
      </c>
      <c r="G281" t="inlineStr">
        <is>
          <t>NONE</t>
        </is>
      </c>
      <c r="H281" t="inlineStr">
        <is>
          <t>Compliant</t>
        </is>
      </c>
      <c r="I281" s="6" t="n"/>
      <c r="J281" s="6" t="n"/>
      <c r="K281">
        <f>IF(J281="","",J281-B281)</f>
        <v/>
      </c>
      <c r="L281">
        <f>IF(H281="Compliant","N/A",IF(J281&lt;&gt;"","Closed",IF(I281&lt;DATE(2026,9,30),"OVERDUE","Open")))</f>
        <v/>
      </c>
    </row>
    <row r="282">
      <c r="A282" t="inlineStr">
        <is>
          <t>INSP-2026-0281</t>
        </is>
      </c>
      <c r="B282" s="6" t="n">
        <v>46064</v>
      </c>
      <c r="C282" t="inlineStr">
        <is>
          <t>U-KR379-01-01</t>
        </is>
      </c>
      <c r="D282" t="inlineStr">
        <is>
          <t>Kebun Raya</t>
        </is>
      </c>
      <c r="E282" t="inlineStr">
        <is>
          <t>Ben Ho</t>
        </is>
      </c>
      <c r="F282" t="inlineStr">
        <is>
          <t>Follow-up</t>
        </is>
      </c>
      <c r="G282" t="inlineStr">
        <is>
          <t>NONE</t>
        </is>
      </c>
      <c r="H282" t="inlineStr">
        <is>
          <t>Compliant</t>
        </is>
      </c>
      <c r="I282" s="6" t="n"/>
      <c r="J282" s="6" t="n"/>
      <c r="K282">
        <f>IF(J282="","",J282-B282)</f>
        <v/>
      </c>
      <c r="L282">
        <f>IF(H282="Compliant","N/A",IF(J282&lt;&gt;"","Closed",IF(I282&lt;DATE(2026,9,30),"OVERDUE","Open")))</f>
        <v/>
      </c>
    </row>
    <row r="283">
      <c r="A283" t="inlineStr">
        <is>
          <t>INSP-2026-0282</t>
        </is>
      </c>
      <c r="B283" s="6" t="n">
        <v>46064</v>
      </c>
      <c r="C283" t="inlineStr">
        <is>
          <t>U-PI670-01-01</t>
        </is>
      </c>
      <c r="D283" t="inlineStr">
        <is>
          <t>Pasir Indah</t>
        </is>
      </c>
      <c r="E283" t="inlineStr">
        <is>
          <t>D. Ong</t>
        </is>
      </c>
      <c r="F283" t="inlineStr">
        <is>
          <t>Routine</t>
        </is>
      </c>
      <c r="G283" t="inlineStr">
        <is>
          <t>NONE</t>
        </is>
      </c>
      <c r="H283" t="inlineStr">
        <is>
          <t>Compliant</t>
        </is>
      </c>
      <c r="I283" s="6" t="n"/>
      <c r="J283" s="6" t="n"/>
      <c r="K283">
        <f>IF(J283="","",J283-B283)</f>
        <v/>
      </c>
      <c r="L283">
        <f>IF(H283="Compliant","N/A",IF(J283&lt;&gt;"","Closed",IF(I283&lt;DATE(2026,9,30),"OVERDUE","Open")))</f>
        <v/>
      </c>
    </row>
    <row r="284">
      <c r="A284" t="inlineStr">
        <is>
          <t>INSP-2026-0283</t>
        </is>
      </c>
      <c r="B284" s="6" t="n">
        <v>46064</v>
      </c>
      <c r="C284" t="inlineStr">
        <is>
          <t>U-KR333-01-12</t>
        </is>
      </c>
      <c r="D284" t="inlineStr">
        <is>
          <t>Kebun Raya</t>
        </is>
      </c>
      <c r="E284" t="inlineStr">
        <is>
          <t>Benjamin Ho</t>
        </is>
      </c>
      <c r="F284" t="inlineStr">
        <is>
          <t>Routine</t>
        </is>
      </c>
      <c r="G284" t="inlineStr">
        <is>
          <t>NONE</t>
        </is>
      </c>
      <c r="H284" t="inlineStr">
        <is>
          <t>Compliant</t>
        </is>
      </c>
      <c r="I284" s="6" t="n"/>
      <c r="J284" s="6" t="n"/>
      <c r="K284">
        <f>IF(J284="","",J284-B284)</f>
        <v/>
      </c>
      <c r="L284">
        <f>IF(H284="Compliant","N/A",IF(J284&lt;&gt;"","Closed",IF(I284&lt;DATE(2026,9,30),"OVERDUE","Open")))</f>
        <v/>
      </c>
    </row>
    <row r="285">
      <c r="A285" t="inlineStr">
        <is>
          <t>INSP-2026-0284</t>
        </is>
      </c>
      <c r="B285" s="6" t="n">
        <v>46064</v>
      </c>
      <c r="C285" t="inlineStr">
        <is>
          <t>U-KR317-01-05</t>
        </is>
      </c>
      <c r="D285" t="inlineStr">
        <is>
          <t>Kebun Raya</t>
        </is>
      </c>
      <c r="E285" t="inlineStr">
        <is>
          <t>D. Ong</t>
        </is>
      </c>
      <c r="F285" t="inlineStr">
        <is>
          <t>Routine</t>
        </is>
      </c>
      <c r="G285" t="inlineStr">
        <is>
          <t>NONE</t>
        </is>
      </c>
      <c r="H285" t="inlineStr">
        <is>
          <t>Compliant</t>
        </is>
      </c>
      <c r="I285" s="6" t="n"/>
      <c r="J285" s="6" t="n"/>
      <c r="K285">
        <f>IF(J285="","",J285-B285)</f>
        <v/>
      </c>
      <c r="L285">
        <f>IF(H285="Compliant","N/A",IF(J285&lt;&gt;"","Closed",IF(I285&lt;DATE(2026,9,30),"OVERDUE","Open")))</f>
        <v/>
      </c>
    </row>
    <row r="286">
      <c r="A286" t="inlineStr">
        <is>
          <t>INSP-2026-0285</t>
        </is>
      </c>
      <c r="B286" s="6" t="n">
        <v>46064</v>
      </c>
      <c r="C286" t="inlineStr">
        <is>
          <t>U-CD105-01-02</t>
        </is>
      </c>
      <c r="D286" t="inlineStr">
        <is>
          <t>Cendana</t>
        </is>
      </c>
      <c r="E286" t="inlineStr">
        <is>
          <t>Daniel Ong</t>
        </is>
      </c>
      <c r="F286" t="inlineStr">
        <is>
          <t>Routine</t>
        </is>
      </c>
      <c r="G286" t="inlineStr">
        <is>
          <t>NONE</t>
        </is>
      </c>
      <c r="H286" t="inlineStr">
        <is>
          <t>Compliant</t>
        </is>
      </c>
      <c r="I286" s="6" t="n"/>
      <c r="J286" s="6" t="n"/>
      <c r="K286">
        <f>IF(J286="","",J286-B286)</f>
        <v/>
      </c>
      <c r="L286">
        <f>IF(H286="Compliant","N/A",IF(J286&lt;&gt;"","Closed",IF(I286&lt;DATE(2026,9,30),"OVERDUE","Open")))</f>
        <v/>
      </c>
    </row>
    <row r="287">
      <c r="A287" t="inlineStr">
        <is>
          <t>INSP-2026-0286</t>
        </is>
      </c>
      <c r="B287" s="6" t="n">
        <v>46065</v>
      </c>
      <c r="C287" t="inlineStr">
        <is>
          <t>U-KR345-01-14</t>
        </is>
      </c>
      <c r="D287" t="inlineStr">
        <is>
          <t>Kebun Raya</t>
        </is>
      </c>
      <c r="E287" t="inlineStr">
        <is>
          <t>D. Ong</t>
        </is>
      </c>
      <c r="F287" t="inlineStr">
        <is>
          <t>Routine</t>
        </is>
      </c>
      <c r="G287" t="inlineStr">
        <is>
          <t>NONE</t>
        </is>
      </c>
      <c r="H287" t="inlineStr">
        <is>
          <t>Compliant</t>
        </is>
      </c>
      <c r="I287" s="6" t="n"/>
      <c r="J287" s="6" t="n"/>
      <c r="K287">
        <f>IF(J287="","",J287-B287)</f>
        <v/>
      </c>
      <c r="L287">
        <f>IF(H287="Compliant","N/A",IF(J287&lt;&gt;"","Closed",IF(I287&lt;DATE(2026,9,30),"OVERDUE","Open")))</f>
        <v/>
      </c>
    </row>
    <row r="288">
      <c r="A288" t="inlineStr">
        <is>
          <t>INSP-2026-0287</t>
        </is>
      </c>
      <c r="B288" s="6" t="n">
        <v>46065</v>
      </c>
      <c r="C288" t="inlineStr">
        <is>
          <t>U-ST512-01-32</t>
        </is>
      </c>
      <c r="D288" t="inlineStr">
        <is>
          <t>Sungai Tinggi</t>
        </is>
      </c>
      <c r="E288" t="inlineStr">
        <is>
          <t>Daniel O.</t>
        </is>
      </c>
      <c r="F288" t="inlineStr">
        <is>
          <t>Routine</t>
        </is>
      </c>
      <c r="G288" t="inlineStr">
        <is>
          <t>NONE</t>
        </is>
      </c>
      <c r="H288" t="inlineStr">
        <is>
          <t>Compliant</t>
        </is>
      </c>
      <c r="I288" s="6" t="n"/>
      <c r="J288" s="6" t="n"/>
      <c r="K288">
        <f>IF(J288="","",J288-B288)</f>
        <v/>
      </c>
      <c r="L288">
        <f>IF(H288="Compliant","N/A",IF(J288&lt;&gt;"","Closed",IF(I288&lt;DATE(2026,9,30),"OVERDUE","Open")))</f>
        <v/>
      </c>
    </row>
    <row r="289">
      <c r="A289" t="inlineStr">
        <is>
          <t>INSP-2026-0288</t>
        </is>
      </c>
      <c r="B289" s="6" t="n">
        <v>46066</v>
      </c>
      <c r="C289" t="inlineStr">
        <is>
          <t>U-KR327-01-01</t>
        </is>
      </c>
      <c r="D289" t="inlineStr">
        <is>
          <t>Kebun Raya</t>
        </is>
      </c>
      <c r="E289" t="inlineStr">
        <is>
          <t>Benjamin Ho</t>
        </is>
      </c>
      <c r="F289" t="inlineStr">
        <is>
          <t>Complaint-driven</t>
        </is>
      </c>
      <c r="G289" t="inlineStr">
        <is>
          <t>NONE</t>
        </is>
      </c>
      <c r="H289" t="inlineStr">
        <is>
          <t>Compliant</t>
        </is>
      </c>
      <c r="I289" s="6" t="n"/>
      <c r="J289" s="6" t="n"/>
      <c r="K289">
        <f>IF(J289="","",J289-B289)</f>
        <v/>
      </c>
      <c r="L289">
        <f>IF(H289="Compliant","N/A",IF(J289&lt;&gt;"","Closed",IF(I289&lt;DATE(2026,9,30),"OVERDUE","Open")))</f>
        <v/>
      </c>
    </row>
    <row r="290">
      <c r="A290" t="inlineStr">
        <is>
          <t>INSP-2026-0289</t>
        </is>
      </c>
      <c r="B290" s="6" t="n">
        <v>46066</v>
      </c>
      <c r="C290" t="inlineStr">
        <is>
          <t>U-BV296-02-02</t>
        </is>
      </c>
      <c r="D290" t="inlineStr">
        <is>
          <t>Bayshore Vale</t>
        </is>
      </c>
      <c r="E290" t="inlineStr">
        <is>
          <t>D. Ong</t>
        </is>
      </c>
      <c r="F290" t="inlineStr">
        <is>
          <t>Routine</t>
        </is>
      </c>
      <c r="G290" t="inlineStr">
        <is>
          <t>FIRE_SAFETY</t>
        </is>
      </c>
      <c r="H290" t="inlineStr">
        <is>
          <t>Major Breach</t>
        </is>
      </c>
      <c r="I290" s="6" t="n">
        <v>46073</v>
      </c>
      <c r="J290" s="6" t="n">
        <v>46076</v>
      </c>
      <c r="K290">
        <f>IF(J290="","",J290-B290)</f>
        <v/>
      </c>
      <c r="L290">
        <f>IF(H290="Compliant","N/A",IF(J290&lt;&gt;"","Closed",IF(I290&lt;DATE(2026,9,30),"OVERDUE","Open")))</f>
        <v/>
      </c>
    </row>
    <row r="291">
      <c r="A291" t="inlineStr">
        <is>
          <t>INSP-2026-0290</t>
        </is>
      </c>
      <c r="B291" s="6" t="n">
        <v>46066</v>
      </c>
      <c r="C291" t="inlineStr">
        <is>
          <t>U-PI627-02-17</t>
        </is>
      </c>
      <c r="D291" t="inlineStr">
        <is>
          <t>Pasir Indah</t>
        </is>
      </c>
      <c r="E291" t="inlineStr">
        <is>
          <t>Daniel Ong</t>
        </is>
      </c>
      <c r="F291" t="inlineStr">
        <is>
          <t>Complaint-driven</t>
        </is>
      </c>
      <c r="G291" t="inlineStr">
        <is>
          <t>NONE</t>
        </is>
      </c>
      <c r="H291" t="inlineStr">
        <is>
          <t>Compliant</t>
        </is>
      </c>
      <c r="I291" s="6" t="n"/>
      <c r="J291" s="6" t="n"/>
      <c r="K291">
        <f>IF(J291="","",J291-B291)</f>
        <v/>
      </c>
      <c r="L291">
        <f>IF(H291="Compliant","N/A",IF(J291&lt;&gt;"","Closed",IF(I291&lt;DATE(2026,9,30),"OVERDUE","Open")))</f>
        <v/>
      </c>
    </row>
    <row r="292">
      <c r="A292" t="inlineStr">
        <is>
          <t>INSP-2026-0291</t>
        </is>
      </c>
      <c r="B292" s="6" t="n">
        <v>46066</v>
      </c>
      <c r="C292" t="inlineStr">
        <is>
          <t>U-ST544-01-01</t>
        </is>
      </c>
      <c r="D292" t="inlineStr">
        <is>
          <t>Sungai Tinggi</t>
        </is>
      </c>
      <c r="E292" t="inlineStr">
        <is>
          <t>B. Ho</t>
        </is>
      </c>
      <c r="F292" t="inlineStr">
        <is>
          <t>Routine</t>
        </is>
      </c>
      <c r="G292" t="inlineStr">
        <is>
          <t>NONE</t>
        </is>
      </c>
      <c r="H292" t="inlineStr">
        <is>
          <t>Compliant</t>
        </is>
      </c>
      <c r="I292" s="6" t="n"/>
      <c r="J292" s="6" t="n"/>
      <c r="K292">
        <f>IF(J292="","",J292-B292)</f>
        <v/>
      </c>
      <c r="L292">
        <f>IF(H292="Compliant","N/A",IF(J292&lt;&gt;"","Closed",IF(I292&lt;DATE(2026,9,30),"OVERDUE","Open")))</f>
        <v/>
      </c>
    </row>
    <row r="293">
      <c r="A293" t="inlineStr">
        <is>
          <t>INSP-2026-0292</t>
        </is>
      </c>
      <c r="B293" s="6" t="n">
        <v>46066</v>
      </c>
      <c r="C293" t="inlineStr">
        <is>
          <t>U-CD135-01-02</t>
        </is>
      </c>
      <c r="D293" t="inlineStr">
        <is>
          <t>Cendana</t>
        </is>
      </c>
      <c r="E293" t="inlineStr">
        <is>
          <t>Marcus Lim</t>
        </is>
      </c>
      <c r="F293" t="inlineStr">
        <is>
          <t>Follow-up</t>
        </is>
      </c>
      <c r="G293" t="inlineStr">
        <is>
          <t>NONE</t>
        </is>
      </c>
      <c r="H293" t="inlineStr">
        <is>
          <t>Compliant</t>
        </is>
      </c>
      <c r="I293" s="6" t="n"/>
      <c r="J293" s="6" t="n"/>
      <c r="K293">
        <f>IF(J293="","",J293-B293)</f>
        <v/>
      </c>
      <c r="L293">
        <f>IF(H293="Compliant","N/A",IF(J293&lt;&gt;"","Closed",IF(I293&lt;DATE(2026,9,30),"OVERDUE","Open")))</f>
        <v/>
      </c>
    </row>
    <row r="294">
      <c r="A294" t="inlineStr">
        <is>
          <t>INSP-2026-0293</t>
        </is>
      </c>
      <c r="B294" s="6" t="n">
        <v>46066</v>
      </c>
      <c r="C294" t="inlineStr">
        <is>
          <t>U-RH455-01-09</t>
        </is>
      </c>
      <c r="D294" t="inlineStr">
        <is>
          <t>Rimba Heights</t>
        </is>
      </c>
      <c r="E294" t="inlineStr">
        <is>
          <t>B. Ho</t>
        </is>
      </c>
      <c r="F294" t="inlineStr">
        <is>
          <t>Routine</t>
        </is>
      </c>
      <c r="G294" t="inlineStr">
        <is>
          <t>NONE</t>
        </is>
      </c>
      <c r="H294" t="inlineStr">
        <is>
          <t>Compliant</t>
        </is>
      </c>
      <c r="I294" s="6" t="n"/>
      <c r="J294" s="6" t="n"/>
      <c r="K294">
        <f>IF(J294="","",J294-B294)</f>
        <v/>
      </c>
      <c r="L294">
        <f>IF(H294="Compliant","N/A",IF(J294&lt;&gt;"","Closed",IF(I294&lt;DATE(2026,9,30),"OVERDUE","Open")))</f>
        <v/>
      </c>
    </row>
    <row r="295">
      <c r="A295" t="inlineStr">
        <is>
          <t>INSP-2026-0294</t>
        </is>
      </c>
      <c r="B295" s="6" t="n">
        <v>46066</v>
      </c>
      <c r="C295" t="inlineStr">
        <is>
          <t>U-ST545-01-10</t>
        </is>
      </c>
      <c r="D295" t="inlineStr">
        <is>
          <t>Sungai Tinggi</t>
        </is>
      </c>
      <c r="E295" t="inlineStr">
        <is>
          <t>daniel ong</t>
        </is>
      </c>
      <c r="F295" t="inlineStr">
        <is>
          <t>Routine</t>
        </is>
      </c>
      <c r="G295" t="inlineStr">
        <is>
          <t>HYGIENE</t>
        </is>
      </c>
      <c r="H295" t="inlineStr">
        <is>
          <t>Minor Breach</t>
        </is>
      </c>
      <c r="I295" s="6" t="n">
        <v>46080</v>
      </c>
      <c r="J295" s="6" t="n">
        <v>46080</v>
      </c>
      <c r="K295">
        <f>IF(J295="","",J295-B295)</f>
        <v/>
      </c>
      <c r="L295">
        <f>IF(H295="Compliant","N/A",IF(J295&lt;&gt;"","Closed",IF(I295&lt;DATE(2026,9,30),"OVERDUE","Open")))</f>
        <v/>
      </c>
    </row>
    <row r="296">
      <c r="A296" t="inlineStr">
        <is>
          <t>INSP-2026-0295</t>
        </is>
      </c>
      <c r="B296" s="6" t="n">
        <v>46067</v>
      </c>
      <c r="C296" t="inlineStr">
        <is>
          <t>U-RH408-01-02</t>
        </is>
      </c>
      <c r="D296" t="inlineStr">
        <is>
          <t>Rimba Heights</t>
        </is>
      </c>
      <c r="E296" t="inlineStr">
        <is>
          <t>daniel ong</t>
        </is>
      </c>
      <c r="F296" t="inlineStr">
        <is>
          <t>Routine</t>
        </is>
      </c>
      <c r="G296" t="inlineStr">
        <is>
          <t>NONE</t>
        </is>
      </c>
      <c r="H296" t="inlineStr">
        <is>
          <t>Compliant</t>
        </is>
      </c>
      <c r="I296" s="6" t="n"/>
      <c r="J296" s="6" t="n"/>
      <c r="K296">
        <f>IF(J296="","",J296-B296)</f>
        <v/>
      </c>
      <c r="L296">
        <f>IF(H296="Compliant","N/A",IF(J296&lt;&gt;"","Closed",IF(I296&lt;DATE(2026,9,30),"OVERDUE","Open")))</f>
        <v/>
      </c>
    </row>
    <row r="297">
      <c r="A297" t="inlineStr">
        <is>
          <t>INSP-2026-0296</t>
        </is>
      </c>
      <c r="B297" s="6" t="n">
        <v>46067</v>
      </c>
      <c r="C297" t="inlineStr">
        <is>
          <t>U-ST537-01-04</t>
        </is>
      </c>
      <c r="D297" t="inlineStr">
        <is>
          <t>Sungai Tinggi</t>
        </is>
      </c>
      <c r="E297" t="inlineStr">
        <is>
          <t>Benjamin Ho</t>
        </is>
      </c>
      <c r="F297" t="inlineStr">
        <is>
          <t>Routine</t>
        </is>
      </c>
      <c r="G297" t="inlineStr">
        <is>
          <t>UNAPPROVED_AA</t>
        </is>
      </c>
      <c r="H297" t="inlineStr">
        <is>
          <t>Minor Breach</t>
        </is>
      </c>
      <c r="I297" s="6" t="n">
        <v>46081</v>
      </c>
      <c r="J297" s="6" t="n">
        <v>46083</v>
      </c>
      <c r="K297">
        <f>IF(J297="","",J297-B297)</f>
        <v/>
      </c>
      <c r="L297">
        <f>IF(H297="Compliant","N/A",IF(J297&lt;&gt;"","Closed",IF(I297&lt;DATE(2026,9,30),"OVERDUE","Open")))</f>
        <v/>
      </c>
    </row>
    <row r="298">
      <c r="A298" t="inlineStr">
        <is>
          <t>INSP-2026-0297</t>
        </is>
      </c>
      <c r="B298" s="6" t="n">
        <v>46067</v>
      </c>
      <c r="C298" t="inlineStr">
        <is>
          <t>U-BV233-01-07</t>
        </is>
      </c>
      <c r="D298" t="inlineStr">
        <is>
          <t>Bayshore Vale</t>
        </is>
      </c>
      <c r="E298" t="inlineStr">
        <is>
          <t>Daniel O.</t>
        </is>
      </c>
      <c r="F298" t="inlineStr">
        <is>
          <t>Routine</t>
        </is>
      </c>
      <c r="G298" t="inlineStr">
        <is>
          <t>NONE</t>
        </is>
      </c>
      <c r="H298" t="inlineStr">
        <is>
          <t>Compliant</t>
        </is>
      </c>
      <c r="I298" s="6" t="n"/>
      <c r="J298" s="6" t="n"/>
      <c r="K298">
        <f>IF(J298="","",J298-B298)</f>
        <v/>
      </c>
      <c r="L298">
        <f>IF(H298="Compliant","N/A",IF(J298&lt;&gt;"","Closed",IF(I298&lt;DATE(2026,9,30),"OVERDUE","Open")))</f>
        <v/>
      </c>
    </row>
    <row r="299">
      <c r="A299" t="inlineStr">
        <is>
          <t>INSP-2026-0298</t>
        </is>
      </c>
      <c r="B299" s="6" t="n">
        <v>46067</v>
      </c>
      <c r="C299" t="inlineStr">
        <is>
          <t>U-ST564-01-04</t>
        </is>
      </c>
      <c r="D299" t="inlineStr">
        <is>
          <t>Sungai Tinggi</t>
        </is>
      </c>
      <c r="E299" t="inlineStr">
        <is>
          <t>B. Ho</t>
        </is>
      </c>
      <c r="F299" t="inlineStr">
        <is>
          <t>Follow-up</t>
        </is>
      </c>
      <c r="G299" t="inlineStr">
        <is>
          <t>HYGIENE</t>
        </is>
      </c>
      <c r="H299" t="inlineStr">
        <is>
          <t>Minor Breach</t>
        </is>
      </c>
      <c r="I299" s="6" t="n">
        <v>46081</v>
      </c>
      <c r="J299" s="6" t="n">
        <v>46085</v>
      </c>
      <c r="K299">
        <f>IF(J299="","",J299-B299)</f>
        <v/>
      </c>
      <c r="L299">
        <f>IF(H299="Compliant","N/A",IF(J299&lt;&gt;"","Closed",IF(I299&lt;DATE(2026,9,30),"OVERDUE","Open")))</f>
        <v/>
      </c>
    </row>
    <row r="300">
      <c r="A300" t="inlineStr">
        <is>
          <t>INSP-2026-0299</t>
        </is>
      </c>
      <c r="B300" s="6" t="n">
        <v>46067</v>
      </c>
      <c r="C300" t="inlineStr">
        <is>
          <t>U-PI627-02-28</t>
        </is>
      </c>
      <c r="D300" t="inlineStr">
        <is>
          <t>Pasir Indah</t>
        </is>
      </c>
      <c r="E300" t="inlineStr">
        <is>
          <t>Marcus Lim</t>
        </is>
      </c>
      <c r="F300" t="inlineStr">
        <is>
          <t>Routine</t>
        </is>
      </c>
      <c r="G300" t="inlineStr">
        <is>
          <t>NONE</t>
        </is>
      </c>
      <c r="H300" t="inlineStr">
        <is>
          <t>Compliant</t>
        </is>
      </c>
      <c r="I300" s="6" t="n"/>
      <c r="J300" s="6" t="n"/>
      <c r="K300">
        <f>IF(J300="","",J300-B300)</f>
        <v/>
      </c>
      <c r="L300">
        <f>IF(H300="Compliant","N/A",IF(J300&lt;&gt;"","Closed",IF(I300&lt;DATE(2026,9,30),"OVERDUE","Open")))</f>
        <v/>
      </c>
    </row>
    <row r="301">
      <c r="A301" t="inlineStr">
        <is>
          <t>INSP-2026-0300</t>
        </is>
      </c>
      <c r="B301" s="6" t="n">
        <v>46068</v>
      </c>
      <c r="C301" t="inlineStr">
        <is>
          <t>U-PI615-01-10</t>
        </is>
      </c>
      <c r="D301" t="inlineStr">
        <is>
          <t>Pasir Indah</t>
        </is>
      </c>
      <c r="E301" t="inlineStr">
        <is>
          <t>marcus</t>
        </is>
      </c>
      <c r="F301" t="inlineStr">
        <is>
          <t>Routine</t>
        </is>
      </c>
      <c r="G301" t="inlineStr">
        <is>
          <t>NONE</t>
        </is>
      </c>
      <c r="H301" t="inlineStr">
        <is>
          <t>Compliant</t>
        </is>
      </c>
      <c r="I301" s="6" t="n"/>
      <c r="J301" s="6" t="n"/>
      <c r="K301">
        <f>IF(J301="","",J301-B301)</f>
        <v/>
      </c>
      <c r="L301">
        <f>IF(H301="Compliant","N/A",IF(J301&lt;&gt;"","Closed",IF(I301&lt;DATE(2026,9,30),"OVERDUE","Open")))</f>
        <v/>
      </c>
    </row>
    <row r="302">
      <c r="A302" t="inlineStr">
        <is>
          <t>INSP-2026-0301</t>
        </is>
      </c>
      <c r="B302" s="6" t="n">
        <v>46068</v>
      </c>
      <c r="C302" t="inlineStr">
        <is>
          <t>U-BV256-01-12</t>
        </is>
      </c>
      <c r="D302" t="inlineStr">
        <is>
          <t>Bayshore Vale</t>
        </is>
      </c>
      <c r="E302" t="inlineStr">
        <is>
          <t>M. Lim</t>
        </is>
      </c>
      <c r="F302" t="inlineStr">
        <is>
          <t>Routine</t>
        </is>
      </c>
      <c r="G302" t="inlineStr">
        <is>
          <t>NONE</t>
        </is>
      </c>
      <c r="H302" t="inlineStr">
        <is>
          <t>Compliant</t>
        </is>
      </c>
      <c r="I302" s="6" t="n"/>
      <c r="J302" s="6" t="n"/>
      <c r="K302">
        <f>IF(J302="","",J302-B302)</f>
        <v/>
      </c>
      <c r="L302">
        <f>IF(H302="Compliant","N/A",IF(J302&lt;&gt;"","Closed",IF(I302&lt;DATE(2026,9,30),"OVERDUE","Open")))</f>
        <v/>
      </c>
    </row>
    <row r="303">
      <c r="A303" t="inlineStr">
        <is>
          <t>INSP-2026-0302</t>
        </is>
      </c>
      <c r="B303" s="6" t="n">
        <v>46068</v>
      </c>
      <c r="C303" t="inlineStr">
        <is>
          <t>U-PI601-01-07</t>
        </is>
      </c>
      <c r="D303" t="inlineStr">
        <is>
          <t>Pasir Indah</t>
        </is>
      </c>
      <c r="E303" t="inlineStr">
        <is>
          <t>Daniel Ong</t>
        </is>
      </c>
      <c r="F303" t="inlineStr">
        <is>
          <t>Complaint-driven</t>
        </is>
      </c>
      <c r="G303" t="inlineStr">
        <is>
          <t>NONE</t>
        </is>
      </c>
      <c r="H303" t="inlineStr">
        <is>
          <t>Compliant</t>
        </is>
      </c>
      <c r="I303" s="6" t="n"/>
      <c r="J303" s="6" t="n"/>
      <c r="K303">
        <f>IF(J303="","",J303-B303)</f>
        <v/>
      </c>
      <c r="L303">
        <f>IF(H303="Compliant","N/A",IF(J303&lt;&gt;"","Closed",IF(I303&lt;DATE(2026,9,30),"OVERDUE","Open")))</f>
        <v/>
      </c>
    </row>
    <row r="304">
      <c r="A304" t="inlineStr">
        <is>
          <t>INSP-2026-0303</t>
        </is>
      </c>
      <c r="B304" s="6" t="n">
        <v>46068</v>
      </c>
      <c r="C304" t="inlineStr">
        <is>
          <t>U-PI601-01-08</t>
        </is>
      </c>
      <c r="D304" t="inlineStr">
        <is>
          <t>Pasir Indah</t>
        </is>
      </c>
      <c r="E304" t="inlineStr">
        <is>
          <t>D. Ong</t>
        </is>
      </c>
      <c r="F304" t="inlineStr">
        <is>
          <t>Routine</t>
        </is>
      </c>
      <c r="G304" t="inlineStr">
        <is>
          <t>NONE</t>
        </is>
      </c>
      <c r="H304" t="inlineStr">
        <is>
          <t>Compliant</t>
        </is>
      </c>
      <c r="I304" s="6" t="n"/>
      <c r="J304" s="6" t="n"/>
      <c r="K304">
        <f>IF(J304="","",J304-B304)</f>
        <v/>
      </c>
      <c r="L304">
        <f>IF(H304="Compliant","N/A",IF(J304&lt;&gt;"","Closed",IF(I304&lt;DATE(2026,9,30),"OVERDUE","Open")))</f>
        <v/>
      </c>
    </row>
    <row r="305">
      <c r="A305" t="inlineStr">
        <is>
          <t>INSP-2026-0304</t>
        </is>
      </c>
      <c r="B305" s="6" t="n">
        <v>46069</v>
      </c>
      <c r="C305" t="inlineStr">
        <is>
          <t>U-KR318-01-12</t>
        </is>
      </c>
      <c r="D305" t="inlineStr">
        <is>
          <t>Kebun Raya</t>
        </is>
      </c>
      <c r="E305" t="inlineStr">
        <is>
          <t>D. Ong</t>
        </is>
      </c>
      <c r="F305" t="inlineStr">
        <is>
          <t>Routine</t>
        </is>
      </c>
      <c r="G305" t="inlineStr">
        <is>
          <t>DISPLAY_ENCROACH</t>
        </is>
      </c>
      <c r="H305" t="inlineStr">
        <is>
          <t>Minor Breach</t>
        </is>
      </c>
      <c r="I305" s="6" t="n">
        <v>46083</v>
      </c>
      <c r="J305" s="6" t="n">
        <v>46087</v>
      </c>
      <c r="K305">
        <f>IF(J305="","",J305-B305)</f>
        <v/>
      </c>
      <c r="L305">
        <f>IF(H305="Compliant","N/A",IF(J305&lt;&gt;"","Closed",IF(I305&lt;DATE(2026,9,30),"OVERDUE","Open")))</f>
        <v/>
      </c>
    </row>
    <row r="306">
      <c r="A306" t="inlineStr">
        <is>
          <t>INSP-2026-0305</t>
        </is>
      </c>
      <c r="B306" s="6" t="n">
        <v>46069</v>
      </c>
      <c r="C306" t="inlineStr">
        <is>
          <t>U-CD194-01-05</t>
        </is>
      </c>
      <c r="D306" t="inlineStr">
        <is>
          <t>Cendana</t>
        </is>
      </c>
      <c r="E306" t="inlineStr">
        <is>
          <t>Daniel Ong</t>
        </is>
      </c>
      <c r="F306" t="inlineStr">
        <is>
          <t>Routine</t>
        </is>
      </c>
      <c r="G306" t="inlineStr">
        <is>
          <t>NONE</t>
        </is>
      </c>
      <c r="H306" t="inlineStr">
        <is>
          <t>Compliant</t>
        </is>
      </c>
      <c r="I306" s="6" t="n"/>
      <c r="J306" s="6" t="n"/>
      <c r="K306">
        <f>IF(J306="","",J306-B306)</f>
        <v/>
      </c>
      <c r="L306">
        <f>IF(H306="Compliant","N/A",IF(J306&lt;&gt;"","Closed",IF(I306&lt;DATE(2026,9,30),"OVERDUE","Open")))</f>
        <v/>
      </c>
    </row>
    <row r="307">
      <c r="A307" t="inlineStr">
        <is>
          <t>INSP-2026-0306</t>
        </is>
      </c>
      <c r="B307" s="6" t="n">
        <v>46069</v>
      </c>
      <c r="C307" t="inlineStr">
        <is>
          <t>U-PI648-01-10</t>
        </is>
      </c>
      <c r="D307" t="inlineStr">
        <is>
          <t>Pasir Indah</t>
        </is>
      </c>
      <c r="E307" t="inlineStr">
        <is>
          <t>M. Lim</t>
        </is>
      </c>
      <c r="F307" t="inlineStr">
        <is>
          <t>Complaint-driven</t>
        </is>
      </c>
      <c r="G307" t="inlineStr">
        <is>
          <t>NONE</t>
        </is>
      </c>
      <c r="H307" t="inlineStr">
        <is>
          <t>Compliant</t>
        </is>
      </c>
      <c r="I307" s="6" t="n"/>
      <c r="J307" s="6" t="n"/>
      <c r="K307">
        <f>IF(J307="","",J307-B307)</f>
        <v/>
      </c>
      <c r="L307">
        <f>IF(H307="Compliant","N/A",IF(J307&lt;&gt;"","Closed",IF(I307&lt;DATE(2026,9,30),"OVERDUE","Open")))</f>
        <v/>
      </c>
    </row>
    <row r="308">
      <c r="A308" t="inlineStr">
        <is>
          <t>INSP-2026-0307</t>
        </is>
      </c>
      <c r="B308" s="6" t="n">
        <v>46069</v>
      </c>
      <c r="C308" t="inlineStr">
        <is>
          <t>U-KR310-01-02</t>
        </is>
      </c>
      <c r="D308" t="inlineStr">
        <is>
          <t>Kebun Raya</t>
        </is>
      </c>
      <c r="E308" t="inlineStr">
        <is>
          <t>Ben Ho</t>
        </is>
      </c>
      <c r="F308" t="inlineStr">
        <is>
          <t>Follow-up</t>
        </is>
      </c>
      <c r="G308" t="inlineStr">
        <is>
          <t>NONE</t>
        </is>
      </c>
      <c r="H308" t="inlineStr">
        <is>
          <t>Compliant</t>
        </is>
      </c>
      <c r="I308" s="6" t="n"/>
      <c r="J308" s="6" t="n"/>
      <c r="K308">
        <f>IF(J308="","",J308-B308)</f>
        <v/>
      </c>
      <c r="L308">
        <f>IF(H308="Compliant","N/A",IF(J308&lt;&gt;"","Closed",IF(I308&lt;DATE(2026,9,30),"OVERDUE","Open")))</f>
        <v/>
      </c>
    </row>
    <row r="309">
      <c r="A309" t="inlineStr">
        <is>
          <t>INSP-2026-0308</t>
        </is>
      </c>
      <c r="B309" s="6" t="n">
        <v>46069</v>
      </c>
      <c r="C309" t="inlineStr">
        <is>
          <t>U-KR323-01-07</t>
        </is>
      </c>
      <c r="D309" t="inlineStr">
        <is>
          <t>Kebun Raya</t>
        </is>
      </c>
      <c r="E309" t="inlineStr">
        <is>
          <t>Daniel Ong</t>
        </is>
      </c>
      <c r="F309" t="inlineStr">
        <is>
          <t>Routine</t>
        </is>
      </c>
      <c r="G309" t="inlineStr">
        <is>
          <t>NONE</t>
        </is>
      </c>
      <c r="H309" t="inlineStr">
        <is>
          <t>Compliant</t>
        </is>
      </c>
      <c r="I309" s="6" t="n"/>
      <c r="J309" s="6" t="n"/>
      <c r="K309">
        <f>IF(J309="","",J309-B309)</f>
        <v/>
      </c>
      <c r="L309">
        <f>IF(H309="Compliant","N/A",IF(J309&lt;&gt;"","Closed",IF(I309&lt;DATE(2026,9,30),"OVERDUE","Open")))</f>
        <v/>
      </c>
    </row>
    <row r="310">
      <c r="A310" t="inlineStr">
        <is>
          <t>INSP-2026-0309</t>
        </is>
      </c>
      <c r="B310" s="6" t="n">
        <v>46069</v>
      </c>
      <c r="C310" t="inlineStr">
        <is>
          <t>U-PI644-01-03</t>
        </is>
      </c>
      <c r="D310" t="inlineStr">
        <is>
          <t>Pasir Indah</t>
        </is>
      </c>
      <c r="E310" t="inlineStr">
        <is>
          <t>Daniel Ong</t>
        </is>
      </c>
      <c r="F310" t="inlineStr">
        <is>
          <t>Follow-up</t>
        </is>
      </c>
      <c r="G310" t="inlineStr">
        <is>
          <t>NONE</t>
        </is>
      </c>
      <c r="H310" t="inlineStr">
        <is>
          <t>Compliant</t>
        </is>
      </c>
      <c r="I310" s="6" t="n"/>
      <c r="J310" s="6" t="n"/>
      <c r="K310">
        <f>IF(J310="","",J310-B310)</f>
        <v/>
      </c>
      <c r="L310">
        <f>IF(H310="Compliant","N/A",IF(J310&lt;&gt;"","Closed",IF(I310&lt;DATE(2026,9,30),"OVERDUE","Open")))</f>
        <v/>
      </c>
    </row>
    <row r="311">
      <c r="A311" t="inlineStr">
        <is>
          <t>INSP-2026-0310</t>
        </is>
      </c>
      <c r="B311" s="6" t="n">
        <v>46069</v>
      </c>
      <c r="C311" t="inlineStr">
        <is>
          <t>U-CD173-01-03</t>
        </is>
      </c>
      <c r="D311" t="inlineStr">
        <is>
          <t>Cendana</t>
        </is>
      </c>
      <c r="E311" t="inlineStr">
        <is>
          <t>Marcus Lim</t>
        </is>
      </c>
      <c r="F311" t="inlineStr">
        <is>
          <t>Routine</t>
        </is>
      </c>
      <c r="G311" t="inlineStr">
        <is>
          <t>UNAUTH_SUBLET</t>
        </is>
      </c>
      <c r="H311" t="inlineStr">
        <is>
          <t>Major Breach</t>
        </is>
      </c>
      <c r="I311" s="6" t="n">
        <v>46076</v>
      </c>
      <c r="J311" s="6" t="n">
        <v>46080</v>
      </c>
      <c r="K311">
        <f>IF(J311="","",J311-B311)</f>
        <v/>
      </c>
      <c r="L311">
        <f>IF(H311="Compliant","N/A",IF(J311&lt;&gt;"","Closed",IF(I311&lt;DATE(2026,9,30),"OVERDUE","Open")))</f>
        <v/>
      </c>
    </row>
    <row r="312">
      <c r="A312" t="inlineStr">
        <is>
          <t>INSP-2026-0311</t>
        </is>
      </c>
      <c r="B312" s="6" t="n">
        <v>46069</v>
      </c>
      <c r="C312" t="inlineStr">
        <is>
          <t>U-ST566-01-10</t>
        </is>
      </c>
      <c r="D312" t="inlineStr">
        <is>
          <t>Sungai Tinggi</t>
        </is>
      </c>
      <c r="E312" t="inlineStr">
        <is>
          <t>Ben Ho</t>
        </is>
      </c>
      <c r="F312" t="inlineStr">
        <is>
          <t>Routine</t>
        </is>
      </c>
      <c r="G312" t="inlineStr">
        <is>
          <t>UNAUTH_SUBLET</t>
        </is>
      </c>
      <c r="H312" t="inlineStr">
        <is>
          <t>Major Breach</t>
        </is>
      </c>
      <c r="I312" s="6" t="n">
        <v>46076</v>
      </c>
      <c r="J312" s="6" t="n">
        <v>46071</v>
      </c>
      <c r="K312">
        <f>IF(J312="","",J312-B312)</f>
        <v/>
      </c>
      <c r="L312">
        <f>IF(H312="Compliant","N/A",IF(J312&lt;&gt;"","Closed",IF(I312&lt;DATE(2026,9,30),"OVERDUE","Open")))</f>
        <v/>
      </c>
    </row>
    <row r="313">
      <c r="A313" t="inlineStr">
        <is>
          <t>INSP-2026-0312</t>
        </is>
      </c>
      <c r="B313" s="6" t="n">
        <v>46070</v>
      </c>
      <c r="C313" t="inlineStr">
        <is>
          <t>U-PI684-01-06</t>
        </is>
      </c>
      <c r="D313" t="inlineStr">
        <is>
          <t>Pasir Indah</t>
        </is>
      </c>
      <c r="E313" t="inlineStr">
        <is>
          <t>Daniel Ong</t>
        </is>
      </c>
      <c r="F313" t="inlineStr">
        <is>
          <t>Routine</t>
        </is>
      </c>
      <c r="G313" t="inlineStr">
        <is>
          <t>NONE</t>
        </is>
      </c>
      <c r="H313" t="inlineStr">
        <is>
          <t>Compliant</t>
        </is>
      </c>
      <c r="I313" s="6" t="n"/>
      <c r="J313" s="6" t="n"/>
      <c r="K313">
        <f>IF(J313="","",J313-B313)</f>
        <v/>
      </c>
      <c r="L313">
        <f>IF(H313="Compliant","N/A",IF(J313&lt;&gt;"","Closed",IF(I313&lt;DATE(2026,9,30),"OVERDUE","Open")))</f>
        <v/>
      </c>
    </row>
    <row r="314">
      <c r="A314" t="inlineStr">
        <is>
          <t>INSP-2026-0313</t>
        </is>
      </c>
      <c r="B314" s="6" t="n">
        <v>46070</v>
      </c>
      <c r="C314" t="inlineStr">
        <is>
          <t>U-ST518-01-06</t>
        </is>
      </c>
      <c r="D314" t="inlineStr">
        <is>
          <t>Sungai Tinggi</t>
        </is>
      </c>
      <c r="E314" t="inlineStr">
        <is>
          <t>B. Ho</t>
        </is>
      </c>
      <c r="F314" t="inlineStr">
        <is>
          <t>Routine</t>
        </is>
      </c>
      <c r="G314" t="inlineStr">
        <is>
          <t>NONE</t>
        </is>
      </c>
      <c r="H314" t="inlineStr">
        <is>
          <t>Compliant</t>
        </is>
      </c>
      <c r="I314" s="6" t="n"/>
      <c r="J314" s="6" t="n"/>
      <c r="K314">
        <f>IF(J314="","",J314-B314)</f>
        <v/>
      </c>
      <c r="L314">
        <f>IF(H314="Compliant","N/A",IF(J314&lt;&gt;"","Closed",IF(I314&lt;DATE(2026,9,30),"OVERDUE","Open")))</f>
        <v/>
      </c>
    </row>
    <row r="315">
      <c r="A315" t="inlineStr">
        <is>
          <t>INSP-2026-0314</t>
        </is>
      </c>
      <c r="B315" s="6" t="n">
        <v>46070</v>
      </c>
      <c r="C315" t="inlineStr">
        <is>
          <t>U-PI626-01-09</t>
        </is>
      </c>
      <c r="D315" t="inlineStr">
        <is>
          <t>Pasir Indah</t>
        </is>
      </c>
      <c r="E315" t="inlineStr">
        <is>
          <t>daniel ong</t>
        </is>
      </c>
      <c r="F315" t="inlineStr">
        <is>
          <t>Routine</t>
        </is>
      </c>
      <c r="G315" t="inlineStr">
        <is>
          <t>DISPLAY_ENCROACH</t>
        </is>
      </c>
      <c r="H315" t="inlineStr">
        <is>
          <t>Minor Breach</t>
        </is>
      </c>
      <c r="I315" s="6" t="n">
        <v>46084</v>
      </c>
      <c r="J315" s="6" t="n">
        <v>46085</v>
      </c>
      <c r="K315">
        <f>IF(J315="","",J315-B315)</f>
        <v/>
      </c>
      <c r="L315">
        <f>IF(H315="Compliant","N/A",IF(J315&lt;&gt;"","Closed",IF(I315&lt;DATE(2026,9,30),"OVERDUE","Open")))</f>
        <v/>
      </c>
    </row>
    <row r="316">
      <c r="A316" t="inlineStr">
        <is>
          <t>INSP-2026-0315</t>
        </is>
      </c>
      <c r="B316" s="6" t="n">
        <v>46070</v>
      </c>
      <c r="C316" t="inlineStr">
        <is>
          <t>U-BV233-01-08</t>
        </is>
      </c>
      <c r="D316" t="inlineStr">
        <is>
          <t>Bayshore Vale</t>
        </is>
      </c>
      <c r="E316" t="inlineStr">
        <is>
          <t>M. Lim</t>
        </is>
      </c>
      <c r="F316" t="inlineStr">
        <is>
          <t>Routine</t>
        </is>
      </c>
      <c r="G316" t="inlineStr">
        <is>
          <t>NONE</t>
        </is>
      </c>
      <c r="H316" t="inlineStr">
        <is>
          <t>Compliant</t>
        </is>
      </c>
      <c r="I316" s="6" t="n"/>
      <c r="J316" s="6" t="n"/>
      <c r="K316">
        <f>IF(J316="","",J316-B316)</f>
        <v/>
      </c>
      <c r="L316">
        <f>IF(H316="Compliant","N/A",IF(J316&lt;&gt;"","Closed",IF(I316&lt;DATE(2026,9,30),"OVERDUE","Open")))</f>
        <v/>
      </c>
    </row>
    <row r="317">
      <c r="A317" t="inlineStr">
        <is>
          <t>INSP-2026-0316</t>
        </is>
      </c>
      <c r="B317" s="6" t="n">
        <v>46070</v>
      </c>
      <c r="C317" t="inlineStr">
        <is>
          <t>U-BV279-01-01</t>
        </is>
      </c>
      <c r="D317" t="inlineStr">
        <is>
          <t>Bayshore Vale</t>
        </is>
      </c>
      <c r="E317" t="inlineStr">
        <is>
          <t>daniel ong</t>
        </is>
      </c>
      <c r="F317" t="inlineStr">
        <is>
          <t>Routine</t>
        </is>
      </c>
      <c r="G317" t="inlineStr">
        <is>
          <t>NONE</t>
        </is>
      </c>
      <c r="H317" t="inlineStr">
        <is>
          <t>Compliant</t>
        </is>
      </c>
      <c r="I317" s="6" t="n"/>
      <c r="J317" s="6" t="n"/>
      <c r="K317">
        <f>IF(J317="","",J317-B317)</f>
        <v/>
      </c>
      <c r="L317">
        <f>IF(H317="Compliant","N/A",IF(J317&lt;&gt;"","Closed",IF(I317&lt;DATE(2026,9,30),"OVERDUE","Open")))</f>
        <v/>
      </c>
    </row>
    <row r="318">
      <c r="A318" t="inlineStr">
        <is>
          <t>INSP-2026-0317</t>
        </is>
      </c>
      <c r="B318" s="6" t="n">
        <v>46071</v>
      </c>
      <c r="C318" t="inlineStr">
        <is>
          <t>U-BV233-01-13</t>
        </is>
      </c>
      <c r="D318" t="inlineStr">
        <is>
          <t>Bayshore Vale</t>
        </is>
      </c>
      <c r="E318" t="inlineStr">
        <is>
          <t>marcus</t>
        </is>
      </c>
      <c r="F318" t="inlineStr">
        <is>
          <t>Routine</t>
        </is>
      </c>
      <c r="G318" t="inlineStr">
        <is>
          <t>NONE</t>
        </is>
      </c>
      <c r="H318" t="inlineStr">
        <is>
          <t>Compliant</t>
        </is>
      </c>
      <c r="I318" s="6" t="n"/>
      <c r="J318" s="6" t="n"/>
      <c r="K318">
        <f>IF(J318="","",J318-B318)</f>
        <v/>
      </c>
      <c r="L318">
        <f>IF(H318="Compliant","N/A",IF(J318&lt;&gt;"","Closed",IF(I318&lt;DATE(2026,9,30),"OVERDUE","Open")))</f>
        <v/>
      </c>
    </row>
    <row r="319">
      <c r="A319" t="inlineStr">
        <is>
          <t>INSP-2026-0318</t>
        </is>
      </c>
      <c r="B319" s="6" t="n">
        <v>46071</v>
      </c>
      <c r="C319" t="inlineStr">
        <is>
          <t>U-ST513-01-03</t>
        </is>
      </c>
      <c r="D319" t="inlineStr">
        <is>
          <t>Sungai Tinggi</t>
        </is>
      </c>
      <c r="E319" t="inlineStr">
        <is>
          <t>D. Ong</t>
        </is>
      </c>
      <c r="F319" t="inlineStr">
        <is>
          <t>Routine</t>
        </is>
      </c>
      <c r="G319" t="inlineStr">
        <is>
          <t>NONE</t>
        </is>
      </c>
      <c r="H319" t="inlineStr">
        <is>
          <t>Compliant</t>
        </is>
      </c>
      <c r="I319" s="6" t="n"/>
      <c r="J319" s="6" t="n"/>
      <c r="K319">
        <f>IF(J319="","",J319-B319)</f>
        <v/>
      </c>
      <c r="L319">
        <f>IF(H319="Compliant","N/A",IF(J319&lt;&gt;"","Closed",IF(I319&lt;DATE(2026,9,30),"OVERDUE","Open")))</f>
        <v/>
      </c>
    </row>
    <row r="320">
      <c r="A320" t="inlineStr">
        <is>
          <t>INSP-2026-0319</t>
        </is>
      </c>
      <c r="B320" s="6" t="n">
        <v>46071</v>
      </c>
      <c r="C320" t="inlineStr">
        <is>
          <t>U-BV205-01-01</t>
        </is>
      </c>
      <c r="D320" t="inlineStr">
        <is>
          <t>Bayshore Vale</t>
        </is>
      </c>
      <c r="E320" t="inlineStr">
        <is>
          <t>marcus</t>
        </is>
      </c>
      <c r="F320" t="inlineStr">
        <is>
          <t>Routine</t>
        </is>
      </c>
      <c r="G320" t="inlineStr">
        <is>
          <t>NONE</t>
        </is>
      </c>
      <c r="H320" t="inlineStr">
        <is>
          <t>Compliant</t>
        </is>
      </c>
      <c r="I320" s="6" t="n"/>
      <c r="J320" s="6" t="n"/>
      <c r="K320">
        <f>IF(J320="","",J320-B320)</f>
        <v/>
      </c>
      <c r="L320">
        <f>IF(H320="Compliant","N/A",IF(J320&lt;&gt;"","Closed",IF(I320&lt;DATE(2026,9,30),"OVERDUE","Open")))</f>
        <v/>
      </c>
    </row>
    <row r="321">
      <c r="A321" t="inlineStr">
        <is>
          <t>INSP-2026-0320</t>
        </is>
      </c>
      <c r="B321" s="6" t="n">
        <v>46071</v>
      </c>
      <c r="C321" t="inlineStr">
        <is>
          <t>U-BV216-01-05</t>
        </is>
      </c>
      <c r="D321" t="inlineStr">
        <is>
          <t>Bayshore Vale</t>
        </is>
      </c>
      <c r="E321" t="inlineStr">
        <is>
          <t>D. Ong</t>
        </is>
      </c>
      <c r="F321" t="inlineStr">
        <is>
          <t>Complaint-driven</t>
        </is>
      </c>
      <c r="G321" t="inlineStr">
        <is>
          <t>NONE</t>
        </is>
      </c>
      <c r="H321" t="inlineStr">
        <is>
          <t>Compliant</t>
        </is>
      </c>
      <c r="I321" s="6" t="n"/>
      <c r="J321" s="6" t="n"/>
      <c r="K321">
        <f>IF(J321="","",J321-B321)</f>
        <v/>
      </c>
      <c r="L321">
        <f>IF(H321="Compliant","N/A",IF(J321&lt;&gt;"","Closed",IF(I321&lt;DATE(2026,9,30),"OVERDUE","Open")))</f>
        <v/>
      </c>
    </row>
    <row r="322">
      <c r="A322" t="inlineStr">
        <is>
          <t>INSP-2026-0321</t>
        </is>
      </c>
      <c r="B322" s="6" t="n">
        <v>46071</v>
      </c>
      <c r="C322" t="inlineStr">
        <is>
          <t>U-BV271-01-04</t>
        </is>
      </c>
      <c r="D322" t="inlineStr">
        <is>
          <t>Bayshore Vale</t>
        </is>
      </c>
      <c r="E322" t="inlineStr">
        <is>
          <t>Daniel Ong</t>
        </is>
      </c>
      <c r="F322" t="inlineStr">
        <is>
          <t>Routine</t>
        </is>
      </c>
      <c r="G322" t="inlineStr">
        <is>
          <t>NONE</t>
        </is>
      </c>
      <c r="H322" t="inlineStr">
        <is>
          <t>Compliant</t>
        </is>
      </c>
      <c r="I322" s="6" t="n"/>
      <c r="J322" s="6" t="n"/>
      <c r="K322">
        <f>IF(J322="","",J322-B322)</f>
        <v/>
      </c>
      <c r="L322">
        <f>IF(H322="Compliant","N/A",IF(J322&lt;&gt;"","Closed",IF(I322&lt;DATE(2026,9,30),"OVERDUE","Open")))</f>
        <v/>
      </c>
    </row>
    <row r="323">
      <c r="A323" t="inlineStr">
        <is>
          <t>INSP-2026-0322</t>
        </is>
      </c>
      <c r="B323" s="6" t="n">
        <v>46071</v>
      </c>
      <c r="C323" t="inlineStr">
        <is>
          <t>U-RH420-01-06</t>
        </is>
      </c>
      <c r="D323" t="inlineStr">
        <is>
          <t>Rimba Heights</t>
        </is>
      </c>
      <c r="E323" t="inlineStr">
        <is>
          <t>Ben Ho</t>
        </is>
      </c>
      <c r="F323" t="inlineStr">
        <is>
          <t>Routine</t>
        </is>
      </c>
      <c r="G323" t="inlineStr">
        <is>
          <t>NONE</t>
        </is>
      </c>
      <c r="H323" t="inlineStr">
        <is>
          <t>Compliant</t>
        </is>
      </c>
      <c r="I323" s="6" t="n"/>
      <c r="J323" s="6" t="n"/>
      <c r="K323">
        <f>IF(J323="","",J323-B323)</f>
        <v/>
      </c>
      <c r="L323">
        <f>IF(H323="Compliant","N/A",IF(J323&lt;&gt;"","Closed",IF(I323&lt;DATE(2026,9,30),"OVERDUE","Open")))</f>
        <v/>
      </c>
    </row>
    <row r="324">
      <c r="A324" t="inlineStr">
        <is>
          <t>INSP-2026-0323</t>
        </is>
      </c>
      <c r="B324" s="6" t="n">
        <v>46072</v>
      </c>
      <c r="C324" t="inlineStr">
        <is>
          <t>U-KR353-01-05</t>
        </is>
      </c>
      <c r="D324" t="inlineStr">
        <is>
          <t>Kebun Raya</t>
        </is>
      </c>
      <c r="E324" t="inlineStr">
        <is>
          <t>Daniel Ong</t>
        </is>
      </c>
      <c r="F324" t="inlineStr">
        <is>
          <t>Routine</t>
        </is>
      </c>
      <c r="G324" t="inlineStr">
        <is>
          <t>DISPLAY_ENCROACH</t>
        </is>
      </c>
      <c r="H324" t="inlineStr">
        <is>
          <t>Minor Breach</t>
        </is>
      </c>
      <c r="I324" s="6" t="n">
        <v>46086</v>
      </c>
      <c r="J324" s="6" t="n"/>
      <c r="K324">
        <f>IF(J324="","",J324-B324)</f>
        <v/>
      </c>
      <c r="L324">
        <f>IF(H324="Compliant","N/A",IF(J324&lt;&gt;"","Closed",IF(I324&lt;DATE(2026,9,30),"OVERDUE","Open")))</f>
        <v/>
      </c>
    </row>
    <row r="325">
      <c r="A325" t="inlineStr">
        <is>
          <t>INSP-2026-0324</t>
        </is>
      </c>
      <c r="B325" s="6" t="n">
        <v>46072</v>
      </c>
      <c r="C325" t="inlineStr">
        <is>
          <t>U-PI642-01-14</t>
        </is>
      </c>
      <c r="D325" t="inlineStr">
        <is>
          <t>Pasir Indah</t>
        </is>
      </c>
      <c r="E325" t="inlineStr">
        <is>
          <t>M. Lim</t>
        </is>
      </c>
      <c r="F325" t="inlineStr">
        <is>
          <t>Routine</t>
        </is>
      </c>
      <c r="G325" t="inlineStr">
        <is>
          <t>FIRE_SAFETY</t>
        </is>
      </c>
      <c r="H325" t="inlineStr">
        <is>
          <t>Major Breach</t>
        </is>
      </c>
      <c r="I325" s="6" t="n">
        <v>46079</v>
      </c>
      <c r="J325" s="6" t="n"/>
      <c r="K325">
        <f>IF(J325="","",J325-B325)</f>
        <v/>
      </c>
      <c r="L325">
        <f>IF(H325="Compliant","N/A",IF(J325&lt;&gt;"","Closed",IF(I325&lt;DATE(2026,9,30),"OVERDUE","Open")))</f>
        <v/>
      </c>
    </row>
    <row r="326">
      <c r="A326" t="inlineStr">
        <is>
          <t>INSP-2026-0325</t>
        </is>
      </c>
      <c r="B326" s="6" t="n">
        <v>46072</v>
      </c>
      <c r="C326" t="inlineStr">
        <is>
          <t>U-ST512-01-23</t>
        </is>
      </c>
      <c r="D326" t="inlineStr">
        <is>
          <t>Sungai Tinggi</t>
        </is>
      </c>
      <c r="E326" t="inlineStr">
        <is>
          <t>Daniel Ong</t>
        </is>
      </c>
      <c r="F326" t="inlineStr">
        <is>
          <t>Follow-up</t>
        </is>
      </c>
      <c r="G326" t="inlineStr">
        <is>
          <t>NONE</t>
        </is>
      </c>
      <c r="H326" t="inlineStr">
        <is>
          <t>Compliant</t>
        </is>
      </c>
      <c r="I326" s="6" t="n"/>
      <c r="J326" s="6" t="n"/>
      <c r="K326">
        <f>IF(J326="","",J326-B326)</f>
        <v/>
      </c>
      <c r="L326">
        <f>IF(H326="Compliant","N/A",IF(J326&lt;&gt;"","Closed",IF(I326&lt;DATE(2026,9,30),"OVERDUE","Open")))</f>
        <v/>
      </c>
    </row>
    <row r="327">
      <c r="A327" t="inlineStr">
        <is>
          <t>INSP-2026-0326</t>
        </is>
      </c>
      <c r="B327" s="6" t="n">
        <v>46072</v>
      </c>
      <c r="C327" t="inlineStr">
        <is>
          <t>U-PI696-01-03</t>
        </is>
      </c>
      <c r="D327" t="inlineStr">
        <is>
          <t>Pasir Indah</t>
        </is>
      </c>
      <c r="E327" t="inlineStr">
        <is>
          <t>marcus</t>
        </is>
      </c>
      <c r="F327" t="inlineStr">
        <is>
          <t>Routine</t>
        </is>
      </c>
      <c r="G327" t="inlineStr">
        <is>
          <t>NONE</t>
        </is>
      </c>
      <c r="H327" t="inlineStr">
        <is>
          <t>Compliant</t>
        </is>
      </c>
      <c r="I327" s="6" t="n"/>
      <c r="J327" s="6" t="n"/>
      <c r="K327">
        <f>IF(J327="","",J327-B327)</f>
        <v/>
      </c>
      <c r="L327">
        <f>IF(H327="Compliant","N/A",IF(J327&lt;&gt;"","Closed",IF(I327&lt;DATE(2026,9,30),"OVERDUE","Open")))</f>
        <v/>
      </c>
    </row>
    <row r="328">
      <c r="A328" t="inlineStr">
        <is>
          <t>INSP-2026-0327</t>
        </is>
      </c>
      <c r="B328" s="6" t="n">
        <v>46072</v>
      </c>
      <c r="C328" t="inlineStr">
        <is>
          <t>U-PI627-01-29</t>
        </is>
      </c>
      <c r="D328" t="inlineStr">
        <is>
          <t>Pasir Indah</t>
        </is>
      </c>
      <c r="E328" t="inlineStr">
        <is>
          <t>D. Ong</t>
        </is>
      </c>
      <c r="F328" t="inlineStr">
        <is>
          <t>Routine</t>
        </is>
      </c>
      <c r="G328" t="inlineStr">
        <is>
          <t>NONE</t>
        </is>
      </c>
      <c r="H328" t="inlineStr">
        <is>
          <t>Compliant</t>
        </is>
      </c>
      <c r="I328" s="6" t="n"/>
      <c r="J328" s="6" t="n"/>
      <c r="K328">
        <f>IF(J328="","",J328-B328)</f>
        <v/>
      </c>
      <c r="L328">
        <f>IF(H328="Compliant","N/A",IF(J328&lt;&gt;"","Closed",IF(I328&lt;DATE(2026,9,30),"OVERDUE","Open")))</f>
        <v/>
      </c>
    </row>
    <row r="329">
      <c r="A329" t="inlineStr">
        <is>
          <t>INSP-2026-0328</t>
        </is>
      </c>
      <c r="B329" s="6" t="n">
        <v>46072</v>
      </c>
      <c r="C329" t="inlineStr">
        <is>
          <t>U-ST596-02-08</t>
        </is>
      </c>
      <c r="D329" t="inlineStr">
        <is>
          <t>Sungai Tinggi</t>
        </is>
      </c>
      <c r="E329" t="inlineStr">
        <is>
          <t>Daniel Ong</t>
        </is>
      </c>
      <c r="F329" t="inlineStr">
        <is>
          <t>Routine</t>
        </is>
      </c>
      <c r="G329" t="inlineStr">
        <is>
          <t>NONE</t>
        </is>
      </c>
      <c r="H329" t="inlineStr">
        <is>
          <t>Compliant</t>
        </is>
      </c>
      <c r="I329" s="6" t="n"/>
      <c r="J329" s="6" t="n"/>
      <c r="K329">
        <f>IF(J329="","",J329-B329)</f>
        <v/>
      </c>
      <c r="L329">
        <f>IF(H329="Compliant","N/A",IF(J329&lt;&gt;"","Closed",IF(I329&lt;DATE(2026,9,30),"OVERDUE","Open")))</f>
        <v/>
      </c>
    </row>
    <row r="330">
      <c r="A330" t="inlineStr">
        <is>
          <t>INSP-2026-0329</t>
        </is>
      </c>
      <c r="B330" s="6" t="n">
        <v>46073</v>
      </c>
      <c r="C330" t="inlineStr">
        <is>
          <t>U-RH476-01-02</t>
        </is>
      </c>
      <c r="D330" t="inlineStr">
        <is>
          <t>Rimba Heights</t>
        </is>
      </c>
      <c r="E330" t="inlineStr">
        <is>
          <t>Daniel Ong</t>
        </is>
      </c>
      <c r="F330" t="inlineStr">
        <is>
          <t>Routine</t>
        </is>
      </c>
      <c r="G330" t="inlineStr">
        <is>
          <t>NONE</t>
        </is>
      </c>
      <c r="H330" t="inlineStr">
        <is>
          <t>Compliant</t>
        </is>
      </c>
      <c r="I330" s="6" t="n"/>
      <c r="J330" s="6" t="n"/>
      <c r="K330">
        <f>IF(J330="","",J330-B330)</f>
        <v/>
      </c>
      <c r="L330">
        <f>IF(H330="Compliant","N/A",IF(J330&lt;&gt;"","Closed",IF(I330&lt;DATE(2026,9,30),"OVERDUE","Open")))</f>
        <v/>
      </c>
    </row>
    <row r="331">
      <c r="A331" t="inlineStr">
        <is>
          <t>INSP-2026-0330</t>
        </is>
      </c>
      <c r="B331" s="6" t="n">
        <v>46073</v>
      </c>
      <c r="C331" t="inlineStr">
        <is>
          <t>U-ST538-01-07</t>
        </is>
      </c>
      <c r="D331" t="inlineStr">
        <is>
          <t>Sungai Tinggi</t>
        </is>
      </c>
      <c r="E331" t="inlineStr">
        <is>
          <t>daniel ong</t>
        </is>
      </c>
      <c r="F331" t="inlineStr">
        <is>
          <t>Routine</t>
        </is>
      </c>
      <c r="G331" t="inlineStr">
        <is>
          <t>FIRE_SAFETY</t>
        </is>
      </c>
      <c r="H331" t="inlineStr">
        <is>
          <t>Major Breach</t>
        </is>
      </c>
      <c r="I331" s="6" t="n">
        <v>46080</v>
      </c>
      <c r="J331" s="6" t="n">
        <v>46083</v>
      </c>
      <c r="K331">
        <f>IF(J331="","",J331-B331)</f>
        <v/>
      </c>
      <c r="L331">
        <f>IF(H331="Compliant","N/A",IF(J331&lt;&gt;"","Closed",IF(I331&lt;DATE(2026,9,30),"OVERDUE","Open")))</f>
        <v/>
      </c>
    </row>
    <row r="332">
      <c r="A332" t="inlineStr">
        <is>
          <t>INSP-2026-0331</t>
        </is>
      </c>
      <c r="B332" s="6" t="n">
        <v>46073</v>
      </c>
      <c r="C332" t="inlineStr">
        <is>
          <t>U-PI668-01-05</t>
        </is>
      </c>
      <c r="D332" t="inlineStr">
        <is>
          <t>Pasir Indah</t>
        </is>
      </c>
      <c r="E332" t="inlineStr">
        <is>
          <t>D. Ong</t>
        </is>
      </c>
      <c r="F332" t="inlineStr">
        <is>
          <t>Routine</t>
        </is>
      </c>
      <c r="G332" t="inlineStr">
        <is>
          <t>NONE</t>
        </is>
      </c>
      <c r="H332" t="inlineStr">
        <is>
          <t>Compliant</t>
        </is>
      </c>
      <c r="I332" s="6" t="n"/>
      <c r="J332" s="6" t="n"/>
      <c r="K332">
        <f>IF(J332="","",J332-B332)</f>
        <v/>
      </c>
      <c r="L332">
        <f>IF(H332="Compliant","N/A",IF(J332&lt;&gt;"","Closed",IF(I332&lt;DATE(2026,9,30),"OVERDUE","Open")))</f>
        <v/>
      </c>
    </row>
    <row r="333">
      <c r="A333" t="inlineStr">
        <is>
          <t>INSP-2026-0332</t>
        </is>
      </c>
      <c r="B333" s="6" t="n">
        <v>46074</v>
      </c>
      <c r="C333" t="inlineStr">
        <is>
          <t>U-KR359-01-12</t>
        </is>
      </c>
      <c r="D333" t="inlineStr">
        <is>
          <t>Kebun Raya</t>
        </is>
      </c>
      <c r="E333" t="inlineStr">
        <is>
          <t>daniel ong</t>
        </is>
      </c>
      <c r="F333" t="inlineStr">
        <is>
          <t>Complaint-driven</t>
        </is>
      </c>
      <c r="G333" t="inlineStr">
        <is>
          <t>NONE</t>
        </is>
      </c>
      <c r="H333" t="inlineStr">
        <is>
          <t>Compliant</t>
        </is>
      </c>
      <c r="I333" s="6" t="n"/>
      <c r="J333" s="6" t="n"/>
      <c r="K333">
        <f>IF(J333="","",J333-B333)</f>
        <v/>
      </c>
      <c r="L333">
        <f>IF(H333="Compliant","N/A",IF(J333&lt;&gt;"","Closed",IF(I333&lt;DATE(2026,9,30),"OVERDUE","Open")))</f>
        <v/>
      </c>
    </row>
    <row r="334">
      <c r="A334" t="inlineStr">
        <is>
          <t>INSP-2026-0333</t>
        </is>
      </c>
      <c r="B334" s="6" t="n">
        <v>46074</v>
      </c>
      <c r="C334" t="inlineStr">
        <is>
          <t>U-CD118-01-23</t>
        </is>
      </c>
      <c r="D334" t="inlineStr">
        <is>
          <t>Cendana</t>
        </is>
      </c>
      <c r="E334" t="inlineStr">
        <is>
          <t>D. Ong</t>
        </is>
      </c>
      <c r="F334" t="inlineStr">
        <is>
          <t>Routine</t>
        </is>
      </c>
      <c r="G334" t="inlineStr">
        <is>
          <t>NONE</t>
        </is>
      </c>
      <c r="H334" t="inlineStr">
        <is>
          <t>Compliant</t>
        </is>
      </c>
      <c r="I334" s="6" t="n"/>
      <c r="J334" s="6" t="n"/>
      <c r="K334">
        <f>IF(J334="","",J334-B334)</f>
        <v/>
      </c>
      <c r="L334">
        <f>IF(H334="Compliant","N/A",IF(J334&lt;&gt;"","Closed",IF(I334&lt;DATE(2026,9,30),"OVERDUE","Open")))</f>
        <v/>
      </c>
    </row>
    <row r="335">
      <c r="A335" t="inlineStr">
        <is>
          <t>INSP-2026-0334</t>
        </is>
      </c>
      <c r="B335" s="6" t="n">
        <v>46075</v>
      </c>
      <c r="C335" t="inlineStr">
        <is>
          <t>U-KR305-01-33</t>
        </is>
      </c>
      <c r="D335" t="inlineStr">
        <is>
          <t>Kebun Raya</t>
        </is>
      </c>
      <c r="E335" t="inlineStr">
        <is>
          <t>Benjamin Ho</t>
        </is>
      </c>
      <c r="F335" t="inlineStr">
        <is>
          <t>Routine</t>
        </is>
      </c>
      <c r="G335" t="inlineStr">
        <is>
          <t>NONE</t>
        </is>
      </c>
      <c r="H335" t="inlineStr">
        <is>
          <t>Compliant</t>
        </is>
      </c>
      <c r="I335" s="6" t="n"/>
      <c r="J335" s="6" t="n"/>
      <c r="K335">
        <f>IF(J335="","",J335-B335)</f>
        <v/>
      </c>
      <c r="L335">
        <f>IF(H335="Compliant","N/A",IF(J335&lt;&gt;"","Closed",IF(I335&lt;DATE(2026,9,30),"OVERDUE","Open")))</f>
        <v/>
      </c>
    </row>
    <row r="336">
      <c r="A336" t="inlineStr">
        <is>
          <t>INSP-2026-0335</t>
        </is>
      </c>
      <c r="B336" s="6" t="n">
        <v>46075</v>
      </c>
      <c r="C336" t="inlineStr">
        <is>
          <t>U-PI605-01-01</t>
        </is>
      </c>
      <c r="D336" t="inlineStr">
        <is>
          <t>Pasir Indah</t>
        </is>
      </c>
      <c r="E336" t="inlineStr">
        <is>
          <t>Daniel Ong</t>
        </is>
      </c>
      <c r="F336" t="inlineStr">
        <is>
          <t>Routine</t>
        </is>
      </c>
      <c r="G336" t="inlineStr">
        <is>
          <t>UNAPPROVED_AA</t>
        </is>
      </c>
      <c r="H336" t="inlineStr">
        <is>
          <t>Minor Breach</t>
        </is>
      </c>
      <c r="I336" s="6" t="n">
        <v>46089</v>
      </c>
      <c r="J336" s="6" t="n"/>
      <c r="K336">
        <f>IF(J336="","",J336-B336)</f>
        <v/>
      </c>
      <c r="L336">
        <f>IF(H336="Compliant","N/A",IF(J336&lt;&gt;"","Closed",IF(I336&lt;DATE(2026,9,30),"OVERDUE","Open")))</f>
        <v/>
      </c>
    </row>
    <row r="337">
      <c r="A337" t="inlineStr">
        <is>
          <t>INSP-2026-0336</t>
        </is>
      </c>
      <c r="B337" s="6" t="n">
        <v>46075</v>
      </c>
      <c r="C337" t="inlineStr">
        <is>
          <t>U-KR305-01-22</t>
        </is>
      </c>
      <c r="D337" t="inlineStr">
        <is>
          <t>Kebun Raya</t>
        </is>
      </c>
      <c r="E337" t="inlineStr">
        <is>
          <t>Daniel O.</t>
        </is>
      </c>
      <c r="F337" t="inlineStr">
        <is>
          <t>Routine</t>
        </is>
      </c>
      <c r="G337" t="inlineStr">
        <is>
          <t>HYGIENE</t>
        </is>
      </c>
      <c r="H337" t="inlineStr">
        <is>
          <t>Minor Breach</t>
        </is>
      </c>
      <c r="I337" s="6" t="n">
        <v>46089</v>
      </c>
      <c r="J337" s="6" t="n">
        <v>46094</v>
      </c>
      <c r="K337">
        <f>IF(J337="","",J337-B337)</f>
        <v/>
      </c>
      <c r="L337">
        <f>IF(H337="Compliant","N/A",IF(J337&lt;&gt;"","Closed",IF(I337&lt;DATE(2026,9,30),"OVERDUE","Open")))</f>
        <v/>
      </c>
    </row>
    <row r="338">
      <c r="A338" t="inlineStr">
        <is>
          <t>INSP-2026-0337</t>
        </is>
      </c>
      <c r="B338" s="6" t="n">
        <v>46075</v>
      </c>
      <c r="C338" t="inlineStr">
        <is>
          <t>U-CD133-01-02</t>
        </is>
      </c>
      <c r="D338" t="inlineStr">
        <is>
          <t>Cendana</t>
        </is>
      </c>
      <c r="E338" t="inlineStr">
        <is>
          <t>daniel ong</t>
        </is>
      </c>
      <c r="F338" t="inlineStr">
        <is>
          <t>Complaint-driven</t>
        </is>
      </c>
      <c r="G338" t="inlineStr">
        <is>
          <t>NONE</t>
        </is>
      </c>
      <c r="H338" t="inlineStr">
        <is>
          <t>Compliant</t>
        </is>
      </c>
      <c r="I338" s="6" t="n"/>
      <c r="J338" s="6" t="n"/>
      <c r="K338">
        <f>IF(J338="","",J338-B338)</f>
        <v/>
      </c>
      <c r="L338">
        <f>IF(H338="Compliant","N/A",IF(J338&lt;&gt;"","Closed",IF(I338&lt;DATE(2026,9,30),"OVERDUE","Open")))</f>
        <v/>
      </c>
    </row>
    <row r="339">
      <c r="A339" t="inlineStr">
        <is>
          <t>INSP-2026-0338</t>
        </is>
      </c>
      <c r="B339" s="6" t="n">
        <v>46075</v>
      </c>
      <c r="C339" t="inlineStr">
        <is>
          <t>U-ST501-01-06</t>
        </is>
      </c>
      <c r="D339" t="inlineStr">
        <is>
          <t>Sungai Tinggi</t>
        </is>
      </c>
      <c r="E339" t="inlineStr">
        <is>
          <t>Daniel Ong</t>
        </is>
      </c>
      <c r="F339" t="inlineStr">
        <is>
          <t>Follow-up</t>
        </is>
      </c>
      <c r="G339" t="inlineStr">
        <is>
          <t>UNAPPROVED_AA</t>
        </is>
      </c>
      <c r="H339" t="inlineStr">
        <is>
          <t>Minor Breach</t>
        </is>
      </c>
      <c r="I339" s="6" t="n">
        <v>46089</v>
      </c>
      <c r="J339" s="6" t="n">
        <v>46093</v>
      </c>
      <c r="K339">
        <f>IF(J339="","",J339-B339)</f>
        <v/>
      </c>
      <c r="L339">
        <f>IF(H339="Compliant","N/A",IF(J339&lt;&gt;"","Closed",IF(I339&lt;DATE(2026,9,30),"OVERDUE","Open")))</f>
        <v/>
      </c>
    </row>
    <row r="340">
      <c r="A340" t="inlineStr">
        <is>
          <t>INSP-2026-0339</t>
        </is>
      </c>
      <c r="B340" s="6" t="n">
        <v>46075</v>
      </c>
      <c r="C340" t="inlineStr">
        <is>
          <t>U-KR335-01-12</t>
        </is>
      </c>
      <c r="D340" t="inlineStr">
        <is>
          <t>Kebun Raya</t>
        </is>
      </c>
      <c r="E340" t="inlineStr">
        <is>
          <t>daniel ong</t>
        </is>
      </c>
      <c r="F340" t="inlineStr">
        <is>
          <t>Routine</t>
        </is>
      </c>
      <c r="G340" t="inlineStr">
        <is>
          <t>NONE</t>
        </is>
      </c>
      <c r="H340" t="inlineStr">
        <is>
          <t>Compliant</t>
        </is>
      </c>
      <c r="I340" s="6" t="n"/>
      <c r="J340" s="6" t="n"/>
      <c r="K340">
        <f>IF(J340="","",J340-B340)</f>
        <v/>
      </c>
      <c r="L340">
        <f>IF(H340="Compliant","N/A",IF(J340&lt;&gt;"","Closed",IF(I340&lt;DATE(2026,9,30),"OVERDUE","Open")))</f>
        <v/>
      </c>
    </row>
    <row r="341">
      <c r="A341" t="inlineStr">
        <is>
          <t>INSP-2026-0340</t>
        </is>
      </c>
      <c r="B341" s="6" t="n">
        <v>46075</v>
      </c>
      <c r="C341" t="inlineStr">
        <is>
          <t>U-RH486-01-06</t>
        </is>
      </c>
      <c r="D341" t="inlineStr">
        <is>
          <t>Rimba Heights</t>
        </is>
      </c>
      <c r="E341" t="inlineStr">
        <is>
          <t>Daniel O.</t>
        </is>
      </c>
      <c r="F341" t="inlineStr">
        <is>
          <t>Routine</t>
        </is>
      </c>
      <c r="G341" t="inlineStr">
        <is>
          <t>UNAUTH_SUBLET</t>
        </is>
      </c>
      <c r="H341" t="inlineStr">
        <is>
          <t>Major Breach</t>
        </is>
      </c>
      <c r="I341" s="6" t="n">
        <v>46082</v>
      </c>
      <c r="J341" s="6" t="n"/>
      <c r="K341">
        <f>IF(J341="","",J341-B341)</f>
        <v/>
      </c>
      <c r="L341">
        <f>IF(H341="Compliant","N/A",IF(J341&lt;&gt;"","Closed",IF(I341&lt;DATE(2026,9,30),"OVERDUE","Open")))</f>
        <v/>
      </c>
    </row>
    <row r="342">
      <c r="A342" t="inlineStr">
        <is>
          <t>INSP-2026-0341</t>
        </is>
      </c>
      <c r="B342" s="6" t="n">
        <v>46075</v>
      </c>
      <c r="C342" t="inlineStr">
        <is>
          <t>U-KR368-01-10</t>
        </is>
      </c>
      <c r="D342" t="inlineStr">
        <is>
          <t>Kebun Raya</t>
        </is>
      </c>
      <c r="E342" t="inlineStr">
        <is>
          <t>Ben Ho</t>
        </is>
      </c>
      <c r="F342" t="inlineStr">
        <is>
          <t>Routine</t>
        </is>
      </c>
      <c r="G342" t="inlineStr">
        <is>
          <t>HYGIENE</t>
        </is>
      </c>
      <c r="H342" t="inlineStr">
        <is>
          <t>Minor Breach</t>
        </is>
      </c>
      <c r="I342" s="6" t="n">
        <v>46089</v>
      </c>
      <c r="J342" s="6" t="n">
        <v>46088</v>
      </c>
      <c r="K342">
        <f>IF(J342="","",J342-B342)</f>
        <v/>
      </c>
      <c r="L342">
        <f>IF(H342="Compliant","N/A",IF(J342&lt;&gt;"","Closed",IF(I342&lt;DATE(2026,9,30),"OVERDUE","Open")))</f>
        <v/>
      </c>
    </row>
    <row r="343">
      <c r="A343" t="inlineStr">
        <is>
          <t>INSP-2026-0342</t>
        </is>
      </c>
      <c r="B343" s="6" t="n">
        <v>46075</v>
      </c>
      <c r="C343" t="inlineStr">
        <is>
          <t>U-BV227-01-04</t>
        </is>
      </c>
      <c r="D343" t="inlineStr">
        <is>
          <t>Bayshore Vale</t>
        </is>
      </c>
      <c r="E343" t="inlineStr">
        <is>
          <t>Marcus Lim</t>
        </is>
      </c>
      <c r="F343" t="inlineStr">
        <is>
          <t>Routine</t>
        </is>
      </c>
      <c r="G343" t="inlineStr">
        <is>
          <t>DISPLAY_ENCROACH</t>
        </is>
      </c>
      <c r="H343" t="inlineStr">
        <is>
          <t>Minor Breach</t>
        </is>
      </c>
      <c r="I343" s="6" t="n">
        <v>46089</v>
      </c>
      <c r="J343" s="6" t="n"/>
      <c r="K343">
        <f>IF(J343="","",J343-B343)</f>
        <v/>
      </c>
      <c r="L343">
        <f>IF(H343="Compliant","N/A",IF(J343&lt;&gt;"","Closed",IF(I343&lt;DATE(2026,9,30),"OVERDUE","Open")))</f>
        <v/>
      </c>
    </row>
    <row r="344">
      <c r="A344" t="inlineStr">
        <is>
          <t>INSP-2026-0343</t>
        </is>
      </c>
      <c r="B344" s="6" t="n">
        <v>46075</v>
      </c>
      <c r="C344" t="inlineStr">
        <is>
          <t>U-ST528-01-10</t>
        </is>
      </c>
      <c r="D344" t="inlineStr">
        <is>
          <t>Sungai Tinggi</t>
        </is>
      </c>
      <c r="E344" t="inlineStr">
        <is>
          <t>D. Ong</t>
        </is>
      </c>
      <c r="F344" t="inlineStr">
        <is>
          <t>Routine</t>
        </is>
      </c>
      <c r="G344" t="inlineStr">
        <is>
          <t>NONE</t>
        </is>
      </c>
      <c r="H344" t="inlineStr">
        <is>
          <t>Compliant</t>
        </is>
      </c>
      <c r="I344" s="6" t="n"/>
      <c r="J344" s="6" t="n"/>
      <c r="K344">
        <f>IF(J344="","",J344-B344)</f>
        <v/>
      </c>
      <c r="L344">
        <f>IF(H344="Compliant","N/A",IF(J344&lt;&gt;"","Closed",IF(I344&lt;DATE(2026,9,30),"OVERDUE","Open")))</f>
        <v/>
      </c>
    </row>
    <row r="345">
      <c r="A345" t="inlineStr">
        <is>
          <t>INSP-2026-0344</t>
        </is>
      </c>
      <c r="B345" s="6" t="n">
        <v>46075</v>
      </c>
      <c r="C345" t="inlineStr">
        <is>
          <t>U-ST545-02-06</t>
        </is>
      </c>
      <c r="D345" t="inlineStr">
        <is>
          <t>Sungai Tinggi</t>
        </is>
      </c>
      <c r="E345" t="inlineStr">
        <is>
          <t>B. Ho</t>
        </is>
      </c>
      <c r="F345" t="inlineStr">
        <is>
          <t>Complaint-driven</t>
        </is>
      </c>
      <c r="G345" t="inlineStr">
        <is>
          <t>NONE</t>
        </is>
      </c>
      <c r="H345" t="inlineStr">
        <is>
          <t>Compliant</t>
        </is>
      </c>
      <c r="I345" s="6" t="n"/>
      <c r="J345" s="6" t="n"/>
      <c r="K345">
        <f>IF(J345="","",J345-B345)</f>
        <v/>
      </c>
      <c r="L345">
        <f>IF(H345="Compliant","N/A",IF(J345&lt;&gt;"","Closed",IF(I345&lt;DATE(2026,9,30),"OVERDUE","Open")))</f>
        <v/>
      </c>
    </row>
    <row r="346">
      <c r="A346" t="inlineStr">
        <is>
          <t>INSP-2026-0345</t>
        </is>
      </c>
      <c r="B346" s="6" t="n">
        <v>46075</v>
      </c>
      <c r="C346" t="inlineStr">
        <is>
          <t>U-CD181-01-02</t>
        </is>
      </c>
      <c r="D346" t="inlineStr">
        <is>
          <t>Cendana</t>
        </is>
      </c>
      <c r="E346" t="inlineStr">
        <is>
          <t>M. Lim</t>
        </is>
      </c>
      <c r="F346" t="inlineStr">
        <is>
          <t>Routine</t>
        </is>
      </c>
      <c r="G346" t="inlineStr">
        <is>
          <t>NONE</t>
        </is>
      </c>
      <c r="H346" t="inlineStr">
        <is>
          <t>Compliant</t>
        </is>
      </c>
      <c r="I346" s="6" t="n"/>
      <c r="J346" s="6" t="n"/>
      <c r="K346">
        <f>IF(J346="","",J346-B346)</f>
        <v/>
      </c>
      <c r="L346">
        <f>IF(H346="Compliant","N/A",IF(J346&lt;&gt;"","Closed",IF(I346&lt;DATE(2026,9,30),"OVERDUE","Open")))</f>
        <v/>
      </c>
    </row>
    <row r="347">
      <c r="A347" t="inlineStr">
        <is>
          <t>INSP-2026-0346</t>
        </is>
      </c>
      <c r="B347" s="6" t="n">
        <v>46076</v>
      </c>
      <c r="C347" t="inlineStr">
        <is>
          <t>U-RH482-01-04</t>
        </is>
      </c>
      <c r="D347" t="inlineStr">
        <is>
          <t>Rimba Heights</t>
        </is>
      </c>
      <c r="E347" t="inlineStr">
        <is>
          <t>daniel ong</t>
        </is>
      </c>
      <c r="F347" t="inlineStr">
        <is>
          <t>Routine</t>
        </is>
      </c>
      <c r="G347" t="inlineStr">
        <is>
          <t>UNAPPROVED_AA</t>
        </is>
      </c>
      <c r="H347" t="inlineStr">
        <is>
          <t>Minor Breach</t>
        </is>
      </c>
      <c r="I347" s="6" t="n">
        <v>46090</v>
      </c>
      <c r="J347" s="6" t="n">
        <v>46092</v>
      </c>
      <c r="K347">
        <f>IF(J347="","",J347-B347)</f>
        <v/>
      </c>
      <c r="L347">
        <f>IF(H347="Compliant","N/A",IF(J347&lt;&gt;"","Closed",IF(I347&lt;DATE(2026,9,30),"OVERDUE","Open")))</f>
        <v/>
      </c>
    </row>
    <row r="348">
      <c r="A348" t="inlineStr">
        <is>
          <t>INSP-2026-0347</t>
        </is>
      </c>
      <c r="B348" s="6" t="n">
        <v>46076</v>
      </c>
      <c r="C348" t="inlineStr">
        <is>
          <t>U-CD120-01-09</t>
        </is>
      </c>
      <c r="D348" t="inlineStr">
        <is>
          <t>Cendana</t>
        </is>
      </c>
      <c r="E348" t="inlineStr">
        <is>
          <t>Daniel O.</t>
        </is>
      </c>
      <c r="F348" t="inlineStr">
        <is>
          <t>Complaint-driven</t>
        </is>
      </c>
      <c r="G348" t="inlineStr">
        <is>
          <t>STRUCTURAL_DEFECT</t>
        </is>
      </c>
      <c r="H348" t="inlineStr">
        <is>
          <t>Major Breach</t>
        </is>
      </c>
      <c r="I348" s="6" t="n">
        <v>46083</v>
      </c>
      <c r="J348" s="6" t="n">
        <v>46091</v>
      </c>
      <c r="K348">
        <f>IF(J348="","",J348-B348)</f>
        <v/>
      </c>
      <c r="L348">
        <f>IF(H348="Compliant","N/A",IF(J348&lt;&gt;"","Closed",IF(I348&lt;DATE(2026,9,30),"OVERDUE","Open")))</f>
        <v/>
      </c>
    </row>
    <row r="349">
      <c r="A349" t="inlineStr">
        <is>
          <t>INSP-2026-0348</t>
        </is>
      </c>
      <c r="B349" s="6" t="n">
        <v>46076</v>
      </c>
      <c r="C349" t="inlineStr">
        <is>
          <t>U-RH482-01-05</t>
        </is>
      </c>
      <c r="D349" t="inlineStr">
        <is>
          <t>Rimba Heights</t>
        </is>
      </c>
      <c r="E349" t="inlineStr">
        <is>
          <t>daniel ong</t>
        </is>
      </c>
      <c r="F349" t="inlineStr">
        <is>
          <t>Routine</t>
        </is>
      </c>
      <c r="G349" t="inlineStr">
        <is>
          <t>NONE</t>
        </is>
      </c>
      <c r="H349" t="inlineStr">
        <is>
          <t>Compliant</t>
        </is>
      </c>
      <c r="I349" s="6" t="n"/>
      <c r="J349" s="6" t="n"/>
      <c r="K349">
        <f>IF(J349="","",J349-B349)</f>
        <v/>
      </c>
      <c r="L349">
        <f>IF(H349="Compliant","N/A",IF(J349&lt;&gt;"","Closed",IF(I349&lt;DATE(2026,9,30),"OVERDUE","Open")))</f>
        <v/>
      </c>
    </row>
    <row r="350">
      <c r="A350" t="inlineStr">
        <is>
          <t>INSP-2026-0349</t>
        </is>
      </c>
      <c r="B350" s="6" t="n">
        <v>46076</v>
      </c>
      <c r="C350" t="inlineStr">
        <is>
          <t>U-ST534-01-05</t>
        </is>
      </c>
      <c r="D350" t="inlineStr">
        <is>
          <t>Sungai Tinggi</t>
        </is>
      </c>
      <c r="E350" t="inlineStr">
        <is>
          <t>Benjamin Ho</t>
        </is>
      </c>
      <c r="F350" t="inlineStr">
        <is>
          <t>Routine</t>
        </is>
      </c>
      <c r="G350" t="inlineStr">
        <is>
          <t>NONE</t>
        </is>
      </c>
      <c r="H350" t="inlineStr">
        <is>
          <t>Compliant</t>
        </is>
      </c>
      <c r="I350" s="6" t="n"/>
      <c r="J350" s="6" t="n"/>
      <c r="K350">
        <f>IF(J350="","",J350-B350)</f>
        <v/>
      </c>
      <c r="L350">
        <f>IF(H350="Compliant","N/A",IF(J350&lt;&gt;"","Closed",IF(I350&lt;DATE(2026,9,30),"OVERDUE","Open")))</f>
        <v/>
      </c>
    </row>
    <row r="351">
      <c r="A351" t="inlineStr">
        <is>
          <t>INSP-2026-0350</t>
        </is>
      </c>
      <c r="B351" s="6" t="n">
        <v>46076</v>
      </c>
      <c r="C351" t="inlineStr">
        <is>
          <t>U-KR362-01-09</t>
        </is>
      </c>
      <c r="D351" t="inlineStr">
        <is>
          <t>Kebun Raya</t>
        </is>
      </c>
      <c r="E351" t="inlineStr">
        <is>
          <t>Daniel O.</t>
        </is>
      </c>
      <c r="F351" t="inlineStr">
        <is>
          <t>Routine</t>
        </is>
      </c>
      <c r="G351" t="inlineStr">
        <is>
          <t>NONE</t>
        </is>
      </c>
      <c r="H351" t="inlineStr">
        <is>
          <t>Compliant</t>
        </is>
      </c>
      <c r="I351" s="6" t="n"/>
      <c r="J351" s="6" t="n"/>
      <c r="K351">
        <f>IF(J351="","",J351-B351)</f>
        <v/>
      </c>
      <c r="L351">
        <f>IF(H351="Compliant","N/A",IF(J351&lt;&gt;"","Closed",IF(I351&lt;DATE(2026,9,30),"OVERDUE","Open")))</f>
        <v/>
      </c>
    </row>
    <row r="352">
      <c r="A352" t="inlineStr">
        <is>
          <t>INSP-2026-0351</t>
        </is>
      </c>
      <c r="B352" s="6" t="n">
        <v>46076</v>
      </c>
      <c r="C352" t="inlineStr">
        <is>
          <t>U-KR356-02-01</t>
        </is>
      </c>
      <c r="D352" t="inlineStr">
        <is>
          <t>Kebun Raya</t>
        </is>
      </c>
      <c r="E352" t="inlineStr">
        <is>
          <t>daniel ong</t>
        </is>
      </c>
      <c r="F352" t="inlineStr">
        <is>
          <t>Routine</t>
        </is>
      </c>
      <c r="G352" t="inlineStr">
        <is>
          <t>UNAPPROVED_AA</t>
        </is>
      </c>
      <c r="H352" t="inlineStr">
        <is>
          <t>Minor Breach</t>
        </is>
      </c>
      <c r="I352" s="6" t="n">
        <v>46090</v>
      </c>
      <c r="J352" s="6" t="n">
        <v>46096</v>
      </c>
      <c r="K352">
        <f>IF(J352="","",J352-B352)</f>
        <v/>
      </c>
      <c r="L352">
        <f>IF(H352="Compliant","N/A",IF(J352&lt;&gt;"","Closed",IF(I352&lt;DATE(2026,9,30),"OVERDUE","Open")))</f>
        <v/>
      </c>
    </row>
    <row r="353">
      <c r="A353" t="inlineStr">
        <is>
          <t>INSP-2026-0352</t>
        </is>
      </c>
      <c r="B353" s="6" t="n">
        <v>46076</v>
      </c>
      <c r="C353" t="inlineStr">
        <is>
          <t>U-ST590-01-06</t>
        </is>
      </c>
      <c r="D353" t="inlineStr">
        <is>
          <t>Sungai Tinggi</t>
        </is>
      </c>
      <c r="E353" t="inlineStr">
        <is>
          <t>Benjamin Ho</t>
        </is>
      </c>
      <c r="F353" t="inlineStr">
        <is>
          <t>Routine</t>
        </is>
      </c>
      <c r="G353" t="inlineStr">
        <is>
          <t>NONE</t>
        </is>
      </c>
      <c r="H353" t="inlineStr">
        <is>
          <t>Compliant</t>
        </is>
      </c>
      <c r="I353" s="6" t="n"/>
      <c r="J353" s="6" t="n"/>
      <c r="K353">
        <f>IF(J353="","",J353-B353)</f>
        <v/>
      </c>
      <c r="L353">
        <f>IF(H353="Compliant","N/A",IF(J353&lt;&gt;"","Closed",IF(I353&lt;DATE(2026,9,30),"OVERDUE","Open")))</f>
        <v/>
      </c>
    </row>
    <row r="354">
      <c r="A354" t="inlineStr">
        <is>
          <t>INSP-2026-0353</t>
        </is>
      </c>
      <c r="B354" s="6" t="n">
        <v>46077</v>
      </c>
      <c r="C354" t="inlineStr">
        <is>
          <t>U-CD136-01-09</t>
        </is>
      </c>
      <c r="D354" t="inlineStr">
        <is>
          <t>Cendana</t>
        </is>
      </c>
      <c r="E354" t="inlineStr">
        <is>
          <t>D. Ong</t>
        </is>
      </c>
      <c r="F354" t="inlineStr">
        <is>
          <t>Routine</t>
        </is>
      </c>
      <c r="G354" t="inlineStr">
        <is>
          <t>DISPLAY_ENCROACH</t>
        </is>
      </c>
      <c r="H354" t="inlineStr">
        <is>
          <t>Minor Breach</t>
        </is>
      </c>
      <c r="I354" s="6" t="n">
        <v>46091</v>
      </c>
      <c r="J354" s="6" t="n">
        <v>46101</v>
      </c>
      <c r="K354">
        <f>IF(J354="","",J354-B354)</f>
        <v/>
      </c>
      <c r="L354">
        <f>IF(H354="Compliant","N/A",IF(J354&lt;&gt;"","Closed",IF(I354&lt;DATE(2026,9,30),"OVERDUE","Open")))</f>
        <v/>
      </c>
    </row>
    <row r="355">
      <c r="A355" t="inlineStr">
        <is>
          <t>INSP-2026-0354</t>
        </is>
      </c>
      <c r="B355" s="6" t="n">
        <v>46077</v>
      </c>
      <c r="C355" t="inlineStr">
        <is>
          <t>U-BV256-01-13</t>
        </is>
      </c>
      <c r="D355" t="inlineStr">
        <is>
          <t>Bayshore Vale</t>
        </is>
      </c>
      <c r="E355" t="inlineStr">
        <is>
          <t>Daniel O.</t>
        </is>
      </c>
      <c r="F355" t="inlineStr">
        <is>
          <t>Routine</t>
        </is>
      </c>
      <c r="G355" t="inlineStr">
        <is>
          <t>NONE</t>
        </is>
      </c>
      <c r="H355" t="inlineStr">
        <is>
          <t>Compliant</t>
        </is>
      </c>
      <c r="I355" s="6" t="n"/>
      <c r="J355" s="6" t="n"/>
      <c r="K355">
        <f>IF(J355="","",J355-B355)</f>
        <v/>
      </c>
      <c r="L355">
        <f>IF(H355="Compliant","N/A",IF(J355&lt;&gt;"","Closed",IF(I355&lt;DATE(2026,9,30),"OVERDUE","Open")))</f>
        <v/>
      </c>
    </row>
    <row r="356">
      <c r="A356" t="inlineStr">
        <is>
          <t>INSP-2026-0355</t>
        </is>
      </c>
      <c r="B356" s="6" t="n">
        <v>46077</v>
      </c>
      <c r="C356" t="inlineStr">
        <is>
          <t>U-ST501-01-09</t>
        </is>
      </c>
      <c r="D356" t="inlineStr">
        <is>
          <t>Sungai Tinggi</t>
        </is>
      </c>
      <c r="E356" t="inlineStr">
        <is>
          <t>B. Ho</t>
        </is>
      </c>
      <c r="F356" t="inlineStr">
        <is>
          <t>Routine</t>
        </is>
      </c>
      <c r="G356" t="inlineStr">
        <is>
          <t>NONE</t>
        </is>
      </c>
      <c r="H356" t="inlineStr">
        <is>
          <t>Compliant</t>
        </is>
      </c>
      <c r="I356" s="6" t="n"/>
      <c r="J356" s="6" t="n"/>
      <c r="K356">
        <f>IF(J356="","",J356-B356)</f>
        <v/>
      </c>
      <c r="L356">
        <f>IF(H356="Compliant","N/A",IF(J356&lt;&gt;"","Closed",IF(I356&lt;DATE(2026,9,30),"OVERDUE","Open")))</f>
        <v/>
      </c>
    </row>
    <row r="357">
      <c r="A357" t="inlineStr">
        <is>
          <t>INSP-2026-0356</t>
        </is>
      </c>
      <c r="B357" s="6" t="n">
        <v>46077</v>
      </c>
      <c r="C357" t="inlineStr">
        <is>
          <t>U-ST507-01-03</t>
        </is>
      </c>
      <c r="D357" t="inlineStr">
        <is>
          <t>Sungai Tinggi</t>
        </is>
      </c>
      <c r="E357" t="inlineStr">
        <is>
          <t>daniel ong</t>
        </is>
      </c>
      <c r="F357" t="inlineStr">
        <is>
          <t>Routine</t>
        </is>
      </c>
      <c r="G357" t="inlineStr">
        <is>
          <t>NONE</t>
        </is>
      </c>
      <c r="H357" t="inlineStr">
        <is>
          <t>Compliant</t>
        </is>
      </c>
      <c r="I357" s="6" t="n"/>
      <c r="J357" s="6" t="n"/>
      <c r="K357">
        <f>IF(J357="","",J357-B357)</f>
        <v/>
      </c>
      <c r="L357">
        <f>IF(H357="Compliant","N/A",IF(J357&lt;&gt;"","Closed",IF(I357&lt;DATE(2026,9,30),"OVERDUE","Open")))</f>
        <v/>
      </c>
    </row>
    <row r="358">
      <c r="A358" t="inlineStr">
        <is>
          <t>INSP-2026-0357</t>
        </is>
      </c>
      <c r="B358" s="6" t="n">
        <v>46077</v>
      </c>
      <c r="C358" t="inlineStr">
        <is>
          <t>U-ST589-01-03</t>
        </is>
      </c>
      <c r="D358" t="inlineStr">
        <is>
          <t>Sungai Tinggi</t>
        </is>
      </c>
      <c r="E358" t="inlineStr">
        <is>
          <t>Ben Ho</t>
        </is>
      </c>
      <c r="F358" t="inlineStr">
        <is>
          <t>Complaint-driven</t>
        </is>
      </c>
      <c r="G358" t="inlineStr">
        <is>
          <t>NONE</t>
        </is>
      </c>
      <c r="H358" t="inlineStr">
        <is>
          <t>Compliant</t>
        </is>
      </c>
      <c r="I358" s="6" t="n"/>
      <c r="J358" s="6" t="n"/>
      <c r="K358">
        <f>IF(J358="","",J358-B358)</f>
        <v/>
      </c>
      <c r="L358">
        <f>IF(H358="Compliant","N/A",IF(J358&lt;&gt;"","Closed",IF(I358&lt;DATE(2026,9,30),"OVERDUE","Open")))</f>
        <v/>
      </c>
    </row>
    <row r="359">
      <c r="A359" t="inlineStr">
        <is>
          <t>INSP-2026-0358</t>
        </is>
      </c>
      <c r="B359" s="6" t="n">
        <v>46077</v>
      </c>
      <c r="C359" t="inlineStr">
        <is>
          <t>U-CD119-01-06</t>
        </is>
      </c>
      <c r="D359" t="inlineStr">
        <is>
          <t>Cendana</t>
        </is>
      </c>
      <c r="E359" t="inlineStr">
        <is>
          <t>Daniel O.</t>
        </is>
      </c>
      <c r="F359" t="inlineStr">
        <is>
          <t>Routine</t>
        </is>
      </c>
      <c r="G359" t="inlineStr">
        <is>
          <t>FIRE_SAFETY</t>
        </is>
      </c>
      <c r="H359" t="inlineStr">
        <is>
          <t>Major Breach</t>
        </is>
      </c>
      <c r="I359" s="6" t="n">
        <v>46084</v>
      </c>
      <c r="J359" s="6" t="n">
        <v>46086</v>
      </c>
      <c r="K359">
        <f>IF(J359="","",J359-B359)</f>
        <v/>
      </c>
      <c r="L359">
        <f>IF(H359="Compliant","N/A",IF(J359&lt;&gt;"","Closed",IF(I359&lt;DATE(2026,9,30),"OVERDUE","Open")))</f>
        <v/>
      </c>
    </row>
    <row r="360">
      <c r="A360" t="inlineStr">
        <is>
          <t>INSP-2026-0359</t>
        </is>
      </c>
      <c r="B360" s="6" t="n">
        <v>46077</v>
      </c>
      <c r="C360" t="inlineStr">
        <is>
          <t>U-ST564-01-06</t>
        </is>
      </c>
      <c r="D360" t="inlineStr">
        <is>
          <t>Sungai Tinggi</t>
        </is>
      </c>
      <c r="E360" t="inlineStr">
        <is>
          <t>Ben Ho</t>
        </is>
      </c>
      <c r="F360" t="inlineStr">
        <is>
          <t>Routine</t>
        </is>
      </c>
      <c r="G360" t="inlineStr">
        <is>
          <t>NONE</t>
        </is>
      </c>
      <c r="H360" t="inlineStr">
        <is>
          <t>Compliant</t>
        </is>
      </c>
      <c r="I360" s="6" t="n"/>
      <c r="J360" s="6" t="n"/>
      <c r="K360">
        <f>IF(J360="","",J360-B360)</f>
        <v/>
      </c>
      <c r="L360">
        <f>IF(H360="Compliant","N/A",IF(J360&lt;&gt;"","Closed",IF(I360&lt;DATE(2026,9,30),"OVERDUE","Open")))</f>
        <v/>
      </c>
    </row>
    <row r="361">
      <c r="A361" t="inlineStr">
        <is>
          <t>INSP-2026-0360</t>
        </is>
      </c>
      <c r="B361" s="6" t="n">
        <v>46077</v>
      </c>
      <c r="C361" t="inlineStr">
        <is>
          <t>U-KR323-01-03</t>
        </is>
      </c>
      <c r="D361" t="inlineStr">
        <is>
          <t>Kebun Raya</t>
        </is>
      </c>
      <c r="E361" t="inlineStr">
        <is>
          <t>Daniel O.</t>
        </is>
      </c>
      <c r="F361" t="inlineStr">
        <is>
          <t>Routine</t>
        </is>
      </c>
      <c r="G361" t="inlineStr">
        <is>
          <t>NONE</t>
        </is>
      </c>
      <c r="H361" t="inlineStr">
        <is>
          <t>Compliant</t>
        </is>
      </c>
      <c r="I361" s="6" t="n"/>
      <c r="J361" s="6" t="n"/>
      <c r="K361">
        <f>IF(J361="","",J361-B361)</f>
        <v/>
      </c>
      <c r="L361">
        <f>IF(H361="Compliant","N/A",IF(J361&lt;&gt;"","Closed",IF(I361&lt;DATE(2026,9,30),"OVERDUE","Open")))</f>
        <v/>
      </c>
    </row>
    <row r="362">
      <c r="A362" t="inlineStr">
        <is>
          <t>INSP-2026-0361</t>
        </is>
      </c>
      <c r="B362" s="6" t="n">
        <v>46078</v>
      </c>
      <c r="C362" t="inlineStr">
        <is>
          <t>U-KR305-01-32</t>
        </is>
      </c>
      <c r="D362" t="inlineStr">
        <is>
          <t>Kebun Raya</t>
        </is>
      </c>
      <c r="E362" t="inlineStr">
        <is>
          <t>D. Ong</t>
        </is>
      </c>
      <c r="F362" t="inlineStr">
        <is>
          <t>Routine</t>
        </is>
      </c>
      <c r="G362" t="inlineStr">
        <is>
          <t>NONE</t>
        </is>
      </c>
      <c r="H362" t="inlineStr">
        <is>
          <t>Compliant</t>
        </is>
      </c>
      <c r="I362" s="6" t="n"/>
      <c r="J362" s="6" t="n"/>
      <c r="K362">
        <f>IF(J362="","",J362-B362)</f>
        <v/>
      </c>
      <c r="L362">
        <f>IF(H362="Compliant","N/A",IF(J362&lt;&gt;"","Closed",IF(I362&lt;DATE(2026,9,30),"OVERDUE","Open")))</f>
        <v/>
      </c>
    </row>
    <row r="363">
      <c r="A363" t="inlineStr">
        <is>
          <t>INSP-2026-0362</t>
        </is>
      </c>
      <c r="B363" s="6" t="n">
        <v>46078</v>
      </c>
      <c r="C363" t="inlineStr">
        <is>
          <t>U-PI626-01-01</t>
        </is>
      </c>
      <c r="D363" t="inlineStr">
        <is>
          <t>Pasir Indah</t>
        </is>
      </c>
      <c r="E363" t="inlineStr">
        <is>
          <t>Marcus Lim</t>
        </is>
      </c>
      <c r="F363" t="inlineStr">
        <is>
          <t>Follow-up</t>
        </is>
      </c>
      <c r="G363" t="inlineStr">
        <is>
          <t>NONE</t>
        </is>
      </c>
      <c r="H363" t="inlineStr">
        <is>
          <t>Compliant</t>
        </is>
      </c>
      <c r="I363" s="6" t="n"/>
      <c r="J363" s="6" t="n"/>
      <c r="K363">
        <f>IF(J363="","",J363-B363)</f>
        <v/>
      </c>
      <c r="L363">
        <f>IF(H363="Compliant","N/A",IF(J363&lt;&gt;"","Closed",IF(I363&lt;DATE(2026,9,30),"OVERDUE","Open")))</f>
        <v/>
      </c>
    </row>
    <row r="364">
      <c r="A364" t="inlineStr">
        <is>
          <t>INSP-2026-0363</t>
        </is>
      </c>
      <c r="B364" s="6" t="n">
        <v>46078</v>
      </c>
      <c r="C364" t="inlineStr">
        <is>
          <t>U-RH476-01-04</t>
        </is>
      </c>
      <c r="D364" t="inlineStr">
        <is>
          <t>Rimba Heights</t>
        </is>
      </c>
      <c r="E364" t="inlineStr">
        <is>
          <t>B. Ho</t>
        </is>
      </c>
      <c r="F364" t="inlineStr">
        <is>
          <t>Routine</t>
        </is>
      </c>
      <c r="G364" t="inlineStr">
        <is>
          <t>NONE</t>
        </is>
      </c>
      <c r="H364" t="inlineStr">
        <is>
          <t>Compliant</t>
        </is>
      </c>
      <c r="I364" s="6" t="n"/>
      <c r="J364" s="6" t="n"/>
      <c r="K364">
        <f>IF(J364="","",J364-B364)</f>
        <v/>
      </c>
      <c r="L364">
        <f>IF(H364="Compliant","N/A",IF(J364&lt;&gt;"","Closed",IF(I364&lt;DATE(2026,9,30),"OVERDUE","Open")))</f>
        <v/>
      </c>
    </row>
    <row r="365">
      <c r="A365" t="inlineStr">
        <is>
          <t>INSP-2026-0364</t>
        </is>
      </c>
      <c r="B365" s="6" t="n">
        <v>46078</v>
      </c>
      <c r="C365" t="inlineStr">
        <is>
          <t>U-BV266-01-02</t>
        </is>
      </c>
      <c r="D365" t="inlineStr">
        <is>
          <t>Bayshore Vale</t>
        </is>
      </c>
      <c r="E365" t="inlineStr">
        <is>
          <t>M. Lim</t>
        </is>
      </c>
      <c r="F365" t="inlineStr">
        <is>
          <t>Routine</t>
        </is>
      </c>
      <c r="G365" t="inlineStr">
        <is>
          <t>NONE</t>
        </is>
      </c>
      <c r="H365" t="inlineStr">
        <is>
          <t>Compliant</t>
        </is>
      </c>
      <c r="I365" s="6" t="n"/>
      <c r="J365" s="6" t="n"/>
      <c r="K365">
        <f>IF(J365="","",J365-B365)</f>
        <v/>
      </c>
      <c r="L365">
        <f>IF(H365="Compliant","N/A",IF(J365&lt;&gt;"","Closed",IF(I365&lt;DATE(2026,9,30),"OVERDUE","Open")))</f>
        <v/>
      </c>
    </row>
    <row r="366">
      <c r="A366" t="inlineStr">
        <is>
          <t>INSP-2026-0365</t>
        </is>
      </c>
      <c r="B366" s="6" t="n">
        <v>46078</v>
      </c>
      <c r="C366" t="inlineStr">
        <is>
          <t>U-BV288-01-07</t>
        </is>
      </c>
      <c r="D366" t="inlineStr">
        <is>
          <t>Bayshore Vale</t>
        </is>
      </c>
      <c r="E366" t="inlineStr">
        <is>
          <t>M. Lim</t>
        </is>
      </c>
      <c r="F366" t="inlineStr">
        <is>
          <t>Follow-up</t>
        </is>
      </c>
      <c r="G366" t="inlineStr">
        <is>
          <t>DISPLAY_ENCROACH</t>
        </is>
      </c>
      <c r="H366" t="inlineStr">
        <is>
          <t>Minor Breach</t>
        </is>
      </c>
      <c r="I366" s="6" t="n">
        <v>46092</v>
      </c>
      <c r="J366" s="6" t="n">
        <v>46097</v>
      </c>
      <c r="K366">
        <f>IF(J366="","",J366-B366)</f>
        <v/>
      </c>
      <c r="L366">
        <f>IF(H366="Compliant","N/A",IF(J366&lt;&gt;"","Closed",IF(I366&lt;DATE(2026,9,30),"OVERDUE","Open")))</f>
        <v/>
      </c>
    </row>
    <row r="367">
      <c r="A367" t="inlineStr">
        <is>
          <t>INSP-2026-0366</t>
        </is>
      </c>
      <c r="B367" s="6" t="n">
        <v>46079</v>
      </c>
      <c r="C367" t="inlineStr">
        <is>
          <t>U-ST537-01-03</t>
        </is>
      </c>
      <c r="D367" t="inlineStr">
        <is>
          <t>Sungai Tinggi</t>
        </is>
      </c>
      <c r="E367" t="inlineStr">
        <is>
          <t>Daniel O.</t>
        </is>
      </c>
      <c r="F367" t="inlineStr">
        <is>
          <t>Routine</t>
        </is>
      </c>
      <c r="G367" t="inlineStr">
        <is>
          <t>DISPLAY_ENCROACH</t>
        </is>
      </c>
      <c r="H367" t="inlineStr">
        <is>
          <t>Minor Breach</t>
        </is>
      </c>
      <c r="I367" s="6" t="n">
        <v>46093</v>
      </c>
      <c r="J367" s="6" t="n">
        <v>46096</v>
      </c>
      <c r="K367">
        <f>IF(J367="","",J367-B367)</f>
        <v/>
      </c>
      <c r="L367">
        <f>IF(H367="Compliant","N/A",IF(J367&lt;&gt;"","Closed",IF(I367&lt;DATE(2026,9,30),"OVERDUE","Open")))</f>
        <v/>
      </c>
    </row>
    <row r="368">
      <c r="A368" t="inlineStr">
        <is>
          <t>INSP-2026-0367</t>
        </is>
      </c>
      <c r="B368" s="6" t="n">
        <v>46079</v>
      </c>
      <c r="C368" t="inlineStr">
        <is>
          <t>U-BV271-01-02</t>
        </is>
      </c>
      <c r="D368" t="inlineStr">
        <is>
          <t>Bayshore Vale</t>
        </is>
      </c>
      <c r="E368" t="inlineStr">
        <is>
          <t>marcus</t>
        </is>
      </c>
      <c r="F368" t="inlineStr">
        <is>
          <t>Routine</t>
        </is>
      </c>
      <c r="G368" t="inlineStr">
        <is>
          <t>NONE</t>
        </is>
      </c>
      <c r="H368" t="inlineStr">
        <is>
          <t>Compliant</t>
        </is>
      </c>
      <c r="I368" s="6" t="n"/>
      <c r="J368" s="6" t="n"/>
      <c r="K368">
        <f>IF(J368="","",J368-B368)</f>
        <v/>
      </c>
      <c r="L368">
        <f>IF(H368="Compliant","N/A",IF(J368&lt;&gt;"","Closed",IF(I368&lt;DATE(2026,9,30),"OVERDUE","Open")))</f>
        <v/>
      </c>
    </row>
    <row r="369">
      <c r="A369" t="inlineStr">
        <is>
          <t>INSP-2026-0368</t>
        </is>
      </c>
      <c r="B369" s="6" t="n">
        <v>46079</v>
      </c>
      <c r="C369" t="inlineStr">
        <is>
          <t>U-PI634-01-06</t>
        </is>
      </c>
      <c r="D369" t="inlineStr">
        <is>
          <t>Pasir Indah</t>
        </is>
      </c>
      <c r="E369" t="inlineStr">
        <is>
          <t>Daniel O.</t>
        </is>
      </c>
      <c r="F369" t="inlineStr">
        <is>
          <t>Routine</t>
        </is>
      </c>
      <c r="G369" t="inlineStr">
        <is>
          <t>NONE</t>
        </is>
      </c>
      <c r="H369" t="inlineStr">
        <is>
          <t>Compliant</t>
        </is>
      </c>
      <c r="I369" s="6" t="n"/>
      <c r="J369" s="6" t="n"/>
      <c r="K369">
        <f>IF(J369="","",J369-B369)</f>
        <v/>
      </c>
      <c r="L369">
        <f>IF(H369="Compliant","N/A",IF(J369&lt;&gt;"","Closed",IF(I369&lt;DATE(2026,9,30),"OVERDUE","Open")))</f>
        <v/>
      </c>
    </row>
    <row r="370">
      <c r="A370" t="inlineStr">
        <is>
          <t>INSP-2026-0369</t>
        </is>
      </c>
      <c r="B370" s="6" t="n">
        <v>46079</v>
      </c>
      <c r="C370" t="inlineStr">
        <is>
          <t>U-CD118-01-01</t>
        </is>
      </c>
      <c r="D370" t="inlineStr">
        <is>
          <t>Cendana</t>
        </is>
      </c>
      <c r="E370" t="inlineStr">
        <is>
          <t>Daniel O.</t>
        </is>
      </c>
      <c r="F370" t="inlineStr">
        <is>
          <t>Routine</t>
        </is>
      </c>
      <c r="G370" t="inlineStr">
        <is>
          <t>NONE</t>
        </is>
      </c>
      <c r="H370" t="inlineStr">
        <is>
          <t>Compliant</t>
        </is>
      </c>
      <c r="I370" s="6" t="n"/>
      <c r="J370" s="6" t="n"/>
      <c r="K370">
        <f>IF(J370="","",J370-B370)</f>
        <v/>
      </c>
      <c r="L370">
        <f>IF(H370="Compliant","N/A",IF(J370&lt;&gt;"","Closed",IF(I370&lt;DATE(2026,9,30),"OVERDUE","Open")))</f>
        <v/>
      </c>
    </row>
    <row r="371">
      <c r="A371" t="inlineStr">
        <is>
          <t>INSP-2026-0370</t>
        </is>
      </c>
      <c r="B371" s="6" t="n">
        <v>46079</v>
      </c>
      <c r="C371" t="inlineStr">
        <is>
          <t>U-BV205-01-06</t>
        </is>
      </c>
      <c r="D371" t="inlineStr">
        <is>
          <t>Bayshore Vale</t>
        </is>
      </c>
      <c r="E371" t="inlineStr">
        <is>
          <t>M. Lim</t>
        </is>
      </c>
      <c r="F371" t="inlineStr">
        <is>
          <t>Routine</t>
        </is>
      </c>
      <c r="G371" t="inlineStr">
        <is>
          <t>HYGIENE</t>
        </is>
      </c>
      <c r="H371" t="inlineStr">
        <is>
          <t>Minor Breach</t>
        </is>
      </c>
      <c r="I371" s="6" t="n">
        <v>46093</v>
      </c>
      <c r="J371" s="6" t="n">
        <v>46101</v>
      </c>
      <c r="K371">
        <f>IF(J371="","",J371-B371)</f>
        <v/>
      </c>
      <c r="L371">
        <f>IF(H371="Compliant","N/A",IF(J371&lt;&gt;"","Closed",IF(I371&lt;DATE(2026,9,30),"OVERDUE","Open")))</f>
        <v/>
      </c>
    </row>
    <row r="372">
      <c r="A372" t="inlineStr">
        <is>
          <t>INSP-2026-0371</t>
        </is>
      </c>
      <c r="B372" s="6" t="n">
        <v>46079</v>
      </c>
      <c r="C372" t="inlineStr">
        <is>
          <t>U-RH437-01-02</t>
        </is>
      </c>
      <c r="D372" t="inlineStr">
        <is>
          <t>Rimba Heights</t>
        </is>
      </c>
      <c r="E372" t="inlineStr">
        <is>
          <t>Daniel O.</t>
        </is>
      </c>
      <c r="F372" t="inlineStr">
        <is>
          <t>Routine</t>
        </is>
      </c>
      <c r="G372" t="inlineStr">
        <is>
          <t>NONE</t>
        </is>
      </c>
      <c r="H372" t="inlineStr">
        <is>
          <t>Compliant</t>
        </is>
      </c>
      <c r="I372" s="6" t="n"/>
      <c r="J372" s="6" t="n"/>
      <c r="K372">
        <f>IF(J372="","",J372-B372)</f>
        <v/>
      </c>
      <c r="L372">
        <f>IF(H372="Compliant","N/A",IF(J372&lt;&gt;"","Closed",IF(I372&lt;DATE(2026,9,30),"OVERDUE","Open")))</f>
        <v/>
      </c>
    </row>
    <row r="373">
      <c r="A373" t="inlineStr">
        <is>
          <t>INSP-2026-0372</t>
        </is>
      </c>
      <c r="B373" s="6" t="n">
        <v>46079</v>
      </c>
      <c r="C373" t="inlineStr">
        <is>
          <t>U-KR385-02-09</t>
        </is>
      </c>
      <c r="D373" t="inlineStr">
        <is>
          <t>Kebun Raya</t>
        </is>
      </c>
      <c r="E373" t="inlineStr">
        <is>
          <t>B. Ho</t>
        </is>
      </c>
      <c r="F373" t="inlineStr">
        <is>
          <t>Complaint-driven</t>
        </is>
      </c>
      <c r="G373" t="inlineStr">
        <is>
          <t>NONE</t>
        </is>
      </c>
      <c r="H373" t="inlineStr">
        <is>
          <t>Compliant</t>
        </is>
      </c>
      <c r="I373" s="6" t="n"/>
      <c r="J373" s="6" t="n"/>
      <c r="K373">
        <f>IF(J373="","",J373-B373)</f>
        <v/>
      </c>
      <c r="L373">
        <f>IF(H373="Compliant","N/A",IF(J373&lt;&gt;"","Closed",IF(I373&lt;DATE(2026,9,30),"OVERDUE","Open")))</f>
        <v/>
      </c>
    </row>
    <row r="374">
      <c r="A374" t="inlineStr">
        <is>
          <t>INSP-2026-0373</t>
        </is>
      </c>
      <c r="B374" s="6" t="n">
        <v>46080</v>
      </c>
      <c r="C374" t="inlineStr">
        <is>
          <t>U-CD173-01-10</t>
        </is>
      </c>
      <c r="D374" t="inlineStr">
        <is>
          <t>Cendana</t>
        </is>
      </c>
      <c r="E374" t="inlineStr">
        <is>
          <t>daniel ong</t>
        </is>
      </c>
      <c r="F374" t="inlineStr">
        <is>
          <t>Routine</t>
        </is>
      </c>
      <c r="G374" t="inlineStr">
        <is>
          <t>DISPLAY_ENCROACH</t>
        </is>
      </c>
      <c r="H374" t="inlineStr">
        <is>
          <t>Minor Breach</t>
        </is>
      </c>
      <c r="I374" s="6" t="n">
        <v>46094</v>
      </c>
      <c r="J374" s="6" t="n">
        <v>46102</v>
      </c>
      <c r="K374">
        <f>IF(J374="","",J374-B374)</f>
        <v/>
      </c>
      <c r="L374">
        <f>IF(H374="Compliant","N/A",IF(J374&lt;&gt;"","Closed",IF(I374&lt;DATE(2026,9,30),"OVERDUE","Open")))</f>
        <v/>
      </c>
    </row>
    <row r="375">
      <c r="A375" t="inlineStr">
        <is>
          <t>INSP-2026-0374</t>
        </is>
      </c>
      <c r="B375" s="6" t="n">
        <v>46080</v>
      </c>
      <c r="C375" t="inlineStr">
        <is>
          <t>U-PI696-02-06</t>
        </is>
      </c>
      <c r="D375" t="inlineStr">
        <is>
          <t>Pasir Indah</t>
        </is>
      </c>
      <c r="E375" t="inlineStr">
        <is>
          <t>marcus</t>
        </is>
      </c>
      <c r="F375" t="inlineStr">
        <is>
          <t>Follow-up</t>
        </is>
      </c>
      <c r="G375" t="inlineStr">
        <is>
          <t>HYGIENE</t>
        </is>
      </c>
      <c r="H375" t="inlineStr">
        <is>
          <t>Minor Breach</t>
        </is>
      </c>
      <c r="I375" s="6" t="n">
        <v>46094</v>
      </c>
      <c r="J375" s="6" t="n">
        <v>46093</v>
      </c>
      <c r="K375">
        <f>IF(J375="","",J375-B375)</f>
        <v/>
      </c>
      <c r="L375">
        <f>IF(H375="Compliant","N/A",IF(J375&lt;&gt;"","Closed",IF(I375&lt;DATE(2026,9,30),"OVERDUE","Open")))</f>
        <v/>
      </c>
    </row>
    <row r="376">
      <c r="A376" t="inlineStr">
        <is>
          <t>INSP-2026-0375</t>
        </is>
      </c>
      <c r="B376" s="6" t="n">
        <v>46080</v>
      </c>
      <c r="C376" t="inlineStr">
        <is>
          <t>U-KR305-01-07</t>
        </is>
      </c>
      <c r="D376" t="inlineStr">
        <is>
          <t>Kebun Raya</t>
        </is>
      </c>
      <c r="E376" t="inlineStr">
        <is>
          <t>Daniel Ong</t>
        </is>
      </c>
      <c r="F376" t="inlineStr">
        <is>
          <t>Complaint-driven</t>
        </is>
      </c>
      <c r="G376" t="inlineStr">
        <is>
          <t>NONE</t>
        </is>
      </c>
      <c r="H376" t="inlineStr">
        <is>
          <t>Compliant</t>
        </is>
      </c>
      <c r="I376" s="6" t="n"/>
      <c r="J376" s="6" t="n"/>
      <c r="K376">
        <f>IF(J376="","",J376-B376)</f>
        <v/>
      </c>
      <c r="L376">
        <f>IF(H376="Compliant","N/A",IF(J376&lt;&gt;"","Closed",IF(I376&lt;DATE(2026,9,30),"OVERDUE","Open")))</f>
        <v/>
      </c>
    </row>
    <row r="377">
      <c r="A377" t="inlineStr">
        <is>
          <t>INSP-2026-0376</t>
        </is>
      </c>
      <c r="B377" s="6" t="n">
        <v>46080</v>
      </c>
      <c r="C377" t="inlineStr">
        <is>
          <t>U-ST566-01-04</t>
        </is>
      </c>
      <c r="D377" t="inlineStr">
        <is>
          <t>Sungai Tinggi</t>
        </is>
      </c>
      <c r="E377" t="inlineStr">
        <is>
          <t>daniel ong</t>
        </is>
      </c>
      <c r="F377" t="inlineStr">
        <is>
          <t>Routine</t>
        </is>
      </c>
      <c r="G377" t="inlineStr">
        <is>
          <t>NONE</t>
        </is>
      </c>
      <c r="H377" t="inlineStr">
        <is>
          <t>Compliant</t>
        </is>
      </c>
      <c r="I377" s="6" t="n"/>
      <c r="J377" s="6" t="n"/>
      <c r="K377">
        <f>IF(J377="","",J377-B377)</f>
        <v/>
      </c>
      <c r="L377">
        <f>IF(H377="Compliant","N/A",IF(J377&lt;&gt;"","Closed",IF(I377&lt;DATE(2026,9,30),"OVERDUE","Open")))</f>
        <v/>
      </c>
    </row>
    <row r="378">
      <c r="A378" t="inlineStr">
        <is>
          <t>INSP-2026-0377</t>
        </is>
      </c>
      <c r="B378" s="6" t="n">
        <v>46081</v>
      </c>
      <c r="C378" t="inlineStr">
        <is>
          <t>U-RH466-01-10</t>
        </is>
      </c>
      <c r="D378" t="inlineStr">
        <is>
          <t>Rimba Heights</t>
        </is>
      </c>
      <c r="E378" t="inlineStr">
        <is>
          <t>Ben Ho</t>
        </is>
      </c>
      <c r="F378" t="inlineStr">
        <is>
          <t>Follow-up</t>
        </is>
      </c>
      <c r="G378" t="inlineStr">
        <is>
          <t>NONE</t>
        </is>
      </c>
      <c r="H378" t="inlineStr">
        <is>
          <t>Compliant</t>
        </is>
      </c>
      <c r="I378" s="6" t="n"/>
      <c r="J378" s="6" t="n"/>
      <c r="K378">
        <f>IF(J378="","",J378-B378)</f>
        <v/>
      </c>
      <c r="L378">
        <f>IF(H378="Compliant","N/A",IF(J378&lt;&gt;"","Closed",IF(I378&lt;DATE(2026,9,30),"OVERDUE","Open")))</f>
        <v/>
      </c>
    </row>
    <row r="379">
      <c r="A379" t="inlineStr">
        <is>
          <t>INSP-2026-0378</t>
        </is>
      </c>
      <c r="B379" s="6" t="n">
        <v>46081</v>
      </c>
      <c r="C379" t="inlineStr">
        <is>
          <t>U-CD170-01-03</t>
        </is>
      </c>
      <c r="D379" t="inlineStr">
        <is>
          <t>Cendana</t>
        </is>
      </c>
      <c r="E379" t="inlineStr">
        <is>
          <t>Marcus Lim</t>
        </is>
      </c>
      <c r="F379" t="inlineStr">
        <is>
          <t>Routine</t>
        </is>
      </c>
      <c r="G379" t="inlineStr">
        <is>
          <t>HYGIENE</t>
        </is>
      </c>
      <c r="H379" t="inlineStr">
        <is>
          <t>Minor Breach</t>
        </is>
      </c>
      <c r="I379" s="6" t="n">
        <v>46095</v>
      </c>
      <c r="J379" s="6" t="n"/>
      <c r="K379">
        <f>IF(J379="","",J379-B379)</f>
        <v/>
      </c>
      <c r="L379">
        <f>IF(H379="Compliant","N/A",IF(J379&lt;&gt;"","Closed",IF(I379&lt;DATE(2026,9,30),"OVERDUE","Open")))</f>
        <v/>
      </c>
    </row>
    <row r="380">
      <c r="A380" t="inlineStr">
        <is>
          <t>INSP-2026-0379</t>
        </is>
      </c>
      <c r="B380" s="6" t="n">
        <v>46081</v>
      </c>
      <c r="C380" t="inlineStr">
        <is>
          <t>U-PI644-01-02</t>
        </is>
      </c>
      <c r="D380" t="inlineStr">
        <is>
          <t>Pasir Indah</t>
        </is>
      </c>
      <c r="E380" t="inlineStr">
        <is>
          <t>daniel ong</t>
        </is>
      </c>
      <c r="F380" t="inlineStr">
        <is>
          <t>Routine</t>
        </is>
      </c>
      <c r="G380" t="inlineStr">
        <is>
          <t>NONE</t>
        </is>
      </c>
      <c r="H380" t="inlineStr">
        <is>
          <t>Compliant</t>
        </is>
      </c>
      <c r="I380" s="6" t="n"/>
      <c r="J380" s="6" t="n"/>
      <c r="K380">
        <f>IF(J380="","",J380-B380)</f>
        <v/>
      </c>
      <c r="L380">
        <f>IF(H380="Compliant","N/A",IF(J380&lt;&gt;"","Closed",IF(I380&lt;DATE(2026,9,30),"OVERDUE","Open")))</f>
        <v/>
      </c>
    </row>
    <row r="381">
      <c r="A381" t="inlineStr">
        <is>
          <t>INSP-2026-0380</t>
        </is>
      </c>
      <c r="B381" s="6" t="n">
        <v>46081</v>
      </c>
      <c r="C381" t="inlineStr">
        <is>
          <t>U-BV216-01-09</t>
        </is>
      </c>
      <c r="D381" t="inlineStr">
        <is>
          <t>Bayshore Vale</t>
        </is>
      </c>
      <c r="E381" t="inlineStr">
        <is>
          <t>daniel ong</t>
        </is>
      </c>
      <c r="F381" t="inlineStr">
        <is>
          <t>Routine</t>
        </is>
      </c>
      <c r="G381" t="inlineStr">
        <is>
          <t>DISPLAY_ENCROACH</t>
        </is>
      </c>
      <c r="H381" t="inlineStr">
        <is>
          <t>Minor Breach</t>
        </is>
      </c>
      <c r="I381" s="6" t="n">
        <v>46095</v>
      </c>
      <c r="J381" s="6" t="n"/>
      <c r="K381">
        <f>IF(J381="","",J381-B381)</f>
        <v/>
      </c>
      <c r="L381">
        <f>IF(H381="Compliant","N/A",IF(J381&lt;&gt;"","Closed",IF(I381&lt;DATE(2026,9,30),"OVERDUE","Open")))</f>
        <v/>
      </c>
    </row>
    <row r="382">
      <c r="A382" t="inlineStr">
        <is>
          <t>INSP-2026-0381</t>
        </is>
      </c>
      <c r="B382" s="6" t="n">
        <v>46081</v>
      </c>
      <c r="C382" t="inlineStr">
        <is>
          <t>U-PI606-01-07</t>
        </is>
      </c>
      <c r="D382" t="inlineStr">
        <is>
          <t>Pasir Indah</t>
        </is>
      </c>
      <c r="E382" t="inlineStr">
        <is>
          <t>Daniel Ong</t>
        </is>
      </c>
      <c r="F382" t="inlineStr">
        <is>
          <t>Routine</t>
        </is>
      </c>
      <c r="G382" t="inlineStr">
        <is>
          <t>NONE</t>
        </is>
      </c>
      <c r="H382" t="inlineStr">
        <is>
          <t>Compliant</t>
        </is>
      </c>
      <c r="I382" s="6" t="n"/>
      <c r="J382" s="6" t="n"/>
      <c r="K382">
        <f>IF(J382="","",J382-B382)</f>
        <v/>
      </c>
      <c r="L382">
        <f>IF(H382="Compliant","N/A",IF(J382&lt;&gt;"","Closed",IF(I382&lt;DATE(2026,9,30),"OVERDUE","Open")))</f>
        <v/>
      </c>
    </row>
    <row r="383">
      <c r="A383" t="inlineStr">
        <is>
          <t>INSP-2026-0382</t>
        </is>
      </c>
      <c r="B383" s="6" t="n">
        <v>46081</v>
      </c>
      <c r="C383" t="inlineStr">
        <is>
          <t>U-PI609-01-01</t>
        </is>
      </c>
      <c r="D383" t="inlineStr">
        <is>
          <t>Pasir Indah</t>
        </is>
      </c>
      <c r="E383" t="inlineStr">
        <is>
          <t>Marcus Lim</t>
        </is>
      </c>
      <c r="F383" t="inlineStr">
        <is>
          <t>Routine</t>
        </is>
      </c>
      <c r="G383" t="inlineStr">
        <is>
          <t>NONE</t>
        </is>
      </c>
      <c r="H383" t="inlineStr">
        <is>
          <t>Compliant</t>
        </is>
      </c>
      <c r="I383" s="6" t="n"/>
      <c r="J383" s="6" t="n"/>
      <c r="K383">
        <f>IF(J383="","",J383-B383)</f>
        <v/>
      </c>
      <c r="L383">
        <f>IF(H383="Compliant","N/A",IF(J383&lt;&gt;"","Closed",IF(I383&lt;DATE(2026,9,30),"OVERDUE","Open")))</f>
        <v/>
      </c>
    </row>
    <row r="384">
      <c r="A384" t="inlineStr">
        <is>
          <t>INSP-2026-0383</t>
        </is>
      </c>
      <c r="B384" s="6" t="n">
        <v>46081</v>
      </c>
      <c r="C384" t="inlineStr">
        <is>
          <t>U-ST528-01-11</t>
        </is>
      </c>
      <c r="D384" t="inlineStr">
        <is>
          <t>Sungai Tinggi</t>
        </is>
      </c>
      <c r="E384" t="inlineStr">
        <is>
          <t>Ben Ho</t>
        </is>
      </c>
      <c r="F384" t="inlineStr">
        <is>
          <t>Routine</t>
        </is>
      </c>
      <c r="G384" t="inlineStr">
        <is>
          <t>NONE</t>
        </is>
      </c>
      <c r="H384" t="inlineStr">
        <is>
          <t>Compliant</t>
        </is>
      </c>
      <c r="I384" s="6" t="n"/>
      <c r="J384" s="6" t="n"/>
      <c r="K384">
        <f>IF(J384="","",J384-B384)</f>
        <v/>
      </c>
      <c r="L384">
        <f>IF(H384="Compliant","N/A",IF(J384&lt;&gt;"","Closed",IF(I384&lt;DATE(2026,9,30),"OVERDUE","Open")))</f>
        <v/>
      </c>
    </row>
    <row r="385">
      <c r="A385" t="inlineStr">
        <is>
          <t>INSP-2026-0384</t>
        </is>
      </c>
      <c r="B385" s="6" t="n">
        <v>46081</v>
      </c>
      <c r="C385" t="inlineStr">
        <is>
          <t>U-CD189-01-09</t>
        </is>
      </c>
      <c r="D385" t="inlineStr">
        <is>
          <t>Cendana</t>
        </is>
      </c>
      <c r="E385" t="inlineStr">
        <is>
          <t>Marcus Lim</t>
        </is>
      </c>
      <c r="F385" t="inlineStr">
        <is>
          <t>Routine</t>
        </is>
      </c>
      <c r="G385" t="inlineStr">
        <is>
          <t>NONE</t>
        </is>
      </c>
      <c r="H385" t="inlineStr">
        <is>
          <t>Compliant</t>
        </is>
      </c>
      <c r="I385" s="6" t="n"/>
      <c r="J385" s="6" t="n"/>
      <c r="K385">
        <f>IF(J385="","",J385-B385)</f>
        <v/>
      </c>
      <c r="L385">
        <f>IF(H385="Compliant","N/A",IF(J385&lt;&gt;"","Closed",IF(I385&lt;DATE(2026,9,30),"OVERDUE","Open")))</f>
        <v/>
      </c>
    </row>
    <row r="386">
      <c r="A386" t="inlineStr">
        <is>
          <t>INSP-2026-0385</t>
        </is>
      </c>
      <c r="B386" s="6" t="n">
        <v>46081</v>
      </c>
      <c r="C386" t="inlineStr">
        <is>
          <t>U-CD118-01-31</t>
        </is>
      </c>
      <c r="D386" t="inlineStr">
        <is>
          <t>Cendana</t>
        </is>
      </c>
      <c r="E386" t="inlineStr">
        <is>
          <t>M. Lim</t>
        </is>
      </c>
      <c r="F386" t="inlineStr">
        <is>
          <t>Routine</t>
        </is>
      </c>
      <c r="G386" t="inlineStr">
        <is>
          <t>NONE</t>
        </is>
      </c>
      <c r="H386" t="inlineStr">
        <is>
          <t>Compliant</t>
        </is>
      </c>
      <c r="I386" s="6" t="n"/>
      <c r="J386" s="6" t="n"/>
      <c r="K386">
        <f>IF(J386="","",J386-B386)</f>
        <v/>
      </c>
      <c r="L386">
        <f>IF(H386="Compliant","N/A",IF(J386&lt;&gt;"","Closed",IF(I386&lt;DATE(2026,9,30),"OVERDUE","Open")))</f>
        <v/>
      </c>
    </row>
    <row r="387">
      <c r="A387" t="inlineStr">
        <is>
          <t>INSP-2026-0386</t>
        </is>
      </c>
      <c r="B387" s="6" t="n">
        <v>46081</v>
      </c>
      <c r="C387" t="inlineStr">
        <is>
          <t>U-KR317-02-10</t>
        </is>
      </c>
      <c r="D387" t="inlineStr">
        <is>
          <t>Kebun Raya</t>
        </is>
      </c>
      <c r="E387" t="inlineStr">
        <is>
          <t>Daniel Ong</t>
        </is>
      </c>
      <c r="F387" t="inlineStr">
        <is>
          <t>Routine</t>
        </is>
      </c>
      <c r="G387" t="inlineStr">
        <is>
          <t>NONE</t>
        </is>
      </c>
      <c r="H387" t="inlineStr">
        <is>
          <t>Compliant</t>
        </is>
      </c>
      <c r="I387" s="6" t="n"/>
      <c r="J387" s="6" t="n"/>
      <c r="K387">
        <f>IF(J387="","",J387-B387)</f>
        <v/>
      </c>
      <c r="L387">
        <f>IF(H387="Compliant","N/A",IF(J387&lt;&gt;"","Closed",IF(I387&lt;DATE(2026,9,30),"OVERDUE","Open")))</f>
        <v/>
      </c>
    </row>
    <row r="388">
      <c r="A388" t="inlineStr">
        <is>
          <t>INSP-2026-0387</t>
        </is>
      </c>
      <c r="B388" s="6" t="n">
        <v>46082</v>
      </c>
      <c r="C388" t="inlineStr">
        <is>
          <t>U-PI615-01-05</t>
        </is>
      </c>
      <c r="D388" t="inlineStr">
        <is>
          <t>Pasir Indah</t>
        </is>
      </c>
      <c r="E388" t="inlineStr">
        <is>
          <t>marcus</t>
        </is>
      </c>
      <c r="F388" t="inlineStr">
        <is>
          <t>Routine</t>
        </is>
      </c>
      <c r="G388" t="inlineStr">
        <is>
          <t>NONE</t>
        </is>
      </c>
      <c r="H388" t="inlineStr">
        <is>
          <t>Compliant</t>
        </is>
      </c>
      <c r="I388" s="6" t="n"/>
      <c r="J388" s="6" t="n"/>
      <c r="K388">
        <f>IF(J388="","",J388-B388)</f>
        <v/>
      </c>
      <c r="L388">
        <f>IF(H388="Compliant","N/A",IF(J388&lt;&gt;"","Closed",IF(I388&lt;DATE(2026,9,30),"OVERDUE","Open")))</f>
        <v/>
      </c>
    </row>
    <row r="389">
      <c r="A389" t="inlineStr">
        <is>
          <t>INSP-2026-0388</t>
        </is>
      </c>
      <c r="B389" s="6" t="n">
        <v>46082</v>
      </c>
      <c r="C389" t="inlineStr">
        <is>
          <t>U-BV266-01-10</t>
        </is>
      </c>
      <c r="D389" t="inlineStr">
        <is>
          <t>Bayshore Vale</t>
        </is>
      </c>
      <c r="E389" t="inlineStr">
        <is>
          <t>M. Lim</t>
        </is>
      </c>
      <c r="F389" t="inlineStr">
        <is>
          <t>Follow-up</t>
        </is>
      </c>
      <c r="G389" t="inlineStr">
        <is>
          <t>DISPLAY_ENCROACH</t>
        </is>
      </c>
      <c r="H389" t="inlineStr">
        <is>
          <t>Minor Breach</t>
        </is>
      </c>
      <c r="I389" s="6" t="n">
        <v>46096</v>
      </c>
      <c r="J389" s="6" t="n">
        <v>46094</v>
      </c>
      <c r="K389">
        <f>IF(J389="","",J389-B389)</f>
        <v/>
      </c>
      <c r="L389">
        <f>IF(H389="Compliant","N/A",IF(J389&lt;&gt;"","Closed",IF(I389&lt;DATE(2026,9,30),"OVERDUE","Open")))</f>
        <v/>
      </c>
    </row>
    <row r="390">
      <c r="A390" t="inlineStr">
        <is>
          <t>INSP-2026-0389</t>
        </is>
      </c>
      <c r="B390" s="6" t="n">
        <v>46082</v>
      </c>
      <c r="C390" t="inlineStr">
        <is>
          <t>U-PI626-01-08</t>
        </is>
      </c>
      <c r="D390" t="inlineStr">
        <is>
          <t>Pasir Indah</t>
        </is>
      </c>
      <c r="E390" t="inlineStr">
        <is>
          <t>D. Ong</t>
        </is>
      </c>
      <c r="F390" t="inlineStr">
        <is>
          <t>Follow-up</t>
        </is>
      </c>
      <c r="G390" t="inlineStr">
        <is>
          <t>NONE</t>
        </is>
      </c>
      <c r="H390" t="inlineStr">
        <is>
          <t>Compliant</t>
        </is>
      </c>
      <c r="I390" s="6" t="n"/>
      <c r="J390" s="6" t="n"/>
      <c r="K390">
        <f>IF(J390="","",J390-B390)</f>
        <v/>
      </c>
      <c r="L390">
        <f>IF(H390="Compliant","N/A",IF(J390&lt;&gt;"","Closed",IF(I390&lt;DATE(2026,9,30),"OVERDUE","Open")))</f>
        <v/>
      </c>
    </row>
    <row r="391">
      <c r="A391" t="inlineStr">
        <is>
          <t>INSP-2026-0390</t>
        </is>
      </c>
      <c r="B391" s="6" t="n">
        <v>46082</v>
      </c>
      <c r="C391" t="inlineStr">
        <is>
          <t>U-PI642-01-11</t>
        </is>
      </c>
      <c r="D391" t="inlineStr">
        <is>
          <t>Pasir Indah</t>
        </is>
      </c>
      <c r="E391" t="inlineStr">
        <is>
          <t>marcus</t>
        </is>
      </c>
      <c r="F391" t="inlineStr">
        <is>
          <t>Routine</t>
        </is>
      </c>
      <c r="G391" t="inlineStr">
        <is>
          <t>NONE</t>
        </is>
      </c>
      <c r="H391" t="inlineStr">
        <is>
          <t>Compliant</t>
        </is>
      </c>
      <c r="I391" s="6" t="n"/>
      <c r="J391" s="6" t="n"/>
      <c r="K391">
        <f>IF(J391="","",J391-B391)</f>
        <v/>
      </c>
      <c r="L391">
        <f>IF(H391="Compliant","N/A",IF(J391&lt;&gt;"","Closed",IF(I391&lt;DATE(2026,9,30),"OVERDUE","Open")))</f>
        <v/>
      </c>
    </row>
    <row r="392">
      <c r="A392" t="inlineStr">
        <is>
          <t>INSP-2026-0391</t>
        </is>
      </c>
      <c r="B392" s="6" t="n">
        <v>46082</v>
      </c>
      <c r="C392" t="inlineStr">
        <is>
          <t>U-KR362-01-02</t>
        </is>
      </c>
      <c r="D392" t="inlineStr">
        <is>
          <t>Kebun Raya</t>
        </is>
      </c>
      <c r="E392" t="inlineStr">
        <is>
          <t>daniel ong</t>
        </is>
      </c>
      <c r="F392" t="inlineStr">
        <is>
          <t>Routine</t>
        </is>
      </c>
      <c r="G392" t="inlineStr">
        <is>
          <t>NONE</t>
        </is>
      </c>
      <c r="H392" t="inlineStr">
        <is>
          <t>Compliant</t>
        </is>
      </c>
      <c r="I392" s="6" t="n"/>
      <c r="J392" s="6" t="n"/>
      <c r="K392">
        <f>IF(J392="","",J392-B392)</f>
        <v/>
      </c>
      <c r="L392">
        <f>IF(H392="Compliant","N/A",IF(J392&lt;&gt;"","Closed",IF(I392&lt;DATE(2026,9,30),"OVERDUE","Open")))</f>
        <v/>
      </c>
    </row>
    <row r="393">
      <c r="A393" t="inlineStr">
        <is>
          <t>INSP-2026-0392</t>
        </is>
      </c>
      <c r="B393" s="6" t="n">
        <v>46082</v>
      </c>
      <c r="C393" t="inlineStr">
        <is>
          <t>U-RH438-01-07</t>
        </is>
      </c>
      <c r="D393" t="inlineStr">
        <is>
          <t>Rimba Heights</t>
        </is>
      </c>
      <c r="E393" t="inlineStr">
        <is>
          <t>D. Ong</t>
        </is>
      </c>
      <c r="F393" t="inlineStr">
        <is>
          <t>Follow-up</t>
        </is>
      </c>
      <c r="G393" t="inlineStr">
        <is>
          <t>NONE</t>
        </is>
      </c>
      <c r="H393" t="inlineStr">
        <is>
          <t>Compliant</t>
        </is>
      </c>
      <c r="I393" s="6" t="n"/>
      <c r="J393" s="6" t="n"/>
      <c r="K393">
        <f>IF(J393="","",J393-B393)</f>
        <v/>
      </c>
      <c r="L393">
        <f>IF(H393="Compliant","N/A",IF(J393&lt;&gt;"","Closed",IF(I393&lt;DATE(2026,9,30),"OVERDUE","Open")))</f>
        <v/>
      </c>
    </row>
    <row r="394">
      <c r="A394" t="inlineStr">
        <is>
          <t>INSP-2026-0393</t>
        </is>
      </c>
      <c r="B394" s="6" t="n">
        <v>46082</v>
      </c>
      <c r="C394" t="inlineStr">
        <is>
          <t>U-RH441-01-03</t>
        </is>
      </c>
      <c r="D394" t="inlineStr">
        <is>
          <t>Rimba Heights</t>
        </is>
      </c>
      <c r="E394" t="inlineStr">
        <is>
          <t>Daniel O.</t>
        </is>
      </c>
      <c r="F394" t="inlineStr">
        <is>
          <t>Routine</t>
        </is>
      </c>
      <c r="G394" t="inlineStr">
        <is>
          <t>NONE</t>
        </is>
      </c>
      <c r="H394" t="inlineStr">
        <is>
          <t>Compliant</t>
        </is>
      </c>
      <c r="I394" s="6" t="n"/>
      <c r="J394" s="6" t="n"/>
      <c r="K394">
        <f>IF(J394="","",J394-B394)</f>
        <v/>
      </c>
      <c r="L394">
        <f>IF(H394="Compliant","N/A",IF(J394&lt;&gt;"","Closed",IF(I394&lt;DATE(2026,9,30),"OVERDUE","Open")))</f>
        <v/>
      </c>
    </row>
    <row r="395">
      <c r="A395" t="inlineStr">
        <is>
          <t>INSP-2026-0394</t>
        </is>
      </c>
      <c r="B395" s="6" t="n">
        <v>46082</v>
      </c>
      <c r="C395" t="inlineStr">
        <is>
          <t>U-CD120-01-07</t>
        </is>
      </c>
      <c r="D395" t="inlineStr">
        <is>
          <t>Cendana</t>
        </is>
      </c>
      <c r="E395" t="inlineStr">
        <is>
          <t>Daniel O.</t>
        </is>
      </c>
      <c r="F395" t="inlineStr">
        <is>
          <t>Follow-up</t>
        </is>
      </c>
      <c r="G395" t="inlineStr">
        <is>
          <t>HYGIENE</t>
        </is>
      </c>
      <c r="H395" t="inlineStr">
        <is>
          <t>Minor Breach</t>
        </is>
      </c>
      <c r="I395" s="6" t="n">
        <v>46096</v>
      </c>
      <c r="J395" s="6" t="n">
        <v>46103</v>
      </c>
      <c r="K395">
        <f>IF(J395="","",J395-B395)</f>
        <v/>
      </c>
      <c r="L395">
        <f>IF(H395="Compliant","N/A",IF(J395&lt;&gt;"","Closed",IF(I395&lt;DATE(2026,9,30),"OVERDUE","Open")))</f>
        <v/>
      </c>
    </row>
    <row r="396">
      <c r="A396" t="inlineStr">
        <is>
          <t>INSP-2026-0395</t>
        </is>
      </c>
      <c r="B396" s="6" t="n">
        <v>46082</v>
      </c>
      <c r="C396" t="inlineStr">
        <is>
          <t>U-BV205-01-12</t>
        </is>
      </c>
      <c r="D396" t="inlineStr">
        <is>
          <t>Bayshore Vale</t>
        </is>
      </c>
      <c r="E396" t="inlineStr">
        <is>
          <t>Daniel Ong</t>
        </is>
      </c>
      <c r="F396" t="inlineStr">
        <is>
          <t>Routine</t>
        </is>
      </c>
      <c r="G396" t="inlineStr">
        <is>
          <t>NONE</t>
        </is>
      </c>
      <c r="H396" t="inlineStr">
        <is>
          <t>Compliant</t>
        </is>
      </c>
      <c r="I396" s="6" t="n"/>
      <c r="J396" s="6" t="n"/>
      <c r="K396">
        <f>IF(J396="","",J396-B396)</f>
        <v/>
      </c>
      <c r="L396">
        <f>IF(H396="Compliant","N/A",IF(J396&lt;&gt;"","Closed",IF(I396&lt;DATE(2026,9,30),"OVERDUE","Open")))</f>
        <v/>
      </c>
    </row>
    <row r="397">
      <c r="A397" t="inlineStr">
        <is>
          <t>INSP-2026-0396</t>
        </is>
      </c>
      <c r="B397" s="6" t="n">
        <v>46082</v>
      </c>
      <c r="C397" t="inlineStr">
        <is>
          <t>U-CD190-01-06</t>
        </is>
      </c>
      <c r="D397" t="inlineStr">
        <is>
          <t>Cendana</t>
        </is>
      </c>
      <c r="E397" t="inlineStr">
        <is>
          <t>M. Lim</t>
        </is>
      </c>
      <c r="F397" t="inlineStr">
        <is>
          <t>Routine</t>
        </is>
      </c>
      <c r="G397" t="inlineStr">
        <is>
          <t>NONE</t>
        </is>
      </c>
      <c r="H397" t="inlineStr">
        <is>
          <t>Compliant</t>
        </is>
      </c>
      <c r="I397" s="6" t="n"/>
      <c r="J397" s="6" t="n"/>
      <c r="K397">
        <f>IF(J397="","",J397-B397)</f>
        <v/>
      </c>
      <c r="L397">
        <f>IF(H397="Compliant","N/A",IF(J397&lt;&gt;"","Closed",IF(I397&lt;DATE(2026,9,30),"OVERDUE","Open")))</f>
        <v/>
      </c>
    </row>
    <row r="398">
      <c r="A398" t="inlineStr">
        <is>
          <t>INSP-2026-0397</t>
        </is>
      </c>
      <c r="B398" s="6" t="n">
        <v>46082</v>
      </c>
      <c r="C398" t="inlineStr">
        <is>
          <t>U-KR379-01-06</t>
        </is>
      </c>
      <c r="D398" t="inlineStr">
        <is>
          <t>Kebun Raya</t>
        </is>
      </c>
      <c r="E398" t="inlineStr">
        <is>
          <t>Daniel O.</t>
        </is>
      </c>
      <c r="F398" t="inlineStr">
        <is>
          <t>Routine</t>
        </is>
      </c>
      <c r="G398" t="inlineStr">
        <is>
          <t>NONE</t>
        </is>
      </c>
      <c r="H398" t="inlineStr">
        <is>
          <t>Compliant</t>
        </is>
      </c>
      <c r="I398" s="6" t="n"/>
      <c r="J398" s="6" t="n"/>
      <c r="K398">
        <f>IF(J398="","",J398-B398)</f>
        <v/>
      </c>
      <c r="L398">
        <f>IF(H398="Compliant","N/A",IF(J398&lt;&gt;"","Closed",IF(I398&lt;DATE(2026,9,30),"OVERDUE","Open")))</f>
        <v/>
      </c>
    </row>
    <row r="399">
      <c r="A399" t="inlineStr">
        <is>
          <t>INSP-2026-0398</t>
        </is>
      </c>
      <c r="B399" s="6" t="n">
        <v>46082</v>
      </c>
      <c r="C399" t="inlineStr">
        <is>
          <t>U-KR323-01-08</t>
        </is>
      </c>
      <c r="D399" t="inlineStr">
        <is>
          <t>Kebun Raya</t>
        </is>
      </c>
      <c r="E399" t="inlineStr">
        <is>
          <t>daniel ong</t>
        </is>
      </c>
      <c r="F399" t="inlineStr">
        <is>
          <t>Routine</t>
        </is>
      </c>
      <c r="G399" t="inlineStr">
        <is>
          <t>NONE</t>
        </is>
      </c>
      <c r="H399" t="inlineStr">
        <is>
          <t>Compliant</t>
        </is>
      </c>
      <c r="I399" s="6" t="n"/>
      <c r="J399" s="6" t="n"/>
      <c r="K399">
        <f>IF(J399="","",J399-B399)</f>
        <v/>
      </c>
      <c r="L399">
        <f>IF(H399="Compliant","N/A",IF(J399&lt;&gt;"","Closed",IF(I399&lt;DATE(2026,9,30),"OVERDUE","Open")))</f>
        <v/>
      </c>
    </row>
    <row r="400">
      <c r="A400" t="inlineStr">
        <is>
          <t>INSP-2026-0399</t>
        </is>
      </c>
      <c r="B400" s="6" t="n">
        <v>46082</v>
      </c>
      <c r="C400" t="inlineStr">
        <is>
          <t>U-PI615-01-03</t>
        </is>
      </c>
      <c r="D400" t="inlineStr">
        <is>
          <t>Pasir Indah</t>
        </is>
      </c>
      <c r="E400" t="inlineStr">
        <is>
          <t>Marcus Lim</t>
        </is>
      </c>
      <c r="F400" t="inlineStr">
        <is>
          <t>Routine</t>
        </is>
      </c>
      <c r="G400" t="inlineStr">
        <is>
          <t>DISPLAY_ENCROACH</t>
        </is>
      </c>
      <c r="H400" t="inlineStr">
        <is>
          <t>Minor Breach</t>
        </is>
      </c>
      <c r="I400" s="6" t="n">
        <v>46096</v>
      </c>
      <c r="J400" s="6" t="n">
        <v>46103</v>
      </c>
      <c r="K400">
        <f>IF(J400="","",J400-B400)</f>
        <v/>
      </c>
      <c r="L400">
        <f>IF(H400="Compliant","N/A",IF(J400&lt;&gt;"","Closed",IF(I400&lt;DATE(2026,9,30),"OVERDUE","Open")))</f>
        <v/>
      </c>
    </row>
    <row r="401">
      <c r="A401" t="inlineStr">
        <is>
          <t>INSP-2026-0400</t>
        </is>
      </c>
      <c r="B401" s="6" t="n">
        <v>46083</v>
      </c>
      <c r="C401" t="inlineStr">
        <is>
          <t>U-BV212-01-11</t>
        </is>
      </c>
      <c r="D401" t="inlineStr">
        <is>
          <t>Bayshore Vale</t>
        </is>
      </c>
      <c r="E401" t="inlineStr">
        <is>
          <t>Daniel O.</t>
        </is>
      </c>
      <c r="F401" t="inlineStr">
        <is>
          <t>Routine</t>
        </is>
      </c>
      <c r="G401" t="inlineStr">
        <is>
          <t>NONE</t>
        </is>
      </c>
      <c r="H401" t="inlineStr">
        <is>
          <t>Compliant</t>
        </is>
      </c>
      <c r="I401" s="6" t="n"/>
      <c r="J401" s="6" t="n"/>
      <c r="K401">
        <f>IF(J401="","",J401-B401)</f>
        <v/>
      </c>
      <c r="L401">
        <f>IF(H401="Compliant","N/A",IF(J401&lt;&gt;"","Closed",IF(I401&lt;DATE(2026,9,30),"OVERDUE","Open")))</f>
        <v/>
      </c>
    </row>
    <row r="402">
      <c r="A402" t="inlineStr">
        <is>
          <t>INSP-2026-0401</t>
        </is>
      </c>
      <c r="B402" s="6" t="n">
        <v>46083</v>
      </c>
      <c r="C402" t="inlineStr">
        <is>
          <t>U-PI626-01-14</t>
        </is>
      </c>
      <c r="D402" t="inlineStr">
        <is>
          <t>Pasir Indah</t>
        </is>
      </c>
      <c r="E402" t="inlineStr">
        <is>
          <t>daniel ong</t>
        </is>
      </c>
      <c r="F402" t="inlineStr">
        <is>
          <t>Routine</t>
        </is>
      </c>
      <c r="G402" t="inlineStr">
        <is>
          <t>NONE</t>
        </is>
      </c>
      <c r="H402" t="inlineStr">
        <is>
          <t>Compliant</t>
        </is>
      </c>
      <c r="I402" s="6" t="n"/>
      <c r="J402" s="6" t="n"/>
      <c r="K402">
        <f>IF(J402="","",J402-B402)</f>
        <v/>
      </c>
      <c r="L402">
        <f>IF(H402="Compliant","N/A",IF(J402&lt;&gt;"","Closed",IF(I402&lt;DATE(2026,9,30),"OVERDUE","Open")))</f>
        <v/>
      </c>
    </row>
    <row r="403">
      <c r="A403" t="inlineStr">
        <is>
          <t>INSP-2026-0402</t>
        </is>
      </c>
      <c r="B403" s="6" t="n">
        <v>46083</v>
      </c>
      <c r="C403" t="inlineStr">
        <is>
          <t>U-CD185-01-08</t>
        </is>
      </c>
      <c r="D403" t="inlineStr">
        <is>
          <t>Cendana</t>
        </is>
      </c>
      <c r="E403" t="inlineStr">
        <is>
          <t>Marcus Lim</t>
        </is>
      </c>
      <c r="F403" t="inlineStr">
        <is>
          <t>Routine</t>
        </is>
      </c>
      <c r="G403" t="inlineStr">
        <is>
          <t>NONE</t>
        </is>
      </c>
      <c r="H403" t="inlineStr">
        <is>
          <t>Compliant</t>
        </is>
      </c>
      <c r="I403" s="6" t="n"/>
      <c r="J403" s="6" t="n"/>
      <c r="K403">
        <f>IF(J403="","",J403-B403)</f>
        <v/>
      </c>
      <c r="L403">
        <f>IF(H403="Compliant","N/A",IF(J403&lt;&gt;"","Closed",IF(I403&lt;DATE(2026,9,30),"OVERDUE","Open")))</f>
        <v/>
      </c>
    </row>
    <row r="404">
      <c r="A404" t="inlineStr">
        <is>
          <t>INSP-2026-0403</t>
        </is>
      </c>
      <c r="B404" s="6" t="n">
        <v>46083</v>
      </c>
      <c r="C404" t="inlineStr">
        <is>
          <t>U-ST536-02-01</t>
        </is>
      </c>
      <c r="D404" t="inlineStr">
        <is>
          <t>Sungai Tinggi</t>
        </is>
      </c>
      <c r="E404" t="inlineStr">
        <is>
          <t>Benjamin Ho</t>
        </is>
      </c>
      <c r="F404" t="inlineStr">
        <is>
          <t>Routine</t>
        </is>
      </c>
      <c r="G404" t="inlineStr">
        <is>
          <t>NONE</t>
        </is>
      </c>
      <c r="H404" t="inlineStr">
        <is>
          <t>Compliant</t>
        </is>
      </c>
      <c r="I404" s="6" t="n"/>
      <c r="J404" s="6" t="n"/>
      <c r="K404">
        <f>IF(J404="","",J404-B404)</f>
        <v/>
      </c>
      <c r="L404">
        <f>IF(H404="Compliant","N/A",IF(J404&lt;&gt;"","Closed",IF(I404&lt;DATE(2026,9,30),"OVERDUE","Open")))</f>
        <v/>
      </c>
    </row>
    <row r="405">
      <c r="A405" t="inlineStr">
        <is>
          <t>INSP-2026-0404</t>
        </is>
      </c>
      <c r="B405" s="6" t="n">
        <v>46083</v>
      </c>
      <c r="C405" t="inlineStr">
        <is>
          <t>U-PI614-01-05</t>
        </is>
      </c>
      <c r="D405" t="inlineStr">
        <is>
          <t>Pasir Indah</t>
        </is>
      </c>
      <c r="E405" t="inlineStr">
        <is>
          <t>daniel ong</t>
        </is>
      </c>
      <c r="F405" t="inlineStr">
        <is>
          <t>Routine</t>
        </is>
      </c>
      <c r="G405" t="inlineStr">
        <is>
          <t>NONE</t>
        </is>
      </c>
      <c r="H405" t="inlineStr">
        <is>
          <t>Compliant</t>
        </is>
      </c>
      <c r="I405" s="6" t="n"/>
      <c r="J405" s="6" t="n"/>
      <c r="K405">
        <f>IF(J405="","",J405-B405)</f>
        <v/>
      </c>
      <c r="L405">
        <f>IF(H405="Compliant","N/A",IF(J405&lt;&gt;"","Closed",IF(I405&lt;DATE(2026,9,30),"OVERDUE","Open")))</f>
        <v/>
      </c>
    </row>
    <row r="406">
      <c r="A406" t="inlineStr">
        <is>
          <t>INSP-2026-0405</t>
        </is>
      </c>
      <c r="B406" s="6" t="n">
        <v>46083</v>
      </c>
      <c r="C406" t="inlineStr">
        <is>
          <t>U-ST564-01-02</t>
        </is>
      </c>
      <c r="D406" t="inlineStr">
        <is>
          <t>Sungai Tinggi</t>
        </is>
      </c>
      <c r="E406" t="inlineStr">
        <is>
          <t>daniel ong</t>
        </is>
      </c>
      <c r="F406" t="inlineStr">
        <is>
          <t>Routine</t>
        </is>
      </c>
      <c r="G406" t="inlineStr">
        <is>
          <t>NONE</t>
        </is>
      </c>
      <c r="H406" t="inlineStr">
        <is>
          <t>Compliant</t>
        </is>
      </c>
      <c r="I406" s="6" t="n"/>
      <c r="J406" s="6" t="n"/>
      <c r="K406">
        <f>IF(J406="","",J406-B406)</f>
        <v/>
      </c>
      <c r="L406">
        <f>IF(H406="Compliant","N/A",IF(J406&lt;&gt;"","Closed",IF(I406&lt;DATE(2026,9,30),"OVERDUE","Open")))</f>
        <v/>
      </c>
    </row>
    <row r="407">
      <c r="A407" t="inlineStr">
        <is>
          <t>INSP-2026-0406</t>
        </is>
      </c>
      <c r="B407" s="6" t="n">
        <v>46083</v>
      </c>
      <c r="C407" t="inlineStr">
        <is>
          <t>U-ST538-02-01</t>
        </is>
      </c>
      <c r="D407" t="inlineStr">
        <is>
          <t>Sungai Tinggi</t>
        </is>
      </c>
      <c r="E407" t="inlineStr">
        <is>
          <t>Daniel O.</t>
        </is>
      </c>
      <c r="F407" t="inlineStr">
        <is>
          <t>Routine</t>
        </is>
      </c>
      <c r="G407" t="inlineStr">
        <is>
          <t>NONE</t>
        </is>
      </c>
      <c r="H407" t="inlineStr">
        <is>
          <t>Compliant</t>
        </is>
      </c>
      <c r="I407" s="6" t="n"/>
      <c r="J407" s="6" t="n"/>
      <c r="K407">
        <f>IF(J407="","",J407-B407)</f>
        <v/>
      </c>
      <c r="L407">
        <f>IF(H407="Compliant","N/A",IF(J407&lt;&gt;"","Closed",IF(I407&lt;DATE(2026,9,30),"OVERDUE","Open")))</f>
        <v/>
      </c>
    </row>
    <row r="408">
      <c r="A408" t="inlineStr">
        <is>
          <t>INSP-2026-0407</t>
        </is>
      </c>
      <c r="B408" s="6" t="n">
        <v>46083</v>
      </c>
      <c r="C408" t="inlineStr">
        <is>
          <t>U-CD143-01-08</t>
        </is>
      </c>
      <c r="D408" t="inlineStr">
        <is>
          <t>Cendana</t>
        </is>
      </c>
      <c r="E408" t="inlineStr">
        <is>
          <t>daniel ong</t>
        </is>
      </c>
      <c r="F408" t="inlineStr">
        <is>
          <t>Routine</t>
        </is>
      </c>
      <c r="G408" t="inlineStr">
        <is>
          <t>NONE</t>
        </is>
      </c>
      <c r="H408" t="inlineStr">
        <is>
          <t>Compliant</t>
        </is>
      </c>
      <c r="I408" s="6" t="n"/>
      <c r="J408" s="6" t="n"/>
      <c r="K408">
        <f>IF(J408="","",J408-B408)</f>
        <v/>
      </c>
      <c r="L408">
        <f>IF(H408="Compliant","N/A",IF(J408&lt;&gt;"","Closed",IF(I408&lt;DATE(2026,9,30),"OVERDUE","Open")))</f>
        <v/>
      </c>
    </row>
    <row r="409">
      <c r="A409" t="inlineStr">
        <is>
          <t>INSP-2026-0408</t>
        </is>
      </c>
      <c r="B409" s="6" t="n">
        <v>46084</v>
      </c>
      <c r="C409" t="inlineStr">
        <is>
          <t>U-KR368-01-04</t>
        </is>
      </c>
      <c r="D409" t="inlineStr">
        <is>
          <t>Kebun Raya</t>
        </is>
      </c>
      <c r="E409" t="inlineStr">
        <is>
          <t>D. Ong</t>
        </is>
      </c>
      <c r="F409" t="inlineStr">
        <is>
          <t>Routine</t>
        </is>
      </c>
      <c r="G409" t="inlineStr">
        <is>
          <t>NONE</t>
        </is>
      </c>
      <c r="H409" t="inlineStr">
        <is>
          <t>Compliant</t>
        </is>
      </c>
      <c r="I409" s="6" t="n"/>
      <c r="J409" s="6" t="n"/>
      <c r="K409">
        <f>IF(J409="","",J409-B409)</f>
        <v/>
      </c>
      <c r="L409">
        <f>IF(H409="Compliant","N/A",IF(J409&lt;&gt;"","Closed",IF(I409&lt;DATE(2026,9,30),"OVERDUE","Open")))</f>
        <v/>
      </c>
    </row>
    <row r="410">
      <c r="A410" t="inlineStr">
        <is>
          <t>INSP-2026-0409</t>
        </is>
      </c>
      <c r="B410" s="6" t="n">
        <v>46084</v>
      </c>
      <c r="C410" t="inlineStr">
        <is>
          <t>U-RH486-01-01</t>
        </is>
      </c>
      <c r="D410" t="inlineStr">
        <is>
          <t>Rimba Heights</t>
        </is>
      </c>
      <c r="E410" t="inlineStr">
        <is>
          <t>B. Ho</t>
        </is>
      </c>
      <c r="F410" t="inlineStr">
        <is>
          <t>Routine</t>
        </is>
      </c>
      <c r="G410" t="inlineStr">
        <is>
          <t>DISPLAY_ENCROACH</t>
        </is>
      </c>
      <c r="H410" t="inlineStr">
        <is>
          <t>Minor Breach</t>
        </is>
      </c>
      <c r="I410" s="6" t="n">
        <v>46098</v>
      </c>
      <c r="J410" s="6" t="n">
        <v>46096</v>
      </c>
      <c r="K410">
        <f>IF(J410="","",J410-B410)</f>
        <v/>
      </c>
      <c r="L410">
        <f>IF(H410="Compliant","N/A",IF(J410&lt;&gt;"","Closed",IF(I410&lt;DATE(2026,9,30),"OVERDUE","Open")))</f>
        <v/>
      </c>
    </row>
    <row r="411">
      <c r="A411" t="inlineStr">
        <is>
          <t>INSP-2026-0410</t>
        </is>
      </c>
      <c r="B411" s="6" t="n">
        <v>46084</v>
      </c>
      <c r="C411" t="inlineStr">
        <is>
          <t>U-KR368-01-08</t>
        </is>
      </c>
      <c r="D411" t="inlineStr">
        <is>
          <t>Kebun Raya</t>
        </is>
      </c>
      <c r="E411" t="inlineStr">
        <is>
          <t>Daniel O.</t>
        </is>
      </c>
      <c r="F411" t="inlineStr">
        <is>
          <t>Routine</t>
        </is>
      </c>
      <c r="G411" t="inlineStr">
        <is>
          <t>NONE</t>
        </is>
      </c>
      <c r="H411" t="inlineStr">
        <is>
          <t>Compliant</t>
        </is>
      </c>
      <c r="I411" s="6" t="n"/>
      <c r="J411" s="6" t="n"/>
      <c r="K411">
        <f>IF(J411="","",J411-B411)</f>
        <v/>
      </c>
      <c r="L411">
        <f>IF(H411="Compliant","N/A",IF(J411&lt;&gt;"","Closed",IF(I411&lt;DATE(2026,9,30),"OVERDUE","Open")))</f>
        <v/>
      </c>
    </row>
    <row r="412">
      <c r="A412" t="inlineStr">
        <is>
          <t>INSP-2026-0411</t>
        </is>
      </c>
      <c r="B412" s="6" t="n">
        <v>46084</v>
      </c>
      <c r="C412" t="inlineStr">
        <is>
          <t>U-BV212-02-06</t>
        </is>
      </c>
      <c r="D412" t="inlineStr">
        <is>
          <t>Bayshore Vale</t>
        </is>
      </c>
      <c r="E412" t="inlineStr">
        <is>
          <t>daniel ong</t>
        </is>
      </c>
      <c r="F412" t="inlineStr">
        <is>
          <t>Routine</t>
        </is>
      </c>
      <c r="G412" t="inlineStr">
        <is>
          <t>NONE</t>
        </is>
      </c>
      <c r="H412" t="inlineStr">
        <is>
          <t>Compliant</t>
        </is>
      </c>
      <c r="I412" s="6" t="n"/>
      <c r="J412" s="6" t="n"/>
      <c r="K412">
        <f>IF(J412="","",J412-B412)</f>
        <v/>
      </c>
      <c r="L412">
        <f>IF(H412="Compliant","N/A",IF(J412&lt;&gt;"","Closed",IF(I412&lt;DATE(2026,9,30),"OVERDUE","Open")))</f>
        <v/>
      </c>
    </row>
    <row r="413">
      <c r="A413" t="inlineStr">
        <is>
          <t>INSP-2026-0412</t>
        </is>
      </c>
      <c r="B413" s="6" t="n">
        <v>46084</v>
      </c>
      <c r="C413" t="inlineStr">
        <is>
          <t>U-CD109-01-07</t>
        </is>
      </c>
      <c r="D413" t="inlineStr">
        <is>
          <t>Cendana</t>
        </is>
      </c>
      <c r="E413" t="inlineStr">
        <is>
          <t>D. Ong</t>
        </is>
      </c>
      <c r="F413" t="inlineStr">
        <is>
          <t>Routine</t>
        </is>
      </c>
      <c r="G413" t="inlineStr">
        <is>
          <t>UNAPPROVED_AA</t>
        </is>
      </c>
      <c r="H413" t="inlineStr">
        <is>
          <t>Minor Breach</t>
        </is>
      </c>
      <c r="I413" s="6" t="n">
        <v>46098</v>
      </c>
      <c r="J413" s="6" t="n">
        <v>46095</v>
      </c>
      <c r="K413">
        <f>IF(J413="","",J413-B413)</f>
        <v/>
      </c>
      <c r="L413">
        <f>IF(H413="Compliant","N/A",IF(J413&lt;&gt;"","Closed",IF(I413&lt;DATE(2026,9,30),"OVERDUE","Open")))</f>
        <v/>
      </c>
    </row>
    <row r="414">
      <c r="A414" t="inlineStr">
        <is>
          <t>INSP-2026-0413</t>
        </is>
      </c>
      <c r="B414" s="6" t="n">
        <v>46084</v>
      </c>
      <c r="C414" t="inlineStr">
        <is>
          <t>U-KR385-01-13</t>
        </is>
      </c>
      <c r="D414" t="inlineStr">
        <is>
          <t>Kebun Raya</t>
        </is>
      </c>
      <c r="E414" t="inlineStr">
        <is>
          <t>Ben Ho</t>
        </is>
      </c>
      <c r="F414" t="inlineStr">
        <is>
          <t>Follow-up</t>
        </is>
      </c>
      <c r="G414" t="inlineStr">
        <is>
          <t>HYGIENE</t>
        </is>
      </c>
      <c r="H414" t="inlineStr">
        <is>
          <t>Minor Breach</t>
        </is>
      </c>
      <c r="I414" s="6" t="n">
        <v>46098</v>
      </c>
      <c r="J414" s="6" t="n"/>
      <c r="K414">
        <f>IF(J414="","",J414-B414)</f>
        <v/>
      </c>
      <c r="L414">
        <f>IF(H414="Compliant","N/A",IF(J414&lt;&gt;"","Closed",IF(I414&lt;DATE(2026,9,30),"OVERDUE","Open")))</f>
        <v/>
      </c>
    </row>
    <row r="415">
      <c r="A415" t="inlineStr">
        <is>
          <t>INSP-2026-0414</t>
        </is>
      </c>
      <c r="B415" s="6" t="n">
        <v>46084</v>
      </c>
      <c r="C415" t="inlineStr">
        <is>
          <t>U-BV256-01-08</t>
        </is>
      </c>
      <c r="D415" t="inlineStr">
        <is>
          <t>Bayshore Vale</t>
        </is>
      </c>
      <c r="E415" t="inlineStr">
        <is>
          <t>M. Lim</t>
        </is>
      </c>
      <c r="F415" t="inlineStr">
        <is>
          <t>Routine</t>
        </is>
      </c>
      <c r="G415" t="inlineStr">
        <is>
          <t>NONE</t>
        </is>
      </c>
      <c r="H415" t="inlineStr">
        <is>
          <t>Compliant</t>
        </is>
      </c>
      <c r="I415" s="6" t="n"/>
      <c r="J415" s="6" t="n"/>
      <c r="K415">
        <f>IF(J415="","",J415-B415)</f>
        <v/>
      </c>
      <c r="L415">
        <f>IF(H415="Compliant","N/A",IF(J415&lt;&gt;"","Closed",IF(I415&lt;DATE(2026,9,30),"OVERDUE","Open")))</f>
        <v/>
      </c>
    </row>
    <row r="416">
      <c r="A416" t="inlineStr">
        <is>
          <t>INSP-2026-0415</t>
        </is>
      </c>
      <c r="B416" s="6" t="n">
        <v>46084</v>
      </c>
      <c r="C416" t="inlineStr">
        <is>
          <t>U-KR371-01-10</t>
        </is>
      </c>
      <c r="D416" t="inlineStr">
        <is>
          <t>Kebun Raya</t>
        </is>
      </c>
      <c r="E416" t="inlineStr">
        <is>
          <t>Daniel Ong</t>
        </is>
      </c>
      <c r="F416" t="inlineStr">
        <is>
          <t>Routine</t>
        </is>
      </c>
      <c r="G416" t="inlineStr">
        <is>
          <t>HYGIENE</t>
        </is>
      </c>
      <c r="H416" t="inlineStr">
        <is>
          <t>Minor Breach</t>
        </is>
      </c>
      <c r="I416" s="6" t="n">
        <v>46098</v>
      </c>
      <c r="J416" s="6" t="n">
        <v>46101</v>
      </c>
      <c r="K416">
        <f>IF(J416="","",J416-B416)</f>
        <v/>
      </c>
      <c r="L416">
        <f>IF(H416="Compliant","N/A",IF(J416&lt;&gt;"","Closed",IF(I416&lt;DATE(2026,9,30),"OVERDUE","Open")))</f>
        <v/>
      </c>
    </row>
    <row r="417">
      <c r="A417" t="inlineStr">
        <is>
          <t>INSP-2026-0416</t>
        </is>
      </c>
      <c r="B417" s="6" t="n">
        <v>46084</v>
      </c>
      <c r="C417" t="inlineStr">
        <is>
          <t>U-CD165-01-08</t>
        </is>
      </c>
      <c r="D417" t="inlineStr">
        <is>
          <t>Cendana</t>
        </is>
      </c>
      <c r="E417" t="inlineStr">
        <is>
          <t>marcus</t>
        </is>
      </c>
      <c r="F417" t="inlineStr">
        <is>
          <t>Routine</t>
        </is>
      </c>
      <c r="G417" t="inlineStr">
        <is>
          <t>DISPLAY_ENCROACH</t>
        </is>
      </c>
      <c r="H417" t="inlineStr">
        <is>
          <t>Minor Breach</t>
        </is>
      </c>
      <c r="I417" s="6" t="n">
        <v>46098</v>
      </c>
      <c r="J417" s="6" t="n">
        <v>46102</v>
      </c>
      <c r="K417">
        <f>IF(J417="","",J417-B417)</f>
        <v/>
      </c>
      <c r="L417">
        <f>IF(H417="Compliant","N/A",IF(J417&lt;&gt;"","Closed",IF(I417&lt;DATE(2026,9,30),"OVERDUE","Open")))</f>
        <v/>
      </c>
    </row>
    <row r="418">
      <c r="A418" t="inlineStr">
        <is>
          <t>INSP-2026-0417</t>
        </is>
      </c>
      <c r="B418" s="6" t="n">
        <v>46084</v>
      </c>
      <c r="C418" t="inlineStr">
        <is>
          <t>U-ST518-01-03</t>
        </is>
      </c>
      <c r="D418" t="inlineStr">
        <is>
          <t>Sungai Tinggi</t>
        </is>
      </c>
      <c r="E418" t="inlineStr">
        <is>
          <t>Daniel O.</t>
        </is>
      </c>
      <c r="F418" t="inlineStr">
        <is>
          <t>Follow-up</t>
        </is>
      </c>
      <c r="G418" t="inlineStr">
        <is>
          <t>NONE</t>
        </is>
      </c>
      <c r="H418" t="inlineStr">
        <is>
          <t>Compliant</t>
        </is>
      </c>
      <c r="I418" s="6" t="n"/>
      <c r="J418" s="6" t="n"/>
      <c r="K418">
        <f>IF(J418="","",J418-B418)</f>
        <v/>
      </c>
      <c r="L418">
        <f>IF(H418="Compliant","N/A",IF(J418&lt;&gt;"","Closed",IF(I418&lt;DATE(2026,9,30),"OVERDUE","Open")))</f>
        <v/>
      </c>
    </row>
    <row r="419">
      <c r="A419" t="inlineStr">
        <is>
          <t>INSP-2026-0418</t>
        </is>
      </c>
      <c r="B419" s="6" t="n">
        <v>46084</v>
      </c>
      <c r="C419" t="inlineStr">
        <is>
          <t>U-CD108-02-03</t>
        </is>
      </c>
      <c r="D419" t="inlineStr">
        <is>
          <t>Cendana</t>
        </is>
      </c>
      <c r="E419" t="inlineStr">
        <is>
          <t>Daniel Ong</t>
        </is>
      </c>
      <c r="F419" t="inlineStr">
        <is>
          <t>Routine</t>
        </is>
      </c>
      <c r="G419" t="inlineStr">
        <is>
          <t>NONE</t>
        </is>
      </c>
      <c r="H419" t="inlineStr">
        <is>
          <t>Compliant</t>
        </is>
      </c>
      <c r="I419" s="6" t="n"/>
      <c r="J419" s="6" t="n"/>
      <c r="K419">
        <f>IF(J419="","",J419-B419)</f>
        <v/>
      </c>
      <c r="L419">
        <f>IF(H419="Compliant","N/A",IF(J419&lt;&gt;"","Closed",IF(I419&lt;DATE(2026,9,30),"OVERDUE","Open")))</f>
        <v/>
      </c>
    </row>
    <row r="420">
      <c r="A420" t="inlineStr">
        <is>
          <t>INSP-2026-0419</t>
        </is>
      </c>
      <c r="B420" s="6" t="n">
        <v>46085</v>
      </c>
      <c r="C420" t="inlineStr">
        <is>
          <t>U-BV229-02-01</t>
        </is>
      </c>
      <c r="D420" t="inlineStr">
        <is>
          <t>Bayshore Vale</t>
        </is>
      </c>
      <c r="E420" t="inlineStr">
        <is>
          <t>daniel ong</t>
        </is>
      </c>
      <c r="F420" t="inlineStr">
        <is>
          <t>Complaint-driven</t>
        </is>
      </c>
      <c r="G420" t="inlineStr">
        <is>
          <t>NONE</t>
        </is>
      </c>
      <c r="H420" t="inlineStr">
        <is>
          <t>Compliant</t>
        </is>
      </c>
      <c r="I420" s="6" t="n"/>
      <c r="J420" s="6" t="n"/>
      <c r="K420">
        <f>IF(J420="","",J420-B420)</f>
        <v/>
      </c>
      <c r="L420">
        <f>IF(H420="Compliant","N/A",IF(J420&lt;&gt;"","Closed",IF(I420&lt;DATE(2026,9,30),"OVERDUE","Open")))</f>
        <v/>
      </c>
    </row>
    <row r="421">
      <c r="A421" t="inlineStr">
        <is>
          <t>INSP-2026-0420</t>
        </is>
      </c>
      <c r="B421" s="6" t="n">
        <v>46085</v>
      </c>
      <c r="C421" t="inlineStr">
        <is>
          <t>U-ST579-01-08</t>
        </is>
      </c>
      <c r="D421" t="inlineStr">
        <is>
          <t>Sungai Tinggi</t>
        </is>
      </c>
      <c r="E421" t="inlineStr">
        <is>
          <t>Ben Ho</t>
        </is>
      </c>
      <c r="F421" t="inlineStr">
        <is>
          <t>Routine</t>
        </is>
      </c>
      <c r="G421" t="inlineStr">
        <is>
          <t>NONE</t>
        </is>
      </c>
      <c r="H421" t="inlineStr">
        <is>
          <t>Compliant</t>
        </is>
      </c>
      <c r="I421" s="6" t="n"/>
      <c r="J421" s="6" t="n"/>
      <c r="K421">
        <f>IF(J421="","",J421-B421)</f>
        <v/>
      </c>
      <c r="L421">
        <f>IF(H421="Compliant","N/A",IF(J421&lt;&gt;"","Closed",IF(I421&lt;DATE(2026,9,30),"OVERDUE","Open")))</f>
        <v/>
      </c>
    </row>
    <row r="422">
      <c r="A422" t="inlineStr">
        <is>
          <t>INSP-2026-0421</t>
        </is>
      </c>
      <c r="B422" s="6" t="n">
        <v>46085</v>
      </c>
      <c r="C422" t="inlineStr">
        <is>
          <t>U-RH464-01-06</t>
        </is>
      </c>
      <c r="D422" t="inlineStr">
        <is>
          <t>Rimba Heights</t>
        </is>
      </c>
      <c r="E422" t="inlineStr">
        <is>
          <t>Benjamin Ho</t>
        </is>
      </c>
      <c r="F422" t="inlineStr">
        <is>
          <t>Complaint-driven</t>
        </is>
      </c>
      <c r="G422" t="inlineStr">
        <is>
          <t>NONE</t>
        </is>
      </c>
      <c r="H422" t="inlineStr">
        <is>
          <t>Compliant</t>
        </is>
      </c>
      <c r="I422" s="6" t="n"/>
      <c r="J422" s="6" t="n"/>
      <c r="K422">
        <f>IF(J422="","",J422-B422)</f>
        <v/>
      </c>
      <c r="L422">
        <f>IF(H422="Compliant","N/A",IF(J422&lt;&gt;"","Closed",IF(I422&lt;DATE(2026,9,30),"OVERDUE","Open")))</f>
        <v/>
      </c>
    </row>
    <row r="423">
      <c r="A423" t="inlineStr">
        <is>
          <t>INSP-2026-0422</t>
        </is>
      </c>
      <c r="B423" s="6" t="n">
        <v>46085</v>
      </c>
      <c r="C423" t="inlineStr">
        <is>
          <t>U-PI657-01-07</t>
        </is>
      </c>
      <c r="D423" t="inlineStr">
        <is>
          <t>Pasir Indah</t>
        </is>
      </c>
      <c r="E423" t="inlineStr">
        <is>
          <t>M. Lim</t>
        </is>
      </c>
      <c r="F423" t="inlineStr">
        <is>
          <t>Routine</t>
        </is>
      </c>
      <c r="G423" t="inlineStr">
        <is>
          <t>NONE</t>
        </is>
      </c>
      <c r="H423" t="inlineStr">
        <is>
          <t>Compliant</t>
        </is>
      </c>
      <c r="I423" s="6" t="n"/>
      <c r="J423" s="6" t="n"/>
      <c r="K423">
        <f>IF(J423="","",J423-B423)</f>
        <v/>
      </c>
      <c r="L423">
        <f>IF(H423="Compliant","N/A",IF(J423&lt;&gt;"","Closed",IF(I423&lt;DATE(2026,9,30),"OVERDUE","Open")))</f>
        <v/>
      </c>
    </row>
    <row r="424">
      <c r="A424" t="inlineStr">
        <is>
          <t>INSP-2026-0423</t>
        </is>
      </c>
      <c r="B424" s="6" t="n">
        <v>46085</v>
      </c>
      <c r="C424" t="inlineStr">
        <is>
          <t>U-BV296-01-07</t>
        </is>
      </c>
      <c r="D424" t="inlineStr">
        <is>
          <t>Bayshore Vale</t>
        </is>
      </c>
      <c r="E424" t="inlineStr">
        <is>
          <t>D. Ong</t>
        </is>
      </c>
      <c r="F424" t="inlineStr">
        <is>
          <t>Routine</t>
        </is>
      </c>
      <c r="G424" t="inlineStr">
        <is>
          <t>NONE</t>
        </is>
      </c>
      <c r="H424" t="inlineStr">
        <is>
          <t>Compliant</t>
        </is>
      </c>
      <c r="I424" s="6" t="n"/>
      <c r="J424" s="6" t="n"/>
      <c r="K424">
        <f>IF(J424="","",J424-B424)</f>
        <v/>
      </c>
      <c r="L424">
        <f>IF(H424="Compliant","N/A",IF(J424&lt;&gt;"","Closed",IF(I424&lt;DATE(2026,9,30),"OVERDUE","Open")))</f>
        <v/>
      </c>
    </row>
    <row r="425">
      <c r="A425" t="inlineStr">
        <is>
          <t>INSP-2026-0424</t>
        </is>
      </c>
      <c r="B425" s="6" t="n">
        <v>46085</v>
      </c>
      <c r="C425" t="inlineStr">
        <is>
          <t>U-ST512-01-12</t>
        </is>
      </c>
      <c r="D425" t="inlineStr">
        <is>
          <t>Sungai Tinggi</t>
        </is>
      </c>
      <c r="E425" t="inlineStr">
        <is>
          <t>daniel ong</t>
        </is>
      </c>
      <c r="F425" t="inlineStr">
        <is>
          <t>Routine</t>
        </is>
      </c>
      <c r="G425" t="inlineStr">
        <is>
          <t>NONE</t>
        </is>
      </c>
      <c r="H425" t="inlineStr">
        <is>
          <t>Compliant</t>
        </is>
      </c>
      <c r="I425" s="6" t="n"/>
      <c r="J425" s="6" t="n"/>
      <c r="K425">
        <f>IF(J425="","",J425-B425)</f>
        <v/>
      </c>
      <c r="L425">
        <f>IF(H425="Compliant","N/A",IF(J425&lt;&gt;"","Closed",IF(I425&lt;DATE(2026,9,30),"OVERDUE","Open")))</f>
        <v/>
      </c>
    </row>
    <row r="426">
      <c r="A426" t="inlineStr">
        <is>
          <t>INSP-2026-0425</t>
        </is>
      </c>
      <c r="B426" s="6" t="n">
        <v>46085</v>
      </c>
      <c r="C426" t="inlineStr">
        <is>
          <t>U-CD174-01-12</t>
        </is>
      </c>
      <c r="D426" t="inlineStr">
        <is>
          <t>Cendana</t>
        </is>
      </c>
      <c r="E426" t="inlineStr">
        <is>
          <t>D. Ong</t>
        </is>
      </c>
      <c r="F426" t="inlineStr">
        <is>
          <t>Routine</t>
        </is>
      </c>
      <c r="G426" t="inlineStr">
        <is>
          <t>DISPLAY_ENCROACH</t>
        </is>
      </c>
      <c r="H426" t="inlineStr">
        <is>
          <t>Minor Breach</t>
        </is>
      </c>
      <c r="I426" s="6" t="n">
        <v>46099</v>
      </c>
      <c r="J426" s="6" t="n">
        <v>46099</v>
      </c>
      <c r="K426">
        <f>IF(J426="","",J426-B426)</f>
        <v/>
      </c>
      <c r="L426">
        <f>IF(H426="Compliant","N/A",IF(J426&lt;&gt;"","Closed",IF(I426&lt;DATE(2026,9,30),"OVERDUE","Open")))</f>
        <v/>
      </c>
    </row>
    <row r="427">
      <c r="A427" t="inlineStr">
        <is>
          <t>INSP-2026-0426</t>
        </is>
      </c>
      <c r="B427" s="6" t="n">
        <v>46086</v>
      </c>
      <c r="C427" t="inlineStr">
        <is>
          <t>U-RH491-01-04</t>
        </is>
      </c>
      <c r="D427" t="inlineStr">
        <is>
          <t>Rimba Heights</t>
        </is>
      </c>
      <c r="E427" t="inlineStr">
        <is>
          <t>B. Ho</t>
        </is>
      </c>
      <c r="F427" t="inlineStr">
        <is>
          <t>Routine</t>
        </is>
      </c>
      <c r="G427" t="inlineStr">
        <is>
          <t>NONE</t>
        </is>
      </c>
      <c r="H427" t="inlineStr">
        <is>
          <t>Compliant</t>
        </is>
      </c>
      <c r="I427" s="6" t="n"/>
      <c r="J427" s="6" t="n"/>
      <c r="K427">
        <f>IF(J427="","",J427-B427)</f>
        <v/>
      </c>
      <c r="L427">
        <f>IF(H427="Compliant","N/A",IF(J427&lt;&gt;"","Closed",IF(I427&lt;DATE(2026,9,30),"OVERDUE","Open")))</f>
        <v/>
      </c>
    </row>
    <row r="428">
      <c r="A428" t="inlineStr">
        <is>
          <t>INSP-2026-0427</t>
        </is>
      </c>
      <c r="B428" s="6" t="n">
        <v>46086</v>
      </c>
      <c r="C428" t="inlineStr">
        <is>
          <t>U-RH401-01-02</t>
        </is>
      </c>
      <c r="D428" t="inlineStr">
        <is>
          <t>Rimba Heights</t>
        </is>
      </c>
      <c r="E428" t="inlineStr">
        <is>
          <t>Daniel Ong</t>
        </is>
      </c>
      <c r="F428" t="inlineStr">
        <is>
          <t>Follow-up</t>
        </is>
      </c>
      <c r="G428" t="inlineStr">
        <is>
          <t>NONE</t>
        </is>
      </c>
      <c r="H428" t="inlineStr">
        <is>
          <t>Compliant</t>
        </is>
      </c>
      <c r="I428" s="6" t="n"/>
      <c r="J428" s="6" t="n"/>
      <c r="K428">
        <f>IF(J428="","",J428-B428)</f>
        <v/>
      </c>
      <c r="L428">
        <f>IF(H428="Compliant","N/A",IF(J428&lt;&gt;"","Closed",IF(I428&lt;DATE(2026,9,30),"OVERDUE","Open")))</f>
        <v/>
      </c>
    </row>
    <row r="429">
      <c r="A429" t="inlineStr">
        <is>
          <t>INSP-2026-0428</t>
        </is>
      </c>
      <c r="B429" s="6" t="n">
        <v>46086</v>
      </c>
      <c r="C429" t="inlineStr">
        <is>
          <t>U-PI627-01-07</t>
        </is>
      </c>
      <c r="D429" t="inlineStr">
        <is>
          <t>Pasir Indah</t>
        </is>
      </c>
      <c r="E429" t="inlineStr">
        <is>
          <t>Daniel Ong</t>
        </is>
      </c>
      <c r="F429" t="inlineStr">
        <is>
          <t>Routine</t>
        </is>
      </c>
      <c r="G429" t="inlineStr">
        <is>
          <t>NONE</t>
        </is>
      </c>
      <c r="H429" t="inlineStr">
        <is>
          <t>Compliant</t>
        </is>
      </c>
      <c r="I429" s="6" t="n"/>
      <c r="J429" s="6" t="n"/>
      <c r="K429">
        <f>IF(J429="","",J429-B429)</f>
        <v/>
      </c>
      <c r="L429">
        <f>IF(H429="Compliant","N/A",IF(J429&lt;&gt;"","Closed",IF(I429&lt;DATE(2026,9,30),"OVERDUE","Open")))</f>
        <v/>
      </c>
    </row>
    <row r="430">
      <c r="A430" t="inlineStr">
        <is>
          <t>INSP-2026-0429</t>
        </is>
      </c>
      <c r="B430" s="6" t="n">
        <v>46086</v>
      </c>
      <c r="C430" t="inlineStr">
        <is>
          <t>U-RH428-01-02</t>
        </is>
      </c>
      <c r="D430" t="inlineStr">
        <is>
          <t>Rimba Heights</t>
        </is>
      </c>
      <c r="E430" t="inlineStr">
        <is>
          <t>Daniel Ong</t>
        </is>
      </c>
      <c r="F430" t="inlineStr">
        <is>
          <t>Routine</t>
        </is>
      </c>
      <c r="G430" t="inlineStr">
        <is>
          <t>NONE</t>
        </is>
      </c>
      <c r="H430" t="inlineStr">
        <is>
          <t>Compliant</t>
        </is>
      </c>
      <c r="I430" s="6" t="n"/>
      <c r="J430" s="6" t="n"/>
      <c r="K430">
        <f>IF(J430="","",J430-B430)</f>
        <v/>
      </c>
      <c r="L430">
        <f>IF(H430="Compliant","N/A",IF(J430&lt;&gt;"","Closed",IF(I430&lt;DATE(2026,9,30),"OVERDUE","Open")))</f>
        <v/>
      </c>
    </row>
    <row r="431">
      <c r="A431" t="inlineStr">
        <is>
          <t>INSP-2026-0430</t>
        </is>
      </c>
      <c r="B431" s="6" t="n">
        <v>46087</v>
      </c>
      <c r="C431" t="inlineStr">
        <is>
          <t>U-BV231-01-11</t>
        </is>
      </c>
      <c r="D431" t="inlineStr">
        <is>
          <t>Bayshore Vale</t>
        </is>
      </c>
      <c r="E431" t="inlineStr">
        <is>
          <t>M. Lim</t>
        </is>
      </c>
      <c r="F431" t="inlineStr">
        <is>
          <t>Complaint-driven</t>
        </is>
      </c>
      <c r="G431" t="inlineStr">
        <is>
          <t>NONE</t>
        </is>
      </c>
      <c r="H431" t="inlineStr">
        <is>
          <t>Compliant</t>
        </is>
      </c>
      <c r="I431" s="6" t="n"/>
      <c r="J431" s="6" t="n"/>
      <c r="K431">
        <f>IF(J431="","",J431-B431)</f>
        <v/>
      </c>
      <c r="L431">
        <f>IF(H431="Compliant","N/A",IF(J431&lt;&gt;"","Closed",IF(I431&lt;DATE(2026,9,30),"OVERDUE","Open")))</f>
        <v/>
      </c>
    </row>
    <row r="432">
      <c r="A432" t="inlineStr">
        <is>
          <t>INSP-2026-0431</t>
        </is>
      </c>
      <c r="B432" s="6" t="n">
        <v>46087</v>
      </c>
      <c r="C432" t="inlineStr">
        <is>
          <t>U-BV288-01-03</t>
        </is>
      </c>
      <c r="D432" t="inlineStr">
        <is>
          <t>Bayshore Vale</t>
        </is>
      </c>
      <c r="E432" t="inlineStr">
        <is>
          <t>M. Lim</t>
        </is>
      </c>
      <c r="F432" t="inlineStr">
        <is>
          <t>Follow-up</t>
        </is>
      </c>
      <c r="G432" t="inlineStr">
        <is>
          <t>DISPLAY_ENCROACH</t>
        </is>
      </c>
      <c r="H432" t="inlineStr">
        <is>
          <t>Minor Breach</t>
        </is>
      </c>
      <c r="I432" s="6" t="n">
        <v>46101</v>
      </c>
      <c r="J432" s="6" t="n">
        <v>46110</v>
      </c>
      <c r="K432">
        <f>IF(J432="","",J432-B432)</f>
        <v/>
      </c>
      <c r="L432">
        <f>IF(H432="Compliant","N/A",IF(J432&lt;&gt;"","Closed",IF(I432&lt;DATE(2026,9,30),"OVERDUE","Open")))</f>
        <v/>
      </c>
    </row>
    <row r="433">
      <c r="A433" t="inlineStr">
        <is>
          <t>INSP-2026-0432</t>
        </is>
      </c>
      <c r="B433" s="6" t="n">
        <v>46087</v>
      </c>
      <c r="C433" t="inlineStr">
        <is>
          <t>U-CD194-01-03</t>
        </is>
      </c>
      <c r="D433" t="inlineStr">
        <is>
          <t>Cendana</t>
        </is>
      </c>
      <c r="E433" t="inlineStr">
        <is>
          <t>Daniel O.</t>
        </is>
      </c>
      <c r="F433" t="inlineStr">
        <is>
          <t>Routine</t>
        </is>
      </c>
      <c r="G433" t="inlineStr">
        <is>
          <t>DISPLAY_ENCROACH</t>
        </is>
      </c>
      <c r="H433" t="inlineStr">
        <is>
          <t>Minor Breach</t>
        </is>
      </c>
      <c r="I433" s="6" t="n">
        <v>46101</v>
      </c>
      <c r="J433" s="6" t="n"/>
      <c r="K433">
        <f>IF(J433="","",J433-B433)</f>
        <v/>
      </c>
      <c r="L433">
        <f>IF(H433="Compliant","N/A",IF(J433&lt;&gt;"","Closed",IF(I433&lt;DATE(2026,9,30),"OVERDUE","Open")))</f>
        <v/>
      </c>
    </row>
    <row r="434">
      <c r="A434" t="inlineStr">
        <is>
          <t>INSP-2026-0433</t>
        </is>
      </c>
      <c r="B434" s="6" t="n">
        <v>46087</v>
      </c>
      <c r="C434" t="inlineStr">
        <is>
          <t>U-BV283-01-06</t>
        </is>
      </c>
      <c r="D434" t="inlineStr">
        <is>
          <t>Bayshore Vale</t>
        </is>
      </c>
      <c r="E434" t="inlineStr">
        <is>
          <t>Daniel O.</t>
        </is>
      </c>
      <c r="F434" t="inlineStr">
        <is>
          <t>Complaint-driven</t>
        </is>
      </c>
      <c r="G434" t="inlineStr">
        <is>
          <t>NONE</t>
        </is>
      </c>
      <c r="H434" t="inlineStr">
        <is>
          <t>Compliant</t>
        </is>
      </c>
      <c r="I434" s="6" t="n"/>
      <c r="J434" s="6" t="n"/>
      <c r="K434">
        <f>IF(J434="","",J434-B434)</f>
        <v/>
      </c>
      <c r="L434">
        <f>IF(H434="Compliant","N/A",IF(J434&lt;&gt;"","Closed",IF(I434&lt;DATE(2026,9,30),"OVERDUE","Open")))</f>
        <v/>
      </c>
    </row>
    <row r="435">
      <c r="A435" t="inlineStr">
        <is>
          <t>INSP-2026-0434</t>
        </is>
      </c>
      <c r="B435" s="6" t="n">
        <v>46087</v>
      </c>
      <c r="C435" t="inlineStr">
        <is>
          <t>U-ST501-01-04</t>
        </is>
      </c>
      <c r="D435" t="inlineStr">
        <is>
          <t>Sungai Tinggi</t>
        </is>
      </c>
      <c r="E435" t="inlineStr">
        <is>
          <t>B. Ho</t>
        </is>
      </c>
      <c r="F435" t="inlineStr">
        <is>
          <t>Routine</t>
        </is>
      </c>
      <c r="G435" t="inlineStr">
        <is>
          <t>NONE</t>
        </is>
      </c>
      <c r="H435" t="inlineStr">
        <is>
          <t>Compliant</t>
        </is>
      </c>
      <c r="I435" s="6" t="n"/>
      <c r="J435" s="6" t="n"/>
      <c r="K435">
        <f>IF(J435="","",J435-B435)</f>
        <v/>
      </c>
      <c r="L435">
        <f>IF(H435="Compliant","N/A",IF(J435&lt;&gt;"","Closed",IF(I435&lt;DATE(2026,9,30),"OVERDUE","Open")))</f>
        <v/>
      </c>
    </row>
    <row r="436">
      <c r="A436" t="inlineStr">
        <is>
          <t>INSP-2026-0435</t>
        </is>
      </c>
      <c r="B436" s="6" t="n">
        <v>46087</v>
      </c>
      <c r="C436" t="inlineStr">
        <is>
          <t>U-KR371-01-01</t>
        </is>
      </c>
      <c r="D436" t="inlineStr">
        <is>
          <t>Kebun Raya</t>
        </is>
      </c>
      <c r="E436" t="inlineStr">
        <is>
          <t>Benjamin Ho</t>
        </is>
      </c>
      <c r="F436" t="inlineStr">
        <is>
          <t>Complaint-driven</t>
        </is>
      </c>
      <c r="G436" t="inlineStr">
        <is>
          <t>NONE</t>
        </is>
      </c>
      <c r="H436" t="inlineStr">
        <is>
          <t>Compliant</t>
        </is>
      </c>
      <c r="I436" s="6" t="n"/>
      <c r="J436" s="6" t="n"/>
      <c r="K436">
        <f>IF(J436="","",J436-B436)</f>
        <v/>
      </c>
      <c r="L436">
        <f>IF(H436="Compliant","N/A",IF(J436&lt;&gt;"","Closed",IF(I436&lt;DATE(2026,9,30),"OVERDUE","Open")))</f>
        <v/>
      </c>
    </row>
    <row r="437">
      <c r="A437" t="inlineStr">
        <is>
          <t>INSP-2026-0436</t>
        </is>
      </c>
      <c r="B437" s="6" t="n">
        <v>46088</v>
      </c>
      <c r="C437" t="inlineStr">
        <is>
          <t>U-CD133-01-03</t>
        </is>
      </c>
      <c r="D437" t="inlineStr">
        <is>
          <t>Cendana</t>
        </is>
      </c>
      <c r="E437" t="inlineStr">
        <is>
          <t>daniel ong</t>
        </is>
      </c>
      <c r="F437" t="inlineStr">
        <is>
          <t>Routine</t>
        </is>
      </c>
      <c r="G437" t="inlineStr">
        <is>
          <t>NONE</t>
        </is>
      </c>
      <c r="H437" t="inlineStr">
        <is>
          <t>Compliant</t>
        </is>
      </c>
      <c r="I437" s="6" t="n"/>
      <c r="J437" s="6" t="n"/>
      <c r="K437">
        <f>IF(J437="","",J437-B437)</f>
        <v/>
      </c>
      <c r="L437">
        <f>IF(H437="Compliant","N/A",IF(J437&lt;&gt;"","Closed",IF(I437&lt;DATE(2026,9,30),"OVERDUE","Open")))</f>
        <v/>
      </c>
    </row>
    <row r="438">
      <c r="A438" t="inlineStr">
        <is>
          <t>INSP-2026-0437</t>
        </is>
      </c>
      <c r="B438" s="6" t="n">
        <v>46088</v>
      </c>
      <c r="C438" t="inlineStr">
        <is>
          <t>U-BV233-01-07</t>
        </is>
      </c>
      <c r="D438" t="inlineStr">
        <is>
          <t>Bayshore Vale</t>
        </is>
      </c>
      <c r="E438" t="inlineStr">
        <is>
          <t>Daniel O.</t>
        </is>
      </c>
      <c r="F438" t="inlineStr">
        <is>
          <t>Routine</t>
        </is>
      </c>
      <c r="G438" t="inlineStr">
        <is>
          <t>HYGIENE</t>
        </is>
      </c>
      <c r="H438" t="inlineStr">
        <is>
          <t>Minor Breach</t>
        </is>
      </c>
      <c r="I438" s="6" t="n">
        <v>46102</v>
      </c>
      <c r="J438" s="6" t="n">
        <v>46102</v>
      </c>
      <c r="K438">
        <f>IF(J438="","",J438-B438)</f>
        <v/>
      </c>
      <c r="L438">
        <f>IF(H438="Compliant","N/A",IF(J438&lt;&gt;"","Closed",IF(I438&lt;DATE(2026,9,30),"OVERDUE","Open")))</f>
        <v/>
      </c>
    </row>
    <row r="439">
      <c r="A439" t="inlineStr">
        <is>
          <t>INSP-2026-0438</t>
        </is>
      </c>
      <c r="B439" s="6" t="n">
        <v>46088</v>
      </c>
      <c r="C439" t="inlineStr">
        <is>
          <t>U-PI627-01-09</t>
        </is>
      </c>
      <c r="D439" t="inlineStr">
        <is>
          <t>Pasir Indah</t>
        </is>
      </c>
      <c r="E439" t="inlineStr">
        <is>
          <t>Marcus Lim</t>
        </is>
      </c>
      <c r="F439" t="inlineStr">
        <is>
          <t>Routine</t>
        </is>
      </c>
      <c r="G439" t="inlineStr">
        <is>
          <t>NONE</t>
        </is>
      </c>
      <c r="H439" t="inlineStr">
        <is>
          <t>Compliant</t>
        </is>
      </c>
      <c r="I439" s="6" t="n"/>
      <c r="J439" s="6" t="n"/>
      <c r="K439">
        <f>IF(J439="","",J439-B439)</f>
        <v/>
      </c>
      <c r="L439">
        <f>IF(H439="Compliant","N/A",IF(J439&lt;&gt;"","Closed",IF(I439&lt;DATE(2026,9,30),"OVERDUE","Open")))</f>
        <v/>
      </c>
    </row>
    <row r="440">
      <c r="A440" t="inlineStr">
        <is>
          <t>INSP-2026-0439</t>
        </is>
      </c>
      <c r="B440" s="6" t="n">
        <v>46088</v>
      </c>
      <c r="C440" t="inlineStr">
        <is>
          <t>U-BV216-01-02</t>
        </is>
      </c>
      <c r="D440" t="inlineStr">
        <is>
          <t>Bayshore Vale</t>
        </is>
      </c>
      <c r="E440" t="inlineStr">
        <is>
          <t>M. Lim</t>
        </is>
      </c>
      <c r="F440" t="inlineStr">
        <is>
          <t>Routine</t>
        </is>
      </c>
      <c r="G440" t="inlineStr">
        <is>
          <t>NONE</t>
        </is>
      </c>
      <c r="H440" t="inlineStr">
        <is>
          <t>Compliant</t>
        </is>
      </c>
      <c r="I440" s="6" t="n"/>
      <c r="J440" s="6" t="n"/>
      <c r="K440">
        <f>IF(J440="","",J440-B440)</f>
        <v/>
      </c>
      <c r="L440">
        <f>IF(H440="Compliant","N/A",IF(J440&lt;&gt;"","Closed",IF(I440&lt;DATE(2026,9,30),"OVERDUE","Open")))</f>
        <v/>
      </c>
    </row>
    <row r="441">
      <c r="A441" t="inlineStr">
        <is>
          <t>INSP-2026-0440</t>
        </is>
      </c>
      <c r="B441" s="6" t="n">
        <v>46088</v>
      </c>
      <c r="C441" t="inlineStr">
        <is>
          <t>U-BV288-01-05</t>
        </is>
      </c>
      <c r="D441" t="inlineStr">
        <is>
          <t>Bayshore Vale</t>
        </is>
      </c>
      <c r="E441" t="inlineStr">
        <is>
          <t>Marcus Lim</t>
        </is>
      </c>
      <c r="F441" t="inlineStr">
        <is>
          <t>Routine</t>
        </is>
      </c>
      <c r="G441" t="inlineStr">
        <is>
          <t>NONE</t>
        </is>
      </c>
      <c r="H441" t="inlineStr">
        <is>
          <t>Compliant</t>
        </is>
      </c>
      <c r="I441" s="6" t="n"/>
      <c r="J441" s="6" t="n"/>
      <c r="K441">
        <f>IF(J441="","",J441-B441)</f>
        <v/>
      </c>
      <c r="L441">
        <f>IF(H441="Compliant","N/A",IF(J441&lt;&gt;"","Closed",IF(I441&lt;DATE(2026,9,30),"OVERDUE","Open")))</f>
        <v/>
      </c>
    </row>
    <row r="442">
      <c r="A442" t="inlineStr">
        <is>
          <t>INSP-2026-0441</t>
        </is>
      </c>
      <c r="B442" s="6" t="n">
        <v>46089</v>
      </c>
      <c r="C442" t="inlineStr">
        <is>
          <t>U-CD165-01-06</t>
        </is>
      </c>
      <c r="D442" t="inlineStr">
        <is>
          <t>Cendana</t>
        </is>
      </c>
      <c r="E442" t="inlineStr">
        <is>
          <t>Daniel O.</t>
        </is>
      </c>
      <c r="F442" t="inlineStr">
        <is>
          <t>Routine</t>
        </is>
      </c>
      <c r="G442" t="inlineStr">
        <is>
          <t>NONE</t>
        </is>
      </c>
      <c r="H442" t="inlineStr">
        <is>
          <t>Compliant</t>
        </is>
      </c>
      <c r="I442" s="6" t="n"/>
      <c r="J442" s="6" t="n"/>
      <c r="K442">
        <f>IF(J442="","",J442-B442)</f>
        <v/>
      </c>
      <c r="L442">
        <f>IF(H442="Compliant","N/A",IF(J442&lt;&gt;"","Closed",IF(I442&lt;DATE(2026,9,30),"OVERDUE","Open")))</f>
        <v/>
      </c>
    </row>
    <row r="443">
      <c r="A443" t="inlineStr">
        <is>
          <t>INSP-2026-0442</t>
        </is>
      </c>
      <c r="B443" s="6" t="n">
        <v>46089</v>
      </c>
      <c r="C443" t="inlineStr">
        <is>
          <t>U-CD181-01-01</t>
        </is>
      </c>
      <c r="D443" t="inlineStr">
        <is>
          <t>Cendana</t>
        </is>
      </c>
      <c r="E443" t="inlineStr">
        <is>
          <t>Marcus Lim</t>
        </is>
      </c>
      <c r="F443" t="inlineStr">
        <is>
          <t>Routine</t>
        </is>
      </c>
      <c r="G443" t="inlineStr">
        <is>
          <t>NONE</t>
        </is>
      </c>
      <c r="H443" t="inlineStr">
        <is>
          <t>Compliant</t>
        </is>
      </c>
      <c r="I443" s="6" t="n"/>
      <c r="J443" s="6" t="n"/>
      <c r="K443">
        <f>IF(J443="","",J443-B443)</f>
        <v/>
      </c>
      <c r="L443">
        <f>IF(H443="Compliant","N/A",IF(J443&lt;&gt;"","Closed",IF(I443&lt;DATE(2026,9,30),"OVERDUE","Open")))</f>
        <v/>
      </c>
    </row>
    <row r="444">
      <c r="A444" t="inlineStr">
        <is>
          <t>INSP-2026-0443</t>
        </is>
      </c>
      <c r="B444" s="6" t="n">
        <v>46089</v>
      </c>
      <c r="C444" t="inlineStr">
        <is>
          <t>U-CD105-02-10</t>
        </is>
      </c>
      <c r="D444" t="inlineStr">
        <is>
          <t>Cendana</t>
        </is>
      </c>
      <c r="E444" t="inlineStr">
        <is>
          <t>D. Ong</t>
        </is>
      </c>
      <c r="F444" t="inlineStr">
        <is>
          <t>Follow-up</t>
        </is>
      </c>
      <c r="G444" t="inlineStr">
        <is>
          <t>UNAPPROVED_AA</t>
        </is>
      </c>
      <c r="H444" t="inlineStr">
        <is>
          <t>Minor Breach</t>
        </is>
      </c>
      <c r="I444" s="6" t="n">
        <v>46103</v>
      </c>
      <c r="J444" s="6" t="n">
        <v>46112</v>
      </c>
      <c r="K444">
        <f>IF(J444="","",J444-B444)</f>
        <v/>
      </c>
      <c r="L444">
        <f>IF(H444="Compliant","N/A",IF(J444&lt;&gt;"","Closed",IF(I444&lt;DATE(2026,9,30),"OVERDUE","Open")))</f>
        <v/>
      </c>
    </row>
    <row r="445">
      <c r="A445" t="inlineStr">
        <is>
          <t>INSP-2026-0444</t>
        </is>
      </c>
      <c r="B445" s="6" t="n">
        <v>46089</v>
      </c>
      <c r="C445" t="inlineStr">
        <is>
          <t>U-CD108-01-05</t>
        </is>
      </c>
      <c r="D445" t="inlineStr">
        <is>
          <t>Cendana</t>
        </is>
      </c>
      <c r="E445" t="inlineStr">
        <is>
          <t>Daniel O.</t>
        </is>
      </c>
      <c r="F445" t="inlineStr">
        <is>
          <t>Complaint-driven</t>
        </is>
      </c>
      <c r="G445" t="inlineStr">
        <is>
          <t>NONE</t>
        </is>
      </c>
      <c r="H445" t="inlineStr">
        <is>
          <t>Compliant</t>
        </is>
      </c>
      <c r="I445" s="6" t="n"/>
      <c r="J445" s="6" t="n"/>
      <c r="K445">
        <f>IF(J445="","",J445-B445)</f>
        <v/>
      </c>
      <c r="L445">
        <f>IF(H445="Compliant","N/A",IF(J445&lt;&gt;"","Closed",IF(I445&lt;DATE(2026,9,30),"OVERDUE","Open")))</f>
        <v/>
      </c>
    </row>
    <row r="446">
      <c r="A446" t="inlineStr">
        <is>
          <t>INSP-2026-0445</t>
        </is>
      </c>
      <c r="B446" s="6" t="n">
        <v>46089</v>
      </c>
      <c r="C446" t="inlineStr">
        <is>
          <t>U-CD153-01-04</t>
        </is>
      </c>
      <c r="D446" t="inlineStr">
        <is>
          <t>Cendana</t>
        </is>
      </c>
      <c r="E446" t="inlineStr">
        <is>
          <t>marcus</t>
        </is>
      </c>
      <c r="F446" t="inlineStr">
        <is>
          <t>Routine</t>
        </is>
      </c>
      <c r="G446" t="inlineStr">
        <is>
          <t>DISPLAY_ENCROACH</t>
        </is>
      </c>
      <c r="H446" t="inlineStr">
        <is>
          <t>Minor Breach</t>
        </is>
      </c>
      <c r="I446" s="6" t="n">
        <v>46103</v>
      </c>
      <c r="J446" s="6" t="n">
        <v>46107</v>
      </c>
      <c r="K446">
        <f>IF(J446="","",J446-B446)</f>
        <v/>
      </c>
      <c r="L446">
        <f>IF(H446="Compliant","N/A",IF(J446&lt;&gt;"","Closed",IF(I446&lt;DATE(2026,9,30),"OVERDUE","Open")))</f>
        <v/>
      </c>
    </row>
    <row r="447">
      <c r="A447" t="inlineStr">
        <is>
          <t>INSP-2026-0446</t>
        </is>
      </c>
      <c r="B447" s="6" t="n">
        <v>46089</v>
      </c>
      <c r="C447" t="inlineStr">
        <is>
          <t>U-KR349-01-06</t>
        </is>
      </c>
      <c r="D447" t="inlineStr">
        <is>
          <t>Kebun Raya</t>
        </is>
      </c>
      <c r="E447" t="inlineStr">
        <is>
          <t>Daniel O.</t>
        </is>
      </c>
      <c r="F447" t="inlineStr">
        <is>
          <t>Routine</t>
        </is>
      </c>
      <c r="G447" t="inlineStr">
        <is>
          <t>NONE</t>
        </is>
      </c>
      <c r="H447" t="inlineStr">
        <is>
          <t>Compliant</t>
        </is>
      </c>
      <c r="I447" s="6" t="n"/>
      <c r="J447" s="6" t="n"/>
      <c r="K447">
        <f>IF(J447="","",J447-B447)</f>
        <v/>
      </c>
      <c r="L447">
        <f>IF(H447="Compliant","N/A",IF(J447&lt;&gt;"","Closed",IF(I447&lt;DATE(2026,9,30),"OVERDUE","Open")))</f>
        <v/>
      </c>
    </row>
    <row r="448">
      <c r="A448" t="inlineStr">
        <is>
          <t>INSP-2026-0447</t>
        </is>
      </c>
      <c r="B448" s="6" t="n">
        <v>46090</v>
      </c>
      <c r="C448" t="inlineStr">
        <is>
          <t>U-BV271-01-02</t>
        </is>
      </c>
      <c r="D448" t="inlineStr">
        <is>
          <t>Bayshore Vale</t>
        </is>
      </c>
      <c r="E448" t="inlineStr">
        <is>
          <t>M. Lim</t>
        </is>
      </c>
      <c r="F448" t="inlineStr">
        <is>
          <t>Routine</t>
        </is>
      </c>
      <c r="G448" t="inlineStr">
        <is>
          <t>NONE</t>
        </is>
      </c>
      <c r="H448" t="inlineStr">
        <is>
          <t>Compliant</t>
        </is>
      </c>
      <c r="I448" s="6" t="n"/>
      <c r="J448" s="6" t="n"/>
      <c r="K448">
        <f>IF(J448="","",J448-B448)</f>
        <v/>
      </c>
      <c r="L448">
        <f>IF(H448="Compliant","N/A",IF(J448&lt;&gt;"","Closed",IF(I448&lt;DATE(2026,9,30),"OVERDUE","Open")))</f>
        <v/>
      </c>
    </row>
    <row r="449">
      <c r="A449" t="inlineStr">
        <is>
          <t>INSP-2026-0448</t>
        </is>
      </c>
      <c r="B449" s="6" t="n">
        <v>46090</v>
      </c>
      <c r="C449" t="inlineStr">
        <is>
          <t>U-KR349-01-04</t>
        </is>
      </c>
      <c r="D449" t="inlineStr">
        <is>
          <t>Kebun Raya</t>
        </is>
      </c>
      <c r="E449" t="inlineStr">
        <is>
          <t>Ben Ho</t>
        </is>
      </c>
      <c r="F449" t="inlineStr">
        <is>
          <t>Routine</t>
        </is>
      </c>
      <c r="G449" t="inlineStr">
        <is>
          <t>NONE</t>
        </is>
      </c>
      <c r="H449" t="inlineStr">
        <is>
          <t>Compliant</t>
        </is>
      </c>
      <c r="I449" s="6" t="n"/>
      <c r="J449" s="6" t="n"/>
      <c r="K449">
        <f>IF(J449="","",J449-B449)</f>
        <v/>
      </c>
      <c r="L449">
        <f>IF(H449="Compliant","N/A",IF(J449&lt;&gt;"","Closed",IF(I449&lt;DATE(2026,9,30),"OVERDUE","Open")))</f>
        <v/>
      </c>
    </row>
    <row r="450">
      <c r="A450" t="inlineStr">
        <is>
          <t>INSP-2026-0449</t>
        </is>
      </c>
      <c r="B450" s="6" t="n">
        <v>46090</v>
      </c>
      <c r="C450" t="inlineStr">
        <is>
          <t>U-ST512-01-17</t>
        </is>
      </c>
      <c r="D450" t="inlineStr">
        <is>
          <t>Sungai Tinggi</t>
        </is>
      </c>
      <c r="E450" t="inlineStr">
        <is>
          <t>Daniel Ong</t>
        </is>
      </c>
      <c r="F450" t="inlineStr">
        <is>
          <t>Follow-up</t>
        </is>
      </c>
      <c r="G450" t="inlineStr">
        <is>
          <t>DISPLAY_ENCROACH</t>
        </is>
      </c>
      <c r="H450" t="inlineStr">
        <is>
          <t>Minor Breach</t>
        </is>
      </c>
      <c r="I450" s="6" t="n">
        <v>46104</v>
      </c>
      <c r="J450" s="6" t="n">
        <v>46109</v>
      </c>
      <c r="K450">
        <f>IF(J450="","",J450-B450)</f>
        <v/>
      </c>
      <c r="L450">
        <f>IF(H450="Compliant","N/A",IF(J450&lt;&gt;"","Closed",IF(I450&lt;DATE(2026,9,30),"OVERDUE","Open")))</f>
        <v/>
      </c>
    </row>
    <row r="451">
      <c r="A451" t="inlineStr">
        <is>
          <t>INSP-2026-0450</t>
        </is>
      </c>
      <c r="B451" s="6" t="n">
        <v>46090</v>
      </c>
      <c r="C451" t="inlineStr">
        <is>
          <t>U-CD165-01-06</t>
        </is>
      </c>
      <c r="D451" t="inlineStr">
        <is>
          <t>Cendana</t>
        </is>
      </c>
      <c r="E451" t="inlineStr">
        <is>
          <t>daniel ong</t>
        </is>
      </c>
      <c r="F451" t="inlineStr">
        <is>
          <t>Routine</t>
        </is>
      </c>
      <c r="G451" t="inlineStr">
        <is>
          <t>NONE</t>
        </is>
      </c>
      <c r="H451" t="inlineStr">
        <is>
          <t>Compliant</t>
        </is>
      </c>
      <c r="I451" s="6" t="n"/>
      <c r="J451" s="6" t="n"/>
      <c r="K451">
        <f>IF(J451="","",J451-B451)</f>
        <v/>
      </c>
      <c r="L451">
        <f>IF(H451="Compliant","N/A",IF(J451&lt;&gt;"","Closed",IF(I451&lt;DATE(2026,9,30),"OVERDUE","Open")))</f>
        <v/>
      </c>
    </row>
    <row r="452">
      <c r="A452" t="inlineStr">
        <is>
          <t>INSP-2026-0451</t>
        </is>
      </c>
      <c r="B452" s="6" t="n">
        <v>46090</v>
      </c>
      <c r="C452" t="inlineStr">
        <is>
          <t>U-RH456-01-03</t>
        </is>
      </c>
      <c r="D452" t="inlineStr">
        <is>
          <t>Rimba Heights</t>
        </is>
      </c>
      <c r="E452" t="inlineStr">
        <is>
          <t>Daniel O.</t>
        </is>
      </c>
      <c r="F452" t="inlineStr">
        <is>
          <t>Routine</t>
        </is>
      </c>
      <c r="G452" t="inlineStr">
        <is>
          <t>NONE</t>
        </is>
      </c>
      <c r="H452" t="inlineStr">
        <is>
          <t>Compliant</t>
        </is>
      </c>
      <c r="I452" s="6" t="n"/>
      <c r="J452" s="6" t="n"/>
      <c r="K452">
        <f>IF(J452="","",J452-B452)</f>
        <v/>
      </c>
      <c r="L452">
        <f>IF(H452="Compliant","N/A",IF(J452&lt;&gt;"","Closed",IF(I452&lt;DATE(2026,9,30),"OVERDUE","Open")))</f>
        <v/>
      </c>
    </row>
    <row r="453">
      <c r="A453" t="inlineStr">
        <is>
          <t>INSP-2026-0452</t>
        </is>
      </c>
      <c r="B453" s="6" t="n">
        <v>46090</v>
      </c>
      <c r="C453" t="inlineStr">
        <is>
          <t>U-KR330-01-09</t>
        </is>
      </c>
      <c r="D453" t="inlineStr">
        <is>
          <t>Kebun Raya</t>
        </is>
      </c>
      <c r="E453" t="inlineStr">
        <is>
          <t>daniel ong</t>
        </is>
      </c>
      <c r="F453" t="inlineStr">
        <is>
          <t>Routine</t>
        </is>
      </c>
      <c r="G453" t="inlineStr">
        <is>
          <t>NONE</t>
        </is>
      </c>
      <c r="H453" t="inlineStr">
        <is>
          <t>Compliant</t>
        </is>
      </c>
      <c r="I453" s="6" t="n"/>
      <c r="J453" s="6" t="n"/>
      <c r="K453">
        <f>IF(J453="","",J453-B453)</f>
        <v/>
      </c>
      <c r="L453">
        <f>IF(H453="Compliant","N/A",IF(J453&lt;&gt;"","Closed",IF(I453&lt;DATE(2026,9,30),"OVERDUE","Open")))</f>
        <v/>
      </c>
    </row>
    <row r="454">
      <c r="A454" t="inlineStr">
        <is>
          <t>INSP-2026-0453</t>
        </is>
      </c>
      <c r="B454" s="6" t="n">
        <v>46090</v>
      </c>
      <c r="C454" t="inlineStr">
        <is>
          <t>U-PI642-01-03</t>
        </is>
      </c>
      <c r="D454" t="inlineStr">
        <is>
          <t>Pasir Indah</t>
        </is>
      </c>
      <c r="E454" t="inlineStr">
        <is>
          <t>M. Lim</t>
        </is>
      </c>
      <c r="F454" t="inlineStr">
        <is>
          <t>Routine</t>
        </is>
      </c>
      <c r="G454" t="inlineStr">
        <is>
          <t>NONE</t>
        </is>
      </c>
      <c r="H454" t="inlineStr">
        <is>
          <t>Compliant</t>
        </is>
      </c>
      <c r="I454" s="6" t="n"/>
      <c r="J454" s="6" t="n"/>
      <c r="K454">
        <f>IF(J454="","",J454-B454)</f>
        <v/>
      </c>
      <c r="L454">
        <f>IF(H454="Compliant","N/A",IF(J454&lt;&gt;"","Closed",IF(I454&lt;DATE(2026,9,30),"OVERDUE","Open")))</f>
        <v/>
      </c>
    </row>
    <row r="455">
      <c r="A455" t="inlineStr">
        <is>
          <t>INSP-2026-0454</t>
        </is>
      </c>
      <c r="B455" s="6" t="n">
        <v>46090</v>
      </c>
      <c r="C455" t="inlineStr">
        <is>
          <t>U-BV214-01-15</t>
        </is>
      </c>
      <c r="D455" t="inlineStr">
        <is>
          <t>Bayshore Vale</t>
        </is>
      </c>
      <c r="E455" t="inlineStr">
        <is>
          <t>marcus</t>
        </is>
      </c>
      <c r="F455" t="inlineStr">
        <is>
          <t>Routine</t>
        </is>
      </c>
      <c r="G455" t="inlineStr">
        <is>
          <t>NONE</t>
        </is>
      </c>
      <c r="H455" t="inlineStr">
        <is>
          <t>Compliant</t>
        </is>
      </c>
      <c r="I455" s="6" t="n"/>
      <c r="J455" s="6" t="n"/>
      <c r="K455">
        <f>IF(J455="","",J455-B455)</f>
        <v/>
      </c>
      <c r="L455">
        <f>IF(H455="Compliant","N/A",IF(J455&lt;&gt;"","Closed",IF(I455&lt;DATE(2026,9,30),"OVERDUE","Open")))</f>
        <v/>
      </c>
    </row>
    <row r="456">
      <c r="A456" t="inlineStr">
        <is>
          <t>INSP-2026-0455</t>
        </is>
      </c>
      <c r="B456" s="6" t="n">
        <v>46090</v>
      </c>
      <c r="C456" t="inlineStr">
        <is>
          <t>U-ST537-01-02</t>
        </is>
      </c>
      <c r="D456" t="inlineStr">
        <is>
          <t>Sungai Tinggi</t>
        </is>
      </c>
      <c r="E456" t="inlineStr">
        <is>
          <t>daniel ong</t>
        </is>
      </c>
      <c r="F456" t="inlineStr">
        <is>
          <t>Routine</t>
        </is>
      </c>
      <c r="G456" t="inlineStr">
        <is>
          <t>NONE</t>
        </is>
      </c>
      <c r="H456" t="inlineStr">
        <is>
          <t>Compliant</t>
        </is>
      </c>
      <c r="I456" s="6" t="n"/>
      <c r="J456" s="6" t="n"/>
      <c r="K456">
        <f>IF(J456="","",J456-B456)</f>
        <v/>
      </c>
      <c r="L456">
        <f>IF(H456="Compliant","N/A",IF(J456&lt;&gt;"","Closed",IF(I456&lt;DATE(2026,9,30),"OVERDUE","Open")))</f>
        <v/>
      </c>
    </row>
    <row r="457">
      <c r="A457" t="inlineStr">
        <is>
          <t>INSP-2026-0456</t>
        </is>
      </c>
      <c r="B457" s="6" t="n">
        <v>46091</v>
      </c>
      <c r="C457" t="inlineStr">
        <is>
          <t>U-PI657-01-07</t>
        </is>
      </c>
      <c r="D457" t="inlineStr">
        <is>
          <t>Pasir Indah</t>
        </is>
      </c>
      <c r="E457" t="inlineStr">
        <is>
          <t>Marcus Lim</t>
        </is>
      </c>
      <c r="F457" t="inlineStr">
        <is>
          <t>Routine</t>
        </is>
      </c>
      <c r="G457" t="inlineStr">
        <is>
          <t>DISPLAY_ENCROACH</t>
        </is>
      </c>
      <c r="H457" t="inlineStr">
        <is>
          <t>Minor Breach</t>
        </is>
      </c>
      <c r="I457" s="6" t="n">
        <v>46105</v>
      </c>
      <c r="J457" s="6" t="n">
        <v>46107</v>
      </c>
      <c r="K457">
        <f>IF(J457="","",J457-B457)</f>
        <v/>
      </c>
      <c r="L457">
        <f>IF(H457="Compliant","N/A",IF(J457&lt;&gt;"","Closed",IF(I457&lt;DATE(2026,9,30),"OVERDUE","Open")))</f>
        <v/>
      </c>
    </row>
    <row r="458">
      <c r="A458" t="inlineStr">
        <is>
          <t>INSP-2026-0457</t>
        </is>
      </c>
      <c r="B458" s="6" t="n">
        <v>46091</v>
      </c>
      <c r="C458" t="inlineStr">
        <is>
          <t>U-CD190-01-09</t>
        </is>
      </c>
      <c r="D458" t="inlineStr">
        <is>
          <t>Cendana</t>
        </is>
      </c>
      <c r="E458" t="inlineStr">
        <is>
          <t>Daniel O.</t>
        </is>
      </c>
      <c r="F458" t="inlineStr">
        <is>
          <t>Routine</t>
        </is>
      </c>
      <c r="G458" t="inlineStr">
        <is>
          <t>NONE</t>
        </is>
      </c>
      <c r="H458" t="inlineStr">
        <is>
          <t>Compliant</t>
        </is>
      </c>
      <c r="I458" s="6" t="n"/>
      <c r="J458" s="6" t="n"/>
      <c r="K458">
        <f>IF(J458="","",J458-B458)</f>
        <v/>
      </c>
      <c r="L458">
        <f>IF(H458="Compliant","N/A",IF(J458&lt;&gt;"","Closed",IF(I458&lt;DATE(2026,9,30),"OVERDUE","Open")))</f>
        <v/>
      </c>
    </row>
    <row r="459">
      <c r="A459" t="inlineStr">
        <is>
          <t>INSP-2026-0458</t>
        </is>
      </c>
      <c r="B459" s="6" t="n">
        <v>46091</v>
      </c>
      <c r="C459" t="inlineStr">
        <is>
          <t>U-BV284-01-02</t>
        </is>
      </c>
      <c r="D459" t="inlineStr">
        <is>
          <t>Bayshore Vale</t>
        </is>
      </c>
      <c r="E459" t="inlineStr">
        <is>
          <t>D. Ong</t>
        </is>
      </c>
      <c r="F459" t="inlineStr">
        <is>
          <t>Routine</t>
        </is>
      </c>
      <c r="G459" t="inlineStr">
        <is>
          <t>HYGIENE</t>
        </is>
      </c>
      <c r="H459" t="inlineStr">
        <is>
          <t>Minor Breach</t>
        </is>
      </c>
      <c r="I459" s="6" t="n">
        <v>46105</v>
      </c>
      <c r="J459" s="6" t="n"/>
      <c r="K459">
        <f>IF(J459="","",J459-B459)</f>
        <v/>
      </c>
      <c r="L459">
        <f>IF(H459="Compliant","N/A",IF(J459&lt;&gt;"","Closed",IF(I459&lt;DATE(2026,9,30),"OVERDUE","Open")))</f>
        <v/>
      </c>
    </row>
    <row r="460">
      <c r="A460" t="inlineStr">
        <is>
          <t>INSP-2026-0459</t>
        </is>
      </c>
      <c r="B460" s="6" t="n">
        <v>46092</v>
      </c>
      <c r="C460" t="inlineStr">
        <is>
          <t>U-BV231-01-05</t>
        </is>
      </c>
      <c r="D460" t="inlineStr">
        <is>
          <t>Bayshore Vale</t>
        </is>
      </c>
      <c r="E460" t="inlineStr">
        <is>
          <t>daniel ong</t>
        </is>
      </c>
      <c r="F460" t="inlineStr">
        <is>
          <t>Complaint-driven</t>
        </is>
      </c>
      <c r="G460" t="inlineStr">
        <is>
          <t>NONE</t>
        </is>
      </c>
      <c r="H460" t="inlineStr">
        <is>
          <t>Compliant</t>
        </is>
      </c>
      <c r="I460" s="6" t="n"/>
      <c r="J460" s="6" t="n"/>
      <c r="K460">
        <f>IF(J460="","",J460-B460)</f>
        <v/>
      </c>
      <c r="L460">
        <f>IF(H460="Compliant","N/A",IF(J460&lt;&gt;"","Closed",IF(I460&lt;DATE(2026,9,30),"OVERDUE","Open")))</f>
        <v/>
      </c>
    </row>
    <row r="461">
      <c r="A461" t="inlineStr">
        <is>
          <t>INSP-2026-0460</t>
        </is>
      </c>
      <c r="B461" s="6" t="n">
        <v>46092</v>
      </c>
      <c r="C461" t="inlineStr">
        <is>
          <t>U-CD165-01-07</t>
        </is>
      </c>
      <c r="D461" t="inlineStr">
        <is>
          <t>Cendana</t>
        </is>
      </c>
      <c r="E461" t="inlineStr">
        <is>
          <t>M. Lim</t>
        </is>
      </c>
      <c r="F461" t="inlineStr">
        <is>
          <t>Routine</t>
        </is>
      </c>
      <c r="G461" t="inlineStr">
        <is>
          <t>STRUCTURAL_DEFECT</t>
        </is>
      </c>
      <c r="H461" t="inlineStr">
        <is>
          <t>Major Breach</t>
        </is>
      </c>
      <c r="I461" s="6" t="n">
        <v>46099</v>
      </c>
      <c r="J461" s="6" t="n">
        <v>46102</v>
      </c>
      <c r="K461">
        <f>IF(J461="","",J461-B461)</f>
        <v/>
      </c>
      <c r="L461">
        <f>IF(H461="Compliant","N/A",IF(J461&lt;&gt;"","Closed",IF(I461&lt;DATE(2026,9,30),"OVERDUE","Open")))</f>
        <v/>
      </c>
    </row>
    <row r="462">
      <c r="A462" t="inlineStr">
        <is>
          <t>INSP-2026-0461</t>
        </is>
      </c>
      <c r="B462" s="6" t="n">
        <v>46092</v>
      </c>
      <c r="C462" t="inlineStr">
        <is>
          <t>U-RH466-02-08</t>
        </is>
      </c>
      <c r="D462" t="inlineStr">
        <is>
          <t>Rimba Heights</t>
        </is>
      </c>
      <c r="E462" t="inlineStr">
        <is>
          <t>D. Ong</t>
        </is>
      </c>
      <c r="F462" t="inlineStr">
        <is>
          <t>Routine</t>
        </is>
      </c>
      <c r="G462" t="inlineStr">
        <is>
          <t>FIRE_SAFETY</t>
        </is>
      </c>
      <c r="H462" t="inlineStr">
        <is>
          <t>Major Breach</t>
        </is>
      </c>
      <c r="I462" s="6" t="n">
        <v>46099</v>
      </c>
      <c r="J462" s="6" t="n"/>
      <c r="K462">
        <f>IF(J462="","",J462-B462)</f>
        <v/>
      </c>
      <c r="L462">
        <f>IF(H462="Compliant","N/A",IF(J462&lt;&gt;"","Closed",IF(I462&lt;DATE(2026,9,30),"OVERDUE","Open")))</f>
        <v/>
      </c>
    </row>
    <row r="463">
      <c r="A463" t="inlineStr">
        <is>
          <t>INSP-2026-0462</t>
        </is>
      </c>
      <c r="B463" s="6" t="n">
        <v>46092</v>
      </c>
      <c r="C463" t="inlineStr">
        <is>
          <t>U-ST556-02-07</t>
        </is>
      </c>
      <c r="D463" t="inlineStr">
        <is>
          <t>Sungai Tinggi</t>
        </is>
      </c>
      <c r="E463" t="inlineStr">
        <is>
          <t>Ben Ho</t>
        </is>
      </c>
      <c r="F463" t="inlineStr">
        <is>
          <t>Routine</t>
        </is>
      </c>
      <c r="G463" t="inlineStr">
        <is>
          <t>NONE</t>
        </is>
      </c>
      <c r="H463" t="inlineStr">
        <is>
          <t>Compliant</t>
        </is>
      </c>
      <c r="I463" s="6" t="n"/>
      <c r="J463" s="6" t="n"/>
      <c r="K463">
        <f>IF(J463="","",J463-B463)</f>
        <v/>
      </c>
      <c r="L463">
        <f>IF(H463="Compliant","N/A",IF(J463&lt;&gt;"","Closed",IF(I463&lt;DATE(2026,9,30),"OVERDUE","Open")))</f>
        <v/>
      </c>
    </row>
    <row r="464">
      <c r="A464" t="inlineStr">
        <is>
          <t>INSP-2026-0463</t>
        </is>
      </c>
      <c r="B464" s="6" t="n">
        <v>46092</v>
      </c>
      <c r="C464" t="inlineStr">
        <is>
          <t>U-KR318-01-03</t>
        </is>
      </c>
      <c r="D464" t="inlineStr">
        <is>
          <t>Kebun Raya</t>
        </is>
      </c>
      <c r="E464" t="inlineStr">
        <is>
          <t>daniel ong</t>
        </is>
      </c>
      <c r="F464" t="inlineStr">
        <is>
          <t>Follow-up</t>
        </is>
      </c>
      <c r="G464" t="inlineStr">
        <is>
          <t>DISPLAY_ENCROACH</t>
        </is>
      </c>
      <c r="H464" t="inlineStr">
        <is>
          <t>Minor Breach</t>
        </is>
      </c>
      <c r="I464" s="6" t="n">
        <v>46106</v>
      </c>
      <c r="J464" s="6" t="n"/>
      <c r="K464">
        <f>IF(J464="","",J464-B464)</f>
        <v/>
      </c>
      <c r="L464">
        <f>IF(H464="Compliant","N/A",IF(J464&lt;&gt;"","Closed",IF(I464&lt;DATE(2026,9,30),"OVERDUE","Open")))</f>
        <v/>
      </c>
    </row>
    <row r="465">
      <c r="A465" t="inlineStr">
        <is>
          <t>INSP-2026-0464</t>
        </is>
      </c>
      <c r="B465" s="6" t="n">
        <v>46093</v>
      </c>
      <c r="C465" t="inlineStr">
        <is>
          <t>U-CD133-01-01</t>
        </is>
      </c>
      <c r="D465" t="inlineStr">
        <is>
          <t>Cendana</t>
        </is>
      </c>
      <c r="E465" t="inlineStr">
        <is>
          <t>M. Lim</t>
        </is>
      </c>
      <c r="F465" t="inlineStr">
        <is>
          <t>Follow-up</t>
        </is>
      </c>
      <c r="G465" t="inlineStr">
        <is>
          <t>NONE</t>
        </is>
      </c>
      <c r="H465" t="inlineStr">
        <is>
          <t>Compliant</t>
        </is>
      </c>
      <c r="I465" s="6" t="n"/>
      <c r="J465" s="6" t="n"/>
      <c r="K465">
        <f>IF(J465="","",J465-B465)</f>
        <v/>
      </c>
      <c r="L465">
        <f>IF(H465="Compliant","N/A",IF(J465&lt;&gt;"","Closed",IF(I465&lt;DATE(2026,9,30),"OVERDUE","Open")))</f>
        <v/>
      </c>
    </row>
    <row r="466">
      <c r="A466" t="inlineStr">
        <is>
          <t>INSP-2026-0465</t>
        </is>
      </c>
      <c r="B466" s="6" t="n">
        <v>46093</v>
      </c>
      <c r="C466" t="inlineStr">
        <is>
          <t>U-CD174-01-05</t>
        </is>
      </c>
      <c r="D466" t="inlineStr">
        <is>
          <t>Cendana</t>
        </is>
      </c>
      <c r="E466" t="inlineStr">
        <is>
          <t>Daniel Ong</t>
        </is>
      </c>
      <c r="F466" t="inlineStr">
        <is>
          <t>Routine</t>
        </is>
      </c>
      <c r="G466" t="inlineStr">
        <is>
          <t>HYGIENE</t>
        </is>
      </c>
      <c r="H466" t="inlineStr">
        <is>
          <t>Minor Breach</t>
        </is>
      </c>
      <c r="I466" s="6" t="n">
        <v>46107</v>
      </c>
      <c r="J466" s="6" t="n">
        <v>46104</v>
      </c>
      <c r="K466">
        <f>IF(J466="","",J466-B466)</f>
        <v/>
      </c>
      <c r="L466">
        <f>IF(H466="Compliant","N/A",IF(J466&lt;&gt;"","Closed",IF(I466&lt;DATE(2026,9,30),"OVERDUE","Open")))</f>
        <v/>
      </c>
    </row>
    <row r="467">
      <c r="A467" t="inlineStr">
        <is>
          <t>INSP-2026-0466</t>
        </is>
      </c>
      <c r="B467" s="6" t="n">
        <v>46093</v>
      </c>
      <c r="C467" t="inlineStr">
        <is>
          <t>U-PI609-02-08</t>
        </is>
      </c>
      <c r="D467" t="inlineStr">
        <is>
          <t>Pasir Indah</t>
        </is>
      </c>
      <c r="E467" t="inlineStr">
        <is>
          <t>daniel ong</t>
        </is>
      </c>
      <c r="F467" t="inlineStr">
        <is>
          <t>Complaint-driven</t>
        </is>
      </c>
      <c r="G467" t="inlineStr">
        <is>
          <t>NONE</t>
        </is>
      </c>
      <c r="H467" t="inlineStr">
        <is>
          <t>Compliant</t>
        </is>
      </c>
      <c r="I467" s="6" t="n"/>
      <c r="J467" s="6" t="n"/>
      <c r="K467">
        <f>IF(J467="","",J467-B467)</f>
        <v/>
      </c>
      <c r="L467">
        <f>IF(H467="Compliant","N/A",IF(J467&lt;&gt;"","Closed",IF(I467&lt;DATE(2026,9,30),"OVERDUE","Open")))</f>
        <v/>
      </c>
    </row>
    <row r="468">
      <c r="A468" t="inlineStr">
        <is>
          <t>INSP-2026-0467</t>
        </is>
      </c>
      <c r="B468" s="6" t="n">
        <v>46093</v>
      </c>
      <c r="C468" t="inlineStr">
        <is>
          <t>U-KR353-01-04</t>
        </is>
      </c>
      <c r="D468" t="inlineStr">
        <is>
          <t>Kebun Raya</t>
        </is>
      </c>
      <c r="E468" t="inlineStr">
        <is>
          <t>D. Ong</t>
        </is>
      </c>
      <c r="F468" t="inlineStr">
        <is>
          <t>Routine</t>
        </is>
      </c>
      <c r="G468" t="inlineStr">
        <is>
          <t>NONE</t>
        </is>
      </c>
      <c r="H468" t="inlineStr">
        <is>
          <t>Compliant</t>
        </is>
      </c>
      <c r="I468" s="6" t="n"/>
      <c r="J468" s="6" t="n"/>
      <c r="K468">
        <f>IF(J468="","",J468-B468)</f>
        <v/>
      </c>
      <c r="L468">
        <f>IF(H468="Compliant","N/A",IF(J468&lt;&gt;"","Closed",IF(I468&lt;DATE(2026,9,30),"OVERDUE","Open")))</f>
        <v/>
      </c>
    </row>
    <row r="469">
      <c r="A469" t="inlineStr">
        <is>
          <t>INSP-2026-0468</t>
        </is>
      </c>
      <c r="B469" s="6" t="n">
        <v>46093</v>
      </c>
      <c r="C469" t="inlineStr">
        <is>
          <t>U-PI644-01-01</t>
        </is>
      </c>
      <c r="D469" t="inlineStr">
        <is>
          <t>Pasir Indah</t>
        </is>
      </c>
      <c r="E469" t="inlineStr">
        <is>
          <t>marcus</t>
        </is>
      </c>
      <c r="F469" t="inlineStr">
        <is>
          <t>Routine</t>
        </is>
      </c>
      <c r="G469" t="inlineStr">
        <is>
          <t>UNAUTH_SUBLET</t>
        </is>
      </c>
      <c r="H469" t="inlineStr">
        <is>
          <t>Major Breach</t>
        </is>
      </c>
      <c r="I469" s="6" t="n">
        <v>46100</v>
      </c>
      <c r="J469" s="6" t="n"/>
      <c r="K469">
        <f>IF(J469="","",J469-B469)</f>
        <v/>
      </c>
      <c r="L469">
        <f>IF(H469="Compliant","N/A",IF(J469&lt;&gt;"","Closed",IF(I469&lt;DATE(2026,9,30),"OVERDUE","Open")))</f>
        <v/>
      </c>
    </row>
    <row r="470">
      <c r="A470" t="inlineStr">
        <is>
          <t>INSP-2026-0469</t>
        </is>
      </c>
      <c r="B470" s="6" t="n">
        <v>46093</v>
      </c>
      <c r="C470" t="inlineStr">
        <is>
          <t>U-CD120-01-05</t>
        </is>
      </c>
      <c r="D470" t="inlineStr">
        <is>
          <t>Cendana</t>
        </is>
      </c>
      <c r="E470" t="inlineStr">
        <is>
          <t>Daniel O.</t>
        </is>
      </c>
      <c r="F470" t="inlineStr">
        <is>
          <t>Routine</t>
        </is>
      </c>
      <c r="G470" t="inlineStr">
        <is>
          <t>NONE</t>
        </is>
      </c>
      <c r="H470" t="inlineStr">
        <is>
          <t>Compliant</t>
        </is>
      </c>
      <c r="I470" s="6" t="n"/>
      <c r="J470" s="6" t="n"/>
      <c r="K470">
        <f>IF(J470="","",J470-B470)</f>
        <v/>
      </c>
      <c r="L470">
        <f>IF(H470="Compliant","N/A",IF(J470&lt;&gt;"","Closed",IF(I470&lt;DATE(2026,9,30),"OVERDUE","Open")))</f>
        <v/>
      </c>
    </row>
    <row r="471">
      <c r="A471" t="inlineStr">
        <is>
          <t>INSP-2026-0470</t>
        </is>
      </c>
      <c r="B471" s="6" t="n">
        <v>46093</v>
      </c>
      <c r="C471" t="inlineStr">
        <is>
          <t>U-KR349-01-07</t>
        </is>
      </c>
      <c r="D471" t="inlineStr">
        <is>
          <t>Kebun Raya</t>
        </is>
      </c>
      <c r="E471" t="inlineStr">
        <is>
          <t>Benjamin Ho</t>
        </is>
      </c>
      <c r="F471" t="inlineStr">
        <is>
          <t>Routine</t>
        </is>
      </c>
      <c r="G471" t="inlineStr">
        <is>
          <t>NONE</t>
        </is>
      </c>
      <c r="H471" t="inlineStr">
        <is>
          <t>Compliant</t>
        </is>
      </c>
      <c r="I471" s="6" t="n"/>
      <c r="J471" s="6" t="n"/>
      <c r="K471">
        <f>IF(J471="","",J471-B471)</f>
        <v/>
      </c>
      <c r="L471">
        <f>IF(H471="Compliant","N/A",IF(J471&lt;&gt;"","Closed",IF(I471&lt;DATE(2026,9,30),"OVERDUE","Open")))</f>
        <v/>
      </c>
    </row>
    <row r="472">
      <c r="A472" t="inlineStr">
        <is>
          <t>INSP-2026-0471</t>
        </is>
      </c>
      <c r="B472" s="6" t="n">
        <v>46094</v>
      </c>
      <c r="C472" t="inlineStr">
        <is>
          <t>U-BV233-01-13</t>
        </is>
      </c>
      <c r="D472" t="inlineStr">
        <is>
          <t>Bayshore Vale</t>
        </is>
      </c>
      <c r="E472" t="inlineStr">
        <is>
          <t>Marcus Lim</t>
        </is>
      </c>
      <c r="F472" t="inlineStr">
        <is>
          <t>Routine</t>
        </is>
      </c>
      <c r="G472" t="inlineStr">
        <is>
          <t>NONE</t>
        </is>
      </c>
      <c r="H472" t="inlineStr">
        <is>
          <t>Compliant</t>
        </is>
      </c>
      <c r="I472" s="6" t="n"/>
      <c r="J472" s="6" t="n"/>
      <c r="K472">
        <f>IF(J472="","",J472-B472)</f>
        <v/>
      </c>
      <c r="L472">
        <f>IF(H472="Compliant","N/A",IF(J472&lt;&gt;"","Closed",IF(I472&lt;DATE(2026,9,30),"OVERDUE","Open")))</f>
        <v/>
      </c>
    </row>
    <row r="473">
      <c r="A473" t="inlineStr">
        <is>
          <t>INSP-2026-0472</t>
        </is>
      </c>
      <c r="B473" s="6" t="n">
        <v>46094</v>
      </c>
      <c r="C473" t="inlineStr">
        <is>
          <t>U-RH455-01-05</t>
        </is>
      </c>
      <c r="D473" t="inlineStr">
        <is>
          <t>Rimba Heights</t>
        </is>
      </c>
      <c r="E473" t="inlineStr">
        <is>
          <t>Ben Ho</t>
        </is>
      </c>
      <c r="F473" t="inlineStr">
        <is>
          <t>Routine</t>
        </is>
      </c>
      <c r="G473" t="inlineStr">
        <is>
          <t>NONE</t>
        </is>
      </c>
      <c r="H473" t="inlineStr">
        <is>
          <t>Compliant</t>
        </is>
      </c>
      <c r="I473" s="6" t="n"/>
      <c r="J473" s="6" t="n"/>
      <c r="K473">
        <f>IF(J473="","",J473-B473)</f>
        <v/>
      </c>
      <c r="L473">
        <f>IF(H473="Compliant","N/A",IF(J473&lt;&gt;"","Closed",IF(I473&lt;DATE(2026,9,30),"OVERDUE","Open")))</f>
        <v/>
      </c>
    </row>
    <row r="474">
      <c r="A474" t="inlineStr">
        <is>
          <t>INSP-2026-0473</t>
        </is>
      </c>
      <c r="B474" s="6" t="n">
        <v>46094</v>
      </c>
      <c r="C474" t="inlineStr">
        <is>
          <t>U-KR341-01-03</t>
        </is>
      </c>
      <c r="D474" t="inlineStr">
        <is>
          <t>Kebun Raya</t>
        </is>
      </c>
      <c r="E474" t="inlineStr">
        <is>
          <t>Daniel O.</t>
        </is>
      </c>
      <c r="F474" t="inlineStr">
        <is>
          <t>Complaint-driven</t>
        </is>
      </c>
      <c r="G474" t="inlineStr">
        <is>
          <t>NONE</t>
        </is>
      </c>
      <c r="H474" t="inlineStr">
        <is>
          <t>Compliant</t>
        </is>
      </c>
      <c r="I474" s="6" t="n"/>
      <c r="J474" s="6" t="n"/>
      <c r="K474">
        <f>IF(J474="","",J474-B474)</f>
        <v/>
      </c>
      <c r="L474">
        <f>IF(H474="Compliant","N/A",IF(J474&lt;&gt;"","Closed",IF(I474&lt;DATE(2026,9,30),"OVERDUE","Open")))</f>
        <v/>
      </c>
    </row>
    <row r="475">
      <c r="A475" t="inlineStr">
        <is>
          <t>INSP-2026-0474</t>
        </is>
      </c>
      <c r="B475" s="6" t="n">
        <v>46094</v>
      </c>
      <c r="C475" t="inlineStr">
        <is>
          <t>U-PI614-01-07</t>
        </is>
      </c>
      <c r="D475" t="inlineStr">
        <is>
          <t>Pasir Indah</t>
        </is>
      </c>
      <c r="E475" t="inlineStr">
        <is>
          <t>Daniel Ong</t>
        </is>
      </c>
      <c r="F475" t="inlineStr">
        <is>
          <t>Routine</t>
        </is>
      </c>
      <c r="G475" t="inlineStr">
        <is>
          <t>NONE</t>
        </is>
      </c>
      <c r="H475" t="inlineStr">
        <is>
          <t>Compliant</t>
        </is>
      </c>
      <c r="I475" s="6" t="n"/>
      <c r="J475" s="6" t="n"/>
      <c r="K475">
        <f>IF(J475="","",J475-B475)</f>
        <v/>
      </c>
      <c r="L475">
        <f>IF(H475="Compliant","N/A",IF(J475&lt;&gt;"","Closed",IF(I475&lt;DATE(2026,9,30),"OVERDUE","Open")))</f>
        <v/>
      </c>
    </row>
    <row r="476">
      <c r="A476" t="inlineStr">
        <is>
          <t>INSP-2026-0475</t>
        </is>
      </c>
      <c r="B476" s="6" t="n">
        <v>46095</v>
      </c>
      <c r="C476" t="inlineStr">
        <is>
          <t>U-KR372-01-08</t>
        </is>
      </c>
      <c r="D476" t="inlineStr">
        <is>
          <t>Kebun Raya</t>
        </is>
      </c>
      <c r="E476" t="inlineStr">
        <is>
          <t>B. Ho</t>
        </is>
      </c>
      <c r="F476" t="inlineStr">
        <is>
          <t>Routine</t>
        </is>
      </c>
      <c r="G476" t="inlineStr">
        <is>
          <t>NONE</t>
        </is>
      </c>
      <c r="H476" t="inlineStr">
        <is>
          <t>Compliant</t>
        </is>
      </c>
      <c r="I476" s="6" t="n"/>
      <c r="J476" s="6" t="n"/>
      <c r="K476">
        <f>IF(J476="","",J476-B476)</f>
        <v/>
      </c>
      <c r="L476">
        <f>IF(H476="Compliant","N/A",IF(J476&lt;&gt;"","Closed",IF(I476&lt;DATE(2026,9,30),"OVERDUE","Open")))</f>
        <v/>
      </c>
    </row>
    <row r="477">
      <c r="A477" t="inlineStr">
        <is>
          <t>INSP-2026-0476</t>
        </is>
      </c>
      <c r="B477" s="6" t="n">
        <v>46095</v>
      </c>
      <c r="C477" t="inlineStr">
        <is>
          <t>U-BV214-01-16</t>
        </is>
      </c>
      <c r="D477" t="inlineStr">
        <is>
          <t>Bayshore Vale</t>
        </is>
      </c>
      <c r="E477" t="inlineStr">
        <is>
          <t>Daniel O.</t>
        </is>
      </c>
      <c r="F477" t="inlineStr">
        <is>
          <t>Follow-up</t>
        </is>
      </c>
      <c r="G477" t="inlineStr">
        <is>
          <t>NONE</t>
        </is>
      </c>
      <c r="H477" t="inlineStr">
        <is>
          <t>Compliant</t>
        </is>
      </c>
      <c r="I477" s="6" t="n"/>
      <c r="J477" s="6" t="n"/>
      <c r="K477">
        <f>IF(J477="","",J477-B477)</f>
        <v/>
      </c>
      <c r="L477">
        <f>IF(H477="Compliant","N/A",IF(J477&lt;&gt;"","Closed",IF(I477&lt;DATE(2026,9,30),"OVERDUE","Open")))</f>
        <v/>
      </c>
    </row>
    <row r="478">
      <c r="A478" t="inlineStr">
        <is>
          <t>INSP-2026-0477</t>
        </is>
      </c>
      <c r="B478" s="6" t="n">
        <v>46095</v>
      </c>
      <c r="C478" t="inlineStr">
        <is>
          <t>U-KR368-01-10</t>
        </is>
      </c>
      <c r="D478" t="inlineStr">
        <is>
          <t>Kebun Raya</t>
        </is>
      </c>
      <c r="E478" t="inlineStr">
        <is>
          <t>Ben Ho</t>
        </is>
      </c>
      <c r="F478" t="inlineStr">
        <is>
          <t>Routine</t>
        </is>
      </c>
      <c r="G478" t="inlineStr">
        <is>
          <t>NONE</t>
        </is>
      </c>
      <c r="H478" t="inlineStr">
        <is>
          <t>Compliant</t>
        </is>
      </c>
      <c r="I478" s="6" t="n"/>
      <c r="J478" s="6" t="n"/>
      <c r="K478">
        <f>IF(J478="","",J478-B478)</f>
        <v/>
      </c>
      <c r="L478">
        <f>IF(H478="Compliant","N/A",IF(J478&lt;&gt;"","Closed",IF(I478&lt;DATE(2026,9,30),"OVERDUE","Open")))</f>
        <v/>
      </c>
    </row>
    <row r="479">
      <c r="A479" t="inlineStr">
        <is>
          <t>INSP-2026-0478</t>
        </is>
      </c>
      <c r="B479" s="6" t="n">
        <v>46095</v>
      </c>
      <c r="C479" t="inlineStr">
        <is>
          <t>U-ST566-01-02</t>
        </is>
      </c>
      <c r="D479" t="inlineStr">
        <is>
          <t>Sungai Tinggi</t>
        </is>
      </c>
      <c r="E479" t="inlineStr">
        <is>
          <t>Daniel O.</t>
        </is>
      </c>
      <c r="F479" t="inlineStr">
        <is>
          <t>Follow-up</t>
        </is>
      </c>
      <c r="G479" t="inlineStr">
        <is>
          <t>UNAUTH_SUBLET</t>
        </is>
      </c>
      <c r="H479" t="inlineStr">
        <is>
          <t>Major Breach</t>
        </is>
      </c>
      <c r="I479" s="6" t="n">
        <v>46102</v>
      </c>
      <c r="J479" s="6" t="n">
        <v>46110</v>
      </c>
      <c r="K479">
        <f>IF(J479="","",J479-B479)</f>
        <v/>
      </c>
      <c r="L479">
        <f>IF(H479="Compliant","N/A",IF(J479&lt;&gt;"","Closed",IF(I479&lt;DATE(2026,9,30),"OVERDUE","Open")))</f>
        <v/>
      </c>
    </row>
    <row r="480">
      <c r="A480" t="inlineStr">
        <is>
          <t>INSP-2026-0479</t>
        </is>
      </c>
      <c r="B480" s="6" t="n">
        <v>46095</v>
      </c>
      <c r="C480" t="inlineStr">
        <is>
          <t>U-BV216-01-06</t>
        </is>
      </c>
      <c r="D480" t="inlineStr">
        <is>
          <t>Bayshore Vale</t>
        </is>
      </c>
      <c r="E480" t="inlineStr">
        <is>
          <t>daniel ong</t>
        </is>
      </c>
      <c r="F480" t="inlineStr">
        <is>
          <t>Complaint-driven</t>
        </is>
      </c>
      <c r="G480" t="inlineStr">
        <is>
          <t>NONE</t>
        </is>
      </c>
      <c r="H480" t="inlineStr">
        <is>
          <t>Compliant</t>
        </is>
      </c>
      <c r="I480" s="6" t="n"/>
      <c r="J480" s="6" t="n"/>
      <c r="K480">
        <f>IF(J480="","",J480-B480)</f>
        <v/>
      </c>
      <c r="L480">
        <f>IF(H480="Compliant","N/A",IF(J480&lt;&gt;"","Closed",IF(I480&lt;DATE(2026,9,30),"OVERDUE","Open")))</f>
        <v/>
      </c>
    </row>
    <row r="481">
      <c r="A481" t="inlineStr">
        <is>
          <t>INSP-2026-0480</t>
        </is>
      </c>
      <c r="B481" s="6" t="n">
        <v>46096</v>
      </c>
      <c r="C481" t="inlineStr">
        <is>
          <t>U-RH455-01-27</t>
        </is>
      </c>
      <c r="D481" t="inlineStr">
        <is>
          <t>Rimba Heights</t>
        </is>
      </c>
      <c r="E481" t="inlineStr">
        <is>
          <t>daniel ong</t>
        </is>
      </c>
      <c r="F481" t="inlineStr">
        <is>
          <t>Routine</t>
        </is>
      </c>
      <c r="G481" t="inlineStr">
        <is>
          <t>NONE</t>
        </is>
      </c>
      <c r="H481" t="inlineStr">
        <is>
          <t>Compliant</t>
        </is>
      </c>
      <c r="I481" s="6" t="n"/>
      <c r="J481" s="6" t="n"/>
      <c r="K481">
        <f>IF(J481="","",J481-B481)</f>
        <v/>
      </c>
      <c r="L481">
        <f>IF(H481="Compliant","N/A",IF(J481&lt;&gt;"","Closed",IF(I481&lt;DATE(2026,9,30),"OVERDUE","Open")))</f>
        <v/>
      </c>
    </row>
    <row r="482">
      <c r="A482" t="inlineStr">
        <is>
          <t>INSP-2026-0481</t>
        </is>
      </c>
      <c r="B482" s="6" t="n">
        <v>46096</v>
      </c>
      <c r="C482" t="inlineStr">
        <is>
          <t>U-PI634-01-06</t>
        </is>
      </c>
      <c r="D482" t="inlineStr">
        <is>
          <t>Pasir Indah</t>
        </is>
      </c>
      <c r="E482" t="inlineStr">
        <is>
          <t>M. Lim</t>
        </is>
      </c>
      <c r="F482" t="inlineStr">
        <is>
          <t>Complaint-driven</t>
        </is>
      </c>
      <c r="G482" t="inlineStr">
        <is>
          <t>NONE</t>
        </is>
      </c>
      <c r="H482" t="inlineStr">
        <is>
          <t>Compliant</t>
        </is>
      </c>
      <c r="I482" s="6" t="n"/>
      <c r="J482" s="6" t="n"/>
      <c r="K482">
        <f>IF(J482="","",J482-B482)</f>
        <v/>
      </c>
      <c r="L482">
        <f>IF(H482="Compliant","N/A",IF(J482&lt;&gt;"","Closed",IF(I482&lt;DATE(2026,9,30),"OVERDUE","Open")))</f>
        <v/>
      </c>
    </row>
    <row r="483">
      <c r="A483" t="inlineStr">
        <is>
          <t>INSP-2026-0482</t>
        </is>
      </c>
      <c r="B483" s="6" t="n">
        <v>46096</v>
      </c>
      <c r="C483" t="inlineStr">
        <is>
          <t>U-BV256-01-13</t>
        </is>
      </c>
      <c r="D483" t="inlineStr">
        <is>
          <t>Bayshore Vale</t>
        </is>
      </c>
      <c r="E483" t="inlineStr">
        <is>
          <t>marcus</t>
        </is>
      </c>
      <c r="F483" t="inlineStr">
        <is>
          <t>Routine</t>
        </is>
      </c>
      <c r="G483" t="inlineStr">
        <is>
          <t>NONE</t>
        </is>
      </c>
      <c r="H483" t="inlineStr">
        <is>
          <t>Compliant</t>
        </is>
      </c>
      <c r="I483" s="6" t="n"/>
      <c r="J483" s="6" t="n"/>
      <c r="K483">
        <f>IF(J483="","",J483-B483)</f>
        <v/>
      </c>
      <c r="L483">
        <f>IF(H483="Compliant","N/A",IF(J483&lt;&gt;"","Closed",IF(I483&lt;DATE(2026,9,30),"OVERDUE","Open")))</f>
        <v/>
      </c>
    </row>
    <row r="484">
      <c r="A484" t="inlineStr">
        <is>
          <t>INSP-2026-0483</t>
        </is>
      </c>
      <c r="B484" s="6" t="n">
        <v>46096</v>
      </c>
      <c r="C484" t="inlineStr">
        <is>
          <t>U-ST538-01-06</t>
        </is>
      </c>
      <c r="D484" t="inlineStr">
        <is>
          <t>Sungai Tinggi</t>
        </is>
      </c>
      <c r="E484" t="inlineStr">
        <is>
          <t>Daniel Ong</t>
        </is>
      </c>
      <c r="F484" t="inlineStr">
        <is>
          <t>Routine</t>
        </is>
      </c>
      <c r="G484" t="inlineStr">
        <is>
          <t>NONE</t>
        </is>
      </c>
      <c r="H484" t="inlineStr">
        <is>
          <t>Compliant</t>
        </is>
      </c>
      <c r="I484" s="6" t="n"/>
      <c r="J484" s="6" t="n"/>
      <c r="K484">
        <f>IF(J484="","",J484-B484)</f>
        <v/>
      </c>
      <c r="L484">
        <f>IF(H484="Compliant","N/A",IF(J484&lt;&gt;"","Closed",IF(I484&lt;DATE(2026,9,30),"OVERDUE","Open")))</f>
        <v/>
      </c>
    </row>
    <row r="485">
      <c r="A485" t="inlineStr">
        <is>
          <t>INSP-2026-0484</t>
        </is>
      </c>
      <c r="B485" s="6" t="n">
        <v>46096</v>
      </c>
      <c r="C485" t="inlineStr">
        <is>
          <t>U-KR305-01-01</t>
        </is>
      </c>
      <c r="D485" t="inlineStr">
        <is>
          <t>Kebun Raya</t>
        </is>
      </c>
      <c r="E485" t="inlineStr">
        <is>
          <t>Ben Ho</t>
        </is>
      </c>
      <c r="F485" t="inlineStr">
        <is>
          <t>Routine</t>
        </is>
      </c>
      <c r="G485" t="inlineStr">
        <is>
          <t>NONE</t>
        </is>
      </c>
      <c r="H485" t="inlineStr">
        <is>
          <t>Compliant</t>
        </is>
      </c>
      <c r="I485" s="6" t="n"/>
      <c r="J485" s="6" t="n"/>
      <c r="K485">
        <f>IF(J485="","",J485-B485)</f>
        <v/>
      </c>
      <c r="L485">
        <f>IF(H485="Compliant","N/A",IF(J485&lt;&gt;"","Closed",IF(I485&lt;DATE(2026,9,30),"OVERDUE","Open")))</f>
        <v/>
      </c>
    </row>
    <row r="486">
      <c r="A486" t="inlineStr">
        <is>
          <t>INSP-2026-0485</t>
        </is>
      </c>
      <c r="B486" s="6" t="n">
        <v>46096</v>
      </c>
      <c r="C486" t="inlineStr">
        <is>
          <t>U-CD174-01-03</t>
        </is>
      </c>
      <c r="D486" t="inlineStr">
        <is>
          <t>Cendana</t>
        </is>
      </c>
      <c r="E486" t="inlineStr">
        <is>
          <t>Daniel Ong</t>
        </is>
      </c>
      <c r="F486" t="inlineStr">
        <is>
          <t>Follow-up</t>
        </is>
      </c>
      <c r="G486" t="inlineStr">
        <is>
          <t>NONE</t>
        </is>
      </c>
      <c r="H486" t="inlineStr">
        <is>
          <t>Compliant</t>
        </is>
      </c>
      <c r="I486" s="6" t="n"/>
      <c r="J486" s="6" t="n"/>
      <c r="K486">
        <f>IF(J486="","",J486-B486)</f>
        <v/>
      </c>
      <c r="L486">
        <f>IF(H486="Compliant","N/A",IF(J486&lt;&gt;"","Closed",IF(I486&lt;DATE(2026,9,30),"OVERDUE","Open")))</f>
        <v/>
      </c>
    </row>
    <row r="487">
      <c r="A487" t="inlineStr">
        <is>
          <t>INSP-2026-0486</t>
        </is>
      </c>
      <c r="B487" s="6" t="n">
        <v>46096</v>
      </c>
      <c r="C487" t="inlineStr">
        <is>
          <t>U-PI679-01-02</t>
        </is>
      </c>
      <c r="D487" t="inlineStr">
        <is>
          <t>Pasir Indah</t>
        </is>
      </c>
      <c r="E487" t="inlineStr">
        <is>
          <t>Daniel Ong</t>
        </is>
      </c>
      <c r="F487" t="inlineStr">
        <is>
          <t>Follow-up</t>
        </is>
      </c>
      <c r="G487" t="inlineStr">
        <is>
          <t>NONE</t>
        </is>
      </c>
      <c r="H487" t="inlineStr">
        <is>
          <t>Compliant</t>
        </is>
      </c>
      <c r="I487" s="6" t="n"/>
      <c r="J487" s="6" t="n"/>
      <c r="K487">
        <f>IF(J487="","",J487-B487)</f>
        <v/>
      </c>
      <c r="L487">
        <f>IF(H487="Compliant","N/A",IF(J487&lt;&gt;"","Closed",IF(I487&lt;DATE(2026,9,30),"OVERDUE","Open")))</f>
        <v/>
      </c>
    </row>
    <row r="488">
      <c r="A488" t="inlineStr">
        <is>
          <t>INSP-2026-0487</t>
        </is>
      </c>
      <c r="B488" s="6" t="n">
        <v>46097</v>
      </c>
      <c r="C488" t="inlineStr">
        <is>
          <t>U-BV204-01-07</t>
        </is>
      </c>
      <c r="D488" t="inlineStr">
        <is>
          <t>Bayshore Vale</t>
        </is>
      </c>
      <c r="E488" t="inlineStr">
        <is>
          <t>daniel ong</t>
        </is>
      </c>
      <c r="F488" t="inlineStr">
        <is>
          <t>Complaint-driven</t>
        </is>
      </c>
      <c r="G488" t="inlineStr">
        <is>
          <t>DISPLAY_ENCROACH</t>
        </is>
      </c>
      <c r="H488" t="inlineStr">
        <is>
          <t>Minor Breach</t>
        </is>
      </c>
      <c r="I488" s="6" t="n">
        <v>46111</v>
      </c>
      <c r="J488" s="6" t="n">
        <v>46110</v>
      </c>
      <c r="K488">
        <f>IF(J488="","",J488-B488)</f>
        <v/>
      </c>
      <c r="L488">
        <f>IF(H488="Compliant","N/A",IF(J488&lt;&gt;"","Closed",IF(I488&lt;DATE(2026,9,30),"OVERDUE","Open")))</f>
        <v/>
      </c>
    </row>
    <row r="489">
      <c r="A489" t="inlineStr">
        <is>
          <t>INSP-2026-0488</t>
        </is>
      </c>
      <c r="B489" s="6" t="n">
        <v>46097</v>
      </c>
      <c r="C489" t="inlineStr">
        <is>
          <t>U-PI634-01-01</t>
        </is>
      </c>
      <c r="D489" t="inlineStr">
        <is>
          <t>Pasir Indah</t>
        </is>
      </c>
      <c r="E489" t="inlineStr">
        <is>
          <t>Daniel O.</t>
        </is>
      </c>
      <c r="F489" t="inlineStr">
        <is>
          <t>Follow-up</t>
        </is>
      </c>
      <c r="G489" t="inlineStr">
        <is>
          <t>NONE</t>
        </is>
      </c>
      <c r="H489" t="inlineStr">
        <is>
          <t>Compliant</t>
        </is>
      </c>
      <c r="I489" s="6" t="n"/>
      <c r="J489" s="6" t="n"/>
      <c r="K489">
        <f>IF(J489="","",J489-B489)</f>
        <v/>
      </c>
      <c r="L489">
        <f>IF(H489="Compliant","N/A",IF(J489&lt;&gt;"","Closed",IF(I489&lt;DATE(2026,9,30),"OVERDUE","Open")))</f>
        <v/>
      </c>
    </row>
    <row r="490">
      <c r="A490" t="inlineStr">
        <is>
          <t>INSP-2026-0489</t>
        </is>
      </c>
      <c r="B490" s="6" t="n">
        <v>46097</v>
      </c>
      <c r="C490" t="inlineStr">
        <is>
          <t>U-RH460-01-06</t>
        </is>
      </c>
      <c r="D490" t="inlineStr">
        <is>
          <t>Rimba Heights</t>
        </is>
      </c>
      <c r="E490" t="inlineStr">
        <is>
          <t>Daniel Ong</t>
        </is>
      </c>
      <c r="F490" t="inlineStr">
        <is>
          <t>Complaint-driven</t>
        </is>
      </c>
      <c r="G490" t="inlineStr">
        <is>
          <t>NONE</t>
        </is>
      </c>
      <c r="H490" t="inlineStr">
        <is>
          <t>Compliant</t>
        </is>
      </c>
      <c r="I490" s="6" t="n"/>
      <c r="J490" s="6" t="n"/>
      <c r="K490">
        <f>IF(J490="","",J490-B490)</f>
        <v/>
      </c>
      <c r="L490">
        <f>IF(H490="Compliant","N/A",IF(J490&lt;&gt;"","Closed",IF(I490&lt;DATE(2026,9,30),"OVERDUE","Open")))</f>
        <v/>
      </c>
    </row>
    <row r="491">
      <c r="A491" t="inlineStr">
        <is>
          <t>INSP-2026-0490</t>
        </is>
      </c>
      <c r="B491" s="6" t="n">
        <v>46097</v>
      </c>
      <c r="C491" t="inlineStr">
        <is>
          <t>U-PI614-01-09</t>
        </is>
      </c>
      <c r="D491" t="inlineStr">
        <is>
          <t>Pasir Indah</t>
        </is>
      </c>
      <c r="E491" t="inlineStr">
        <is>
          <t>Marcus Lim</t>
        </is>
      </c>
      <c r="F491" t="inlineStr">
        <is>
          <t>Routine</t>
        </is>
      </c>
      <c r="G491" t="inlineStr">
        <is>
          <t>NONE</t>
        </is>
      </c>
      <c r="H491" t="inlineStr">
        <is>
          <t>Compliant</t>
        </is>
      </c>
      <c r="I491" s="6" t="n"/>
      <c r="J491" s="6" t="n"/>
      <c r="K491">
        <f>IF(J491="","",J491-B491)</f>
        <v/>
      </c>
      <c r="L491">
        <f>IF(H491="Compliant","N/A",IF(J491&lt;&gt;"","Closed",IF(I491&lt;DATE(2026,9,30),"OVERDUE","Open")))</f>
        <v/>
      </c>
    </row>
    <row r="492">
      <c r="A492" t="inlineStr">
        <is>
          <t>INSP-2026-0491</t>
        </is>
      </c>
      <c r="B492" s="6" t="n">
        <v>46098</v>
      </c>
      <c r="C492" t="inlineStr">
        <is>
          <t>U-RH456-01-06</t>
        </is>
      </c>
      <c r="D492" t="inlineStr">
        <is>
          <t>Rimba Heights</t>
        </is>
      </c>
      <c r="E492" t="inlineStr">
        <is>
          <t>daniel ong</t>
        </is>
      </c>
      <c r="F492" t="inlineStr">
        <is>
          <t>Follow-up</t>
        </is>
      </c>
      <c r="G492" t="inlineStr">
        <is>
          <t>UNAUTH_TRADE</t>
        </is>
      </c>
      <c r="H492" t="inlineStr">
        <is>
          <t>Major Breach</t>
        </is>
      </c>
      <c r="I492" s="6" t="n">
        <v>46105</v>
      </c>
      <c r="J492" s="6" t="n">
        <v>46105</v>
      </c>
      <c r="K492">
        <f>IF(J492="","",J492-B492)</f>
        <v/>
      </c>
      <c r="L492">
        <f>IF(H492="Compliant","N/A",IF(J492&lt;&gt;"","Closed",IF(I492&lt;DATE(2026,9,30),"OVERDUE","Open")))</f>
        <v/>
      </c>
    </row>
    <row r="493">
      <c r="A493" t="inlineStr">
        <is>
          <t>INSP-2026-0492</t>
        </is>
      </c>
      <c r="B493" s="6" t="n">
        <v>46098</v>
      </c>
      <c r="C493" t="inlineStr">
        <is>
          <t>U-CD170-01-08</t>
        </is>
      </c>
      <c r="D493" t="inlineStr">
        <is>
          <t>Cendana</t>
        </is>
      </c>
      <c r="E493" t="inlineStr">
        <is>
          <t>marcus</t>
        </is>
      </c>
      <c r="F493" t="inlineStr">
        <is>
          <t>Complaint-driven</t>
        </is>
      </c>
      <c r="G493" t="inlineStr">
        <is>
          <t>NONE</t>
        </is>
      </c>
      <c r="H493" t="inlineStr">
        <is>
          <t>Compliant</t>
        </is>
      </c>
      <c r="I493" s="6" t="n"/>
      <c r="J493" s="6" t="n"/>
      <c r="K493">
        <f>IF(J493="","",J493-B493)</f>
        <v/>
      </c>
      <c r="L493">
        <f>IF(H493="Compliant","N/A",IF(J493&lt;&gt;"","Closed",IF(I493&lt;DATE(2026,9,30),"OVERDUE","Open")))</f>
        <v/>
      </c>
    </row>
    <row r="494">
      <c r="A494" t="inlineStr">
        <is>
          <t>INSP-2026-0493</t>
        </is>
      </c>
      <c r="B494" s="6" t="n">
        <v>46098</v>
      </c>
      <c r="C494" t="inlineStr">
        <is>
          <t>U-ST591-01-01</t>
        </is>
      </c>
      <c r="D494" t="inlineStr">
        <is>
          <t>Sungai Tinggi</t>
        </is>
      </c>
      <c r="E494" t="inlineStr">
        <is>
          <t>Daniel O.</t>
        </is>
      </c>
      <c r="F494" t="inlineStr">
        <is>
          <t>Routine</t>
        </is>
      </c>
      <c r="G494" t="inlineStr">
        <is>
          <t>NONE</t>
        </is>
      </c>
      <c r="H494" t="inlineStr">
        <is>
          <t>Compliant</t>
        </is>
      </c>
      <c r="I494" s="6" t="n"/>
      <c r="J494" s="6" t="n"/>
      <c r="K494">
        <f>IF(J494="","",J494-B494)</f>
        <v/>
      </c>
      <c r="L494">
        <f>IF(H494="Compliant","N/A",IF(J494&lt;&gt;"","Closed",IF(I494&lt;DATE(2026,9,30),"OVERDUE","Open")))</f>
        <v/>
      </c>
    </row>
    <row r="495">
      <c r="A495" t="inlineStr">
        <is>
          <t>INSP-2026-0494</t>
        </is>
      </c>
      <c r="B495" s="6" t="n">
        <v>46098</v>
      </c>
      <c r="C495" t="inlineStr">
        <is>
          <t>U-ST591-01-03</t>
        </is>
      </c>
      <c r="D495" t="inlineStr">
        <is>
          <t>Sungai Tinggi</t>
        </is>
      </c>
      <c r="E495" t="inlineStr">
        <is>
          <t>Benjamin Ho</t>
        </is>
      </c>
      <c r="F495" t="inlineStr">
        <is>
          <t>Routine</t>
        </is>
      </c>
      <c r="G495" t="inlineStr">
        <is>
          <t>UNAUTH_SUBLET</t>
        </is>
      </c>
      <c r="H495" t="inlineStr">
        <is>
          <t>Major Breach</t>
        </is>
      </c>
      <c r="I495" s="6" t="n">
        <v>46105</v>
      </c>
      <c r="J495" s="6" t="n">
        <v>46103</v>
      </c>
      <c r="K495">
        <f>IF(J495="","",J495-B495)</f>
        <v/>
      </c>
      <c r="L495">
        <f>IF(H495="Compliant","N/A",IF(J495&lt;&gt;"","Closed",IF(I495&lt;DATE(2026,9,30),"OVERDUE","Open")))</f>
        <v/>
      </c>
    </row>
    <row r="496">
      <c r="A496" t="inlineStr">
        <is>
          <t>INSP-2026-0495</t>
        </is>
      </c>
      <c r="B496" s="6" t="n">
        <v>46098</v>
      </c>
      <c r="C496" t="inlineStr">
        <is>
          <t>U-CD119-01-02</t>
        </is>
      </c>
      <c r="D496" t="inlineStr">
        <is>
          <t>Cendana</t>
        </is>
      </c>
      <c r="E496" t="inlineStr">
        <is>
          <t>daniel ong</t>
        </is>
      </c>
      <c r="F496" t="inlineStr">
        <is>
          <t>Routine</t>
        </is>
      </c>
      <c r="G496" t="inlineStr">
        <is>
          <t>NONE</t>
        </is>
      </c>
      <c r="H496" t="inlineStr">
        <is>
          <t>Compliant</t>
        </is>
      </c>
      <c r="I496" s="6" t="n"/>
      <c r="J496" s="6" t="n"/>
      <c r="K496">
        <f>IF(J496="","",J496-B496)</f>
        <v/>
      </c>
      <c r="L496">
        <f>IF(H496="Compliant","N/A",IF(J496&lt;&gt;"","Closed",IF(I496&lt;DATE(2026,9,30),"OVERDUE","Open")))</f>
        <v/>
      </c>
    </row>
    <row r="497">
      <c r="A497" t="inlineStr">
        <is>
          <t>INSP-2026-0496</t>
        </is>
      </c>
      <c r="B497" s="6" t="n">
        <v>46098</v>
      </c>
      <c r="C497" t="inlineStr">
        <is>
          <t>U-BV256-01-05</t>
        </is>
      </c>
      <c r="D497" t="inlineStr">
        <is>
          <t>Bayshore Vale</t>
        </is>
      </c>
      <c r="E497" t="inlineStr">
        <is>
          <t>Marcus Lim</t>
        </is>
      </c>
      <c r="F497" t="inlineStr">
        <is>
          <t>Follow-up</t>
        </is>
      </c>
      <c r="G497" t="inlineStr">
        <is>
          <t>NONE</t>
        </is>
      </c>
      <c r="H497" t="inlineStr">
        <is>
          <t>Compliant</t>
        </is>
      </c>
      <c r="I497" s="6" t="n"/>
      <c r="J497" s="6" t="n"/>
      <c r="K497">
        <f>IF(J497="","",J497-B497)</f>
        <v/>
      </c>
      <c r="L497">
        <f>IF(H497="Compliant","N/A",IF(J497&lt;&gt;"","Closed",IF(I497&lt;DATE(2026,9,30),"OVERDUE","Open")))</f>
        <v/>
      </c>
    </row>
    <row r="498">
      <c r="A498" t="inlineStr">
        <is>
          <t>INSP-2026-0497</t>
        </is>
      </c>
      <c r="B498" s="6" t="n">
        <v>46099</v>
      </c>
      <c r="C498" t="inlineStr">
        <is>
          <t>U-BV231-01-06</t>
        </is>
      </c>
      <c r="D498" t="inlineStr">
        <is>
          <t>Bayshore Vale</t>
        </is>
      </c>
      <c r="E498" t="inlineStr">
        <is>
          <t>Marcus Lim</t>
        </is>
      </c>
      <c r="F498" t="inlineStr">
        <is>
          <t>Routine</t>
        </is>
      </c>
      <c r="G498" t="inlineStr">
        <is>
          <t>NONE</t>
        </is>
      </c>
      <c r="H498" t="inlineStr">
        <is>
          <t>Compliant</t>
        </is>
      </c>
      <c r="I498" s="6" t="n"/>
      <c r="J498" s="6" t="n"/>
      <c r="K498">
        <f>IF(J498="","",J498-B498)</f>
        <v/>
      </c>
      <c r="L498">
        <f>IF(H498="Compliant","N/A",IF(J498&lt;&gt;"","Closed",IF(I498&lt;DATE(2026,9,30),"OVERDUE","Open")))</f>
        <v/>
      </c>
    </row>
    <row r="499">
      <c r="A499" t="inlineStr">
        <is>
          <t>INSP-2026-0498</t>
        </is>
      </c>
      <c r="B499" s="6" t="n">
        <v>46099</v>
      </c>
      <c r="C499" t="inlineStr">
        <is>
          <t>U-PI678-01-10</t>
        </is>
      </c>
      <c r="D499" t="inlineStr">
        <is>
          <t>Pasir Indah</t>
        </is>
      </c>
      <c r="E499" t="inlineStr">
        <is>
          <t>daniel ong</t>
        </is>
      </c>
      <c r="F499" t="inlineStr">
        <is>
          <t>Routine</t>
        </is>
      </c>
      <c r="G499" t="inlineStr">
        <is>
          <t>UNAPPROVED_AA</t>
        </is>
      </c>
      <c r="H499" t="inlineStr">
        <is>
          <t>Minor Breach</t>
        </is>
      </c>
      <c r="I499" s="6" t="n">
        <v>46113</v>
      </c>
      <c r="J499" s="6" t="n">
        <v>46116</v>
      </c>
      <c r="K499">
        <f>IF(J499="","",J499-B499)</f>
        <v/>
      </c>
      <c r="L499">
        <f>IF(H499="Compliant","N/A",IF(J499&lt;&gt;"","Closed",IF(I499&lt;DATE(2026,9,30),"OVERDUE","Open")))</f>
        <v/>
      </c>
    </row>
    <row r="500">
      <c r="A500" t="inlineStr">
        <is>
          <t>INSP-2026-0499</t>
        </is>
      </c>
      <c r="B500" s="6" t="n">
        <v>46099</v>
      </c>
      <c r="C500" t="inlineStr">
        <is>
          <t>U-CD129-01-09</t>
        </is>
      </c>
      <c r="D500" t="inlineStr">
        <is>
          <t>Cendana</t>
        </is>
      </c>
      <c r="E500" t="inlineStr">
        <is>
          <t>D. Ong</t>
        </is>
      </c>
      <c r="F500" t="inlineStr">
        <is>
          <t>Routine</t>
        </is>
      </c>
      <c r="G500" t="inlineStr">
        <is>
          <t>NONE</t>
        </is>
      </c>
      <c r="H500" t="inlineStr">
        <is>
          <t>Compliant</t>
        </is>
      </c>
      <c r="I500" s="6" t="n"/>
      <c r="J500" s="6" t="n"/>
      <c r="K500">
        <f>IF(J500="","",J500-B500)</f>
        <v/>
      </c>
      <c r="L500">
        <f>IF(H500="Compliant","N/A",IF(J500&lt;&gt;"","Closed",IF(I500&lt;DATE(2026,9,30),"OVERDUE","Open")))</f>
        <v/>
      </c>
    </row>
    <row r="501">
      <c r="A501" t="inlineStr">
        <is>
          <t>INSP-2026-0500</t>
        </is>
      </c>
      <c r="B501" s="6" t="n">
        <v>46099</v>
      </c>
      <c r="C501" t="inlineStr">
        <is>
          <t>U-RH455-01-05</t>
        </is>
      </c>
      <c r="D501" t="inlineStr">
        <is>
          <t>Rimba Heights</t>
        </is>
      </c>
      <c r="E501" t="inlineStr">
        <is>
          <t>Benjamin Ho</t>
        </is>
      </c>
      <c r="F501" t="inlineStr">
        <is>
          <t>Routine</t>
        </is>
      </c>
      <c r="G501" t="inlineStr">
        <is>
          <t>NONE</t>
        </is>
      </c>
      <c r="H501" t="inlineStr">
        <is>
          <t>Compliant</t>
        </is>
      </c>
      <c r="I501" s="6" t="n"/>
      <c r="J501" s="6" t="n"/>
      <c r="K501">
        <f>IF(J501="","",J501-B501)</f>
        <v/>
      </c>
      <c r="L501">
        <f>IF(H501="Compliant","N/A",IF(J501&lt;&gt;"","Closed",IF(I501&lt;DATE(2026,9,30),"OVERDUE","Open")))</f>
        <v/>
      </c>
    </row>
    <row r="502">
      <c r="A502" t="inlineStr">
        <is>
          <t>INSP-2026-0501</t>
        </is>
      </c>
      <c r="B502" s="6" t="n">
        <v>46099</v>
      </c>
      <c r="C502" t="inlineStr">
        <is>
          <t>U-PI606-01-04</t>
        </is>
      </c>
      <c r="D502" t="inlineStr">
        <is>
          <t>Pasir Indah</t>
        </is>
      </c>
      <c r="E502" t="inlineStr">
        <is>
          <t>Marcus Lim</t>
        </is>
      </c>
      <c r="F502" t="inlineStr">
        <is>
          <t>Complaint-driven</t>
        </is>
      </c>
      <c r="G502" t="inlineStr">
        <is>
          <t>NONE</t>
        </is>
      </c>
      <c r="H502" t="inlineStr">
        <is>
          <t>Compliant</t>
        </is>
      </c>
      <c r="I502" s="6" t="n"/>
      <c r="J502" s="6" t="n"/>
      <c r="K502">
        <f>IF(J502="","",J502-B502)</f>
        <v/>
      </c>
      <c r="L502">
        <f>IF(H502="Compliant","N/A",IF(J502&lt;&gt;"","Closed",IF(I502&lt;DATE(2026,9,30),"OVERDUE","Open")))</f>
        <v/>
      </c>
    </row>
    <row r="503">
      <c r="A503" t="inlineStr">
        <is>
          <t>INSP-2026-0502</t>
        </is>
      </c>
      <c r="B503" s="6" t="n">
        <v>46099</v>
      </c>
      <c r="C503" t="inlineStr">
        <is>
          <t>U-PI670-01-03</t>
        </is>
      </c>
      <c r="D503" t="inlineStr">
        <is>
          <t>Pasir Indah</t>
        </is>
      </c>
      <c r="E503" t="inlineStr">
        <is>
          <t>marcus</t>
        </is>
      </c>
      <c r="F503" t="inlineStr">
        <is>
          <t>Complaint-driven</t>
        </is>
      </c>
      <c r="G503" t="inlineStr">
        <is>
          <t>HYGIENE</t>
        </is>
      </c>
      <c r="H503" t="inlineStr">
        <is>
          <t>Minor Breach</t>
        </is>
      </c>
      <c r="I503" s="6" t="n">
        <v>46113</v>
      </c>
      <c r="J503" s="6" t="n">
        <v>46121</v>
      </c>
      <c r="K503">
        <f>IF(J503="","",J503-B503)</f>
        <v/>
      </c>
      <c r="L503">
        <f>IF(H503="Compliant","N/A",IF(J503&lt;&gt;"","Closed",IF(I503&lt;DATE(2026,9,30),"OVERDUE","Open")))</f>
        <v/>
      </c>
    </row>
    <row r="504">
      <c r="A504" t="inlineStr">
        <is>
          <t>INSP-2026-0503</t>
        </is>
      </c>
      <c r="B504" s="6" t="n">
        <v>46099</v>
      </c>
      <c r="C504" t="inlineStr">
        <is>
          <t>U-KR305-01-20</t>
        </is>
      </c>
      <c r="D504" t="inlineStr">
        <is>
          <t>Kebun Raya</t>
        </is>
      </c>
      <c r="E504" t="inlineStr">
        <is>
          <t>Daniel O.</t>
        </is>
      </c>
      <c r="F504" t="inlineStr">
        <is>
          <t>Complaint-driven</t>
        </is>
      </c>
      <c r="G504" t="inlineStr">
        <is>
          <t>FIRE_SAFETY</t>
        </is>
      </c>
      <c r="H504" t="inlineStr">
        <is>
          <t>Major Breach</t>
        </is>
      </c>
      <c r="I504" s="6" t="n">
        <v>46106</v>
      </c>
      <c r="J504" s="6" t="n"/>
      <c r="K504">
        <f>IF(J504="","",J504-B504)</f>
        <v/>
      </c>
      <c r="L504">
        <f>IF(H504="Compliant","N/A",IF(J504&lt;&gt;"","Closed",IF(I504&lt;DATE(2026,9,30),"OVERDUE","Open")))</f>
        <v/>
      </c>
    </row>
    <row r="505">
      <c r="A505" t="inlineStr">
        <is>
          <t>INSP-2026-0504</t>
        </is>
      </c>
      <c r="B505" s="6" t="n">
        <v>46100</v>
      </c>
      <c r="C505" t="inlineStr">
        <is>
          <t>U-PI667-01-14</t>
        </is>
      </c>
      <c r="D505" t="inlineStr">
        <is>
          <t>Pasir Indah</t>
        </is>
      </c>
      <c r="E505" t="inlineStr">
        <is>
          <t>Daniel O.</t>
        </is>
      </c>
      <c r="F505" t="inlineStr">
        <is>
          <t>Routine</t>
        </is>
      </c>
      <c r="G505" t="inlineStr">
        <is>
          <t>NONE</t>
        </is>
      </c>
      <c r="H505" t="inlineStr">
        <is>
          <t>Compliant</t>
        </is>
      </c>
      <c r="I505" s="6" t="n"/>
      <c r="J505" s="6" t="n"/>
      <c r="K505">
        <f>IF(J505="","",J505-B505)</f>
        <v/>
      </c>
      <c r="L505">
        <f>IF(H505="Compliant","N/A",IF(J505&lt;&gt;"","Closed",IF(I505&lt;DATE(2026,9,30),"OVERDUE","Open")))</f>
        <v/>
      </c>
    </row>
    <row r="506">
      <c r="A506" t="inlineStr">
        <is>
          <t>INSP-2026-0505</t>
        </is>
      </c>
      <c r="B506" s="6" t="n">
        <v>46100</v>
      </c>
      <c r="C506" t="inlineStr">
        <is>
          <t>U-RH491-01-04</t>
        </is>
      </c>
      <c r="D506" t="inlineStr">
        <is>
          <t>Rimba Heights</t>
        </is>
      </c>
      <c r="E506" t="inlineStr">
        <is>
          <t>daniel ong</t>
        </is>
      </c>
      <c r="F506" t="inlineStr">
        <is>
          <t>Routine</t>
        </is>
      </c>
      <c r="G506" t="inlineStr">
        <is>
          <t>NONE</t>
        </is>
      </c>
      <c r="H506" t="inlineStr">
        <is>
          <t>Compliant</t>
        </is>
      </c>
      <c r="I506" s="6" t="n"/>
      <c r="J506" s="6" t="n"/>
      <c r="K506">
        <f>IF(J506="","",J506-B506)</f>
        <v/>
      </c>
      <c r="L506">
        <f>IF(H506="Compliant","N/A",IF(J506&lt;&gt;"","Closed",IF(I506&lt;DATE(2026,9,30),"OVERDUE","Open")))</f>
        <v/>
      </c>
    </row>
    <row r="507">
      <c r="A507" t="inlineStr">
        <is>
          <t>INSP-2026-0506</t>
        </is>
      </c>
      <c r="B507" s="6" t="n">
        <v>46100</v>
      </c>
      <c r="C507" t="inlineStr">
        <is>
          <t>U-CD120-01-03</t>
        </is>
      </c>
      <c r="D507" t="inlineStr">
        <is>
          <t>Cendana</t>
        </is>
      </c>
      <c r="E507" t="inlineStr">
        <is>
          <t>daniel ong</t>
        </is>
      </c>
      <c r="F507" t="inlineStr">
        <is>
          <t>Follow-up</t>
        </is>
      </c>
      <c r="G507" t="inlineStr">
        <is>
          <t>FIRE_SAFETY</t>
        </is>
      </c>
      <c r="H507" t="inlineStr">
        <is>
          <t>Major Breach</t>
        </is>
      </c>
      <c r="I507" s="6" t="n">
        <v>46107</v>
      </c>
      <c r="J507" s="6" t="n">
        <v>46112</v>
      </c>
      <c r="K507">
        <f>IF(J507="","",J507-B507)</f>
        <v/>
      </c>
      <c r="L507">
        <f>IF(H507="Compliant","N/A",IF(J507&lt;&gt;"","Closed",IF(I507&lt;DATE(2026,9,30),"OVERDUE","Open")))</f>
        <v/>
      </c>
    </row>
    <row r="508">
      <c r="A508" t="inlineStr">
        <is>
          <t>INSP-2026-0507</t>
        </is>
      </c>
      <c r="B508" s="6" t="n">
        <v>46100</v>
      </c>
      <c r="C508" t="inlineStr">
        <is>
          <t>U-RH466-01-06</t>
        </is>
      </c>
      <c r="D508" t="inlineStr">
        <is>
          <t>Rimba Heights</t>
        </is>
      </c>
      <c r="E508" t="inlineStr">
        <is>
          <t>daniel ong</t>
        </is>
      </c>
      <c r="F508" t="inlineStr">
        <is>
          <t>Routine</t>
        </is>
      </c>
      <c r="G508" t="inlineStr">
        <is>
          <t>DISPLAY_ENCROACH</t>
        </is>
      </c>
      <c r="H508" t="inlineStr">
        <is>
          <t>Minor Breach</t>
        </is>
      </c>
      <c r="I508" s="6" t="n">
        <v>46114</v>
      </c>
      <c r="J508" s="6" t="n">
        <v>46113</v>
      </c>
      <c r="K508">
        <f>IF(J508="","",J508-B508)</f>
        <v/>
      </c>
      <c r="L508">
        <f>IF(H508="Compliant","N/A",IF(J508&lt;&gt;"","Closed",IF(I508&lt;DATE(2026,9,30),"OVERDUE","Open")))</f>
        <v/>
      </c>
    </row>
    <row r="509">
      <c r="A509" t="inlineStr">
        <is>
          <t>INSP-2026-0508</t>
        </is>
      </c>
      <c r="B509" s="6" t="n">
        <v>46100</v>
      </c>
      <c r="C509" t="inlineStr">
        <is>
          <t>U-PI679-01-04</t>
        </is>
      </c>
      <c r="D509" t="inlineStr">
        <is>
          <t>Pasir Indah</t>
        </is>
      </c>
      <c r="E509" t="inlineStr">
        <is>
          <t>Marcus Lim</t>
        </is>
      </c>
      <c r="F509" t="inlineStr">
        <is>
          <t>Complaint-driven</t>
        </is>
      </c>
      <c r="G509" t="inlineStr">
        <is>
          <t>NONE</t>
        </is>
      </c>
      <c r="H509" t="inlineStr">
        <is>
          <t>Compliant</t>
        </is>
      </c>
      <c r="I509" s="6" t="n"/>
      <c r="J509" s="6" t="n"/>
      <c r="K509">
        <f>IF(J509="","",J509-B509)</f>
        <v/>
      </c>
      <c r="L509">
        <f>IF(H509="Compliant","N/A",IF(J509&lt;&gt;"","Closed",IF(I509&lt;DATE(2026,9,30),"OVERDUE","Open")))</f>
        <v/>
      </c>
    </row>
    <row r="510">
      <c r="A510" t="inlineStr">
        <is>
          <t>INSP-2026-0509</t>
        </is>
      </c>
      <c r="B510" s="6" t="n">
        <v>46100</v>
      </c>
      <c r="C510" t="inlineStr">
        <is>
          <t>U-BV273-01-04</t>
        </is>
      </c>
      <c r="D510" t="inlineStr">
        <is>
          <t>Bayshore Vale</t>
        </is>
      </c>
      <c r="E510" t="inlineStr">
        <is>
          <t>daniel ong</t>
        </is>
      </c>
      <c r="F510" t="inlineStr">
        <is>
          <t>Routine</t>
        </is>
      </c>
      <c r="G510" t="inlineStr">
        <is>
          <t>NONE</t>
        </is>
      </c>
      <c r="H510" t="inlineStr">
        <is>
          <t>Compliant</t>
        </is>
      </c>
      <c r="I510" s="6" t="n"/>
      <c r="J510" s="6" t="n"/>
      <c r="K510">
        <f>IF(J510="","",J510-B510)</f>
        <v/>
      </c>
      <c r="L510">
        <f>IF(H510="Compliant","N/A",IF(J510&lt;&gt;"","Closed",IF(I510&lt;DATE(2026,9,30),"OVERDUE","Open")))</f>
        <v/>
      </c>
    </row>
    <row r="511">
      <c r="A511" t="inlineStr">
        <is>
          <t>INSP-2026-0510</t>
        </is>
      </c>
      <c r="B511" s="6" t="n">
        <v>46101</v>
      </c>
      <c r="C511" t="inlineStr">
        <is>
          <t>U-PI657-01-05</t>
        </is>
      </c>
      <c r="D511" t="inlineStr">
        <is>
          <t>Pasir Indah</t>
        </is>
      </c>
      <c r="E511" t="inlineStr">
        <is>
          <t>daniel ong</t>
        </is>
      </c>
      <c r="F511" t="inlineStr">
        <is>
          <t>Routine</t>
        </is>
      </c>
      <c r="G511" t="inlineStr">
        <is>
          <t>DISPLAY_ENCROACH</t>
        </is>
      </c>
      <c r="H511" t="inlineStr">
        <is>
          <t>Minor Breach</t>
        </is>
      </c>
      <c r="I511" s="6" t="n">
        <v>46115</v>
      </c>
      <c r="J511" s="6" t="n">
        <v>46110</v>
      </c>
      <c r="K511">
        <f>IF(J511="","",J511-B511)</f>
        <v/>
      </c>
      <c r="L511">
        <f>IF(H511="Compliant","N/A",IF(J511&lt;&gt;"","Closed",IF(I511&lt;DATE(2026,9,30),"OVERDUE","Open")))</f>
        <v/>
      </c>
    </row>
    <row r="512">
      <c r="A512" t="inlineStr">
        <is>
          <t>INSP-2026-0511</t>
        </is>
      </c>
      <c r="B512" s="6" t="n">
        <v>46101</v>
      </c>
      <c r="C512" t="inlineStr">
        <is>
          <t>U-KR356-01-03</t>
        </is>
      </c>
      <c r="D512" t="inlineStr">
        <is>
          <t>Kebun Raya</t>
        </is>
      </c>
      <c r="E512" t="inlineStr">
        <is>
          <t>Benjamin Ho</t>
        </is>
      </c>
      <c r="F512" t="inlineStr">
        <is>
          <t>Routine</t>
        </is>
      </c>
      <c r="G512" t="inlineStr">
        <is>
          <t>NONE</t>
        </is>
      </c>
      <c r="H512" t="inlineStr">
        <is>
          <t>Compliant</t>
        </is>
      </c>
      <c r="I512" s="6" t="n"/>
      <c r="J512" s="6" t="n"/>
      <c r="K512">
        <f>IF(J512="","",J512-B512)</f>
        <v/>
      </c>
      <c r="L512">
        <f>IF(H512="Compliant","N/A",IF(J512&lt;&gt;"","Closed",IF(I512&lt;DATE(2026,9,30),"OVERDUE","Open")))</f>
        <v/>
      </c>
    </row>
    <row r="513">
      <c r="A513" t="inlineStr">
        <is>
          <t>INSP-2026-0512</t>
        </is>
      </c>
      <c r="B513" s="6" t="n">
        <v>46101</v>
      </c>
      <c r="C513" t="inlineStr">
        <is>
          <t>U-RH420-01-02</t>
        </is>
      </c>
      <c r="D513" t="inlineStr">
        <is>
          <t>Rimba Heights</t>
        </is>
      </c>
      <c r="E513" t="inlineStr">
        <is>
          <t>Daniel O.</t>
        </is>
      </c>
      <c r="F513" t="inlineStr">
        <is>
          <t>Routine</t>
        </is>
      </c>
      <c r="G513" t="inlineStr">
        <is>
          <t>DISPLAY_ENCROACH</t>
        </is>
      </c>
      <c r="H513" t="inlineStr">
        <is>
          <t>Minor Breach</t>
        </is>
      </c>
      <c r="I513" s="6" t="n">
        <v>46115</v>
      </c>
      <c r="J513" s="6" t="n">
        <v>46110</v>
      </c>
      <c r="K513">
        <f>IF(J513="","",J513-B513)</f>
        <v/>
      </c>
      <c r="L513">
        <f>IF(H513="Compliant","N/A",IF(J513&lt;&gt;"","Closed",IF(I513&lt;DATE(2026,9,30),"OVERDUE","Open")))</f>
        <v/>
      </c>
    </row>
    <row r="514">
      <c r="A514" t="inlineStr">
        <is>
          <t>INSP-2026-0513</t>
        </is>
      </c>
      <c r="B514" s="6" t="n">
        <v>46101</v>
      </c>
      <c r="C514" t="inlineStr">
        <is>
          <t>U-KR345-01-02</t>
        </is>
      </c>
      <c r="D514" t="inlineStr">
        <is>
          <t>Kebun Raya</t>
        </is>
      </c>
      <c r="E514" t="inlineStr">
        <is>
          <t>D. Ong</t>
        </is>
      </c>
      <c r="F514" t="inlineStr">
        <is>
          <t>Routine</t>
        </is>
      </c>
      <c r="G514" t="inlineStr">
        <is>
          <t>NONE</t>
        </is>
      </c>
      <c r="H514" t="inlineStr">
        <is>
          <t>Compliant</t>
        </is>
      </c>
      <c r="I514" s="6" t="n"/>
      <c r="J514" s="6" t="n"/>
      <c r="K514">
        <f>IF(J514="","",J514-B514)</f>
        <v/>
      </c>
      <c r="L514">
        <f>IF(H514="Compliant","N/A",IF(J514&lt;&gt;"","Closed",IF(I514&lt;DATE(2026,9,30),"OVERDUE","Open")))</f>
        <v/>
      </c>
    </row>
    <row r="515">
      <c r="A515" t="inlineStr">
        <is>
          <t>INSP-2026-0514</t>
        </is>
      </c>
      <c r="B515" s="6" t="n">
        <v>46101</v>
      </c>
      <c r="C515" t="inlineStr">
        <is>
          <t>U-BV233-01-12</t>
        </is>
      </c>
      <c r="D515" t="inlineStr">
        <is>
          <t>Bayshore Vale</t>
        </is>
      </c>
      <c r="E515" t="inlineStr">
        <is>
          <t>Marcus Lim</t>
        </is>
      </c>
      <c r="F515" t="inlineStr">
        <is>
          <t>Routine</t>
        </is>
      </c>
      <c r="G515" t="inlineStr">
        <is>
          <t>NONE</t>
        </is>
      </c>
      <c r="H515" t="inlineStr">
        <is>
          <t>Compliant</t>
        </is>
      </c>
      <c r="I515" s="6" t="n"/>
      <c r="J515" s="6" t="n"/>
      <c r="K515">
        <f>IF(J515="","",J515-B515)</f>
        <v/>
      </c>
      <c r="L515">
        <f>IF(H515="Compliant","N/A",IF(J515&lt;&gt;"","Closed",IF(I515&lt;DATE(2026,9,30),"OVERDUE","Open")))</f>
        <v/>
      </c>
    </row>
    <row r="516">
      <c r="A516" t="inlineStr">
        <is>
          <t>INSP-2026-0515</t>
        </is>
      </c>
      <c r="B516" s="6" t="n">
        <v>46101</v>
      </c>
      <c r="C516" t="inlineStr">
        <is>
          <t>U-ST518-01-03</t>
        </is>
      </c>
      <c r="D516" t="inlineStr">
        <is>
          <t>Sungai Tinggi</t>
        </is>
      </c>
      <c r="E516" t="inlineStr">
        <is>
          <t>Benjamin Ho</t>
        </is>
      </c>
      <c r="F516" t="inlineStr">
        <is>
          <t>Routine</t>
        </is>
      </c>
      <c r="G516" t="inlineStr">
        <is>
          <t>NONE</t>
        </is>
      </c>
      <c r="H516" t="inlineStr">
        <is>
          <t>Compliant</t>
        </is>
      </c>
      <c r="I516" s="6" t="n"/>
      <c r="J516" s="6" t="n"/>
      <c r="K516">
        <f>IF(J516="","",J516-B516)</f>
        <v/>
      </c>
      <c r="L516">
        <f>IF(H516="Compliant","N/A",IF(J516&lt;&gt;"","Closed",IF(I516&lt;DATE(2026,9,30),"OVERDUE","Open")))</f>
        <v/>
      </c>
    </row>
    <row r="517">
      <c r="A517" t="inlineStr">
        <is>
          <t>INSP-2026-0516</t>
        </is>
      </c>
      <c r="B517" s="6" t="n">
        <v>46101</v>
      </c>
      <c r="C517" t="inlineStr">
        <is>
          <t>U-ST596-01-04</t>
        </is>
      </c>
      <c r="D517" t="inlineStr">
        <is>
          <t>Sungai Tinggi</t>
        </is>
      </c>
      <c r="E517" t="inlineStr">
        <is>
          <t>Daniel O.</t>
        </is>
      </c>
      <c r="F517" t="inlineStr">
        <is>
          <t>Routine</t>
        </is>
      </c>
      <c r="G517" t="inlineStr">
        <is>
          <t>NONE</t>
        </is>
      </c>
      <c r="H517" t="inlineStr">
        <is>
          <t>Compliant</t>
        </is>
      </c>
      <c r="I517" s="6" t="n"/>
      <c r="J517" s="6" t="n"/>
      <c r="K517">
        <f>IF(J517="","",J517-B517)</f>
        <v/>
      </c>
      <c r="L517">
        <f>IF(H517="Compliant","N/A",IF(J517&lt;&gt;"","Closed",IF(I517&lt;DATE(2026,9,30),"OVERDUE","Open")))</f>
        <v/>
      </c>
    </row>
    <row r="518">
      <c r="A518" t="inlineStr">
        <is>
          <t>INSP-2026-0517</t>
        </is>
      </c>
      <c r="B518" s="6" t="n">
        <v>46102</v>
      </c>
      <c r="C518" t="inlineStr">
        <is>
          <t>U-KR379-01-08</t>
        </is>
      </c>
      <c r="D518" t="inlineStr">
        <is>
          <t>Kebun Raya</t>
        </is>
      </c>
      <c r="E518" t="inlineStr">
        <is>
          <t>Daniel O.</t>
        </is>
      </c>
      <c r="F518" t="inlineStr">
        <is>
          <t>Routine</t>
        </is>
      </c>
      <c r="G518" t="inlineStr">
        <is>
          <t>NONE</t>
        </is>
      </c>
      <c r="H518" t="inlineStr">
        <is>
          <t>Compliant</t>
        </is>
      </c>
      <c r="I518" s="6" t="n"/>
      <c r="J518" s="6" t="n"/>
      <c r="K518">
        <f>IF(J518="","",J518-B518)</f>
        <v/>
      </c>
      <c r="L518">
        <f>IF(H518="Compliant","N/A",IF(J518&lt;&gt;"","Closed",IF(I518&lt;DATE(2026,9,30),"OVERDUE","Open")))</f>
        <v/>
      </c>
    </row>
    <row r="519">
      <c r="A519" t="inlineStr">
        <is>
          <t>INSP-2026-0518</t>
        </is>
      </c>
      <c r="B519" s="6" t="n">
        <v>46102</v>
      </c>
      <c r="C519" t="inlineStr">
        <is>
          <t>U-BV229-01-04</t>
        </is>
      </c>
      <c r="D519" t="inlineStr">
        <is>
          <t>Bayshore Vale</t>
        </is>
      </c>
      <c r="E519" t="inlineStr">
        <is>
          <t>daniel ong</t>
        </is>
      </c>
      <c r="F519" t="inlineStr">
        <is>
          <t>Routine</t>
        </is>
      </c>
      <c r="G519" t="inlineStr">
        <is>
          <t>HYGIENE</t>
        </is>
      </c>
      <c r="H519" t="inlineStr">
        <is>
          <t>Minor Breach</t>
        </is>
      </c>
      <c r="I519" s="6" t="n">
        <v>46116</v>
      </c>
      <c r="J519" s="6" t="n">
        <v>46124</v>
      </c>
      <c r="K519">
        <f>IF(J519="","",J519-B519)</f>
        <v/>
      </c>
      <c r="L519">
        <f>IF(H519="Compliant","N/A",IF(J519&lt;&gt;"","Closed",IF(I519&lt;DATE(2026,9,30),"OVERDUE","Open")))</f>
        <v/>
      </c>
    </row>
    <row r="520">
      <c r="A520" t="inlineStr">
        <is>
          <t>INSP-2026-0519</t>
        </is>
      </c>
      <c r="B520" s="6" t="n">
        <v>46102</v>
      </c>
      <c r="C520" t="inlineStr">
        <is>
          <t>U-CD152-01-09</t>
        </is>
      </c>
      <c r="D520" t="inlineStr">
        <is>
          <t>Cendana</t>
        </is>
      </c>
      <c r="E520" t="inlineStr">
        <is>
          <t>Daniel O.</t>
        </is>
      </c>
      <c r="F520" t="inlineStr">
        <is>
          <t>Complaint-driven</t>
        </is>
      </c>
      <c r="G520" t="inlineStr">
        <is>
          <t>NONE</t>
        </is>
      </c>
      <c r="H520" t="inlineStr">
        <is>
          <t>Compliant</t>
        </is>
      </c>
      <c r="I520" s="6" t="n"/>
      <c r="J520" s="6" t="n"/>
      <c r="K520">
        <f>IF(J520="","",J520-B520)</f>
        <v/>
      </c>
      <c r="L520">
        <f>IF(H520="Compliant","N/A",IF(J520&lt;&gt;"","Closed",IF(I520&lt;DATE(2026,9,30),"OVERDUE","Open")))</f>
        <v/>
      </c>
    </row>
    <row r="521">
      <c r="A521" t="inlineStr">
        <is>
          <t>INSP-2026-0520</t>
        </is>
      </c>
      <c r="B521" s="6" t="n">
        <v>46102</v>
      </c>
      <c r="C521" t="inlineStr">
        <is>
          <t>U-BV219-01-03</t>
        </is>
      </c>
      <c r="D521" t="inlineStr">
        <is>
          <t>Bayshore Vale</t>
        </is>
      </c>
      <c r="E521" t="inlineStr">
        <is>
          <t>Daniel O.</t>
        </is>
      </c>
      <c r="F521" t="inlineStr">
        <is>
          <t>Routine</t>
        </is>
      </c>
      <c r="G521" t="inlineStr">
        <is>
          <t>DISPLAY_ENCROACH</t>
        </is>
      </c>
      <c r="H521" t="inlineStr">
        <is>
          <t>Minor Breach</t>
        </is>
      </c>
      <c r="I521" s="6" t="n">
        <v>46116</v>
      </c>
      <c r="J521" s="6" t="n">
        <v>46123</v>
      </c>
      <c r="K521">
        <f>IF(J521="","",J521-B521)</f>
        <v/>
      </c>
      <c r="L521">
        <f>IF(H521="Compliant","N/A",IF(J521&lt;&gt;"","Closed",IF(I521&lt;DATE(2026,9,30),"OVERDUE","Open")))</f>
        <v/>
      </c>
    </row>
    <row r="522">
      <c r="A522" t="inlineStr">
        <is>
          <t>INSP-2026-0521</t>
        </is>
      </c>
      <c r="B522" s="6" t="n">
        <v>46102</v>
      </c>
      <c r="C522" t="inlineStr">
        <is>
          <t>U-PI609-01-05</t>
        </is>
      </c>
      <c r="D522" t="inlineStr">
        <is>
          <t>Pasir Indah</t>
        </is>
      </c>
      <c r="E522" t="inlineStr">
        <is>
          <t>M. Lim</t>
        </is>
      </c>
      <c r="F522" t="inlineStr">
        <is>
          <t>Routine</t>
        </is>
      </c>
      <c r="G522" t="inlineStr">
        <is>
          <t>NONE</t>
        </is>
      </c>
      <c r="H522" t="inlineStr">
        <is>
          <t>Compliant</t>
        </is>
      </c>
      <c r="I522" s="6" t="n"/>
      <c r="J522" s="6" t="n"/>
      <c r="K522">
        <f>IF(J522="","",J522-B522)</f>
        <v/>
      </c>
      <c r="L522">
        <f>IF(H522="Compliant","N/A",IF(J522&lt;&gt;"","Closed",IF(I522&lt;DATE(2026,9,30),"OVERDUE","Open")))</f>
        <v/>
      </c>
    </row>
    <row r="523">
      <c r="A523" t="inlineStr">
        <is>
          <t>INSP-2026-0522</t>
        </is>
      </c>
      <c r="B523" s="6" t="n">
        <v>46102</v>
      </c>
      <c r="C523" t="inlineStr">
        <is>
          <t>U-ST556-01-02</t>
        </is>
      </c>
      <c r="D523" t="inlineStr">
        <is>
          <t>Sungai Tinggi</t>
        </is>
      </c>
      <c r="E523" t="inlineStr">
        <is>
          <t>Daniel O.</t>
        </is>
      </c>
      <c r="F523" t="inlineStr">
        <is>
          <t>Routine</t>
        </is>
      </c>
      <c r="G523" t="inlineStr">
        <is>
          <t>NONE</t>
        </is>
      </c>
      <c r="H523" t="inlineStr">
        <is>
          <t>Compliant</t>
        </is>
      </c>
      <c r="I523" s="6" t="n"/>
      <c r="J523" s="6" t="n"/>
      <c r="K523">
        <f>IF(J523="","",J523-B523)</f>
        <v/>
      </c>
      <c r="L523">
        <f>IF(H523="Compliant","N/A",IF(J523&lt;&gt;"","Closed",IF(I523&lt;DATE(2026,9,30),"OVERDUE","Open")))</f>
        <v/>
      </c>
    </row>
    <row r="524">
      <c r="A524" t="inlineStr">
        <is>
          <t>INSP-2026-0523</t>
        </is>
      </c>
      <c r="B524" s="6" t="n">
        <v>46102</v>
      </c>
      <c r="C524" t="inlineStr">
        <is>
          <t>U-ST535-01-02</t>
        </is>
      </c>
      <c r="D524" t="inlineStr">
        <is>
          <t>Sungai Tinggi</t>
        </is>
      </c>
      <c r="E524" t="inlineStr">
        <is>
          <t>D. Ong</t>
        </is>
      </c>
      <c r="F524" t="inlineStr">
        <is>
          <t>Routine</t>
        </is>
      </c>
      <c r="G524" t="inlineStr">
        <is>
          <t>NONE</t>
        </is>
      </c>
      <c r="H524" t="inlineStr">
        <is>
          <t>Compliant</t>
        </is>
      </c>
      <c r="I524" s="6" t="n"/>
      <c r="J524" s="6" t="n"/>
      <c r="K524">
        <f>IF(J524="","",J524-B524)</f>
        <v/>
      </c>
      <c r="L524">
        <f>IF(H524="Compliant","N/A",IF(J524&lt;&gt;"","Closed",IF(I524&lt;DATE(2026,9,30),"OVERDUE","Open")))</f>
        <v/>
      </c>
    </row>
    <row r="525">
      <c r="A525" t="inlineStr">
        <is>
          <t>INSP-2026-0524</t>
        </is>
      </c>
      <c r="B525" s="6" t="n">
        <v>46102</v>
      </c>
      <c r="C525" t="inlineStr">
        <is>
          <t>U-BV273-01-07</t>
        </is>
      </c>
      <c r="D525" t="inlineStr">
        <is>
          <t>Bayshore Vale</t>
        </is>
      </c>
      <c r="E525" t="inlineStr">
        <is>
          <t>marcus</t>
        </is>
      </c>
      <c r="F525" t="inlineStr">
        <is>
          <t>Complaint-driven</t>
        </is>
      </c>
      <c r="G525" t="inlineStr">
        <is>
          <t>NONE</t>
        </is>
      </c>
      <c r="H525" t="inlineStr">
        <is>
          <t>Compliant</t>
        </is>
      </c>
      <c r="I525" s="6" t="n"/>
      <c r="J525" s="6" t="n"/>
      <c r="K525">
        <f>IF(J525="","",J525-B525)</f>
        <v/>
      </c>
      <c r="L525">
        <f>IF(H525="Compliant","N/A",IF(J525&lt;&gt;"","Closed",IF(I525&lt;DATE(2026,9,30),"OVERDUE","Open")))</f>
        <v/>
      </c>
    </row>
    <row r="526">
      <c r="A526" t="inlineStr">
        <is>
          <t>INSP-2026-0525</t>
        </is>
      </c>
      <c r="B526" s="6" t="n">
        <v>46102</v>
      </c>
      <c r="C526" t="inlineStr">
        <is>
          <t>U-BV290-01-05</t>
        </is>
      </c>
      <c r="D526" t="inlineStr">
        <is>
          <t>Bayshore Vale</t>
        </is>
      </c>
      <c r="E526" t="inlineStr">
        <is>
          <t>D. Ong</t>
        </is>
      </c>
      <c r="F526" t="inlineStr">
        <is>
          <t>Routine</t>
        </is>
      </c>
      <c r="G526" t="inlineStr">
        <is>
          <t>NONE</t>
        </is>
      </c>
      <c r="H526" t="inlineStr">
        <is>
          <t>Compliant</t>
        </is>
      </c>
      <c r="I526" s="6" t="n"/>
      <c r="J526" s="6" t="n"/>
      <c r="K526">
        <f>IF(J526="","",J526-B526)</f>
        <v/>
      </c>
      <c r="L526">
        <f>IF(H526="Compliant","N/A",IF(J526&lt;&gt;"","Closed",IF(I526&lt;DATE(2026,9,30),"OVERDUE","Open")))</f>
        <v/>
      </c>
    </row>
    <row r="527">
      <c r="A527" t="inlineStr">
        <is>
          <t>INSP-2026-0526</t>
        </is>
      </c>
      <c r="B527" s="6" t="n">
        <v>46102</v>
      </c>
      <c r="C527" t="inlineStr">
        <is>
          <t>U-KR327-01-03</t>
        </is>
      </c>
      <c r="D527" t="inlineStr">
        <is>
          <t>Kebun Raya</t>
        </is>
      </c>
      <c r="E527" t="inlineStr">
        <is>
          <t>Ben Ho</t>
        </is>
      </c>
      <c r="F527" t="inlineStr">
        <is>
          <t>Routine</t>
        </is>
      </c>
      <c r="G527" t="inlineStr">
        <is>
          <t>NONE</t>
        </is>
      </c>
      <c r="H527" t="inlineStr">
        <is>
          <t>Compliant</t>
        </is>
      </c>
      <c r="I527" s="6" t="n"/>
      <c r="J527" s="6" t="n"/>
      <c r="K527">
        <f>IF(J527="","",J527-B527)</f>
        <v/>
      </c>
      <c r="L527">
        <f>IF(H527="Compliant","N/A",IF(J527&lt;&gt;"","Closed",IF(I527&lt;DATE(2026,9,30),"OVERDUE","Open")))</f>
        <v/>
      </c>
    </row>
    <row r="528">
      <c r="A528" t="inlineStr">
        <is>
          <t>INSP-2026-0527</t>
        </is>
      </c>
      <c r="B528" s="6" t="n">
        <v>46102</v>
      </c>
      <c r="C528" t="inlineStr">
        <is>
          <t>U-PI696-01-05</t>
        </is>
      </c>
      <c r="D528" t="inlineStr">
        <is>
          <t>Pasir Indah</t>
        </is>
      </c>
      <c r="E528" t="inlineStr">
        <is>
          <t>D. Ong</t>
        </is>
      </c>
      <c r="F528" t="inlineStr">
        <is>
          <t>Routine</t>
        </is>
      </c>
      <c r="G528" t="inlineStr">
        <is>
          <t>NONE</t>
        </is>
      </c>
      <c r="H528" t="inlineStr">
        <is>
          <t>Compliant</t>
        </is>
      </c>
      <c r="I528" s="6" t="n"/>
      <c r="J528" s="6" t="n"/>
      <c r="K528">
        <f>IF(J528="","",J528-B528)</f>
        <v/>
      </c>
      <c r="L528">
        <f>IF(H528="Compliant","N/A",IF(J528&lt;&gt;"","Closed",IF(I528&lt;DATE(2026,9,30),"OVERDUE","Open")))</f>
        <v/>
      </c>
    </row>
    <row r="529">
      <c r="A529" t="inlineStr">
        <is>
          <t>INSP-2026-0528</t>
        </is>
      </c>
      <c r="B529" s="6" t="n">
        <v>46103</v>
      </c>
      <c r="C529" t="inlineStr">
        <is>
          <t>U-CD142-01-03</t>
        </is>
      </c>
      <c r="D529" t="inlineStr">
        <is>
          <t>Cendana</t>
        </is>
      </c>
      <c r="E529" t="inlineStr">
        <is>
          <t>marcus</t>
        </is>
      </c>
      <c r="F529" t="inlineStr">
        <is>
          <t>Routine</t>
        </is>
      </c>
      <c r="G529" t="inlineStr">
        <is>
          <t>NONE</t>
        </is>
      </c>
      <c r="H529" t="inlineStr">
        <is>
          <t>Compliant</t>
        </is>
      </c>
      <c r="I529" s="6" t="n"/>
      <c r="J529" s="6" t="n"/>
      <c r="K529">
        <f>IF(J529="","",J529-B529)</f>
        <v/>
      </c>
      <c r="L529">
        <f>IF(H529="Compliant","N/A",IF(J529&lt;&gt;"","Closed",IF(I529&lt;DATE(2026,9,30),"OVERDUE","Open")))</f>
        <v/>
      </c>
    </row>
    <row r="530">
      <c r="A530" t="inlineStr">
        <is>
          <t>INSP-2026-0529</t>
        </is>
      </c>
      <c r="B530" s="6" t="n">
        <v>46103</v>
      </c>
      <c r="C530" t="inlineStr">
        <is>
          <t>U-CD142-01-08</t>
        </is>
      </c>
      <c r="D530" t="inlineStr">
        <is>
          <t>Cendana</t>
        </is>
      </c>
      <c r="E530" t="inlineStr">
        <is>
          <t>Daniel O.</t>
        </is>
      </c>
      <c r="F530" t="inlineStr">
        <is>
          <t>Routine</t>
        </is>
      </c>
      <c r="G530" t="inlineStr">
        <is>
          <t>NONE</t>
        </is>
      </c>
      <c r="H530" t="inlineStr">
        <is>
          <t>Compliant</t>
        </is>
      </c>
      <c r="I530" s="6" t="n"/>
      <c r="J530" s="6" t="n"/>
      <c r="K530">
        <f>IF(J530="","",J530-B530)</f>
        <v/>
      </c>
      <c r="L530">
        <f>IF(H530="Compliant","N/A",IF(J530&lt;&gt;"","Closed",IF(I530&lt;DATE(2026,9,30),"OVERDUE","Open")))</f>
        <v/>
      </c>
    </row>
    <row r="531">
      <c r="A531" t="inlineStr">
        <is>
          <t>INSP-2026-0530</t>
        </is>
      </c>
      <c r="B531" s="6" t="n">
        <v>46103</v>
      </c>
      <c r="C531" t="inlineStr">
        <is>
          <t>U-BV288-01-05</t>
        </is>
      </c>
      <c r="D531" t="inlineStr">
        <is>
          <t>Bayshore Vale</t>
        </is>
      </c>
      <c r="E531" t="inlineStr">
        <is>
          <t>D. Ong</t>
        </is>
      </c>
      <c r="F531" t="inlineStr">
        <is>
          <t>Routine</t>
        </is>
      </c>
      <c r="G531" t="inlineStr">
        <is>
          <t>NONE</t>
        </is>
      </c>
      <c r="H531" t="inlineStr">
        <is>
          <t>Compliant</t>
        </is>
      </c>
      <c r="I531" s="6" t="n"/>
      <c r="J531" s="6" t="n"/>
      <c r="K531">
        <f>IF(J531="","",J531-B531)</f>
        <v/>
      </c>
      <c r="L531">
        <f>IF(H531="Compliant","N/A",IF(J531&lt;&gt;"","Closed",IF(I531&lt;DATE(2026,9,30),"OVERDUE","Open")))</f>
        <v/>
      </c>
    </row>
    <row r="532">
      <c r="A532" t="inlineStr">
        <is>
          <t>INSP-2026-0531</t>
        </is>
      </c>
      <c r="B532" s="6" t="n">
        <v>46104</v>
      </c>
      <c r="C532" t="inlineStr">
        <is>
          <t>U-RH464-01-04</t>
        </is>
      </c>
      <c r="D532" t="inlineStr">
        <is>
          <t>Rimba Heights</t>
        </is>
      </c>
      <c r="E532" t="inlineStr">
        <is>
          <t>daniel ong</t>
        </is>
      </c>
      <c r="F532" t="inlineStr">
        <is>
          <t>Follow-up</t>
        </is>
      </c>
      <c r="G532" t="inlineStr">
        <is>
          <t>HYGIENE</t>
        </is>
      </c>
      <c r="H532" t="inlineStr">
        <is>
          <t>Minor Breach</t>
        </is>
      </c>
      <c r="I532" s="6" t="n">
        <v>46118</v>
      </c>
      <c r="J532" s="6" t="n"/>
      <c r="K532">
        <f>IF(J532="","",J532-B532)</f>
        <v/>
      </c>
      <c r="L532">
        <f>IF(H532="Compliant","N/A",IF(J532&lt;&gt;"","Closed",IF(I532&lt;DATE(2026,9,30),"OVERDUE","Open")))</f>
        <v/>
      </c>
    </row>
    <row r="533">
      <c r="A533" t="inlineStr">
        <is>
          <t>INSP-2026-0532</t>
        </is>
      </c>
      <c r="B533" s="6" t="n">
        <v>46104</v>
      </c>
      <c r="C533" t="inlineStr">
        <is>
          <t>U-RH408-01-04</t>
        </is>
      </c>
      <c r="D533" t="inlineStr">
        <is>
          <t>Rimba Heights</t>
        </is>
      </c>
      <c r="E533" t="inlineStr">
        <is>
          <t>Benjamin Ho</t>
        </is>
      </c>
      <c r="F533" t="inlineStr">
        <is>
          <t>Routine</t>
        </is>
      </c>
      <c r="G533" t="inlineStr">
        <is>
          <t>NONE</t>
        </is>
      </c>
      <c r="H533" t="inlineStr">
        <is>
          <t>Compliant</t>
        </is>
      </c>
      <c r="I533" s="6" t="n"/>
      <c r="J533" s="6" t="n"/>
      <c r="K533">
        <f>IF(J533="","",J533-B533)</f>
        <v/>
      </c>
      <c r="L533">
        <f>IF(H533="Compliant","N/A",IF(J533&lt;&gt;"","Closed",IF(I533&lt;DATE(2026,9,30),"OVERDUE","Open")))</f>
        <v/>
      </c>
    </row>
    <row r="534">
      <c r="A534" t="inlineStr">
        <is>
          <t>INSP-2026-0533</t>
        </is>
      </c>
      <c r="B534" s="6" t="n">
        <v>46104</v>
      </c>
      <c r="C534" t="inlineStr">
        <is>
          <t>U-BV214-01-17</t>
        </is>
      </c>
      <c r="D534" t="inlineStr">
        <is>
          <t>Bayshore Vale</t>
        </is>
      </c>
      <c r="E534" t="inlineStr">
        <is>
          <t>M. Lim</t>
        </is>
      </c>
      <c r="F534" t="inlineStr">
        <is>
          <t>Routine</t>
        </is>
      </c>
      <c r="G534" t="inlineStr">
        <is>
          <t>NONE</t>
        </is>
      </c>
      <c r="H534" t="inlineStr">
        <is>
          <t>Compliant</t>
        </is>
      </c>
      <c r="I534" s="6" t="n"/>
      <c r="J534" s="6" t="n"/>
      <c r="K534">
        <f>IF(J534="","",J534-B534)</f>
        <v/>
      </c>
      <c r="L534">
        <f>IF(H534="Compliant","N/A",IF(J534&lt;&gt;"","Closed",IF(I534&lt;DATE(2026,9,30),"OVERDUE","Open")))</f>
        <v/>
      </c>
    </row>
    <row r="535">
      <c r="A535" t="inlineStr">
        <is>
          <t>INSP-2026-0534</t>
        </is>
      </c>
      <c r="B535" s="6" t="n">
        <v>46104</v>
      </c>
      <c r="C535" t="inlineStr">
        <is>
          <t>U-BV296-01-09</t>
        </is>
      </c>
      <c r="D535" t="inlineStr">
        <is>
          <t>Bayshore Vale</t>
        </is>
      </c>
      <c r="E535" t="inlineStr">
        <is>
          <t>Marcus Lim</t>
        </is>
      </c>
      <c r="F535" t="inlineStr">
        <is>
          <t>Routine</t>
        </is>
      </c>
      <c r="G535" t="inlineStr">
        <is>
          <t>DISPLAY_ENCROACH</t>
        </is>
      </c>
      <c r="H535" t="inlineStr">
        <is>
          <t>Minor Breach</t>
        </is>
      </c>
      <c r="I535" s="6" t="n">
        <v>46118</v>
      </c>
      <c r="J535" s="6" t="n">
        <v>46121</v>
      </c>
      <c r="K535">
        <f>IF(J535="","",J535-B535)</f>
        <v/>
      </c>
      <c r="L535">
        <f>IF(H535="Compliant","N/A",IF(J535&lt;&gt;"","Closed",IF(I535&lt;DATE(2026,9,30),"OVERDUE","Open")))</f>
        <v/>
      </c>
    </row>
    <row r="536">
      <c r="A536" t="inlineStr">
        <is>
          <t>INSP-2026-0535</t>
        </is>
      </c>
      <c r="B536" s="6" t="n">
        <v>46104</v>
      </c>
      <c r="C536" t="inlineStr">
        <is>
          <t>U-ST528-01-05</t>
        </is>
      </c>
      <c r="D536" t="inlineStr">
        <is>
          <t>Sungai Tinggi</t>
        </is>
      </c>
      <c r="E536" t="inlineStr">
        <is>
          <t>B. Ho</t>
        </is>
      </c>
      <c r="F536" t="inlineStr">
        <is>
          <t>Routine</t>
        </is>
      </c>
      <c r="G536" t="inlineStr">
        <is>
          <t>NONE</t>
        </is>
      </c>
      <c r="H536" t="inlineStr">
        <is>
          <t>Compliant</t>
        </is>
      </c>
      <c r="I536" s="6" t="n"/>
      <c r="J536" s="6" t="n"/>
      <c r="K536">
        <f>IF(J536="","",J536-B536)</f>
        <v/>
      </c>
      <c r="L536">
        <f>IF(H536="Compliant","N/A",IF(J536&lt;&gt;"","Closed",IF(I536&lt;DATE(2026,9,30),"OVERDUE","Open")))</f>
        <v/>
      </c>
    </row>
    <row r="537">
      <c r="A537" t="inlineStr">
        <is>
          <t>INSP-2026-0536</t>
        </is>
      </c>
      <c r="B537" s="6" t="n">
        <v>46104</v>
      </c>
      <c r="C537" t="inlineStr">
        <is>
          <t>U-RH485-01-09</t>
        </is>
      </c>
      <c r="D537" t="inlineStr">
        <is>
          <t>Rimba Heights</t>
        </is>
      </c>
      <c r="E537" t="inlineStr">
        <is>
          <t>daniel ong</t>
        </is>
      </c>
      <c r="F537" t="inlineStr">
        <is>
          <t>Routine</t>
        </is>
      </c>
      <c r="G537" t="inlineStr">
        <is>
          <t>NONE</t>
        </is>
      </c>
      <c r="H537" t="inlineStr">
        <is>
          <t>Compliant</t>
        </is>
      </c>
      <c r="I537" s="6" t="n"/>
      <c r="J537" s="6" t="n"/>
      <c r="K537">
        <f>IF(J537="","",J537-B537)</f>
        <v/>
      </c>
      <c r="L537">
        <f>IF(H537="Compliant","N/A",IF(J537&lt;&gt;"","Closed",IF(I537&lt;DATE(2026,9,30),"OVERDUE","Open")))</f>
        <v/>
      </c>
    </row>
    <row r="538">
      <c r="A538" t="inlineStr">
        <is>
          <t>INSP-2026-0537</t>
        </is>
      </c>
      <c r="B538" s="6" t="n">
        <v>46104</v>
      </c>
      <c r="C538" t="inlineStr">
        <is>
          <t>U-ST513-01-09</t>
        </is>
      </c>
      <c r="D538" t="inlineStr">
        <is>
          <t>Sungai Tinggi</t>
        </is>
      </c>
      <c r="E538" t="inlineStr">
        <is>
          <t>Daniel Ong</t>
        </is>
      </c>
      <c r="F538" t="inlineStr">
        <is>
          <t>Routine</t>
        </is>
      </c>
      <c r="G538" t="inlineStr">
        <is>
          <t>DISPLAY_ENCROACH</t>
        </is>
      </c>
      <c r="H538" t="inlineStr">
        <is>
          <t>Minor Breach</t>
        </is>
      </c>
      <c r="I538" s="6" t="n">
        <v>46118</v>
      </c>
      <c r="J538" s="6" t="n"/>
      <c r="K538">
        <f>IF(J538="","",J538-B538)</f>
        <v/>
      </c>
      <c r="L538">
        <f>IF(H538="Compliant","N/A",IF(J538&lt;&gt;"","Closed",IF(I538&lt;DATE(2026,9,30),"OVERDUE","Open")))</f>
        <v/>
      </c>
    </row>
    <row r="539">
      <c r="A539" t="inlineStr">
        <is>
          <t>INSP-2026-0538</t>
        </is>
      </c>
      <c r="B539" s="6" t="n">
        <v>46104</v>
      </c>
      <c r="C539" t="inlineStr">
        <is>
          <t>U-RH484-01-03</t>
        </is>
      </c>
      <c r="D539" t="inlineStr">
        <is>
          <t>Rimba Heights</t>
        </is>
      </c>
      <c r="E539" t="inlineStr">
        <is>
          <t>D. Ong</t>
        </is>
      </c>
      <c r="F539" t="inlineStr">
        <is>
          <t>Complaint-driven</t>
        </is>
      </c>
      <c r="G539" t="inlineStr">
        <is>
          <t>NONE</t>
        </is>
      </c>
      <c r="H539" t="inlineStr">
        <is>
          <t>Compliant</t>
        </is>
      </c>
      <c r="I539" s="6" t="n"/>
      <c r="J539" s="6" t="n"/>
      <c r="K539">
        <f>IF(J539="","",J539-B539)</f>
        <v/>
      </c>
      <c r="L539">
        <f>IF(H539="Compliant","N/A",IF(J539&lt;&gt;"","Closed",IF(I539&lt;DATE(2026,9,30),"OVERDUE","Open")))</f>
        <v/>
      </c>
    </row>
    <row r="540">
      <c r="A540" t="inlineStr">
        <is>
          <t>INSP-2026-0539</t>
        </is>
      </c>
      <c r="B540" s="6" t="n">
        <v>46105</v>
      </c>
      <c r="C540" t="inlineStr">
        <is>
          <t>U-RH484-01-12</t>
        </is>
      </c>
      <c r="D540" t="inlineStr">
        <is>
          <t>Rimba Heights</t>
        </is>
      </c>
      <c r="E540" t="inlineStr">
        <is>
          <t>Daniel O.</t>
        </is>
      </c>
      <c r="F540" t="inlineStr">
        <is>
          <t>Routine</t>
        </is>
      </c>
      <c r="G540" t="inlineStr">
        <is>
          <t>NONE</t>
        </is>
      </c>
      <c r="H540" t="inlineStr">
        <is>
          <t>Compliant</t>
        </is>
      </c>
      <c r="I540" s="6" t="n"/>
      <c r="J540" s="6" t="n"/>
      <c r="K540">
        <f>IF(J540="","",J540-B540)</f>
        <v/>
      </c>
      <c r="L540">
        <f>IF(H540="Compliant","N/A",IF(J540&lt;&gt;"","Closed",IF(I540&lt;DATE(2026,9,30),"OVERDUE","Open")))</f>
        <v/>
      </c>
    </row>
    <row r="541">
      <c r="A541" t="inlineStr">
        <is>
          <t>INSP-2026-0540</t>
        </is>
      </c>
      <c r="B541" s="6" t="n">
        <v>46105</v>
      </c>
      <c r="C541" t="inlineStr">
        <is>
          <t>U-CD131-02-06</t>
        </is>
      </c>
      <c r="D541" t="inlineStr">
        <is>
          <t>Cendana</t>
        </is>
      </c>
      <c r="E541" t="inlineStr">
        <is>
          <t>Daniel O.</t>
        </is>
      </c>
      <c r="F541" t="inlineStr">
        <is>
          <t>Routine</t>
        </is>
      </c>
      <c r="G541" t="inlineStr">
        <is>
          <t>NONE</t>
        </is>
      </c>
      <c r="H541" t="inlineStr">
        <is>
          <t>Compliant</t>
        </is>
      </c>
      <c r="I541" s="6" t="n"/>
      <c r="J541" s="6" t="n"/>
      <c r="K541">
        <f>IF(J541="","",J541-B541)</f>
        <v/>
      </c>
      <c r="L541">
        <f>IF(H541="Compliant","N/A",IF(J541&lt;&gt;"","Closed",IF(I541&lt;DATE(2026,9,30),"OVERDUE","Open")))</f>
        <v/>
      </c>
    </row>
    <row r="542">
      <c r="A542" t="inlineStr">
        <is>
          <t>INSP-2026-0541</t>
        </is>
      </c>
      <c r="B542" s="6" t="n">
        <v>46105</v>
      </c>
      <c r="C542" t="inlineStr">
        <is>
          <t>U-ST512-01-19</t>
        </is>
      </c>
      <c r="D542" t="inlineStr">
        <is>
          <t>Sungai Tinggi</t>
        </is>
      </c>
      <c r="E542" t="inlineStr">
        <is>
          <t>Ben Ho</t>
        </is>
      </c>
      <c r="F542" t="inlineStr">
        <is>
          <t>Follow-up</t>
        </is>
      </c>
      <c r="G542" t="inlineStr">
        <is>
          <t>NONE</t>
        </is>
      </c>
      <c r="H542" t="inlineStr">
        <is>
          <t>Compliant</t>
        </is>
      </c>
      <c r="I542" s="6" t="n"/>
      <c r="J542" s="6" t="n"/>
      <c r="K542">
        <f>IF(J542="","",J542-B542)</f>
        <v/>
      </c>
      <c r="L542">
        <f>IF(H542="Compliant","N/A",IF(J542&lt;&gt;"","Closed",IF(I542&lt;DATE(2026,9,30),"OVERDUE","Open")))</f>
        <v/>
      </c>
    </row>
    <row r="543">
      <c r="A543" t="inlineStr">
        <is>
          <t>INSP-2026-0542</t>
        </is>
      </c>
      <c r="B543" s="6" t="n">
        <v>46105</v>
      </c>
      <c r="C543" t="inlineStr">
        <is>
          <t>U-KR369-01-05</t>
        </is>
      </c>
      <c r="D543" t="inlineStr">
        <is>
          <t>Kebun Raya</t>
        </is>
      </c>
      <c r="E543" t="inlineStr">
        <is>
          <t>Benjamin Ho</t>
        </is>
      </c>
      <c r="F543" t="inlineStr">
        <is>
          <t>Routine</t>
        </is>
      </c>
      <c r="G543" t="inlineStr">
        <is>
          <t>NONE</t>
        </is>
      </c>
      <c r="H543" t="inlineStr">
        <is>
          <t>Compliant</t>
        </is>
      </c>
      <c r="I543" s="6" t="n"/>
      <c r="J543" s="6" t="n"/>
      <c r="K543">
        <f>IF(J543="","",J543-B543)</f>
        <v/>
      </c>
      <c r="L543">
        <f>IF(H543="Compliant","N/A",IF(J543&lt;&gt;"","Closed",IF(I543&lt;DATE(2026,9,30),"OVERDUE","Open")))</f>
        <v/>
      </c>
    </row>
    <row r="544">
      <c r="A544" t="inlineStr">
        <is>
          <t>INSP-2026-0543</t>
        </is>
      </c>
      <c r="B544" s="6" t="n">
        <v>46105</v>
      </c>
      <c r="C544" t="inlineStr">
        <is>
          <t>U-BV266-01-03</t>
        </is>
      </c>
      <c r="D544" t="inlineStr">
        <is>
          <t>Bayshore Vale</t>
        </is>
      </c>
      <c r="E544" t="inlineStr">
        <is>
          <t>D. Ong</t>
        </is>
      </c>
      <c r="F544" t="inlineStr">
        <is>
          <t>Complaint-driven</t>
        </is>
      </c>
      <c r="G544" t="inlineStr">
        <is>
          <t>UNAPPROVED_AA</t>
        </is>
      </c>
      <c r="H544" t="inlineStr">
        <is>
          <t>Minor Breach</t>
        </is>
      </c>
      <c r="I544" s="6" t="n">
        <v>46119</v>
      </c>
      <c r="J544" s="6" t="n">
        <v>46119</v>
      </c>
      <c r="K544">
        <f>IF(J544="","",J544-B544)</f>
        <v/>
      </c>
      <c r="L544">
        <f>IF(H544="Compliant","N/A",IF(J544&lt;&gt;"","Closed",IF(I544&lt;DATE(2026,9,30),"OVERDUE","Open")))</f>
        <v/>
      </c>
    </row>
    <row r="545">
      <c r="A545" t="inlineStr">
        <is>
          <t>INSP-2026-0544</t>
        </is>
      </c>
      <c r="B545" s="6" t="n">
        <v>46105</v>
      </c>
      <c r="C545" t="inlineStr">
        <is>
          <t>U-PI605-02-04</t>
        </is>
      </c>
      <c r="D545" t="inlineStr">
        <is>
          <t>Pasir Indah</t>
        </is>
      </c>
      <c r="E545" t="inlineStr">
        <is>
          <t>Daniel O.</t>
        </is>
      </c>
      <c r="F545" t="inlineStr">
        <is>
          <t>Follow-up</t>
        </is>
      </c>
      <c r="G545" t="inlineStr">
        <is>
          <t>DISPLAY_ENCROACH</t>
        </is>
      </c>
      <c r="H545" t="inlineStr">
        <is>
          <t>Minor Breach</t>
        </is>
      </c>
      <c r="I545" s="6" t="n">
        <v>46119</v>
      </c>
      <c r="J545" s="6" t="n">
        <v>46128</v>
      </c>
      <c r="K545">
        <f>IF(J545="","",J545-B545)</f>
        <v/>
      </c>
      <c r="L545">
        <f>IF(H545="Compliant","N/A",IF(J545&lt;&gt;"","Closed",IF(I545&lt;DATE(2026,9,30),"OVERDUE","Open")))</f>
        <v/>
      </c>
    </row>
    <row r="546">
      <c r="A546" t="inlineStr">
        <is>
          <t>INSP-2026-0545</t>
        </is>
      </c>
      <c r="B546" s="6" t="n">
        <v>46105</v>
      </c>
      <c r="C546" t="inlineStr">
        <is>
          <t>U-KR333-01-05</t>
        </is>
      </c>
      <c r="D546" t="inlineStr">
        <is>
          <t>Kebun Raya</t>
        </is>
      </c>
      <c r="E546" t="inlineStr">
        <is>
          <t>Daniel Ong</t>
        </is>
      </c>
      <c r="F546" t="inlineStr">
        <is>
          <t>Routine</t>
        </is>
      </c>
      <c r="G546" t="inlineStr">
        <is>
          <t>NONE</t>
        </is>
      </c>
      <c r="H546" t="inlineStr">
        <is>
          <t>Compliant</t>
        </is>
      </c>
      <c r="I546" s="6" t="n"/>
      <c r="J546" s="6" t="n"/>
      <c r="K546">
        <f>IF(J546="","",J546-B546)</f>
        <v/>
      </c>
      <c r="L546">
        <f>IF(H546="Compliant","N/A",IF(J546&lt;&gt;"","Closed",IF(I546&lt;DATE(2026,9,30),"OVERDUE","Open")))</f>
        <v/>
      </c>
    </row>
    <row r="547">
      <c r="A547" t="inlineStr">
        <is>
          <t>INSP-2026-0546</t>
        </is>
      </c>
      <c r="B547" s="6" t="n">
        <v>46105</v>
      </c>
      <c r="C547" t="inlineStr">
        <is>
          <t>U-PI668-01-06</t>
        </is>
      </c>
      <c r="D547" t="inlineStr">
        <is>
          <t>Pasir Indah</t>
        </is>
      </c>
      <c r="E547" t="inlineStr">
        <is>
          <t>M. Lim</t>
        </is>
      </c>
      <c r="F547" t="inlineStr">
        <is>
          <t>Routine</t>
        </is>
      </c>
      <c r="G547" t="inlineStr">
        <is>
          <t>NONE</t>
        </is>
      </c>
      <c r="H547" t="inlineStr">
        <is>
          <t>Compliant</t>
        </is>
      </c>
      <c r="I547" s="6" t="n"/>
      <c r="J547" s="6" t="n"/>
      <c r="K547">
        <f>IF(J547="","",J547-B547)</f>
        <v/>
      </c>
      <c r="L547">
        <f>IF(H547="Compliant","N/A",IF(J547&lt;&gt;"","Closed",IF(I547&lt;DATE(2026,9,30),"OVERDUE","Open")))</f>
        <v/>
      </c>
    </row>
    <row r="548">
      <c r="A548" t="inlineStr">
        <is>
          <t>INSP-2026-0547</t>
        </is>
      </c>
      <c r="B548" s="6" t="n">
        <v>46106</v>
      </c>
      <c r="C548" t="inlineStr">
        <is>
          <t>U-PI644-01-09</t>
        </is>
      </c>
      <c r="D548" t="inlineStr">
        <is>
          <t>Pasir Indah</t>
        </is>
      </c>
      <c r="E548" t="inlineStr">
        <is>
          <t>Daniel Ong</t>
        </is>
      </c>
      <c r="F548" t="inlineStr">
        <is>
          <t>Follow-up</t>
        </is>
      </c>
      <c r="G548" t="inlineStr">
        <is>
          <t>NONE</t>
        </is>
      </c>
      <c r="H548" t="inlineStr">
        <is>
          <t>Compliant</t>
        </is>
      </c>
      <c r="I548" s="6" t="n"/>
      <c r="J548" s="6" t="n"/>
      <c r="K548">
        <f>IF(J548="","",J548-B548)</f>
        <v/>
      </c>
      <c r="L548">
        <f>IF(H548="Compliant","N/A",IF(J548&lt;&gt;"","Closed",IF(I548&lt;DATE(2026,9,30),"OVERDUE","Open")))</f>
        <v/>
      </c>
    </row>
    <row r="549">
      <c r="A549" t="inlineStr">
        <is>
          <t>INSP-2026-0548</t>
        </is>
      </c>
      <c r="B549" s="6" t="n">
        <v>46106</v>
      </c>
      <c r="C549" t="inlineStr">
        <is>
          <t>U-KR369-01-04</t>
        </is>
      </c>
      <c r="D549" t="inlineStr">
        <is>
          <t>Kebun Raya</t>
        </is>
      </c>
      <c r="E549" t="inlineStr">
        <is>
          <t>D. Ong</t>
        </is>
      </c>
      <c r="F549" t="inlineStr">
        <is>
          <t>Routine</t>
        </is>
      </c>
      <c r="G549" t="inlineStr">
        <is>
          <t>NONE</t>
        </is>
      </c>
      <c r="H549" t="inlineStr">
        <is>
          <t>Compliant</t>
        </is>
      </c>
      <c r="I549" s="6" t="n"/>
      <c r="J549" s="6" t="n"/>
      <c r="K549">
        <f>IF(J549="","",J549-B549)</f>
        <v/>
      </c>
      <c r="L549">
        <f>IF(H549="Compliant","N/A",IF(J549&lt;&gt;"","Closed",IF(I549&lt;DATE(2026,9,30),"OVERDUE","Open")))</f>
        <v/>
      </c>
    </row>
    <row r="550">
      <c r="A550" t="inlineStr">
        <is>
          <t>INSP-2026-0549</t>
        </is>
      </c>
      <c r="B550" s="6" t="n">
        <v>46106</v>
      </c>
      <c r="C550" t="inlineStr">
        <is>
          <t>U-PI625-01-01</t>
        </is>
      </c>
      <c r="D550" t="inlineStr">
        <is>
          <t>Pasir Indah</t>
        </is>
      </c>
      <c r="E550" t="inlineStr">
        <is>
          <t>M. Lim</t>
        </is>
      </c>
      <c r="F550" t="inlineStr">
        <is>
          <t>Routine</t>
        </is>
      </c>
      <c r="G550" t="inlineStr">
        <is>
          <t>HYGIENE</t>
        </is>
      </c>
      <c r="H550" t="inlineStr">
        <is>
          <t>Minor Breach</t>
        </is>
      </c>
      <c r="I550" s="6" t="n">
        <v>46120</v>
      </c>
      <c r="J550" s="6" t="n">
        <v>46117</v>
      </c>
      <c r="K550">
        <f>IF(J550="","",J550-B550)</f>
        <v/>
      </c>
      <c r="L550">
        <f>IF(H550="Compliant","N/A",IF(J550&lt;&gt;"","Closed",IF(I550&lt;DATE(2026,9,30),"OVERDUE","Open")))</f>
        <v/>
      </c>
    </row>
    <row r="551">
      <c r="A551" t="inlineStr">
        <is>
          <t>INSP-2026-0550</t>
        </is>
      </c>
      <c r="B551" s="6" t="n">
        <v>46106</v>
      </c>
      <c r="C551" t="inlineStr">
        <is>
          <t>U-ST501-01-13</t>
        </is>
      </c>
      <c r="D551" t="inlineStr">
        <is>
          <t>Sungai Tinggi</t>
        </is>
      </c>
      <c r="E551" t="inlineStr">
        <is>
          <t>daniel ong</t>
        </is>
      </c>
      <c r="F551" t="inlineStr">
        <is>
          <t>Complaint-driven</t>
        </is>
      </c>
      <c r="G551" t="inlineStr">
        <is>
          <t>UNAPPROVED_AA</t>
        </is>
      </c>
      <c r="H551" t="inlineStr">
        <is>
          <t>Minor Breach</t>
        </is>
      </c>
      <c r="I551" s="6" t="n">
        <v>46120</v>
      </c>
      <c r="J551" s="6" t="n">
        <v>46126</v>
      </c>
      <c r="K551">
        <f>IF(J551="","",J551-B551)</f>
        <v/>
      </c>
      <c r="L551">
        <f>IF(H551="Compliant","N/A",IF(J551&lt;&gt;"","Closed",IF(I551&lt;DATE(2026,9,30),"OVERDUE","Open")))</f>
        <v/>
      </c>
    </row>
    <row r="552">
      <c r="A552" t="inlineStr">
        <is>
          <t>INSP-2026-0551</t>
        </is>
      </c>
      <c r="B552" s="6" t="n">
        <v>46106</v>
      </c>
      <c r="C552" t="inlineStr">
        <is>
          <t>U-PI627-01-30</t>
        </is>
      </c>
      <c r="D552" t="inlineStr">
        <is>
          <t>Pasir Indah</t>
        </is>
      </c>
      <c r="E552" t="inlineStr">
        <is>
          <t>M. Lim</t>
        </is>
      </c>
      <c r="F552" t="inlineStr">
        <is>
          <t>Routine</t>
        </is>
      </c>
      <c r="G552" t="inlineStr">
        <is>
          <t>DISPLAY_ENCROACH</t>
        </is>
      </c>
      <c r="H552" t="inlineStr">
        <is>
          <t>Minor Breach</t>
        </is>
      </c>
      <c r="I552" s="6" t="n">
        <v>46120</v>
      </c>
      <c r="J552" s="6" t="n">
        <v>46117</v>
      </c>
      <c r="K552">
        <f>IF(J552="","",J552-B552)</f>
        <v/>
      </c>
      <c r="L552">
        <f>IF(H552="Compliant","N/A",IF(J552&lt;&gt;"","Closed",IF(I552&lt;DATE(2026,9,30),"OVERDUE","Open")))</f>
        <v/>
      </c>
    </row>
    <row r="553">
      <c r="A553" t="inlineStr">
        <is>
          <t>INSP-2026-0552</t>
        </is>
      </c>
      <c r="B553" s="6" t="n">
        <v>46106</v>
      </c>
      <c r="C553" t="inlineStr">
        <is>
          <t>U-PI626-01-07</t>
        </is>
      </c>
      <c r="D553" t="inlineStr">
        <is>
          <t>Pasir Indah</t>
        </is>
      </c>
      <c r="E553" t="inlineStr">
        <is>
          <t>daniel ong</t>
        </is>
      </c>
      <c r="F553" t="inlineStr">
        <is>
          <t>Routine</t>
        </is>
      </c>
      <c r="G553" t="inlineStr">
        <is>
          <t>NONE</t>
        </is>
      </c>
      <c r="H553" t="inlineStr">
        <is>
          <t>Compliant</t>
        </is>
      </c>
      <c r="I553" s="6" t="n"/>
      <c r="J553" s="6" t="n"/>
      <c r="K553">
        <f>IF(J553="","",J553-B553)</f>
        <v/>
      </c>
      <c r="L553">
        <f>IF(H553="Compliant","N/A",IF(J553&lt;&gt;"","Closed",IF(I553&lt;DATE(2026,9,30),"OVERDUE","Open")))</f>
        <v/>
      </c>
    </row>
    <row r="554">
      <c r="A554" t="inlineStr">
        <is>
          <t>INSP-2026-0553</t>
        </is>
      </c>
      <c r="B554" s="6" t="n">
        <v>46106</v>
      </c>
      <c r="C554" t="inlineStr">
        <is>
          <t>U-CD181-01-04</t>
        </is>
      </c>
      <c r="D554" t="inlineStr">
        <is>
          <t>Cendana</t>
        </is>
      </c>
      <c r="E554" t="inlineStr">
        <is>
          <t>marcus</t>
        </is>
      </c>
      <c r="F554" t="inlineStr">
        <is>
          <t>Routine</t>
        </is>
      </c>
      <c r="G554" t="inlineStr">
        <is>
          <t>NONE</t>
        </is>
      </c>
      <c r="H554" t="inlineStr">
        <is>
          <t>Compliant</t>
        </is>
      </c>
      <c r="I554" s="6" t="n"/>
      <c r="J554" s="6" t="n"/>
      <c r="K554">
        <f>IF(J554="","",J554-B554)</f>
        <v/>
      </c>
      <c r="L554">
        <f>IF(H554="Compliant","N/A",IF(J554&lt;&gt;"","Closed",IF(I554&lt;DATE(2026,9,30),"OVERDUE","Open")))</f>
        <v/>
      </c>
    </row>
    <row r="555">
      <c r="A555" t="inlineStr">
        <is>
          <t>INSP-2026-0554</t>
        </is>
      </c>
      <c r="B555" s="6" t="n">
        <v>46107</v>
      </c>
      <c r="C555" t="inlineStr">
        <is>
          <t>U-RH482-02-06</t>
        </is>
      </c>
      <c r="D555" t="inlineStr">
        <is>
          <t>Rimba Heights</t>
        </is>
      </c>
      <c r="E555" t="inlineStr">
        <is>
          <t>Benjamin Ho</t>
        </is>
      </c>
      <c r="F555" t="inlineStr">
        <is>
          <t>Routine</t>
        </is>
      </c>
      <c r="G555" t="inlineStr">
        <is>
          <t>NONE</t>
        </is>
      </c>
      <c r="H555" t="inlineStr">
        <is>
          <t>Compliant</t>
        </is>
      </c>
      <c r="I555" s="6" t="n"/>
      <c r="J555" s="6" t="n"/>
      <c r="K555">
        <f>IF(J555="","",J555-B555)</f>
        <v/>
      </c>
      <c r="L555">
        <f>IF(H555="Compliant","N/A",IF(J555&lt;&gt;"","Closed",IF(I555&lt;DATE(2026,9,30),"OVERDUE","Open")))</f>
        <v/>
      </c>
    </row>
    <row r="556">
      <c r="A556" t="inlineStr">
        <is>
          <t>INSP-2026-0555</t>
        </is>
      </c>
      <c r="B556" s="6" t="n">
        <v>46107</v>
      </c>
      <c r="C556" t="inlineStr">
        <is>
          <t>U-BV233-01-01</t>
        </is>
      </c>
      <c r="D556" t="inlineStr">
        <is>
          <t>Bayshore Vale</t>
        </is>
      </c>
      <c r="E556" t="inlineStr">
        <is>
          <t>Daniel O.</t>
        </is>
      </c>
      <c r="F556" t="inlineStr">
        <is>
          <t>Routine</t>
        </is>
      </c>
      <c r="G556" t="inlineStr">
        <is>
          <t>NONE</t>
        </is>
      </c>
      <c r="H556" t="inlineStr">
        <is>
          <t>Compliant</t>
        </is>
      </c>
      <c r="I556" s="6" t="n"/>
      <c r="J556" s="6" t="n"/>
      <c r="K556">
        <f>IF(J556="","",J556-B556)</f>
        <v/>
      </c>
      <c r="L556">
        <f>IF(H556="Compliant","N/A",IF(J556&lt;&gt;"","Closed",IF(I556&lt;DATE(2026,9,30),"OVERDUE","Open")))</f>
        <v/>
      </c>
    </row>
    <row r="557">
      <c r="A557" t="inlineStr">
        <is>
          <t>INSP-2026-0556</t>
        </is>
      </c>
      <c r="B557" s="6" t="n">
        <v>46108</v>
      </c>
      <c r="C557" t="inlineStr">
        <is>
          <t>U-RH434-01-04</t>
        </is>
      </c>
      <c r="D557" t="inlineStr">
        <is>
          <t>Rimba Heights</t>
        </is>
      </c>
      <c r="E557" t="inlineStr">
        <is>
          <t>daniel ong</t>
        </is>
      </c>
      <c r="F557" t="inlineStr">
        <is>
          <t>Routine</t>
        </is>
      </c>
      <c r="G557" t="inlineStr">
        <is>
          <t>NONE</t>
        </is>
      </c>
      <c r="H557" t="inlineStr">
        <is>
          <t>Compliant</t>
        </is>
      </c>
      <c r="I557" s="6" t="n"/>
      <c r="J557" s="6" t="n"/>
      <c r="K557">
        <f>IF(J557="","",J557-B557)</f>
        <v/>
      </c>
      <c r="L557">
        <f>IF(H557="Compliant","N/A",IF(J557&lt;&gt;"","Closed",IF(I557&lt;DATE(2026,9,30),"OVERDUE","Open")))</f>
        <v/>
      </c>
    </row>
    <row r="558">
      <c r="A558" t="inlineStr">
        <is>
          <t>INSP-2026-0557</t>
        </is>
      </c>
      <c r="B558" s="6" t="n">
        <v>46108</v>
      </c>
      <c r="C558" t="inlineStr">
        <is>
          <t>U-BV214-01-14</t>
        </is>
      </c>
      <c r="D558" t="inlineStr">
        <is>
          <t>Bayshore Vale</t>
        </is>
      </c>
      <c r="E558" t="inlineStr">
        <is>
          <t>daniel ong</t>
        </is>
      </c>
      <c r="F558" t="inlineStr">
        <is>
          <t>Routine</t>
        </is>
      </c>
      <c r="G558" t="inlineStr">
        <is>
          <t>UNAPPROVED_AA</t>
        </is>
      </c>
      <c r="H558" t="inlineStr">
        <is>
          <t>Minor Breach</t>
        </is>
      </c>
      <c r="I558" s="6" t="n">
        <v>46122</v>
      </c>
      <c r="J558" s="6" t="n">
        <v>46125</v>
      </c>
      <c r="K558">
        <f>IF(J558="","",J558-B558)</f>
        <v/>
      </c>
      <c r="L558">
        <f>IF(H558="Compliant","N/A",IF(J558&lt;&gt;"","Closed",IF(I558&lt;DATE(2026,9,30),"OVERDUE","Open")))</f>
        <v/>
      </c>
    </row>
    <row r="559">
      <c r="A559" t="inlineStr">
        <is>
          <t>INSP-2026-0558</t>
        </is>
      </c>
      <c r="B559" s="6" t="n">
        <v>46108</v>
      </c>
      <c r="C559" t="inlineStr">
        <is>
          <t>U-RH401-01-01</t>
        </is>
      </c>
      <c r="D559" t="inlineStr">
        <is>
          <t>Rimba Heights</t>
        </is>
      </c>
      <c r="E559" t="inlineStr">
        <is>
          <t>Ben Ho</t>
        </is>
      </c>
      <c r="F559" t="inlineStr">
        <is>
          <t>Follow-up</t>
        </is>
      </c>
      <c r="G559" t="inlineStr">
        <is>
          <t>UNAUTH_TRADE</t>
        </is>
      </c>
      <c r="H559" t="inlineStr">
        <is>
          <t>Major Breach</t>
        </is>
      </c>
      <c r="I559" s="6" t="n">
        <v>46115</v>
      </c>
      <c r="J559" s="6" t="n">
        <v>46110</v>
      </c>
      <c r="K559">
        <f>IF(J559="","",J559-B559)</f>
        <v/>
      </c>
      <c r="L559">
        <f>IF(H559="Compliant","N/A",IF(J559&lt;&gt;"","Closed",IF(I559&lt;DATE(2026,9,30),"OVERDUE","Open")))</f>
        <v/>
      </c>
    </row>
    <row r="560">
      <c r="A560" t="inlineStr">
        <is>
          <t>INSP-2026-0559</t>
        </is>
      </c>
      <c r="B560" s="6" t="n">
        <v>46108</v>
      </c>
      <c r="C560" t="inlineStr">
        <is>
          <t>U-BV205-01-03</t>
        </is>
      </c>
      <c r="D560" t="inlineStr">
        <is>
          <t>Bayshore Vale</t>
        </is>
      </c>
      <c r="E560" t="inlineStr">
        <is>
          <t>M. Lim</t>
        </is>
      </c>
      <c r="F560" t="inlineStr">
        <is>
          <t>Follow-up</t>
        </is>
      </c>
      <c r="G560" t="inlineStr">
        <is>
          <t>NONE</t>
        </is>
      </c>
      <c r="H560" t="inlineStr">
        <is>
          <t>Compliant</t>
        </is>
      </c>
      <c r="I560" s="6" t="n"/>
      <c r="J560" s="6" t="n"/>
      <c r="K560">
        <f>IF(J560="","",J560-B560)</f>
        <v/>
      </c>
      <c r="L560">
        <f>IF(H560="Compliant","N/A",IF(J560&lt;&gt;"","Closed",IF(I560&lt;DATE(2026,9,30),"OVERDUE","Open")))</f>
        <v/>
      </c>
    </row>
    <row r="561">
      <c r="A561" t="inlineStr">
        <is>
          <t>INSP-2026-0560</t>
        </is>
      </c>
      <c r="B561" s="6" t="n">
        <v>46109</v>
      </c>
      <c r="C561" t="inlineStr">
        <is>
          <t>U-BV290-01-10</t>
        </is>
      </c>
      <c r="D561" t="inlineStr">
        <is>
          <t>Bayshore Vale</t>
        </is>
      </c>
      <c r="E561" t="inlineStr">
        <is>
          <t>marcus</t>
        </is>
      </c>
      <c r="F561" t="inlineStr">
        <is>
          <t>Follow-up</t>
        </is>
      </c>
      <c r="G561" t="inlineStr">
        <is>
          <t>NONE</t>
        </is>
      </c>
      <c r="H561" t="inlineStr">
        <is>
          <t>Compliant</t>
        </is>
      </c>
      <c r="I561" s="6" t="n"/>
      <c r="J561" s="6" t="n"/>
      <c r="K561">
        <f>IF(J561="","",J561-B561)</f>
        <v/>
      </c>
      <c r="L561">
        <f>IF(H561="Compliant","N/A",IF(J561&lt;&gt;"","Closed",IF(I561&lt;DATE(2026,9,30),"OVERDUE","Open")))</f>
        <v/>
      </c>
    </row>
    <row r="562">
      <c r="A562" t="inlineStr">
        <is>
          <t>INSP-2026-0561</t>
        </is>
      </c>
      <c r="B562" s="6" t="n">
        <v>46109</v>
      </c>
      <c r="C562" t="inlineStr">
        <is>
          <t>U-CD105-01-13</t>
        </is>
      </c>
      <c r="D562" t="inlineStr">
        <is>
          <t>Cendana</t>
        </is>
      </c>
      <c r="E562" t="inlineStr">
        <is>
          <t>M. Lim</t>
        </is>
      </c>
      <c r="F562" t="inlineStr">
        <is>
          <t>Routine</t>
        </is>
      </c>
      <c r="G562" t="inlineStr">
        <is>
          <t>NONE</t>
        </is>
      </c>
      <c r="H562" t="inlineStr">
        <is>
          <t>Compliant</t>
        </is>
      </c>
      <c r="I562" s="6" t="n"/>
      <c r="J562" s="6" t="n"/>
      <c r="K562">
        <f>IF(J562="","",J562-B562)</f>
        <v/>
      </c>
      <c r="L562">
        <f>IF(H562="Compliant","N/A",IF(J562&lt;&gt;"","Closed",IF(I562&lt;DATE(2026,9,30),"OVERDUE","Open")))</f>
        <v/>
      </c>
    </row>
    <row r="563">
      <c r="A563" t="inlineStr">
        <is>
          <t>INSP-2026-0562</t>
        </is>
      </c>
      <c r="B563" s="6" t="n">
        <v>46109</v>
      </c>
      <c r="C563" t="inlineStr">
        <is>
          <t>U-PI668-01-05</t>
        </is>
      </c>
      <c r="D563" t="inlineStr">
        <is>
          <t>Pasir Indah</t>
        </is>
      </c>
      <c r="E563" t="inlineStr">
        <is>
          <t>marcus</t>
        </is>
      </c>
      <c r="F563" t="inlineStr">
        <is>
          <t>Complaint-driven</t>
        </is>
      </c>
      <c r="G563" t="inlineStr">
        <is>
          <t>STRUCTURAL_DEFECT</t>
        </is>
      </c>
      <c r="H563" t="inlineStr">
        <is>
          <t>Major Breach</t>
        </is>
      </c>
      <c r="I563" s="6" t="n">
        <v>46116</v>
      </c>
      <c r="J563" s="6" t="n">
        <v>46123</v>
      </c>
      <c r="K563">
        <f>IF(J563="","",J563-B563)</f>
        <v/>
      </c>
      <c r="L563">
        <f>IF(H563="Compliant","N/A",IF(J563&lt;&gt;"","Closed",IF(I563&lt;DATE(2026,9,30),"OVERDUE","Open")))</f>
        <v/>
      </c>
    </row>
    <row r="564">
      <c r="A564" t="inlineStr">
        <is>
          <t>INSP-2026-0563</t>
        </is>
      </c>
      <c r="B564" s="6" t="n">
        <v>46109</v>
      </c>
      <c r="C564" t="inlineStr">
        <is>
          <t>U-PI675-01-06</t>
        </is>
      </c>
      <c r="D564" t="inlineStr">
        <is>
          <t>Pasir Indah</t>
        </is>
      </c>
      <c r="E564" t="inlineStr">
        <is>
          <t>D. Ong</t>
        </is>
      </c>
      <c r="F564" t="inlineStr">
        <is>
          <t>Complaint-driven</t>
        </is>
      </c>
      <c r="G564" t="inlineStr">
        <is>
          <t>NONE</t>
        </is>
      </c>
      <c r="H564" t="inlineStr">
        <is>
          <t>Compliant</t>
        </is>
      </c>
      <c r="I564" s="6" t="n"/>
      <c r="J564" s="6" t="n"/>
      <c r="K564">
        <f>IF(J564="","",J564-B564)</f>
        <v/>
      </c>
      <c r="L564">
        <f>IF(H564="Compliant","N/A",IF(J564&lt;&gt;"","Closed",IF(I564&lt;DATE(2026,9,30),"OVERDUE","Open")))</f>
        <v/>
      </c>
    </row>
    <row r="565">
      <c r="A565" t="inlineStr">
        <is>
          <t>INSP-2026-0564</t>
        </is>
      </c>
      <c r="B565" s="6" t="n">
        <v>46109</v>
      </c>
      <c r="C565" t="inlineStr">
        <is>
          <t>U-KR305-02-09</t>
        </is>
      </c>
      <c r="D565" t="inlineStr">
        <is>
          <t>Kebun Raya</t>
        </is>
      </c>
      <c r="E565" t="inlineStr">
        <is>
          <t>B. Ho</t>
        </is>
      </c>
      <c r="F565" t="inlineStr">
        <is>
          <t>Follow-up</t>
        </is>
      </c>
      <c r="G565" t="inlineStr">
        <is>
          <t>NONE</t>
        </is>
      </c>
      <c r="H565" t="inlineStr">
        <is>
          <t>Compliant</t>
        </is>
      </c>
      <c r="I565" s="6" t="n"/>
      <c r="J565" s="6" t="n"/>
      <c r="K565">
        <f>IF(J565="","",J565-B565)</f>
        <v/>
      </c>
      <c r="L565">
        <f>IF(H565="Compliant","N/A",IF(J565&lt;&gt;"","Closed",IF(I565&lt;DATE(2026,9,30),"OVERDUE","Open")))</f>
        <v/>
      </c>
    </row>
    <row r="566">
      <c r="A566" t="inlineStr">
        <is>
          <t>INSP-2026-0565</t>
        </is>
      </c>
      <c r="B566" s="6" t="n">
        <v>46109</v>
      </c>
      <c r="C566" t="inlineStr">
        <is>
          <t>U-KR358-01-04</t>
        </is>
      </c>
      <c r="D566" t="inlineStr">
        <is>
          <t>Kebun Raya</t>
        </is>
      </c>
      <c r="E566" t="inlineStr">
        <is>
          <t>daniel ong</t>
        </is>
      </c>
      <c r="F566" t="inlineStr">
        <is>
          <t>Routine</t>
        </is>
      </c>
      <c r="G566" t="inlineStr">
        <is>
          <t>NONE</t>
        </is>
      </c>
      <c r="H566" t="inlineStr">
        <is>
          <t>Compliant</t>
        </is>
      </c>
      <c r="I566" s="6" t="n"/>
      <c r="J566" s="6" t="n"/>
      <c r="K566">
        <f>IF(J566="","",J566-B566)</f>
        <v/>
      </c>
      <c r="L566">
        <f>IF(H566="Compliant","N/A",IF(J566&lt;&gt;"","Closed",IF(I566&lt;DATE(2026,9,30),"OVERDUE","Open")))</f>
        <v/>
      </c>
    </row>
    <row r="567">
      <c r="A567" t="inlineStr">
        <is>
          <t>INSP-2026-0566</t>
        </is>
      </c>
      <c r="B567" s="6" t="n">
        <v>46109</v>
      </c>
      <c r="C567" t="inlineStr">
        <is>
          <t>U-PI678-01-09</t>
        </is>
      </c>
      <c r="D567" t="inlineStr">
        <is>
          <t>Pasir Indah</t>
        </is>
      </c>
      <c r="E567" t="inlineStr">
        <is>
          <t>Marcus Lim</t>
        </is>
      </c>
      <c r="F567" t="inlineStr">
        <is>
          <t>Complaint-driven</t>
        </is>
      </c>
      <c r="G567" t="inlineStr">
        <is>
          <t>DISPLAY_ENCROACH</t>
        </is>
      </c>
      <c r="H567" t="inlineStr">
        <is>
          <t>Minor Breach</t>
        </is>
      </c>
      <c r="I567" s="6" t="n">
        <v>46123</v>
      </c>
      <c r="J567" s="6" t="n">
        <v>46129</v>
      </c>
      <c r="K567">
        <f>IF(J567="","",J567-B567)</f>
        <v/>
      </c>
      <c r="L567">
        <f>IF(H567="Compliant","N/A",IF(J567&lt;&gt;"","Closed",IF(I567&lt;DATE(2026,9,30),"OVERDUE","Open")))</f>
        <v/>
      </c>
    </row>
    <row r="568">
      <c r="A568" t="inlineStr">
        <is>
          <t>INSP-2026-0567</t>
        </is>
      </c>
      <c r="B568" s="6" t="n">
        <v>46109</v>
      </c>
      <c r="C568" t="inlineStr">
        <is>
          <t>U-RH437-01-01</t>
        </is>
      </c>
      <c r="D568" t="inlineStr">
        <is>
          <t>Rimba Heights</t>
        </is>
      </c>
      <c r="E568" t="inlineStr">
        <is>
          <t>Benjamin Ho</t>
        </is>
      </c>
      <c r="F568" t="inlineStr">
        <is>
          <t>Routine</t>
        </is>
      </c>
      <c r="G568" t="inlineStr">
        <is>
          <t>NONE</t>
        </is>
      </c>
      <c r="H568" t="inlineStr">
        <is>
          <t>Compliant</t>
        </is>
      </c>
      <c r="I568" s="6" t="n"/>
      <c r="J568" s="6" t="n"/>
      <c r="K568">
        <f>IF(J568="","",J568-B568)</f>
        <v/>
      </c>
      <c r="L568">
        <f>IF(H568="Compliant","N/A",IF(J568&lt;&gt;"","Closed",IF(I568&lt;DATE(2026,9,30),"OVERDUE","Open")))</f>
        <v/>
      </c>
    </row>
    <row r="569">
      <c r="A569" t="inlineStr">
        <is>
          <t>INSP-2026-0568</t>
        </is>
      </c>
      <c r="B569" s="6" t="n">
        <v>46109</v>
      </c>
      <c r="C569" t="inlineStr">
        <is>
          <t>U-KR305-01-02</t>
        </is>
      </c>
      <c r="D569" t="inlineStr">
        <is>
          <t>Kebun Raya</t>
        </is>
      </c>
      <c r="E569" t="inlineStr">
        <is>
          <t>D. Ong</t>
        </is>
      </c>
      <c r="F569" t="inlineStr">
        <is>
          <t>Routine</t>
        </is>
      </c>
      <c r="G569" t="inlineStr">
        <is>
          <t>NONE</t>
        </is>
      </c>
      <c r="H569" t="inlineStr">
        <is>
          <t>Compliant</t>
        </is>
      </c>
      <c r="I569" s="6" t="n"/>
      <c r="J569" s="6" t="n"/>
      <c r="K569">
        <f>IF(J569="","",J569-B569)</f>
        <v/>
      </c>
      <c r="L569">
        <f>IF(H569="Compliant","N/A",IF(J569&lt;&gt;"","Closed",IF(I569&lt;DATE(2026,9,30),"OVERDUE","Open")))</f>
        <v/>
      </c>
    </row>
    <row r="570">
      <c r="A570" t="inlineStr">
        <is>
          <t>INSP-2026-0569</t>
        </is>
      </c>
      <c r="B570" s="6" t="n">
        <v>46109</v>
      </c>
      <c r="C570" t="inlineStr">
        <is>
          <t>U-KR356-01-02</t>
        </is>
      </c>
      <c r="D570" t="inlineStr">
        <is>
          <t>Kebun Raya</t>
        </is>
      </c>
      <c r="E570" t="inlineStr">
        <is>
          <t>Daniel Ong</t>
        </is>
      </c>
      <c r="F570" t="inlineStr">
        <is>
          <t>Routine</t>
        </is>
      </c>
      <c r="G570" t="inlineStr">
        <is>
          <t>NONE</t>
        </is>
      </c>
      <c r="H570" t="inlineStr">
        <is>
          <t>Compliant</t>
        </is>
      </c>
      <c r="I570" s="6" t="n"/>
      <c r="J570" s="6" t="n"/>
      <c r="K570">
        <f>IF(J570="","",J570-B570)</f>
        <v/>
      </c>
      <c r="L570">
        <f>IF(H570="Compliant","N/A",IF(J570&lt;&gt;"","Closed",IF(I570&lt;DATE(2026,9,30),"OVERDUE","Open")))</f>
        <v/>
      </c>
    </row>
    <row r="571">
      <c r="A571" t="inlineStr">
        <is>
          <t>INSP-2026-0570</t>
        </is>
      </c>
      <c r="B571" s="6" t="n">
        <v>46110</v>
      </c>
      <c r="C571" t="inlineStr">
        <is>
          <t>U-BV279-01-05</t>
        </is>
      </c>
      <c r="D571" t="inlineStr">
        <is>
          <t>Bayshore Vale</t>
        </is>
      </c>
      <c r="E571" t="inlineStr">
        <is>
          <t>M. Lim</t>
        </is>
      </c>
      <c r="F571" t="inlineStr">
        <is>
          <t>Routine</t>
        </is>
      </c>
      <c r="G571" t="inlineStr">
        <is>
          <t>NONE</t>
        </is>
      </c>
      <c r="H571" t="inlineStr">
        <is>
          <t>Compliant</t>
        </is>
      </c>
      <c r="I571" s="6" t="n"/>
      <c r="J571" s="6" t="n"/>
      <c r="K571">
        <f>IF(J571="","",J571-B571)</f>
        <v/>
      </c>
      <c r="L571">
        <f>IF(H571="Compliant","N/A",IF(J571&lt;&gt;"","Closed",IF(I571&lt;DATE(2026,9,30),"OVERDUE","Open")))</f>
        <v/>
      </c>
    </row>
    <row r="572">
      <c r="A572" t="inlineStr">
        <is>
          <t>INSP-2026-0571</t>
        </is>
      </c>
      <c r="B572" s="6" t="n">
        <v>46110</v>
      </c>
      <c r="C572" t="inlineStr">
        <is>
          <t>U-ST583-02-01</t>
        </is>
      </c>
      <c r="D572" t="inlineStr">
        <is>
          <t>Sungai Tinggi</t>
        </is>
      </c>
      <c r="E572" t="inlineStr">
        <is>
          <t>B. Ho</t>
        </is>
      </c>
      <c r="F572" t="inlineStr">
        <is>
          <t>Routine</t>
        </is>
      </c>
      <c r="G572" t="inlineStr">
        <is>
          <t>NONE</t>
        </is>
      </c>
      <c r="H572" t="inlineStr">
        <is>
          <t>Compliant</t>
        </is>
      </c>
      <c r="I572" s="6" t="n"/>
      <c r="J572" s="6" t="n"/>
      <c r="K572">
        <f>IF(J572="","",J572-B572)</f>
        <v/>
      </c>
      <c r="L572">
        <f>IF(H572="Compliant","N/A",IF(J572&lt;&gt;"","Closed",IF(I572&lt;DATE(2026,9,30),"OVERDUE","Open")))</f>
        <v/>
      </c>
    </row>
    <row r="573">
      <c r="A573" t="inlineStr">
        <is>
          <t>INSP-2026-0572</t>
        </is>
      </c>
      <c r="B573" s="6" t="n">
        <v>46110</v>
      </c>
      <c r="C573" t="inlineStr">
        <is>
          <t>U-PI627-01-08</t>
        </is>
      </c>
      <c r="D573" t="inlineStr">
        <is>
          <t>Pasir Indah</t>
        </is>
      </c>
      <c r="E573" t="inlineStr">
        <is>
          <t>Daniel Ong</t>
        </is>
      </c>
      <c r="F573" t="inlineStr">
        <is>
          <t>Routine</t>
        </is>
      </c>
      <c r="G573" t="inlineStr">
        <is>
          <t>FIRE_SAFETY</t>
        </is>
      </c>
      <c r="H573" t="inlineStr">
        <is>
          <t>Major Breach</t>
        </is>
      </c>
      <c r="I573" s="6" t="n">
        <v>46117</v>
      </c>
      <c r="J573" s="6" t="n">
        <v>46118</v>
      </c>
      <c r="K573">
        <f>IF(J573="","",J573-B573)</f>
        <v/>
      </c>
      <c r="L573">
        <f>IF(H573="Compliant","N/A",IF(J573&lt;&gt;"","Closed",IF(I573&lt;DATE(2026,9,30),"OVERDUE","Open")))</f>
        <v/>
      </c>
    </row>
    <row r="574">
      <c r="A574" t="inlineStr">
        <is>
          <t>INSP-2026-0573</t>
        </is>
      </c>
      <c r="B574" s="6" t="n">
        <v>46110</v>
      </c>
      <c r="C574" t="inlineStr">
        <is>
          <t>U-BV205-01-07</t>
        </is>
      </c>
      <c r="D574" t="inlineStr">
        <is>
          <t>Bayshore Vale</t>
        </is>
      </c>
      <c r="E574" t="inlineStr">
        <is>
          <t>Daniel O.</t>
        </is>
      </c>
      <c r="F574" t="inlineStr">
        <is>
          <t>Routine</t>
        </is>
      </c>
      <c r="G574" t="inlineStr">
        <is>
          <t>DISPLAY_ENCROACH</t>
        </is>
      </c>
      <c r="H574" t="inlineStr">
        <is>
          <t>Minor Breach</t>
        </is>
      </c>
      <c r="I574" s="6" t="n">
        <v>46124</v>
      </c>
      <c r="J574" s="6" t="n">
        <v>46121</v>
      </c>
      <c r="K574">
        <f>IF(J574="","",J574-B574)</f>
        <v/>
      </c>
      <c r="L574">
        <f>IF(H574="Compliant","N/A",IF(J574&lt;&gt;"","Closed",IF(I574&lt;DATE(2026,9,30),"OVERDUE","Open")))</f>
        <v/>
      </c>
    </row>
    <row r="575">
      <c r="A575" t="inlineStr">
        <is>
          <t>INSP-2026-0574</t>
        </is>
      </c>
      <c r="B575" s="6" t="n">
        <v>46110</v>
      </c>
      <c r="C575" t="inlineStr">
        <is>
          <t>U-RH463-01-09</t>
        </is>
      </c>
      <c r="D575" t="inlineStr">
        <is>
          <t>Rimba Heights</t>
        </is>
      </c>
      <c r="E575" t="inlineStr">
        <is>
          <t>D. Ong</t>
        </is>
      </c>
      <c r="F575" t="inlineStr">
        <is>
          <t>Routine</t>
        </is>
      </c>
      <c r="G575" t="inlineStr">
        <is>
          <t>NONE</t>
        </is>
      </c>
      <c r="H575" t="inlineStr">
        <is>
          <t>Compliant</t>
        </is>
      </c>
      <c r="I575" s="6" t="n"/>
      <c r="J575" s="6" t="n"/>
      <c r="K575">
        <f>IF(J575="","",J575-B575)</f>
        <v/>
      </c>
      <c r="L575">
        <f>IF(H575="Compliant","N/A",IF(J575&lt;&gt;"","Closed",IF(I575&lt;DATE(2026,9,30),"OVERDUE","Open")))</f>
        <v/>
      </c>
    </row>
    <row r="576">
      <c r="A576" t="inlineStr">
        <is>
          <t>INSP-2026-0575</t>
        </is>
      </c>
      <c r="B576" s="6" t="n">
        <v>46110</v>
      </c>
      <c r="C576" t="inlineStr">
        <is>
          <t>U-BV288-01-08</t>
        </is>
      </c>
      <c r="D576" t="inlineStr">
        <is>
          <t>Bayshore Vale</t>
        </is>
      </c>
      <c r="E576" t="inlineStr">
        <is>
          <t>Daniel O.</t>
        </is>
      </c>
      <c r="F576" t="inlineStr">
        <is>
          <t>Complaint-driven</t>
        </is>
      </c>
      <c r="G576" t="inlineStr">
        <is>
          <t>HYGIENE</t>
        </is>
      </c>
      <c r="H576" t="inlineStr">
        <is>
          <t>Minor Breach</t>
        </is>
      </c>
      <c r="I576" s="6" t="n">
        <v>46124</v>
      </c>
      <c r="J576" s="6" t="n">
        <v>46120</v>
      </c>
      <c r="K576">
        <f>IF(J576="","",J576-B576)</f>
        <v/>
      </c>
      <c r="L576">
        <f>IF(H576="Compliant","N/A",IF(J576&lt;&gt;"","Closed",IF(I576&lt;DATE(2026,9,30),"OVERDUE","Open")))</f>
        <v/>
      </c>
    </row>
    <row r="577">
      <c r="A577" t="inlineStr">
        <is>
          <t>INSP-2026-0576</t>
        </is>
      </c>
      <c r="B577" s="6" t="n">
        <v>46110</v>
      </c>
      <c r="C577" t="inlineStr">
        <is>
          <t>U-BV277-01-07</t>
        </is>
      </c>
      <c r="D577" t="inlineStr">
        <is>
          <t>Bayshore Vale</t>
        </is>
      </c>
      <c r="E577" t="inlineStr">
        <is>
          <t>Daniel O.</t>
        </is>
      </c>
      <c r="F577" t="inlineStr">
        <is>
          <t>Routine</t>
        </is>
      </c>
      <c r="G577" t="inlineStr">
        <is>
          <t>UNAUTH_TRADE</t>
        </is>
      </c>
      <c r="H577" t="inlineStr">
        <is>
          <t>Major Breach</t>
        </is>
      </c>
      <c r="I577" s="6" t="n">
        <v>46117</v>
      </c>
      <c r="J577" s="6" t="n">
        <v>46122</v>
      </c>
      <c r="K577">
        <f>IF(J577="","",J577-B577)</f>
        <v/>
      </c>
      <c r="L577">
        <f>IF(H577="Compliant","N/A",IF(J577&lt;&gt;"","Closed",IF(I577&lt;DATE(2026,9,30),"OVERDUE","Open")))</f>
        <v/>
      </c>
    </row>
    <row r="578">
      <c r="A578" t="inlineStr">
        <is>
          <t>INSP-2026-0577</t>
        </is>
      </c>
      <c r="B578" s="6" t="n">
        <v>46110</v>
      </c>
      <c r="C578" t="inlineStr">
        <is>
          <t>U-BV266-01-08</t>
        </is>
      </c>
      <c r="D578" t="inlineStr">
        <is>
          <t>Bayshore Vale</t>
        </is>
      </c>
      <c r="E578" t="inlineStr">
        <is>
          <t>Marcus Lim</t>
        </is>
      </c>
      <c r="F578" t="inlineStr">
        <is>
          <t>Routine</t>
        </is>
      </c>
      <c r="G578" t="inlineStr">
        <is>
          <t>NONE</t>
        </is>
      </c>
      <c r="H578" t="inlineStr">
        <is>
          <t>Compliant</t>
        </is>
      </c>
      <c r="I578" s="6" t="n"/>
      <c r="J578" s="6" t="n"/>
      <c r="K578">
        <f>IF(J578="","",J578-B578)</f>
        <v/>
      </c>
      <c r="L578">
        <f>IF(H578="Compliant","N/A",IF(J578&lt;&gt;"","Closed",IF(I578&lt;DATE(2026,9,30),"OVERDUE","Open")))</f>
        <v/>
      </c>
    </row>
    <row r="579">
      <c r="A579" t="inlineStr">
        <is>
          <t>INSP-2026-0578</t>
        </is>
      </c>
      <c r="B579" s="6" t="n">
        <v>46110</v>
      </c>
      <c r="C579" t="inlineStr">
        <is>
          <t>U-KR305-01-25</t>
        </is>
      </c>
      <c r="D579" t="inlineStr">
        <is>
          <t>Kebun Raya</t>
        </is>
      </c>
      <c r="E579" t="inlineStr">
        <is>
          <t>Daniel Ong</t>
        </is>
      </c>
      <c r="F579" t="inlineStr">
        <is>
          <t>Routine</t>
        </is>
      </c>
      <c r="G579" t="inlineStr">
        <is>
          <t>NONE</t>
        </is>
      </c>
      <c r="H579" t="inlineStr">
        <is>
          <t>Compliant</t>
        </is>
      </c>
      <c r="I579" s="6" t="n"/>
      <c r="J579" s="6" t="n"/>
      <c r="K579">
        <f>IF(J579="","",J579-B579)</f>
        <v/>
      </c>
      <c r="L579">
        <f>IF(H579="Compliant","N/A",IF(J579&lt;&gt;"","Closed",IF(I579&lt;DATE(2026,9,30),"OVERDUE","Open")))</f>
        <v/>
      </c>
    </row>
    <row r="580">
      <c r="A580" t="inlineStr">
        <is>
          <t>INSP-2026-0579</t>
        </is>
      </c>
      <c r="B580" s="6" t="n">
        <v>46110</v>
      </c>
      <c r="C580" t="inlineStr">
        <is>
          <t>U-ST534-01-01</t>
        </is>
      </c>
      <c r="D580" t="inlineStr">
        <is>
          <t>Sungai Tinggi</t>
        </is>
      </c>
      <c r="E580" t="inlineStr">
        <is>
          <t>daniel ong</t>
        </is>
      </c>
      <c r="F580" t="inlineStr">
        <is>
          <t>Complaint-driven</t>
        </is>
      </c>
      <c r="G580" t="inlineStr">
        <is>
          <t>NONE</t>
        </is>
      </c>
      <c r="H580" t="inlineStr">
        <is>
          <t>Compliant</t>
        </is>
      </c>
      <c r="I580" s="6" t="n"/>
      <c r="J580" s="6" t="n"/>
      <c r="K580">
        <f>IF(J580="","",J580-B580)</f>
        <v/>
      </c>
      <c r="L580">
        <f>IF(H580="Compliant","N/A",IF(J580&lt;&gt;"","Closed",IF(I580&lt;DATE(2026,9,30),"OVERDUE","Open")))</f>
        <v/>
      </c>
    </row>
    <row r="581">
      <c r="A581" t="inlineStr">
        <is>
          <t>INSP-2026-0580</t>
        </is>
      </c>
      <c r="B581" s="6" t="n">
        <v>46111</v>
      </c>
      <c r="C581" t="inlineStr">
        <is>
          <t>U-ST591-01-07</t>
        </is>
      </c>
      <c r="D581" t="inlineStr">
        <is>
          <t>Sungai Tinggi</t>
        </is>
      </c>
      <c r="E581" t="inlineStr">
        <is>
          <t>B. Ho</t>
        </is>
      </c>
      <c r="F581" t="inlineStr">
        <is>
          <t>Complaint-driven</t>
        </is>
      </c>
      <c r="G581" t="inlineStr">
        <is>
          <t>NONE</t>
        </is>
      </c>
      <c r="H581" t="inlineStr">
        <is>
          <t>Compliant</t>
        </is>
      </c>
      <c r="I581" s="6" t="n"/>
      <c r="J581" s="6" t="n"/>
      <c r="K581">
        <f>IF(J581="","",J581-B581)</f>
        <v/>
      </c>
      <c r="L581">
        <f>IF(H581="Compliant","N/A",IF(J581&lt;&gt;"","Closed",IF(I581&lt;DATE(2026,9,30),"OVERDUE","Open")))</f>
        <v/>
      </c>
    </row>
    <row r="582">
      <c r="A582" t="inlineStr">
        <is>
          <t>INSP-2026-0581</t>
        </is>
      </c>
      <c r="B582" s="6" t="n">
        <v>46111</v>
      </c>
      <c r="C582" t="inlineStr">
        <is>
          <t>U-BV283-01-04</t>
        </is>
      </c>
      <c r="D582" t="inlineStr">
        <is>
          <t>Bayshore Vale</t>
        </is>
      </c>
      <c r="E582" t="inlineStr">
        <is>
          <t>Marcus Lim</t>
        </is>
      </c>
      <c r="F582" t="inlineStr">
        <is>
          <t>Routine</t>
        </is>
      </c>
      <c r="G582" t="inlineStr">
        <is>
          <t>NONE</t>
        </is>
      </c>
      <c r="H582" t="inlineStr">
        <is>
          <t>Compliant</t>
        </is>
      </c>
      <c r="I582" s="6" t="n"/>
      <c r="J582" s="6" t="n"/>
      <c r="K582">
        <f>IF(J582="","",J582-B582)</f>
        <v/>
      </c>
      <c r="L582">
        <f>IF(H582="Compliant","N/A",IF(J582&lt;&gt;"","Closed",IF(I582&lt;DATE(2026,9,30),"OVERDUE","Open")))</f>
        <v/>
      </c>
    </row>
    <row r="583">
      <c r="A583" t="inlineStr">
        <is>
          <t>INSP-2026-0582</t>
        </is>
      </c>
      <c r="B583" s="6" t="n">
        <v>46111</v>
      </c>
      <c r="C583" t="inlineStr">
        <is>
          <t>U-PI667-01-03</t>
        </is>
      </c>
      <c r="D583" t="inlineStr">
        <is>
          <t>Pasir Indah</t>
        </is>
      </c>
      <c r="E583" t="inlineStr">
        <is>
          <t>Daniel O.</t>
        </is>
      </c>
      <c r="F583" t="inlineStr">
        <is>
          <t>Routine</t>
        </is>
      </c>
      <c r="G583" t="inlineStr">
        <is>
          <t>UNAPPROVED_AA</t>
        </is>
      </c>
      <c r="H583" t="inlineStr">
        <is>
          <t>Minor Breach</t>
        </is>
      </c>
      <c r="I583" s="6" t="n">
        <v>46125</v>
      </c>
      <c r="J583" s="6" t="n">
        <v>46128</v>
      </c>
      <c r="K583">
        <f>IF(J583="","",J583-B583)</f>
        <v/>
      </c>
      <c r="L583">
        <f>IF(H583="Compliant","N/A",IF(J583&lt;&gt;"","Closed",IF(I583&lt;DATE(2026,9,30),"OVERDUE","Open")))</f>
        <v/>
      </c>
    </row>
    <row r="584">
      <c r="A584" t="inlineStr">
        <is>
          <t>INSP-2026-0583</t>
        </is>
      </c>
      <c r="B584" s="6" t="n">
        <v>46111</v>
      </c>
      <c r="C584" t="inlineStr">
        <is>
          <t>U-KR305-02-09</t>
        </is>
      </c>
      <c r="D584" t="inlineStr">
        <is>
          <t>Kebun Raya</t>
        </is>
      </c>
      <c r="E584" t="inlineStr">
        <is>
          <t>Daniel O.</t>
        </is>
      </c>
      <c r="F584" t="inlineStr">
        <is>
          <t>Complaint-driven</t>
        </is>
      </c>
      <c r="G584" t="inlineStr">
        <is>
          <t>NONE</t>
        </is>
      </c>
      <c r="H584" t="inlineStr">
        <is>
          <t>Compliant</t>
        </is>
      </c>
      <c r="I584" s="6" t="n"/>
      <c r="J584" s="6" t="n"/>
      <c r="K584">
        <f>IF(J584="","",J584-B584)</f>
        <v/>
      </c>
      <c r="L584">
        <f>IF(H584="Compliant","N/A",IF(J584&lt;&gt;"","Closed",IF(I584&lt;DATE(2026,9,30),"OVERDUE","Open")))</f>
        <v/>
      </c>
    </row>
    <row r="585">
      <c r="A585" t="inlineStr">
        <is>
          <t>INSP-2026-0584</t>
        </is>
      </c>
      <c r="B585" s="6" t="n">
        <v>46111</v>
      </c>
      <c r="C585" t="inlineStr">
        <is>
          <t>U-PI644-01-13</t>
        </is>
      </c>
      <c r="D585" t="inlineStr">
        <is>
          <t>Pasir Indah</t>
        </is>
      </c>
      <c r="E585" t="inlineStr">
        <is>
          <t>Daniel Ong</t>
        </is>
      </c>
      <c r="F585" t="inlineStr">
        <is>
          <t>Routine</t>
        </is>
      </c>
      <c r="G585" t="inlineStr">
        <is>
          <t>UNAUTH_TRADE</t>
        </is>
      </c>
      <c r="H585" t="inlineStr">
        <is>
          <t>Major Breach</t>
        </is>
      </c>
      <c r="I585" s="6" t="n">
        <v>46118</v>
      </c>
      <c r="J585" s="6" t="n">
        <v>46117</v>
      </c>
      <c r="K585">
        <f>IF(J585="","",J585-B585)</f>
        <v/>
      </c>
      <c r="L585">
        <f>IF(H585="Compliant","N/A",IF(J585&lt;&gt;"","Closed",IF(I585&lt;DATE(2026,9,30),"OVERDUE","Open")))</f>
        <v/>
      </c>
    </row>
    <row r="586">
      <c r="A586" t="inlineStr">
        <is>
          <t>INSP-2026-0585</t>
        </is>
      </c>
      <c r="B586" s="6" t="n">
        <v>46111</v>
      </c>
      <c r="C586" t="inlineStr">
        <is>
          <t>U-ST501-01-14</t>
        </is>
      </c>
      <c r="D586" t="inlineStr">
        <is>
          <t>Sungai Tinggi</t>
        </is>
      </c>
      <c r="E586" t="inlineStr">
        <is>
          <t>Daniel Ong</t>
        </is>
      </c>
      <c r="F586" t="inlineStr">
        <is>
          <t>Routine</t>
        </is>
      </c>
      <c r="G586" t="inlineStr">
        <is>
          <t>NONE</t>
        </is>
      </c>
      <c r="H586" t="inlineStr">
        <is>
          <t>Compliant</t>
        </is>
      </c>
      <c r="I586" s="6" t="n"/>
      <c r="J586" s="6" t="n"/>
      <c r="K586">
        <f>IF(J586="","",J586-B586)</f>
        <v/>
      </c>
      <c r="L586">
        <f>IF(H586="Compliant","N/A",IF(J586&lt;&gt;"","Closed",IF(I586&lt;DATE(2026,9,30),"OVERDUE","Open")))</f>
        <v/>
      </c>
    </row>
    <row r="587">
      <c r="A587" t="inlineStr">
        <is>
          <t>INSP-2026-0586</t>
        </is>
      </c>
      <c r="B587" s="6" t="n">
        <v>46112</v>
      </c>
      <c r="C587" t="inlineStr">
        <is>
          <t>U-PI667-01-01</t>
        </is>
      </c>
      <c r="D587" t="inlineStr">
        <is>
          <t>Pasir Indah</t>
        </is>
      </c>
      <c r="E587" t="inlineStr">
        <is>
          <t>Daniel O.</t>
        </is>
      </c>
      <c r="F587" t="inlineStr">
        <is>
          <t>Follow-up</t>
        </is>
      </c>
      <c r="G587" t="inlineStr">
        <is>
          <t>NONE</t>
        </is>
      </c>
      <c r="H587" t="inlineStr">
        <is>
          <t>Compliant</t>
        </is>
      </c>
      <c r="I587" s="6" t="n"/>
      <c r="J587" s="6" t="n"/>
      <c r="K587">
        <f>IF(J587="","",J587-B587)</f>
        <v/>
      </c>
      <c r="L587">
        <f>IF(H587="Compliant","N/A",IF(J587&lt;&gt;"","Closed",IF(I587&lt;DATE(2026,9,30),"OVERDUE","Open")))</f>
        <v/>
      </c>
    </row>
    <row r="588">
      <c r="A588" t="inlineStr">
        <is>
          <t>INSP-2026-0587</t>
        </is>
      </c>
      <c r="B588" s="6" t="n">
        <v>46112</v>
      </c>
      <c r="C588" t="inlineStr">
        <is>
          <t>U-PI625-01-02</t>
        </is>
      </c>
      <c r="D588" t="inlineStr">
        <is>
          <t>Pasir Indah</t>
        </is>
      </c>
      <c r="E588" t="inlineStr">
        <is>
          <t>D. Ong</t>
        </is>
      </c>
      <c r="F588" t="inlineStr">
        <is>
          <t>Routine</t>
        </is>
      </c>
      <c r="G588" t="inlineStr">
        <is>
          <t>NONE</t>
        </is>
      </c>
      <c r="H588" t="inlineStr">
        <is>
          <t>Compliant</t>
        </is>
      </c>
      <c r="I588" s="6" t="n"/>
      <c r="J588" s="6" t="n"/>
      <c r="K588">
        <f>IF(J588="","",J588-B588)</f>
        <v/>
      </c>
      <c r="L588">
        <f>IF(H588="Compliant","N/A",IF(J588&lt;&gt;"","Closed",IF(I588&lt;DATE(2026,9,30),"OVERDUE","Open")))</f>
        <v/>
      </c>
    </row>
    <row r="589">
      <c r="A589" t="inlineStr">
        <is>
          <t>INSP-2026-0588</t>
        </is>
      </c>
      <c r="B589" s="6" t="n">
        <v>46112</v>
      </c>
      <c r="C589" t="inlineStr">
        <is>
          <t>U-ST583-02-01</t>
        </is>
      </c>
      <c r="D589" t="inlineStr">
        <is>
          <t>Sungai Tinggi</t>
        </is>
      </c>
      <c r="E589" t="inlineStr">
        <is>
          <t>Ben Ho</t>
        </is>
      </c>
      <c r="F589" t="inlineStr">
        <is>
          <t>Routine</t>
        </is>
      </c>
      <c r="G589" t="inlineStr">
        <is>
          <t>NONE</t>
        </is>
      </c>
      <c r="H589" t="inlineStr">
        <is>
          <t>Compliant</t>
        </is>
      </c>
      <c r="I589" s="6" t="n"/>
      <c r="J589" s="6" t="n"/>
      <c r="K589">
        <f>IF(J589="","",J589-B589)</f>
        <v/>
      </c>
      <c r="L589">
        <f>IF(H589="Compliant","N/A",IF(J589&lt;&gt;"","Closed",IF(I589&lt;DATE(2026,9,30),"OVERDUE","Open")))</f>
        <v/>
      </c>
    </row>
    <row r="590">
      <c r="A590" t="inlineStr">
        <is>
          <t>INSP-2026-0589</t>
        </is>
      </c>
      <c r="B590" s="6" t="n">
        <v>46112</v>
      </c>
      <c r="C590" t="inlineStr">
        <is>
          <t>U-ST512-01-16</t>
        </is>
      </c>
      <c r="D590" t="inlineStr">
        <is>
          <t>Sungai Tinggi</t>
        </is>
      </c>
      <c r="E590" t="inlineStr">
        <is>
          <t>Daniel O.</t>
        </is>
      </c>
      <c r="F590" t="inlineStr">
        <is>
          <t>Complaint-driven</t>
        </is>
      </c>
      <c r="G590" t="inlineStr">
        <is>
          <t>NONE</t>
        </is>
      </c>
      <c r="H590" t="inlineStr">
        <is>
          <t>Compliant</t>
        </is>
      </c>
      <c r="I590" s="6" t="n"/>
      <c r="J590" s="6" t="n"/>
      <c r="K590">
        <f>IF(J590="","",J590-B590)</f>
        <v/>
      </c>
      <c r="L590">
        <f>IF(H590="Compliant","N/A",IF(J590&lt;&gt;"","Closed",IF(I590&lt;DATE(2026,9,30),"OVERDUE","Open")))</f>
        <v/>
      </c>
    </row>
    <row r="591">
      <c r="A591" t="inlineStr">
        <is>
          <t>INSP-2026-0590</t>
        </is>
      </c>
      <c r="B591" s="6" t="n">
        <v>46112</v>
      </c>
      <c r="C591" t="inlineStr">
        <is>
          <t>U-ST512-01-16</t>
        </is>
      </c>
      <c r="D591" t="inlineStr">
        <is>
          <t>Sungai Tinggi</t>
        </is>
      </c>
      <c r="E591" t="inlineStr">
        <is>
          <t>B. Ho</t>
        </is>
      </c>
      <c r="F591" t="inlineStr">
        <is>
          <t>Follow-up</t>
        </is>
      </c>
      <c r="G591" t="inlineStr">
        <is>
          <t>NONE</t>
        </is>
      </c>
      <c r="H591" t="inlineStr">
        <is>
          <t>Compliant</t>
        </is>
      </c>
      <c r="I591" s="6" t="n"/>
      <c r="J591" s="6" t="n"/>
      <c r="K591">
        <f>IF(J591="","",J591-B591)</f>
        <v/>
      </c>
      <c r="L591">
        <f>IF(H591="Compliant","N/A",IF(J591&lt;&gt;"","Closed",IF(I591&lt;DATE(2026,9,30),"OVERDUE","Open")))</f>
        <v/>
      </c>
    </row>
    <row r="592">
      <c r="A592" t="inlineStr">
        <is>
          <t>INSP-2026-0591</t>
        </is>
      </c>
      <c r="B592" s="6" t="n">
        <v>46112</v>
      </c>
      <c r="C592" t="inlineStr">
        <is>
          <t>U-ST583-01-06</t>
        </is>
      </c>
      <c r="D592" t="inlineStr">
        <is>
          <t>Sungai Tinggi</t>
        </is>
      </c>
      <c r="E592" t="inlineStr">
        <is>
          <t>daniel ong</t>
        </is>
      </c>
      <c r="F592" t="inlineStr">
        <is>
          <t>Routine</t>
        </is>
      </c>
      <c r="G592" t="inlineStr">
        <is>
          <t>NONE</t>
        </is>
      </c>
      <c r="H592" t="inlineStr">
        <is>
          <t>Compliant</t>
        </is>
      </c>
      <c r="I592" s="6" t="n"/>
      <c r="J592" s="6" t="n"/>
      <c r="K592">
        <f>IF(J592="","",J592-B592)</f>
        <v/>
      </c>
      <c r="L592">
        <f>IF(H592="Compliant","N/A",IF(J592&lt;&gt;"","Closed",IF(I592&lt;DATE(2026,9,30),"OVERDUE","Open")))</f>
        <v/>
      </c>
    </row>
    <row r="593">
      <c r="A593" t="inlineStr">
        <is>
          <t>INSP-2026-0592</t>
        </is>
      </c>
      <c r="B593" s="6" t="n">
        <v>46112</v>
      </c>
      <c r="C593" t="inlineStr">
        <is>
          <t>U-RH473-01-03</t>
        </is>
      </c>
      <c r="D593" t="inlineStr">
        <is>
          <t>Rimba Heights</t>
        </is>
      </c>
      <c r="E593" t="inlineStr">
        <is>
          <t>Daniel O.</t>
        </is>
      </c>
      <c r="F593" t="inlineStr">
        <is>
          <t>Follow-up</t>
        </is>
      </c>
      <c r="G593" t="inlineStr">
        <is>
          <t>NONE</t>
        </is>
      </c>
      <c r="H593" t="inlineStr">
        <is>
          <t>Compliant</t>
        </is>
      </c>
      <c r="I593" s="6" t="n"/>
      <c r="J593" s="6" t="n"/>
      <c r="K593">
        <f>IF(J593="","",J593-B593)</f>
        <v/>
      </c>
      <c r="L593">
        <f>IF(H593="Compliant","N/A",IF(J593&lt;&gt;"","Closed",IF(I593&lt;DATE(2026,9,30),"OVERDUE","Open")))</f>
        <v/>
      </c>
    </row>
    <row r="594">
      <c r="A594" t="inlineStr">
        <is>
          <t>INSP-2026-0593</t>
        </is>
      </c>
      <c r="B594" s="6" t="n">
        <v>46112</v>
      </c>
      <c r="C594" t="inlineStr">
        <is>
          <t>U-PI651-01-07</t>
        </is>
      </c>
      <c r="D594" t="inlineStr">
        <is>
          <t>Pasir Indah</t>
        </is>
      </c>
      <c r="E594" t="inlineStr">
        <is>
          <t>Marcus Lim</t>
        </is>
      </c>
      <c r="F594" t="inlineStr">
        <is>
          <t>Follow-up</t>
        </is>
      </c>
      <c r="G594" t="inlineStr">
        <is>
          <t>HYGIENE</t>
        </is>
      </c>
      <c r="H594" t="inlineStr">
        <is>
          <t>Minor Breach</t>
        </is>
      </c>
      <c r="I594" s="6" t="n">
        <v>46126</v>
      </c>
      <c r="J594" s="6" t="n">
        <v>46134</v>
      </c>
      <c r="K594">
        <f>IF(J594="","",J594-B594)</f>
        <v/>
      </c>
      <c r="L594">
        <f>IF(H594="Compliant","N/A",IF(J594&lt;&gt;"","Closed",IF(I594&lt;DATE(2026,9,30),"OVERDUE","Open")))</f>
        <v/>
      </c>
    </row>
    <row r="595">
      <c r="A595" t="inlineStr">
        <is>
          <t>INSP-2026-0594</t>
        </is>
      </c>
      <c r="B595" s="6" t="n">
        <v>46112</v>
      </c>
      <c r="C595" t="inlineStr">
        <is>
          <t>U-KR345-01-10</t>
        </is>
      </c>
      <c r="D595" t="inlineStr">
        <is>
          <t>Kebun Raya</t>
        </is>
      </c>
      <c r="E595" t="inlineStr">
        <is>
          <t>B. Ho</t>
        </is>
      </c>
      <c r="F595" t="inlineStr">
        <is>
          <t>Routine</t>
        </is>
      </c>
      <c r="G595" t="inlineStr">
        <is>
          <t>NONE</t>
        </is>
      </c>
      <c r="H595" t="inlineStr">
        <is>
          <t>Compliant</t>
        </is>
      </c>
      <c r="I595" s="6" t="n"/>
      <c r="J595" s="6" t="n"/>
      <c r="K595">
        <f>IF(J595="","",J595-B595)</f>
        <v/>
      </c>
      <c r="L595">
        <f>IF(H595="Compliant","N/A",IF(J595&lt;&gt;"","Closed",IF(I595&lt;DATE(2026,9,30),"OVERDUE","Open")))</f>
        <v/>
      </c>
    </row>
    <row r="596">
      <c r="A596" t="inlineStr">
        <is>
          <t>INSP-2026-0595</t>
        </is>
      </c>
      <c r="B596" s="6" t="n">
        <v>46113</v>
      </c>
      <c r="C596" t="inlineStr">
        <is>
          <t>U-KR372-01-09</t>
        </is>
      </c>
      <c r="D596" t="inlineStr">
        <is>
          <t>Kebun Raya</t>
        </is>
      </c>
      <c r="E596" t="inlineStr">
        <is>
          <t>D. Ong</t>
        </is>
      </c>
      <c r="F596" t="inlineStr">
        <is>
          <t>Routine</t>
        </is>
      </c>
      <c r="G596" t="inlineStr">
        <is>
          <t>NONE</t>
        </is>
      </c>
      <c r="H596" t="inlineStr">
        <is>
          <t>Compliant</t>
        </is>
      </c>
      <c r="I596" s="6" t="n"/>
      <c r="J596" s="6" t="n"/>
      <c r="K596">
        <f>IF(J596="","",J596-B596)</f>
        <v/>
      </c>
      <c r="L596">
        <f>IF(H596="Compliant","N/A",IF(J596&lt;&gt;"","Closed",IF(I596&lt;DATE(2026,9,30),"OVERDUE","Open")))</f>
        <v/>
      </c>
    </row>
    <row r="597">
      <c r="A597" t="inlineStr">
        <is>
          <t>INSP-2026-0596</t>
        </is>
      </c>
      <c r="B597" s="6" t="n">
        <v>46113</v>
      </c>
      <c r="C597" t="inlineStr">
        <is>
          <t>U-PI646-01-06</t>
        </is>
      </c>
      <c r="D597" t="inlineStr">
        <is>
          <t>Pasir Indah</t>
        </is>
      </c>
      <c r="E597" t="inlineStr">
        <is>
          <t>D. Ong</t>
        </is>
      </c>
      <c r="F597" t="inlineStr">
        <is>
          <t>Routine</t>
        </is>
      </c>
      <c r="G597" t="inlineStr">
        <is>
          <t>NONE</t>
        </is>
      </c>
      <c r="H597" t="inlineStr">
        <is>
          <t>Compliant</t>
        </is>
      </c>
      <c r="I597" s="6" t="n"/>
      <c r="J597" s="6" t="n"/>
      <c r="K597">
        <f>IF(J597="","",J597-B597)</f>
        <v/>
      </c>
      <c r="L597">
        <f>IF(H597="Compliant","N/A",IF(J597&lt;&gt;"","Closed",IF(I597&lt;DATE(2026,9,30),"OVERDUE","Open")))</f>
        <v/>
      </c>
    </row>
    <row r="598">
      <c r="A598" t="inlineStr">
        <is>
          <t>INSP-2026-0597</t>
        </is>
      </c>
      <c r="B598" s="6" t="n">
        <v>46113</v>
      </c>
      <c r="C598" t="inlineStr">
        <is>
          <t>U-PI693-01-02</t>
        </is>
      </c>
      <c r="D598" t="inlineStr">
        <is>
          <t>Pasir Indah</t>
        </is>
      </c>
      <c r="E598" t="inlineStr">
        <is>
          <t>Marcus Lim</t>
        </is>
      </c>
      <c r="F598" t="inlineStr">
        <is>
          <t>Routine</t>
        </is>
      </c>
      <c r="G598" t="inlineStr">
        <is>
          <t>DISPLAY_ENCROACH</t>
        </is>
      </c>
      <c r="H598" t="inlineStr">
        <is>
          <t>Minor Breach</t>
        </is>
      </c>
      <c r="I598" s="6" t="n">
        <v>46127</v>
      </c>
      <c r="J598" s="6" t="n">
        <v>46124</v>
      </c>
      <c r="K598">
        <f>IF(J598="","",J598-B598)</f>
        <v/>
      </c>
      <c r="L598">
        <f>IF(H598="Compliant","N/A",IF(J598&lt;&gt;"","Closed",IF(I598&lt;DATE(2026,9,30),"OVERDUE","Open")))</f>
        <v/>
      </c>
    </row>
    <row r="599">
      <c r="A599" t="inlineStr">
        <is>
          <t>INSP-2026-0598</t>
        </is>
      </c>
      <c r="B599" s="6" t="n">
        <v>46113</v>
      </c>
      <c r="C599" t="inlineStr">
        <is>
          <t>U-RH456-01-09</t>
        </is>
      </c>
      <c r="D599" t="inlineStr">
        <is>
          <t>Rimba Heights</t>
        </is>
      </c>
      <c r="E599" t="inlineStr">
        <is>
          <t>Daniel Ong</t>
        </is>
      </c>
      <c r="F599" t="inlineStr">
        <is>
          <t>Routine</t>
        </is>
      </c>
      <c r="G599" t="inlineStr">
        <is>
          <t>NONE</t>
        </is>
      </c>
      <c r="H599" t="inlineStr">
        <is>
          <t>Compliant</t>
        </is>
      </c>
      <c r="I599" s="6" t="n"/>
      <c r="J599" s="6" t="n"/>
      <c r="K599">
        <f>IF(J599="","",J599-B599)</f>
        <v/>
      </c>
      <c r="L599">
        <f>IF(H599="Compliant","N/A",IF(J599&lt;&gt;"","Closed",IF(I599&lt;DATE(2026,9,30),"OVERDUE","Open")))</f>
        <v/>
      </c>
    </row>
    <row r="600">
      <c r="A600" t="inlineStr">
        <is>
          <t>INSP-2026-0599</t>
        </is>
      </c>
      <c r="B600" s="6" t="n">
        <v>46113</v>
      </c>
      <c r="C600" t="inlineStr">
        <is>
          <t>U-PI651-01-04</t>
        </is>
      </c>
      <c r="D600" t="inlineStr">
        <is>
          <t>Pasir Indah</t>
        </is>
      </c>
      <c r="E600" t="inlineStr">
        <is>
          <t>D. Ong</t>
        </is>
      </c>
      <c r="F600" t="inlineStr">
        <is>
          <t>Routine</t>
        </is>
      </c>
      <c r="G600" t="inlineStr">
        <is>
          <t>UNAUTH_SUBLET</t>
        </is>
      </c>
      <c r="H600" t="inlineStr">
        <is>
          <t>Major Breach</t>
        </is>
      </c>
      <c r="I600" s="6" t="n">
        <v>46120</v>
      </c>
      <c r="J600" s="6" t="n"/>
      <c r="K600">
        <f>IF(J600="","",J600-B600)</f>
        <v/>
      </c>
      <c r="L600">
        <f>IF(H600="Compliant","N/A",IF(J600&lt;&gt;"","Closed",IF(I600&lt;DATE(2026,9,30),"OVERDUE","Open")))</f>
        <v/>
      </c>
    </row>
    <row r="601">
      <c r="A601" t="inlineStr">
        <is>
          <t>INSP-2026-0600</t>
        </is>
      </c>
      <c r="B601" s="6" t="n">
        <v>46113</v>
      </c>
      <c r="C601" t="inlineStr">
        <is>
          <t>U-RH434-01-03</t>
        </is>
      </c>
      <c r="D601" t="inlineStr">
        <is>
          <t>Rimba Heights</t>
        </is>
      </c>
      <c r="E601" t="inlineStr">
        <is>
          <t>Daniel Ong</t>
        </is>
      </c>
      <c r="F601" t="inlineStr">
        <is>
          <t>Routine</t>
        </is>
      </c>
      <c r="G601" t="inlineStr">
        <is>
          <t>DISPLAY_ENCROACH</t>
        </is>
      </c>
      <c r="H601" t="inlineStr">
        <is>
          <t>Minor Breach</t>
        </is>
      </c>
      <c r="I601" s="6" t="n">
        <v>46127</v>
      </c>
      <c r="J601" s="6" t="n">
        <v>46122</v>
      </c>
      <c r="K601">
        <f>IF(J601="","",J601-B601)</f>
        <v/>
      </c>
      <c r="L601">
        <f>IF(H601="Compliant","N/A",IF(J601&lt;&gt;"","Closed",IF(I601&lt;DATE(2026,9,30),"OVERDUE","Open")))</f>
        <v/>
      </c>
    </row>
    <row r="602">
      <c r="A602" t="inlineStr">
        <is>
          <t>INSP-2026-0601</t>
        </is>
      </c>
      <c r="B602" s="6" t="n">
        <v>46114</v>
      </c>
      <c r="C602" t="inlineStr">
        <is>
          <t>U-BV214-01-03</t>
        </is>
      </c>
      <c r="D602" t="inlineStr">
        <is>
          <t>Bayshore Vale</t>
        </is>
      </c>
      <c r="E602" t="inlineStr">
        <is>
          <t>D. Ong</t>
        </is>
      </c>
      <c r="F602" t="inlineStr">
        <is>
          <t>Complaint-driven</t>
        </is>
      </c>
      <c r="G602" t="inlineStr">
        <is>
          <t>NONE</t>
        </is>
      </c>
      <c r="H602" t="inlineStr">
        <is>
          <t>Compliant</t>
        </is>
      </c>
      <c r="I602" s="6" t="n"/>
      <c r="J602" s="6" t="n"/>
      <c r="K602">
        <f>IF(J602="","",J602-B602)</f>
        <v/>
      </c>
      <c r="L602">
        <f>IF(H602="Compliant","N/A",IF(J602&lt;&gt;"","Closed",IF(I602&lt;DATE(2026,9,30),"OVERDUE","Open")))</f>
        <v/>
      </c>
    </row>
    <row r="603">
      <c r="A603" t="inlineStr">
        <is>
          <t>INSP-2026-0602</t>
        </is>
      </c>
      <c r="B603" s="6" t="n">
        <v>46114</v>
      </c>
      <c r="C603" t="inlineStr">
        <is>
          <t>U-BV288-01-04</t>
        </is>
      </c>
      <c r="D603" t="inlineStr">
        <is>
          <t>Bayshore Vale</t>
        </is>
      </c>
      <c r="E603" t="inlineStr">
        <is>
          <t>Marcus Lim</t>
        </is>
      </c>
      <c r="F603" t="inlineStr">
        <is>
          <t>Routine</t>
        </is>
      </c>
      <c r="G603" t="inlineStr">
        <is>
          <t>NONE</t>
        </is>
      </c>
      <c r="H603" t="inlineStr">
        <is>
          <t>Compliant</t>
        </is>
      </c>
      <c r="I603" s="6" t="n"/>
      <c r="J603" s="6" t="n"/>
      <c r="K603">
        <f>IF(J603="","",J603-B603)</f>
        <v/>
      </c>
      <c r="L603">
        <f>IF(H603="Compliant","N/A",IF(J603&lt;&gt;"","Closed",IF(I603&lt;DATE(2026,9,30),"OVERDUE","Open")))</f>
        <v/>
      </c>
    </row>
    <row r="604">
      <c r="A604" t="inlineStr">
        <is>
          <t>INSP-2026-0603</t>
        </is>
      </c>
      <c r="B604" s="6" t="n">
        <v>46114</v>
      </c>
      <c r="C604" t="inlineStr">
        <is>
          <t>U-KR341-01-05</t>
        </is>
      </c>
      <c r="D604" t="inlineStr">
        <is>
          <t>Kebun Raya</t>
        </is>
      </c>
      <c r="E604" t="inlineStr">
        <is>
          <t>Daniel O.</t>
        </is>
      </c>
      <c r="F604" t="inlineStr">
        <is>
          <t>Routine</t>
        </is>
      </c>
      <c r="G604" t="inlineStr">
        <is>
          <t>NONE</t>
        </is>
      </c>
      <c r="H604" t="inlineStr">
        <is>
          <t>Compliant</t>
        </is>
      </c>
      <c r="I604" s="6" t="n"/>
      <c r="J604" s="6" t="n"/>
      <c r="K604">
        <f>IF(J604="","",J604-B604)</f>
        <v/>
      </c>
      <c r="L604">
        <f>IF(H604="Compliant","N/A",IF(J604&lt;&gt;"","Closed",IF(I604&lt;DATE(2026,9,30),"OVERDUE","Open")))</f>
        <v/>
      </c>
    </row>
    <row r="605">
      <c r="A605" t="inlineStr">
        <is>
          <t>INSP-2026-0604</t>
        </is>
      </c>
      <c r="B605" s="6" t="n">
        <v>46114</v>
      </c>
      <c r="C605" t="inlineStr">
        <is>
          <t>U-PI675-02-12</t>
        </is>
      </c>
      <c r="D605" t="inlineStr">
        <is>
          <t>Pasir Indah</t>
        </is>
      </c>
      <c r="E605" t="inlineStr">
        <is>
          <t>Daniel Ong</t>
        </is>
      </c>
      <c r="F605" t="inlineStr">
        <is>
          <t>Routine</t>
        </is>
      </c>
      <c r="G605" t="inlineStr">
        <is>
          <t>NONE</t>
        </is>
      </c>
      <c r="H605" t="inlineStr">
        <is>
          <t>Compliant</t>
        </is>
      </c>
      <c r="I605" s="6" t="n"/>
      <c r="J605" s="6" t="n"/>
      <c r="K605">
        <f>IF(J605="","",J605-B605)</f>
        <v/>
      </c>
      <c r="L605">
        <f>IF(H605="Compliant","N/A",IF(J605&lt;&gt;"","Closed",IF(I605&lt;DATE(2026,9,30),"OVERDUE","Open")))</f>
        <v/>
      </c>
    </row>
    <row r="606">
      <c r="A606" t="inlineStr">
        <is>
          <t>INSP-2026-0605</t>
        </is>
      </c>
      <c r="B606" s="6" t="n">
        <v>46114</v>
      </c>
      <c r="C606" t="inlineStr">
        <is>
          <t>U-ST545-01-03</t>
        </is>
      </c>
      <c r="D606" t="inlineStr">
        <is>
          <t>Sungai Tinggi</t>
        </is>
      </c>
      <c r="E606" t="inlineStr">
        <is>
          <t>B. Ho</t>
        </is>
      </c>
      <c r="F606" t="inlineStr">
        <is>
          <t>Routine</t>
        </is>
      </c>
      <c r="G606" t="inlineStr">
        <is>
          <t>NONE</t>
        </is>
      </c>
      <c r="H606" t="inlineStr">
        <is>
          <t>Compliant</t>
        </is>
      </c>
      <c r="I606" s="6" t="n"/>
      <c r="J606" s="6" t="n"/>
      <c r="K606">
        <f>IF(J606="","",J606-B606)</f>
        <v/>
      </c>
      <c r="L606">
        <f>IF(H606="Compliant","N/A",IF(J606&lt;&gt;"","Closed",IF(I606&lt;DATE(2026,9,30),"OVERDUE","Open")))</f>
        <v/>
      </c>
    </row>
    <row r="607">
      <c r="A607" t="inlineStr">
        <is>
          <t>INSP-2026-0606</t>
        </is>
      </c>
      <c r="B607" s="6" t="n">
        <v>46114</v>
      </c>
      <c r="C607" t="inlineStr">
        <is>
          <t>U-CD173-01-08</t>
        </is>
      </c>
      <c r="D607" t="inlineStr">
        <is>
          <t>Cendana</t>
        </is>
      </c>
      <c r="E607" t="inlineStr">
        <is>
          <t>D. Ong</t>
        </is>
      </c>
      <c r="F607" t="inlineStr">
        <is>
          <t>Routine</t>
        </is>
      </c>
      <c r="G607" t="inlineStr">
        <is>
          <t>NONE</t>
        </is>
      </c>
      <c r="H607" t="inlineStr">
        <is>
          <t>Compliant</t>
        </is>
      </c>
      <c r="I607" s="6" t="n"/>
      <c r="J607" s="6" t="n"/>
      <c r="K607">
        <f>IF(J607="","",J607-B607)</f>
        <v/>
      </c>
      <c r="L607">
        <f>IF(H607="Compliant","N/A",IF(J607&lt;&gt;"","Closed",IF(I607&lt;DATE(2026,9,30),"OVERDUE","Open")))</f>
        <v/>
      </c>
    </row>
    <row r="608">
      <c r="A608" t="inlineStr">
        <is>
          <t>INSP-2026-0607</t>
        </is>
      </c>
      <c r="B608" s="6" t="n">
        <v>46114</v>
      </c>
      <c r="C608" t="inlineStr">
        <is>
          <t>U-RH425-01-01</t>
        </is>
      </c>
      <c r="D608" t="inlineStr">
        <is>
          <t>Rimba Heights</t>
        </is>
      </c>
      <c r="E608" t="inlineStr">
        <is>
          <t>Benjamin Ho</t>
        </is>
      </c>
      <c r="F608" t="inlineStr">
        <is>
          <t>Follow-up</t>
        </is>
      </c>
      <c r="G608" t="inlineStr">
        <is>
          <t>UNAUTH_TRADE</t>
        </is>
      </c>
      <c r="H608" t="inlineStr">
        <is>
          <t>Major Breach</t>
        </is>
      </c>
      <c r="I608" s="6" t="n">
        <v>46121</v>
      </c>
      <c r="J608" s="6" t="n">
        <v>46126</v>
      </c>
      <c r="K608">
        <f>IF(J608="","",J608-B608)</f>
        <v/>
      </c>
      <c r="L608">
        <f>IF(H608="Compliant","N/A",IF(J608&lt;&gt;"","Closed",IF(I608&lt;DATE(2026,9,30),"OVERDUE","Open")))</f>
        <v/>
      </c>
    </row>
    <row r="609">
      <c r="A609" t="inlineStr">
        <is>
          <t>INSP-2026-0608</t>
        </is>
      </c>
      <c r="B609" s="6" t="n">
        <v>46114</v>
      </c>
      <c r="C609" t="inlineStr">
        <is>
          <t>U-KR333-01-02</t>
        </is>
      </c>
      <c r="D609" t="inlineStr">
        <is>
          <t>Kebun Raya</t>
        </is>
      </c>
      <c r="E609" t="inlineStr">
        <is>
          <t>D. Ong</t>
        </is>
      </c>
      <c r="F609" t="inlineStr">
        <is>
          <t>Complaint-driven</t>
        </is>
      </c>
      <c r="G609" t="inlineStr">
        <is>
          <t>NONE</t>
        </is>
      </c>
      <c r="H609" t="inlineStr">
        <is>
          <t>Compliant</t>
        </is>
      </c>
      <c r="I609" s="6" t="n"/>
      <c r="J609" s="6" t="n"/>
      <c r="K609">
        <f>IF(J609="","",J609-B609)</f>
        <v/>
      </c>
      <c r="L609">
        <f>IF(H609="Compliant","N/A",IF(J609&lt;&gt;"","Closed",IF(I609&lt;DATE(2026,9,30),"OVERDUE","Open")))</f>
        <v/>
      </c>
    </row>
    <row r="610">
      <c r="A610" t="inlineStr">
        <is>
          <t>INSP-2026-0609</t>
        </is>
      </c>
      <c r="B610" s="6" t="n">
        <v>46114</v>
      </c>
      <c r="C610" t="inlineStr">
        <is>
          <t>U-CD185-01-01</t>
        </is>
      </c>
      <c r="D610" t="inlineStr">
        <is>
          <t>Cendana</t>
        </is>
      </c>
      <c r="E610" t="inlineStr">
        <is>
          <t>Daniel Ong</t>
        </is>
      </c>
      <c r="F610" t="inlineStr">
        <is>
          <t>Follow-up</t>
        </is>
      </c>
      <c r="G610" t="inlineStr">
        <is>
          <t>UNAUTH_SUBLET</t>
        </is>
      </c>
      <c r="H610" t="inlineStr">
        <is>
          <t>Major Breach</t>
        </is>
      </c>
      <c r="I610" s="6" t="n">
        <v>46121</v>
      </c>
      <c r="J610" s="6" t="n"/>
      <c r="K610">
        <f>IF(J610="","",J610-B610)</f>
        <v/>
      </c>
      <c r="L610">
        <f>IF(H610="Compliant","N/A",IF(J610&lt;&gt;"","Closed",IF(I610&lt;DATE(2026,9,30),"OVERDUE","Open")))</f>
        <v/>
      </c>
    </row>
    <row r="611">
      <c r="A611" t="inlineStr">
        <is>
          <t>INSP-2026-0610</t>
        </is>
      </c>
      <c r="B611" s="6" t="n">
        <v>46114</v>
      </c>
      <c r="C611" t="inlineStr">
        <is>
          <t>U-KR333-01-07</t>
        </is>
      </c>
      <c r="D611" t="inlineStr">
        <is>
          <t>Kebun Raya</t>
        </is>
      </c>
      <c r="E611" t="inlineStr">
        <is>
          <t>daniel ong</t>
        </is>
      </c>
      <c r="F611" t="inlineStr">
        <is>
          <t>Follow-up</t>
        </is>
      </c>
      <c r="G611" t="inlineStr">
        <is>
          <t>DISPLAY_ENCROACH</t>
        </is>
      </c>
      <c r="H611" t="inlineStr">
        <is>
          <t>Minor Breach</t>
        </is>
      </c>
      <c r="I611" s="6" t="n">
        <v>46128</v>
      </c>
      <c r="J611" s="6" t="n">
        <v>46127</v>
      </c>
      <c r="K611">
        <f>IF(J611="","",J611-B611)</f>
        <v/>
      </c>
      <c r="L611">
        <f>IF(H611="Compliant","N/A",IF(J611&lt;&gt;"","Closed",IF(I611&lt;DATE(2026,9,30),"OVERDUE","Open")))</f>
        <v/>
      </c>
    </row>
    <row r="612">
      <c r="A612" t="inlineStr">
        <is>
          <t>INSP-2026-0611</t>
        </is>
      </c>
      <c r="B612" s="6" t="n">
        <v>46115</v>
      </c>
      <c r="C612" t="inlineStr">
        <is>
          <t>U-ST566-02-01</t>
        </is>
      </c>
      <c r="D612" t="inlineStr">
        <is>
          <t>Sungai Tinggi</t>
        </is>
      </c>
      <c r="E612" t="inlineStr">
        <is>
          <t>daniel ong</t>
        </is>
      </c>
      <c r="F612" t="inlineStr">
        <is>
          <t>Follow-up</t>
        </is>
      </c>
      <c r="G612" t="inlineStr">
        <is>
          <t>NONE</t>
        </is>
      </c>
      <c r="H612" t="inlineStr">
        <is>
          <t>Compliant</t>
        </is>
      </c>
      <c r="I612" s="6" t="n"/>
      <c r="J612" s="6" t="n"/>
      <c r="K612">
        <f>IF(J612="","",J612-B612)</f>
        <v/>
      </c>
      <c r="L612">
        <f>IF(H612="Compliant","N/A",IF(J612&lt;&gt;"","Closed",IF(I612&lt;DATE(2026,9,30),"OVERDUE","Open")))</f>
        <v/>
      </c>
    </row>
    <row r="613">
      <c r="A613" t="inlineStr">
        <is>
          <t>INSP-2026-0612</t>
        </is>
      </c>
      <c r="B613" s="6" t="n">
        <v>46115</v>
      </c>
      <c r="C613" t="inlineStr">
        <is>
          <t>U-ST538-01-03</t>
        </is>
      </c>
      <c r="D613" t="inlineStr">
        <is>
          <t>Sungai Tinggi</t>
        </is>
      </c>
      <c r="E613" t="inlineStr">
        <is>
          <t>D. Ong</t>
        </is>
      </c>
      <c r="F613" t="inlineStr">
        <is>
          <t>Routine</t>
        </is>
      </c>
      <c r="G613" t="inlineStr">
        <is>
          <t>NONE</t>
        </is>
      </c>
      <c r="H613" t="inlineStr">
        <is>
          <t>Compliant</t>
        </is>
      </c>
      <c r="I613" s="6" t="n"/>
      <c r="J613" s="6" t="n"/>
      <c r="K613">
        <f>IF(J613="","",J613-B613)</f>
        <v/>
      </c>
      <c r="L613">
        <f>IF(H613="Compliant","N/A",IF(J613&lt;&gt;"","Closed",IF(I613&lt;DATE(2026,9,30),"OVERDUE","Open")))</f>
        <v/>
      </c>
    </row>
    <row r="614">
      <c r="A614" t="inlineStr">
        <is>
          <t>INSP-2026-0613</t>
        </is>
      </c>
      <c r="B614" s="6" t="n">
        <v>46115</v>
      </c>
      <c r="C614" t="inlineStr">
        <is>
          <t>U-RH425-01-05</t>
        </is>
      </c>
      <c r="D614" t="inlineStr">
        <is>
          <t>Rimba Heights</t>
        </is>
      </c>
      <c r="E614" t="inlineStr">
        <is>
          <t>B. Ho</t>
        </is>
      </c>
      <c r="F614" t="inlineStr">
        <is>
          <t>Follow-up</t>
        </is>
      </c>
      <c r="G614" t="inlineStr">
        <is>
          <t>NONE</t>
        </is>
      </c>
      <c r="H614" t="inlineStr">
        <is>
          <t>Compliant</t>
        </is>
      </c>
      <c r="I614" s="6" t="n"/>
      <c r="J614" s="6" t="n"/>
      <c r="K614">
        <f>IF(J614="","",J614-B614)</f>
        <v/>
      </c>
      <c r="L614">
        <f>IF(H614="Compliant","N/A",IF(J614&lt;&gt;"","Closed",IF(I614&lt;DATE(2026,9,30),"OVERDUE","Open")))</f>
        <v/>
      </c>
    </row>
    <row r="615">
      <c r="A615" t="inlineStr">
        <is>
          <t>INSP-2026-0614</t>
        </is>
      </c>
      <c r="B615" s="6" t="n">
        <v>46115</v>
      </c>
      <c r="C615" t="inlineStr">
        <is>
          <t>U-ST537-01-06</t>
        </is>
      </c>
      <c r="D615" t="inlineStr">
        <is>
          <t>Sungai Tinggi</t>
        </is>
      </c>
      <c r="E615" t="inlineStr">
        <is>
          <t>Ben Ho</t>
        </is>
      </c>
      <c r="F615" t="inlineStr">
        <is>
          <t>Routine</t>
        </is>
      </c>
      <c r="G615" t="inlineStr">
        <is>
          <t>NONE</t>
        </is>
      </c>
      <c r="H615" t="inlineStr">
        <is>
          <t>Compliant</t>
        </is>
      </c>
      <c r="I615" s="6" t="n"/>
      <c r="J615" s="6" t="n"/>
      <c r="K615">
        <f>IF(J615="","",J615-B615)</f>
        <v/>
      </c>
      <c r="L615">
        <f>IF(H615="Compliant","N/A",IF(J615&lt;&gt;"","Closed",IF(I615&lt;DATE(2026,9,30),"OVERDUE","Open")))</f>
        <v/>
      </c>
    </row>
    <row r="616">
      <c r="A616" t="inlineStr">
        <is>
          <t>INSP-2026-0615</t>
        </is>
      </c>
      <c r="B616" s="6" t="n">
        <v>46116</v>
      </c>
      <c r="C616" t="inlineStr">
        <is>
          <t>U-CD120-01-03</t>
        </is>
      </c>
      <c r="D616" t="inlineStr">
        <is>
          <t>Cendana</t>
        </is>
      </c>
      <c r="E616" t="inlineStr">
        <is>
          <t>Daniel Ong</t>
        </is>
      </c>
      <c r="F616" t="inlineStr">
        <is>
          <t>Routine</t>
        </is>
      </c>
      <c r="G616" t="inlineStr">
        <is>
          <t>NONE</t>
        </is>
      </c>
      <c r="H616" t="inlineStr">
        <is>
          <t>Compliant</t>
        </is>
      </c>
      <c r="I616" s="6" t="n"/>
      <c r="J616" s="6" t="n"/>
      <c r="K616">
        <f>IF(J616="","",J616-B616)</f>
        <v/>
      </c>
      <c r="L616">
        <f>IF(H616="Compliant","N/A",IF(J616&lt;&gt;"","Closed",IF(I616&lt;DATE(2026,9,30),"OVERDUE","Open")))</f>
        <v/>
      </c>
    </row>
    <row r="617">
      <c r="A617" t="inlineStr">
        <is>
          <t>INSP-2026-0616</t>
        </is>
      </c>
      <c r="B617" s="6" t="n">
        <v>46116</v>
      </c>
      <c r="C617" t="inlineStr">
        <is>
          <t>U-BV214-01-22</t>
        </is>
      </c>
      <c r="D617" t="inlineStr">
        <is>
          <t>Bayshore Vale</t>
        </is>
      </c>
      <c r="E617" t="inlineStr">
        <is>
          <t>marcus</t>
        </is>
      </c>
      <c r="F617" t="inlineStr">
        <is>
          <t>Complaint-driven</t>
        </is>
      </c>
      <c r="G617" t="inlineStr">
        <is>
          <t>NONE</t>
        </is>
      </c>
      <c r="H617" t="inlineStr">
        <is>
          <t>Compliant</t>
        </is>
      </c>
      <c r="I617" s="6" t="n"/>
      <c r="J617" s="6" t="n"/>
      <c r="K617">
        <f>IF(J617="","",J617-B617)</f>
        <v/>
      </c>
      <c r="L617">
        <f>IF(H617="Compliant","N/A",IF(J617&lt;&gt;"","Closed",IF(I617&lt;DATE(2026,9,30),"OVERDUE","Open")))</f>
        <v/>
      </c>
    </row>
    <row r="618">
      <c r="A618" t="inlineStr">
        <is>
          <t>INSP-2026-0617</t>
        </is>
      </c>
      <c r="B618" s="6" t="n">
        <v>46116</v>
      </c>
      <c r="C618" t="inlineStr">
        <is>
          <t>U-BV284-01-03</t>
        </is>
      </c>
      <c r="D618" t="inlineStr">
        <is>
          <t>Bayshore Vale</t>
        </is>
      </c>
      <c r="E618" t="inlineStr">
        <is>
          <t>Daniel O.</t>
        </is>
      </c>
      <c r="F618" t="inlineStr">
        <is>
          <t>Routine</t>
        </is>
      </c>
      <c r="G618" t="inlineStr">
        <is>
          <t>NONE</t>
        </is>
      </c>
      <c r="H618" t="inlineStr">
        <is>
          <t>Compliant</t>
        </is>
      </c>
      <c r="I618" s="6" t="n"/>
      <c r="J618" s="6" t="n"/>
      <c r="K618">
        <f>IF(J618="","",J618-B618)</f>
        <v/>
      </c>
      <c r="L618">
        <f>IF(H618="Compliant","N/A",IF(J618&lt;&gt;"","Closed",IF(I618&lt;DATE(2026,9,30),"OVERDUE","Open")))</f>
        <v/>
      </c>
    </row>
    <row r="619">
      <c r="A619" t="inlineStr">
        <is>
          <t>INSP-2026-0618</t>
        </is>
      </c>
      <c r="B619" s="6" t="n">
        <v>46116</v>
      </c>
      <c r="C619" t="inlineStr">
        <is>
          <t>U-RH491-01-11</t>
        </is>
      </c>
      <c r="D619" t="inlineStr">
        <is>
          <t>Rimba Heights</t>
        </is>
      </c>
      <c r="E619" t="inlineStr">
        <is>
          <t>D. Ong</t>
        </is>
      </c>
      <c r="F619" t="inlineStr">
        <is>
          <t>Complaint-driven</t>
        </is>
      </c>
      <c r="G619" t="inlineStr">
        <is>
          <t>NONE</t>
        </is>
      </c>
      <c r="H619" t="inlineStr">
        <is>
          <t>Compliant</t>
        </is>
      </c>
      <c r="I619" s="6" t="n"/>
      <c r="J619" s="6" t="n"/>
      <c r="K619">
        <f>IF(J619="","",J619-B619)</f>
        <v/>
      </c>
      <c r="L619">
        <f>IF(H619="Compliant","N/A",IF(J619&lt;&gt;"","Closed",IF(I619&lt;DATE(2026,9,30),"OVERDUE","Open")))</f>
        <v/>
      </c>
    </row>
    <row r="620">
      <c r="A620" t="inlineStr">
        <is>
          <t>INSP-2026-0619</t>
        </is>
      </c>
      <c r="B620" s="6" t="n">
        <v>46116</v>
      </c>
      <c r="C620" t="inlineStr">
        <is>
          <t>U-PI675-01-02</t>
        </is>
      </c>
      <c r="D620" t="inlineStr">
        <is>
          <t>Pasir Indah</t>
        </is>
      </c>
      <c r="E620" t="inlineStr">
        <is>
          <t>Daniel Ong</t>
        </is>
      </c>
      <c r="F620" t="inlineStr">
        <is>
          <t>Complaint-driven</t>
        </is>
      </c>
      <c r="G620" t="inlineStr">
        <is>
          <t>NONE</t>
        </is>
      </c>
      <c r="H620" t="inlineStr">
        <is>
          <t>Compliant</t>
        </is>
      </c>
      <c r="I620" s="6" t="n"/>
      <c r="J620" s="6" t="n"/>
      <c r="K620">
        <f>IF(J620="","",J620-B620)</f>
        <v/>
      </c>
      <c r="L620">
        <f>IF(H620="Compliant","N/A",IF(J620&lt;&gt;"","Closed",IF(I620&lt;DATE(2026,9,30),"OVERDUE","Open")))</f>
        <v/>
      </c>
    </row>
    <row r="621">
      <c r="A621" t="inlineStr">
        <is>
          <t>INSP-2026-0620</t>
        </is>
      </c>
      <c r="B621" s="6" t="n">
        <v>46116</v>
      </c>
      <c r="C621" t="inlineStr">
        <is>
          <t>U-CD165-01-03</t>
        </is>
      </c>
      <c r="D621" t="inlineStr">
        <is>
          <t>Cendana</t>
        </is>
      </c>
      <c r="E621" t="inlineStr">
        <is>
          <t>daniel ong</t>
        </is>
      </c>
      <c r="F621" t="inlineStr">
        <is>
          <t>Complaint-driven</t>
        </is>
      </c>
      <c r="G621" t="inlineStr">
        <is>
          <t>NONE</t>
        </is>
      </c>
      <c r="H621" t="inlineStr">
        <is>
          <t>Compliant</t>
        </is>
      </c>
      <c r="I621" s="6" t="n"/>
      <c r="J621" s="6" t="n"/>
      <c r="K621">
        <f>IF(J621="","",J621-B621)</f>
        <v/>
      </c>
      <c r="L621">
        <f>IF(H621="Compliant","N/A",IF(J621&lt;&gt;"","Closed",IF(I621&lt;DATE(2026,9,30),"OVERDUE","Open")))</f>
        <v/>
      </c>
    </row>
    <row r="622">
      <c r="A622" t="inlineStr">
        <is>
          <t>INSP-2026-0621</t>
        </is>
      </c>
      <c r="B622" s="6" t="n">
        <v>46117</v>
      </c>
      <c r="C622" t="inlineStr">
        <is>
          <t>U-RH428-01-03</t>
        </is>
      </c>
      <c r="D622" t="inlineStr">
        <is>
          <t>Rimba Heights</t>
        </is>
      </c>
      <c r="E622" t="inlineStr">
        <is>
          <t>D. Ong</t>
        </is>
      </c>
      <c r="F622" t="inlineStr">
        <is>
          <t>Routine</t>
        </is>
      </c>
      <c r="G622" t="inlineStr">
        <is>
          <t>NONE</t>
        </is>
      </c>
      <c r="H622" t="inlineStr">
        <is>
          <t>Compliant</t>
        </is>
      </c>
      <c r="I622" s="6" t="n"/>
      <c r="J622" s="6" t="n"/>
      <c r="K622">
        <f>IF(J622="","",J622-B622)</f>
        <v/>
      </c>
      <c r="L622">
        <f>IF(H622="Compliant","N/A",IF(J622&lt;&gt;"","Closed",IF(I622&lt;DATE(2026,9,30),"OVERDUE","Open")))</f>
        <v/>
      </c>
    </row>
    <row r="623">
      <c r="A623" t="inlineStr">
        <is>
          <t>INSP-2026-0622</t>
        </is>
      </c>
      <c r="B623" s="6" t="n">
        <v>46117</v>
      </c>
      <c r="C623" t="inlineStr">
        <is>
          <t>U-CD143-01-04</t>
        </is>
      </c>
      <c r="D623" t="inlineStr">
        <is>
          <t>Cendana</t>
        </is>
      </c>
      <c r="E623" t="inlineStr">
        <is>
          <t>Daniel Ong</t>
        </is>
      </c>
      <c r="F623" t="inlineStr">
        <is>
          <t>Complaint-driven</t>
        </is>
      </c>
      <c r="G623" t="inlineStr">
        <is>
          <t>NONE</t>
        </is>
      </c>
      <c r="H623" t="inlineStr">
        <is>
          <t>Compliant</t>
        </is>
      </c>
      <c r="I623" s="6" t="n"/>
      <c r="J623" s="6" t="n"/>
      <c r="K623">
        <f>IF(J623="","",J623-B623)</f>
        <v/>
      </c>
      <c r="L623">
        <f>IF(H623="Compliant","N/A",IF(J623&lt;&gt;"","Closed",IF(I623&lt;DATE(2026,9,30),"OVERDUE","Open")))</f>
        <v/>
      </c>
    </row>
    <row r="624">
      <c r="A624" t="inlineStr">
        <is>
          <t>INSP-2026-0623</t>
        </is>
      </c>
      <c r="B624" s="6" t="n">
        <v>46117</v>
      </c>
      <c r="C624" t="inlineStr">
        <is>
          <t>U-PI670-01-01</t>
        </is>
      </c>
      <c r="D624" t="inlineStr">
        <is>
          <t>Pasir Indah</t>
        </is>
      </c>
      <c r="E624" t="inlineStr">
        <is>
          <t>marcus</t>
        </is>
      </c>
      <c r="F624" t="inlineStr">
        <is>
          <t>Routine</t>
        </is>
      </c>
      <c r="G624" t="inlineStr">
        <is>
          <t>NONE</t>
        </is>
      </c>
      <c r="H624" t="inlineStr">
        <is>
          <t>Compliant</t>
        </is>
      </c>
      <c r="I624" s="6" t="n"/>
      <c r="J624" s="6" t="n"/>
      <c r="K624">
        <f>IF(J624="","",J624-B624)</f>
        <v/>
      </c>
      <c r="L624">
        <f>IF(H624="Compliant","N/A",IF(J624&lt;&gt;"","Closed",IF(I624&lt;DATE(2026,9,30),"OVERDUE","Open")))</f>
        <v/>
      </c>
    </row>
    <row r="625">
      <c r="A625" t="inlineStr">
        <is>
          <t>INSP-2026-0624</t>
        </is>
      </c>
      <c r="B625" s="6" t="n">
        <v>46117</v>
      </c>
      <c r="C625" t="inlineStr">
        <is>
          <t>U-RH473-01-04</t>
        </is>
      </c>
      <c r="D625" t="inlineStr">
        <is>
          <t>Rimba Heights</t>
        </is>
      </c>
      <c r="E625" t="inlineStr">
        <is>
          <t>Ben Ho</t>
        </is>
      </c>
      <c r="F625" t="inlineStr">
        <is>
          <t>Routine</t>
        </is>
      </c>
      <c r="G625" t="inlineStr">
        <is>
          <t>NONE</t>
        </is>
      </c>
      <c r="H625" t="inlineStr">
        <is>
          <t>Compliant</t>
        </is>
      </c>
      <c r="I625" s="6" t="n"/>
      <c r="J625" s="6" t="n"/>
      <c r="K625">
        <f>IF(J625="","",J625-B625)</f>
        <v/>
      </c>
      <c r="L625">
        <f>IF(H625="Compliant","N/A",IF(J625&lt;&gt;"","Closed",IF(I625&lt;DATE(2026,9,30),"OVERDUE","Open")))</f>
        <v/>
      </c>
    </row>
    <row r="626">
      <c r="A626" t="inlineStr">
        <is>
          <t>INSP-2026-0625</t>
        </is>
      </c>
      <c r="B626" s="6" t="n">
        <v>46117</v>
      </c>
      <c r="C626" t="inlineStr">
        <is>
          <t>U-CD109-01-04</t>
        </is>
      </c>
      <c r="D626" t="inlineStr">
        <is>
          <t>Cendana</t>
        </is>
      </c>
      <c r="E626" t="inlineStr">
        <is>
          <t>marcus</t>
        </is>
      </c>
      <c r="F626" t="inlineStr">
        <is>
          <t>Follow-up</t>
        </is>
      </c>
      <c r="G626" t="inlineStr">
        <is>
          <t>NONE</t>
        </is>
      </c>
      <c r="H626" t="inlineStr">
        <is>
          <t>Compliant</t>
        </is>
      </c>
      <c r="I626" s="6" t="n"/>
      <c r="J626" s="6" t="n"/>
      <c r="K626">
        <f>IF(J626="","",J626-B626)</f>
        <v/>
      </c>
      <c r="L626">
        <f>IF(H626="Compliant","N/A",IF(J626&lt;&gt;"","Closed",IF(I626&lt;DATE(2026,9,30),"OVERDUE","Open")))</f>
        <v/>
      </c>
    </row>
    <row r="627">
      <c r="A627" t="inlineStr">
        <is>
          <t>INSP-2026-0626</t>
        </is>
      </c>
      <c r="B627" s="6" t="n">
        <v>46117</v>
      </c>
      <c r="C627" t="inlineStr">
        <is>
          <t>U-BV277-01-12</t>
        </is>
      </c>
      <c r="D627" t="inlineStr">
        <is>
          <t>Bayshore Vale</t>
        </is>
      </c>
      <c r="E627" t="inlineStr">
        <is>
          <t>Daniel O.</t>
        </is>
      </c>
      <c r="F627" t="inlineStr">
        <is>
          <t>Routine</t>
        </is>
      </c>
      <c r="G627" t="inlineStr">
        <is>
          <t>NONE</t>
        </is>
      </c>
      <c r="H627" t="inlineStr">
        <is>
          <t>Compliant</t>
        </is>
      </c>
      <c r="I627" s="6" t="n"/>
      <c r="J627" s="6" t="n"/>
      <c r="K627">
        <f>IF(J627="","",J627-B627)</f>
        <v/>
      </c>
      <c r="L627">
        <f>IF(H627="Compliant","N/A",IF(J627&lt;&gt;"","Closed",IF(I627&lt;DATE(2026,9,30),"OVERDUE","Open")))</f>
        <v/>
      </c>
    </row>
    <row r="628">
      <c r="A628" t="inlineStr">
        <is>
          <t>INSP-2026-0627</t>
        </is>
      </c>
      <c r="B628" s="6" t="n">
        <v>46118</v>
      </c>
      <c r="C628" t="inlineStr">
        <is>
          <t>U-BV216-01-01</t>
        </is>
      </c>
      <c r="D628" t="inlineStr">
        <is>
          <t>Bayshore Vale</t>
        </is>
      </c>
      <c r="E628" t="inlineStr">
        <is>
          <t>Marcus Lim</t>
        </is>
      </c>
      <c r="F628" t="inlineStr">
        <is>
          <t>Routine</t>
        </is>
      </c>
      <c r="G628" t="inlineStr">
        <is>
          <t>NONE</t>
        </is>
      </c>
      <c r="H628" t="inlineStr">
        <is>
          <t>Compliant</t>
        </is>
      </c>
      <c r="I628" s="6" t="n"/>
      <c r="J628" s="6" t="n"/>
      <c r="K628">
        <f>IF(J628="","",J628-B628)</f>
        <v/>
      </c>
      <c r="L628">
        <f>IF(H628="Compliant","N/A",IF(J628&lt;&gt;"","Closed",IF(I628&lt;DATE(2026,9,30),"OVERDUE","Open")))</f>
        <v/>
      </c>
    </row>
    <row r="629">
      <c r="A629" t="inlineStr">
        <is>
          <t>INSP-2026-0628</t>
        </is>
      </c>
      <c r="B629" s="6" t="n">
        <v>46118</v>
      </c>
      <c r="C629" t="inlineStr">
        <is>
          <t>U-RH455-01-07</t>
        </is>
      </c>
      <c r="D629" t="inlineStr">
        <is>
          <t>Rimba Heights</t>
        </is>
      </c>
      <c r="E629" t="inlineStr">
        <is>
          <t>Daniel O.</t>
        </is>
      </c>
      <c r="F629" t="inlineStr">
        <is>
          <t>Routine</t>
        </is>
      </c>
      <c r="G629" t="inlineStr">
        <is>
          <t>NONE</t>
        </is>
      </c>
      <c r="H629" t="inlineStr">
        <is>
          <t>Compliant</t>
        </is>
      </c>
      <c r="I629" s="6" t="n"/>
      <c r="J629" s="6" t="n"/>
      <c r="K629">
        <f>IF(J629="","",J629-B629)</f>
        <v/>
      </c>
      <c r="L629">
        <f>IF(H629="Compliant","N/A",IF(J629&lt;&gt;"","Closed",IF(I629&lt;DATE(2026,9,30),"OVERDUE","Open")))</f>
        <v/>
      </c>
    </row>
    <row r="630">
      <c r="A630" t="inlineStr">
        <is>
          <t>INSP-2026-0629</t>
        </is>
      </c>
      <c r="B630" s="6" t="n">
        <v>46118</v>
      </c>
      <c r="C630" t="inlineStr">
        <is>
          <t>U-CD170-01-08</t>
        </is>
      </c>
      <c r="D630" t="inlineStr">
        <is>
          <t>Cendana</t>
        </is>
      </c>
      <c r="E630" t="inlineStr">
        <is>
          <t>daniel ong</t>
        </is>
      </c>
      <c r="F630" t="inlineStr">
        <is>
          <t>Routine</t>
        </is>
      </c>
      <c r="G630" t="inlineStr">
        <is>
          <t>NONE</t>
        </is>
      </c>
      <c r="H630" t="inlineStr">
        <is>
          <t>Compliant</t>
        </is>
      </c>
      <c r="I630" s="6" t="n"/>
      <c r="J630" s="6" t="n"/>
      <c r="K630">
        <f>IF(J630="","",J630-B630)</f>
        <v/>
      </c>
      <c r="L630">
        <f>IF(H630="Compliant","N/A",IF(J630&lt;&gt;"","Closed",IF(I630&lt;DATE(2026,9,30),"OVERDUE","Open")))</f>
        <v/>
      </c>
    </row>
    <row r="631">
      <c r="A631" t="inlineStr">
        <is>
          <t>INSP-2026-0630</t>
        </is>
      </c>
      <c r="B631" s="6" t="n">
        <v>46118</v>
      </c>
      <c r="C631" t="inlineStr">
        <is>
          <t>U-KR318-02-08</t>
        </is>
      </c>
      <c r="D631" t="inlineStr">
        <is>
          <t>Kebun Raya</t>
        </is>
      </c>
      <c r="E631" t="inlineStr">
        <is>
          <t>Benjamin Ho</t>
        </is>
      </c>
      <c r="F631" t="inlineStr">
        <is>
          <t>Routine</t>
        </is>
      </c>
      <c r="G631" t="inlineStr">
        <is>
          <t>NONE</t>
        </is>
      </c>
      <c r="H631" t="inlineStr">
        <is>
          <t>Compliant</t>
        </is>
      </c>
      <c r="I631" s="6" t="n"/>
      <c r="J631" s="6" t="n"/>
      <c r="K631">
        <f>IF(J631="","",J631-B631)</f>
        <v/>
      </c>
      <c r="L631">
        <f>IF(H631="Compliant","N/A",IF(J631&lt;&gt;"","Closed",IF(I631&lt;DATE(2026,9,30),"OVERDUE","Open")))</f>
        <v/>
      </c>
    </row>
    <row r="632">
      <c r="A632" t="inlineStr">
        <is>
          <t>INSP-2026-0631</t>
        </is>
      </c>
      <c r="B632" s="6" t="n">
        <v>46118</v>
      </c>
      <c r="C632" t="inlineStr">
        <is>
          <t>U-BV205-01-13</t>
        </is>
      </c>
      <c r="D632" t="inlineStr">
        <is>
          <t>Bayshore Vale</t>
        </is>
      </c>
      <c r="E632" t="inlineStr">
        <is>
          <t>Marcus Lim</t>
        </is>
      </c>
      <c r="F632" t="inlineStr">
        <is>
          <t>Follow-up</t>
        </is>
      </c>
      <c r="G632" t="inlineStr">
        <is>
          <t>NONE</t>
        </is>
      </c>
      <c r="H632" t="inlineStr">
        <is>
          <t>Compliant</t>
        </is>
      </c>
      <c r="I632" s="6" t="n"/>
      <c r="J632" s="6" t="n"/>
      <c r="K632">
        <f>IF(J632="","",J632-B632)</f>
        <v/>
      </c>
      <c r="L632">
        <f>IF(H632="Compliant","N/A",IF(J632&lt;&gt;"","Closed",IF(I632&lt;DATE(2026,9,30),"OVERDUE","Open")))</f>
        <v/>
      </c>
    </row>
    <row r="633">
      <c r="A633" t="inlineStr">
        <is>
          <t>INSP-2026-0632</t>
        </is>
      </c>
      <c r="B633" s="6" t="n">
        <v>46118</v>
      </c>
      <c r="C633" t="inlineStr">
        <is>
          <t>U-CD129-01-04</t>
        </is>
      </c>
      <c r="D633" t="inlineStr">
        <is>
          <t>Cendana</t>
        </is>
      </c>
      <c r="E633" t="inlineStr">
        <is>
          <t>Daniel Ong</t>
        </is>
      </c>
      <c r="F633" t="inlineStr">
        <is>
          <t>Routine</t>
        </is>
      </c>
      <c r="G633" t="inlineStr">
        <is>
          <t>DISPLAY_ENCROACH</t>
        </is>
      </c>
      <c r="H633" t="inlineStr">
        <is>
          <t>Minor Breach</t>
        </is>
      </c>
      <c r="I633" s="6" t="n">
        <v>46132</v>
      </c>
      <c r="J633" s="6" t="n">
        <v>46128</v>
      </c>
      <c r="K633">
        <f>IF(J633="","",J633-B633)</f>
        <v/>
      </c>
      <c r="L633">
        <f>IF(H633="Compliant","N/A",IF(J633&lt;&gt;"","Closed",IF(I633&lt;DATE(2026,9,30),"OVERDUE","Open")))</f>
        <v/>
      </c>
    </row>
    <row r="634">
      <c r="A634" t="inlineStr">
        <is>
          <t>INSP-2026-0633</t>
        </is>
      </c>
      <c r="B634" s="6" t="n">
        <v>46118</v>
      </c>
      <c r="C634" t="inlineStr">
        <is>
          <t>U-ST556-01-01</t>
        </is>
      </c>
      <c r="D634" t="inlineStr">
        <is>
          <t>Sungai Tinggi</t>
        </is>
      </c>
      <c r="E634" t="inlineStr">
        <is>
          <t>Ben Ho</t>
        </is>
      </c>
      <c r="F634" t="inlineStr">
        <is>
          <t>Complaint-driven</t>
        </is>
      </c>
      <c r="G634" t="inlineStr">
        <is>
          <t>NONE</t>
        </is>
      </c>
      <c r="H634" t="inlineStr">
        <is>
          <t>Compliant</t>
        </is>
      </c>
      <c r="I634" s="6" t="n"/>
      <c r="J634" s="6" t="n"/>
      <c r="K634">
        <f>IF(J634="","",J634-B634)</f>
        <v/>
      </c>
      <c r="L634">
        <f>IF(H634="Compliant","N/A",IF(J634&lt;&gt;"","Closed",IF(I634&lt;DATE(2026,9,30),"OVERDUE","Open")))</f>
        <v/>
      </c>
    </row>
    <row r="635">
      <c r="A635" t="inlineStr">
        <is>
          <t>INSP-2026-0634</t>
        </is>
      </c>
      <c r="B635" s="6" t="n">
        <v>46119</v>
      </c>
      <c r="C635" t="inlineStr">
        <is>
          <t>U-PI609-02-08</t>
        </is>
      </c>
      <c r="D635" t="inlineStr">
        <is>
          <t>Pasir Indah</t>
        </is>
      </c>
      <c r="E635" t="inlineStr">
        <is>
          <t>Daniel Ong</t>
        </is>
      </c>
      <c r="F635" t="inlineStr">
        <is>
          <t>Routine</t>
        </is>
      </c>
      <c r="G635" t="inlineStr">
        <is>
          <t>NONE</t>
        </is>
      </c>
      <c r="H635" t="inlineStr">
        <is>
          <t>Compliant</t>
        </is>
      </c>
      <c r="I635" s="6" t="n"/>
      <c r="J635" s="6" t="n"/>
      <c r="K635">
        <f>IF(J635="","",J635-B635)</f>
        <v/>
      </c>
      <c r="L635">
        <f>IF(H635="Compliant","N/A",IF(J635&lt;&gt;"","Closed",IF(I635&lt;DATE(2026,9,30),"OVERDUE","Open")))</f>
        <v/>
      </c>
    </row>
    <row r="636">
      <c r="A636" t="inlineStr">
        <is>
          <t>INSP-2026-0635</t>
        </is>
      </c>
      <c r="B636" s="6" t="n">
        <v>46119</v>
      </c>
      <c r="C636" t="inlineStr">
        <is>
          <t>U-KR379-01-02</t>
        </is>
      </c>
      <c r="D636" t="inlineStr">
        <is>
          <t>Kebun Raya</t>
        </is>
      </c>
      <c r="E636" t="inlineStr">
        <is>
          <t>Daniel Ong</t>
        </is>
      </c>
      <c r="F636" t="inlineStr">
        <is>
          <t>Routine</t>
        </is>
      </c>
      <c r="G636" t="inlineStr">
        <is>
          <t>NONE</t>
        </is>
      </c>
      <c r="H636" t="inlineStr">
        <is>
          <t>Compliant</t>
        </is>
      </c>
      <c r="I636" s="6" t="n"/>
      <c r="J636" s="6" t="n"/>
      <c r="K636">
        <f>IF(J636="","",J636-B636)</f>
        <v/>
      </c>
      <c r="L636">
        <f>IF(H636="Compliant","N/A",IF(J636&lt;&gt;"","Closed",IF(I636&lt;DATE(2026,9,30),"OVERDUE","Open")))</f>
        <v/>
      </c>
    </row>
    <row r="637">
      <c r="A637" t="inlineStr">
        <is>
          <t>INSP-2026-0636</t>
        </is>
      </c>
      <c r="B637" s="6" t="n">
        <v>46119</v>
      </c>
      <c r="C637" t="inlineStr">
        <is>
          <t>U-ST528-01-09</t>
        </is>
      </c>
      <c r="D637" t="inlineStr">
        <is>
          <t>Sungai Tinggi</t>
        </is>
      </c>
      <c r="E637" t="inlineStr">
        <is>
          <t>daniel ong</t>
        </is>
      </c>
      <c r="F637" t="inlineStr">
        <is>
          <t>Routine</t>
        </is>
      </c>
      <c r="G637" t="inlineStr">
        <is>
          <t>NONE</t>
        </is>
      </c>
      <c r="H637" t="inlineStr">
        <is>
          <t>Compliant</t>
        </is>
      </c>
      <c r="I637" s="6" t="n"/>
      <c r="J637" s="6" t="n"/>
      <c r="K637">
        <f>IF(J637="","",J637-B637)</f>
        <v/>
      </c>
      <c r="L637">
        <f>IF(H637="Compliant","N/A",IF(J637&lt;&gt;"","Closed",IF(I637&lt;DATE(2026,9,30),"OVERDUE","Open")))</f>
        <v/>
      </c>
    </row>
    <row r="638">
      <c r="A638" t="inlineStr">
        <is>
          <t>INSP-2026-0637</t>
        </is>
      </c>
      <c r="B638" s="6" t="n">
        <v>46120</v>
      </c>
      <c r="C638" t="inlineStr">
        <is>
          <t>U-CD118-01-12</t>
        </is>
      </c>
      <c r="D638" t="inlineStr">
        <is>
          <t>Cendana</t>
        </is>
      </c>
      <c r="E638" t="inlineStr">
        <is>
          <t>marcus</t>
        </is>
      </c>
      <c r="F638" t="inlineStr">
        <is>
          <t>Routine</t>
        </is>
      </c>
      <c r="G638" t="inlineStr">
        <is>
          <t>FIRE_SAFETY</t>
        </is>
      </c>
      <c r="H638" t="inlineStr">
        <is>
          <t>Major Breach</t>
        </is>
      </c>
      <c r="I638" s="6" t="n">
        <v>46127</v>
      </c>
      <c r="J638" s="6" t="n">
        <v>46123</v>
      </c>
      <c r="K638">
        <f>IF(J638="","",J638-B638)</f>
        <v/>
      </c>
      <c r="L638">
        <f>IF(H638="Compliant","N/A",IF(J638&lt;&gt;"","Closed",IF(I638&lt;DATE(2026,9,30),"OVERDUE","Open")))</f>
        <v/>
      </c>
    </row>
    <row r="639">
      <c r="A639" t="inlineStr">
        <is>
          <t>INSP-2026-0638</t>
        </is>
      </c>
      <c r="B639" s="6" t="n">
        <v>46120</v>
      </c>
      <c r="C639" t="inlineStr">
        <is>
          <t>U-CD143-01-04</t>
        </is>
      </c>
      <c r="D639" t="inlineStr">
        <is>
          <t>Cendana</t>
        </is>
      </c>
      <c r="E639" t="inlineStr">
        <is>
          <t>Marcus Lim</t>
        </is>
      </c>
      <c r="F639" t="inlineStr">
        <is>
          <t>Follow-up</t>
        </is>
      </c>
      <c r="G639" t="inlineStr">
        <is>
          <t>NONE</t>
        </is>
      </c>
      <c r="H639" t="inlineStr">
        <is>
          <t>Compliant</t>
        </is>
      </c>
      <c r="I639" s="6" t="n"/>
      <c r="J639" s="6" t="n"/>
      <c r="K639">
        <f>IF(J639="","",J639-B639)</f>
        <v/>
      </c>
      <c r="L639">
        <f>IF(H639="Compliant","N/A",IF(J639&lt;&gt;"","Closed",IF(I639&lt;DATE(2026,9,30),"OVERDUE","Open")))</f>
        <v/>
      </c>
    </row>
    <row r="640">
      <c r="A640" t="inlineStr">
        <is>
          <t>INSP-2026-0639</t>
        </is>
      </c>
      <c r="B640" s="6" t="n">
        <v>46120</v>
      </c>
      <c r="C640" t="inlineStr">
        <is>
          <t>U-BV204-01-05</t>
        </is>
      </c>
      <c r="D640" t="inlineStr">
        <is>
          <t>Bayshore Vale</t>
        </is>
      </c>
      <c r="E640" t="inlineStr">
        <is>
          <t>M. Lim</t>
        </is>
      </c>
      <c r="F640" t="inlineStr">
        <is>
          <t>Routine</t>
        </is>
      </c>
      <c r="G640" t="inlineStr">
        <is>
          <t>NONE</t>
        </is>
      </c>
      <c r="H640" t="inlineStr">
        <is>
          <t>Compliant</t>
        </is>
      </c>
      <c r="I640" s="6" t="n"/>
      <c r="J640" s="6" t="n"/>
      <c r="K640">
        <f>IF(J640="","",J640-B640)</f>
        <v/>
      </c>
      <c r="L640">
        <f>IF(H640="Compliant","N/A",IF(J640&lt;&gt;"","Closed",IF(I640&lt;DATE(2026,9,30),"OVERDUE","Open")))</f>
        <v/>
      </c>
    </row>
    <row r="641">
      <c r="A641" t="inlineStr">
        <is>
          <t>INSP-2026-0640</t>
        </is>
      </c>
      <c r="B641" s="6" t="n">
        <v>46120</v>
      </c>
      <c r="C641" t="inlineStr">
        <is>
          <t>U-ST545-01-11</t>
        </is>
      </c>
      <c r="D641" t="inlineStr">
        <is>
          <t>Sungai Tinggi</t>
        </is>
      </c>
      <c r="E641" t="inlineStr">
        <is>
          <t>Benjamin Ho</t>
        </is>
      </c>
      <c r="F641" t="inlineStr">
        <is>
          <t>Routine</t>
        </is>
      </c>
      <c r="G641" t="inlineStr">
        <is>
          <t>NONE</t>
        </is>
      </c>
      <c r="H641" t="inlineStr">
        <is>
          <t>Compliant</t>
        </is>
      </c>
      <c r="I641" s="6" t="n"/>
      <c r="J641" s="6" t="n"/>
      <c r="K641">
        <f>IF(J641="","",J641-B641)</f>
        <v/>
      </c>
      <c r="L641">
        <f>IF(H641="Compliant","N/A",IF(J641&lt;&gt;"","Closed",IF(I641&lt;DATE(2026,9,30),"OVERDUE","Open")))</f>
        <v/>
      </c>
    </row>
    <row r="642">
      <c r="A642" t="inlineStr">
        <is>
          <t>INSP-2026-0641</t>
        </is>
      </c>
      <c r="B642" s="6" t="n">
        <v>46120</v>
      </c>
      <c r="C642" t="inlineStr">
        <is>
          <t>U-PI684-01-09</t>
        </is>
      </c>
      <c r="D642" t="inlineStr">
        <is>
          <t>Pasir Indah</t>
        </is>
      </c>
      <c r="E642" t="inlineStr">
        <is>
          <t>M. Lim</t>
        </is>
      </c>
      <c r="F642" t="inlineStr">
        <is>
          <t>Routine</t>
        </is>
      </c>
      <c r="G642" t="inlineStr">
        <is>
          <t>NONE</t>
        </is>
      </c>
      <c r="H642" t="inlineStr">
        <is>
          <t>Compliant</t>
        </is>
      </c>
      <c r="I642" s="6" t="n"/>
      <c r="J642" s="6" t="n"/>
      <c r="K642">
        <f>IF(J642="","",J642-B642)</f>
        <v/>
      </c>
      <c r="L642">
        <f>IF(H642="Compliant","N/A",IF(J642&lt;&gt;"","Closed",IF(I642&lt;DATE(2026,9,30),"OVERDUE","Open")))</f>
        <v/>
      </c>
    </row>
    <row r="643">
      <c r="A643" t="inlineStr">
        <is>
          <t>INSP-2026-0642</t>
        </is>
      </c>
      <c r="B643" s="6" t="n">
        <v>46120</v>
      </c>
      <c r="C643" t="inlineStr">
        <is>
          <t>U-PI626-01-03</t>
        </is>
      </c>
      <c r="D643" t="inlineStr">
        <is>
          <t>Pasir Indah</t>
        </is>
      </c>
      <c r="E643" t="inlineStr">
        <is>
          <t>Marcus Lim</t>
        </is>
      </c>
      <c r="F643" t="inlineStr">
        <is>
          <t>Follow-up</t>
        </is>
      </c>
      <c r="G643" t="inlineStr">
        <is>
          <t>NONE</t>
        </is>
      </c>
      <c r="H643" t="inlineStr">
        <is>
          <t>Compliant</t>
        </is>
      </c>
      <c r="I643" s="6" t="n"/>
      <c r="J643" s="6" t="n"/>
      <c r="K643">
        <f>IF(J643="","",J643-B643)</f>
        <v/>
      </c>
      <c r="L643">
        <f>IF(H643="Compliant","N/A",IF(J643&lt;&gt;"","Closed",IF(I643&lt;DATE(2026,9,30),"OVERDUE","Open")))</f>
        <v/>
      </c>
    </row>
    <row r="644">
      <c r="A644" t="inlineStr">
        <is>
          <t>INSP-2026-0643</t>
        </is>
      </c>
      <c r="B644" s="6" t="n">
        <v>46120</v>
      </c>
      <c r="C644" t="inlineStr">
        <is>
          <t>U-ST528-01-08</t>
        </is>
      </c>
      <c r="D644" t="inlineStr">
        <is>
          <t>Sungai Tinggi</t>
        </is>
      </c>
      <c r="E644" t="inlineStr">
        <is>
          <t>D. Ong</t>
        </is>
      </c>
      <c r="F644" t="inlineStr">
        <is>
          <t>Complaint-driven</t>
        </is>
      </c>
      <c r="G644" t="inlineStr">
        <is>
          <t>NONE</t>
        </is>
      </c>
      <c r="H644" t="inlineStr">
        <is>
          <t>Compliant</t>
        </is>
      </c>
      <c r="I644" s="6" t="n"/>
      <c r="J644" s="6" t="n"/>
      <c r="K644">
        <f>IF(J644="","",J644-B644)</f>
        <v/>
      </c>
      <c r="L644">
        <f>IF(H644="Compliant","N/A",IF(J644&lt;&gt;"","Closed",IF(I644&lt;DATE(2026,9,30),"OVERDUE","Open")))</f>
        <v/>
      </c>
    </row>
    <row r="645">
      <c r="A645" t="inlineStr">
        <is>
          <t>INSP-2026-0644</t>
        </is>
      </c>
      <c r="B645" s="6" t="n">
        <v>46120</v>
      </c>
      <c r="C645" t="inlineStr">
        <is>
          <t>U-ST596-02-06</t>
        </is>
      </c>
      <c r="D645" t="inlineStr">
        <is>
          <t>Sungai Tinggi</t>
        </is>
      </c>
      <c r="E645" t="inlineStr">
        <is>
          <t>B. Ho</t>
        </is>
      </c>
      <c r="F645" t="inlineStr">
        <is>
          <t>Complaint-driven</t>
        </is>
      </c>
      <c r="G645" t="inlineStr">
        <is>
          <t>NONE</t>
        </is>
      </c>
      <c r="H645" t="inlineStr">
        <is>
          <t>Compliant</t>
        </is>
      </c>
      <c r="I645" s="6" t="n"/>
      <c r="J645" s="6" t="n"/>
      <c r="K645">
        <f>IF(J645="","",J645-B645)</f>
        <v/>
      </c>
      <c r="L645">
        <f>IF(H645="Compliant","N/A",IF(J645&lt;&gt;"","Closed",IF(I645&lt;DATE(2026,9,30),"OVERDUE","Open")))</f>
        <v/>
      </c>
    </row>
    <row r="646">
      <c r="A646" t="inlineStr">
        <is>
          <t>INSP-2026-0645</t>
        </is>
      </c>
      <c r="B646" s="6" t="n">
        <v>46120</v>
      </c>
      <c r="C646" t="inlineStr">
        <is>
          <t>U-BV205-01-08</t>
        </is>
      </c>
      <c r="D646" t="inlineStr">
        <is>
          <t>Bayshore Vale</t>
        </is>
      </c>
      <c r="E646" t="inlineStr">
        <is>
          <t>marcus</t>
        </is>
      </c>
      <c r="F646" t="inlineStr">
        <is>
          <t>Routine</t>
        </is>
      </c>
      <c r="G646" t="inlineStr">
        <is>
          <t>DISPLAY_ENCROACH</t>
        </is>
      </c>
      <c r="H646" t="inlineStr">
        <is>
          <t>Minor Breach</t>
        </is>
      </c>
      <c r="I646" s="6" t="n">
        <v>46134</v>
      </c>
      <c r="J646" s="6" t="n">
        <v>46140</v>
      </c>
      <c r="K646">
        <f>IF(J646="","",J646-B646)</f>
        <v/>
      </c>
      <c r="L646">
        <f>IF(H646="Compliant","N/A",IF(J646&lt;&gt;"","Closed",IF(I646&lt;DATE(2026,9,30),"OVERDUE","Open")))</f>
        <v/>
      </c>
    </row>
    <row r="647">
      <c r="A647" t="inlineStr">
        <is>
          <t>INSP-2026-0646</t>
        </is>
      </c>
      <c r="B647" s="6" t="n">
        <v>46121</v>
      </c>
      <c r="C647" t="inlineStr">
        <is>
          <t>U-PI615-02-01</t>
        </is>
      </c>
      <c r="D647" t="inlineStr">
        <is>
          <t>Pasir Indah</t>
        </is>
      </c>
      <c r="E647" t="inlineStr">
        <is>
          <t>Daniel O.</t>
        </is>
      </c>
      <c r="F647" t="inlineStr">
        <is>
          <t>Routine</t>
        </is>
      </c>
      <c r="G647" t="inlineStr">
        <is>
          <t>HYGIENE</t>
        </is>
      </c>
      <c r="H647" t="inlineStr">
        <is>
          <t>Minor Breach</t>
        </is>
      </c>
      <c r="I647" s="6" t="n">
        <v>46135</v>
      </c>
      <c r="J647" s="6" t="n">
        <v>46140</v>
      </c>
      <c r="K647">
        <f>IF(J647="","",J647-B647)</f>
        <v/>
      </c>
      <c r="L647">
        <f>IF(H647="Compliant","N/A",IF(J647&lt;&gt;"","Closed",IF(I647&lt;DATE(2026,9,30),"OVERDUE","Open")))</f>
        <v/>
      </c>
    </row>
    <row r="648">
      <c r="A648" t="inlineStr">
        <is>
          <t>INSP-2026-0647</t>
        </is>
      </c>
      <c r="B648" s="6" t="n">
        <v>46121</v>
      </c>
      <c r="C648" t="inlineStr">
        <is>
          <t>U-CD170-02-02</t>
        </is>
      </c>
      <c r="D648" t="inlineStr">
        <is>
          <t>Cendana</t>
        </is>
      </c>
      <c r="E648" t="inlineStr">
        <is>
          <t>marcus</t>
        </is>
      </c>
      <c r="F648" t="inlineStr">
        <is>
          <t>Routine</t>
        </is>
      </c>
      <c r="G648" t="inlineStr">
        <is>
          <t>NONE</t>
        </is>
      </c>
      <c r="H648" t="inlineStr">
        <is>
          <t>Compliant</t>
        </is>
      </c>
      <c r="I648" s="6" t="n"/>
      <c r="J648" s="6" t="n"/>
      <c r="K648">
        <f>IF(J648="","",J648-B648)</f>
        <v/>
      </c>
      <c r="L648">
        <f>IF(H648="Compliant","N/A",IF(J648&lt;&gt;"","Closed",IF(I648&lt;DATE(2026,9,30),"OVERDUE","Open")))</f>
        <v/>
      </c>
    </row>
    <row r="649">
      <c r="A649" t="inlineStr">
        <is>
          <t>INSP-2026-0648</t>
        </is>
      </c>
      <c r="B649" s="6" t="n">
        <v>46122</v>
      </c>
      <c r="C649" t="inlineStr">
        <is>
          <t>U-CD105-01-01</t>
        </is>
      </c>
      <c r="D649" t="inlineStr">
        <is>
          <t>Cendana</t>
        </is>
      </c>
      <c r="E649" t="inlineStr">
        <is>
          <t>Marcus Lim</t>
        </is>
      </c>
      <c r="F649" t="inlineStr">
        <is>
          <t>Routine</t>
        </is>
      </c>
      <c r="G649" t="inlineStr">
        <is>
          <t>UNAPPROVED_AA</t>
        </is>
      </c>
      <c r="H649" t="inlineStr">
        <is>
          <t>Minor Breach</t>
        </is>
      </c>
      <c r="I649" s="6" t="n">
        <v>46136</v>
      </c>
      <c r="J649" s="6" t="n">
        <v>46131</v>
      </c>
      <c r="K649">
        <f>IF(J649="","",J649-B649)</f>
        <v/>
      </c>
      <c r="L649">
        <f>IF(H649="Compliant","N/A",IF(J649&lt;&gt;"","Closed",IF(I649&lt;DATE(2026,9,30),"OVERDUE","Open")))</f>
        <v/>
      </c>
    </row>
    <row r="650">
      <c r="A650" t="inlineStr">
        <is>
          <t>INSP-2026-0649</t>
        </is>
      </c>
      <c r="B650" s="6" t="n">
        <v>46122</v>
      </c>
      <c r="C650" t="inlineStr">
        <is>
          <t>U-BV288-01-08</t>
        </is>
      </c>
      <c r="D650" t="inlineStr">
        <is>
          <t>Bayshore Vale</t>
        </is>
      </c>
      <c r="E650" t="inlineStr">
        <is>
          <t>marcus</t>
        </is>
      </c>
      <c r="F650" t="inlineStr">
        <is>
          <t>Routine</t>
        </is>
      </c>
      <c r="G650" t="inlineStr">
        <is>
          <t>NONE</t>
        </is>
      </c>
      <c r="H650" t="inlineStr">
        <is>
          <t>Compliant</t>
        </is>
      </c>
      <c r="I650" s="6" t="n"/>
      <c r="J650" s="6" t="n"/>
      <c r="K650">
        <f>IF(J650="","",J650-B650)</f>
        <v/>
      </c>
      <c r="L650">
        <f>IF(H650="Compliant","N/A",IF(J650&lt;&gt;"","Closed",IF(I650&lt;DATE(2026,9,30),"OVERDUE","Open")))</f>
        <v/>
      </c>
    </row>
    <row r="651">
      <c r="A651" t="inlineStr">
        <is>
          <t>INSP-2026-0650</t>
        </is>
      </c>
      <c r="B651" s="6" t="n">
        <v>46122</v>
      </c>
      <c r="C651" t="inlineStr">
        <is>
          <t>U-BV212-01-10</t>
        </is>
      </c>
      <c r="D651" t="inlineStr">
        <is>
          <t>Bayshore Vale</t>
        </is>
      </c>
      <c r="E651" t="inlineStr">
        <is>
          <t>M. Lim</t>
        </is>
      </c>
      <c r="F651" t="inlineStr">
        <is>
          <t>Routine</t>
        </is>
      </c>
      <c r="G651" t="inlineStr">
        <is>
          <t>NONE</t>
        </is>
      </c>
      <c r="H651" t="inlineStr">
        <is>
          <t>Compliant</t>
        </is>
      </c>
      <c r="I651" s="6" t="n"/>
      <c r="J651" s="6" t="n"/>
      <c r="K651">
        <f>IF(J651="","",J651-B651)</f>
        <v/>
      </c>
      <c r="L651">
        <f>IF(H651="Compliant","N/A",IF(J651&lt;&gt;"","Closed",IF(I651&lt;DATE(2026,9,30),"OVERDUE","Open")))</f>
        <v/>
      </c>
    </row>
    <row r="652">
      <c r="A652" t="inlineStr">
        <is>
          <t>INSP-2026-0651</t>
        </is>
      </c>
      <c r="B652" s="6" t="n">
        <v>46122</v>
      </c>
      <c r="C652" t="inlineStr">
        <is>
          <t>U-KR310-01-03</t>
        </is>
      </c>
      <c r="D652" t="inlineStr">
        <is>
          <t>Kebun Raya</t>
        </is>
      </c>
      <c r="E652" t="inlineStr">
        <is>
          <t>Ben Ho</t>
        </is>
      </c>
      <c r="F652" t="inlineStr">
        <is>
          <t>Routine</t>
        </is>
      </c>
      <c r="G652" t="inlineStr">
        <is>
          <t>NONE</t>
        </is>
      </c>
      <c r="H652" t="inlineStr">
        <is>
          <t>Compliant</t>
        </is>
      </c>
      <c r="I652" s="6" t="n"/>
      <c r="J652" s="6" t="n"/>
      <c r="K652">
        <f>IF(J652="","",J652-B652)</f>
        <v/>
      </c>
      <c r="L652">
        <f>IF(H652="Compliant","N/A",IF(J652&lt;&gt;"","Closed",IF(I652&lt;DATE(2026,9,30),"OVERDUE","Open")))</f>
        <v/>
      </c>
    </row>
    <row r="653">
      <c r="A653" t="inlineStr">
        <is>
          <t>INSP-2026-0652</t>
        </is>
      </c>
      <c r="B653" s="6" t="n">
        <v>46122</v>
      </c>
      <c r="C653" t="inlineStr">
        <is>
          <t>U-RH463-01-02</t>
        </is>
      </c>
      <c r="D653" t="inlineStr">
        <is>
          <t>Rimba Heights</t>
        </is>
      </c>
      <c r="E653" t="inlineStr">
        <is>
          <t>Benjamin Ho</t>
        </is>
      </c>
      <c r="F653" t="inlineStr">
        <is>
          <t>Routine</t>
        </is>
      </c>
      <c r="G653" t="inlineStr">
        <is>
          <t>DISPLAY_ENCROACH</t>
        </is>
      </c>
      <c r="H653" t="inlineStr">
        <is>
          <t>Minor Breach</t>
        </is>
      </c>
      <c r="I653" s="6" t="n">
        <v>46136</v>
      </c>
      <c r="J653" s="6" t="n">
        <v>46136</v>
      </c>
      <c r="K653">
        <f>IF(J653="","",J653-B653)</f>
        <v/>
      </c>
      <c r="L653">
        <f>IF(H653="Compliant","N/A",IF(J653&lt;&gt;"","Closed",IF(I653&lt;DATE(2026,9,30),"OVERDUE","Open")))</f>
        <v/>
      </c>
    </row>
    <row r="654">
      <c r="A654" t="inlineStr">
        <is>
          <t>INSP-2026-0653</t>
        </is>
      </c>
      <c r="B654" s="6" t="n">
        <v>46122</v>
      </c>
      <c r="C654" t="inlineStr">
        <is>
          <t>U-KR359-01-11</t>
        </is>
      </c>
      <c r="D654" t="inlineStr">
        <is>
          <t>Kebun Raya</t>
        </is>
      </c>
      <c r="E654" t="inlineStr">
        <is>
          <t>Daniel Ong</t>
        </is>
      </c>
      <c r="F654" t="inlineStr">
        <is>
          <t>Routine</t>
        </is>
      </c>
      <c r="G654" t="inlineStr">
        <is>
          <t>DISPLAY_ENCROACH</t>
        </is>
      </c>
      <c r="H654" t="inlineStr">
        <is>
          <t>Minor Breach</t>
        </is>
      </c>
      <c r="I654" s="6" t="n">
        <v>46136</v>
      </c>
      <c r="J654" s="6" t="n">
        <v>46139</v>
      </c>
      <c r="K654">
        <f>IF(J654="","",J654-B654)</f>
        <v/>
      </c>
      <c r="L654">
        <f>IF(H654="Compliant","N/A",IF(J654&lt;&gt;"","Closed",IF(I654&lt;DATE(2026,9,30),"OVERDUE","Open")))</f>
        <v/>
      </c>
    </row>
    <row r="655">
      <c r="A655" t="inlineStr">
        <is>
          <t>INSP-2026-0654</t>
        </is>
      </c>
      <c r="B655" s="6" t="n">
        <v>46122</v>
      </c>
      <c r="C655" t="inlineStr">
        <is>
          <t>U-PI626-01-11</t>
        </is>
      </c>
      <c r="D655" t="inlineStr">
        <is>
          <t>Pasir Indah</t>
        </is>
      </c>
      <c r="E655" t="inlineStr">
        <is>
          <t>Marcus Lim</t>
        </is>
      </c>
      <c r="F655" t="inlineStr">
        <is>
          <t>Routine</t>
        </is>
      </c>
      <c r="G655" t="inlineStr">
        <is>
          <t>NONE</t>
        </is>
      </c>
      <c r="H655" t="inlineStr">
        <is>
          <t>Compliant</t>
        </is>
      </c>
      <c r="I655" s="6" t="n"/>
      <c r="J655" s="6" t="n"/>
      <c r="K655">
        <f>IF(J655="","",J655-B655)</f>
        <v/>
      </c>
      <c r="L655">
        <f>IF(H655="Compliant","N/A",IF(J655&lt;&gt;"","Closed",IF(I655&lt;DATE(2026,9,30),"OVERDUE","Open")))</f>
        <v/>
      </c>
    </row>
    <row r="656">
      <c r="A656" t="inlineStr">
        <is>
          <t>INSP-2026-0655</t>
        </is>
      </c>
      <c r="B656" s="6" t="n">
        <v>46123</v>
      </c>
      <c r="C656" t="inlineStr">
        <is>
          <t>U-ST544-01-03</t>
        </is>
      </c>
      <c r="D656" t="inlineStr">
        <is>
          <t>Sungai Tinggi</t>
        </is>
      </c>
      <c r="E656" t="inlineStr">
        <is>
          <t>Daniel O.</t>
        </is>
      </c>
      <c r="F656" t="inlineStr">
        <is>
          <t>Routine</t>
        </is>
      </c>
      <c r="G656" t="inlineStr">
        <is>
          <t>STRUCTURAL_DEFECT</t>
        </is>
      </c>
      <c r="H656" t="inlineStr">
        <is>
          <t>Major Breach</t>
        </is>
      </c>
      <c r="I656" s="6" t="n">
        <v>46130</v>
      </c>
      <c r="J656" s="6" t="n">
        <v>46138</v>
      </c>
      <c r="K656">
        <f>IF(J656="","",J656-B656)</f>
        <v/>
      </c>
      <c r="L656">
        <f>IF(H656="Compliant","N/A",IF(J656&lt;&gt;"","Closed",IF(I656&lt;DATE(2026,9,30),"OVERDUE","Open")))</f>
        <v/>
      </c>
    </row>
    <row r="657">
      <c r="A657" t="inlineStr">
        <is>
          <t>INSP-2026-0656</t>
        </is>
      </c>
      <c r="B657" s="6" t="n">
        <v>46123</v>
      </c>
      <c r="C657" t="inlineStr">
        <is>
          <t>U-KR345-01-08</t>
        </is>
      </c>
      <c r="D657" t="inlineStr">
        <is>
          <t>Kebun Raya</t>
        </is>
      </c>
      <c r="E657" t="inlineStr">
        <is>
          <t>daniel ong</t>
        </is>
      </c>
      <c r="F657" t="inlineStr">
        <is>
          <t>Complaint-driven</t>
        </is>
      </c>
      <c r="G657" t="inlineStr">
        <is>
          <t>NONE</t>
        </is>
      </c>
      <c r="H657" t="inlineStr">
        <is>
          <t>Compliant</t>
        </is>
      </c>
      <c r="I657" s="6" t="n"/>
      <c r="J657" s="6" t="n"/>
      <c r="K657">
        <f>IF(J657="","",J657-B657)</f>
        <v/>
      </c>
      <c r="L657">
        <f>IF(H657="Compliant","N/A",IF(J657&lt;&gt;"","Closed",IF(I657&lt;DATE(2026,9,30),"OVERDUE","Open")))</f>
        <v/>
      </c>
    </row>
    <row r="658">
      <c r="A658" t="inlineStr">
        <is>
          <t>INSP-2026-0657</t>
        </is>
      </c>
      <c r="B658" s="6" t="n">
        <v>46123</v>
      </c>
      <c r="C658" t="inlineStr">
        <is>
          <t>U-CD109-01-11</t>
        </is>
      </c>
      <c r="D658" t="inlineStr">
        <is>
          <t>Cendana</t>
        </is>
      </c>
      <c r="E658" t="inlineStr">
        <is>
          <t>Daniel O.</t>
        </is>
      </c>
      <c r="F658" t="inlineStr">
        <is>
          <t>Follow-up</t>
        </is>
      </c>
      <c r="G658" t="inlineStr">
        <is>
          <t>DISPLAY_ENCROACH</t>
        </is>
      </c>
      <c r="H658" t="inlineStr">
        <is>
          <t>Minor Breach</t>
        </is>
      </c>
      <c r="I658" s="6" t="n">
        <v>46137</v>
      </c>
      <c r="J658" s="6" t="n">
        <v>46138</v>
      </c>
      <c r="K658">
        <f>IF(J658="","",J658-B658)</f>
        <v/>
      </c>
      <c r="L658">
        <f>IF(H658="Compliant","N/A",IF(J658&lt;&gt;"","Closed",IF(I658&lt;DATE(2026,9,30),"OVERDUE","Open")))</f>
        <v/>
      </c>
    </row>
    <row r="659">
      <c r="A659" t="inlineStr">
        <is>
          <t>INSP-2026-0658</t>
        </is>
      </c>
      <c r="B659" s="6" t="n">
        <v>46123</v>
      </c>
      <c r="C659" t="inlineStr">
        <is>
          <t>U-PI601-01-06</t>
        </is>
      </c>
      <c r="D659" t="inlineStr">
        <is>
          <t>Pasir Indah</t>
        </is>
      </c>
      <c r="E659" t="inlineStr">
        <is>
          <t>Daniel O.</t>
        </is>
      </c>
      <c r="F659" t="inlineStr">
        <is>
          <t>Routine</t>
        </is>
      </c>
      <c r="G659" t="inlineStr">
        <is>
          <t>NONE</t>
        </is>
      </c>
      <c r="H659" t="inlineStr">
        <is>
          <t>Compliant</t>
        </is>
      </c>
      <c r="I659" s="6" t="n"/>
      <c r="J659" s="6" t="n"/>
      <c r="K659">
        <f>IF(J659="","",J659-B659)</f>
        <v/>
      </c>
      <c r="L659">
        <f>IF(H659="Compliant","N/A",IF(J659&lt;&gt;"","Closed",IF(I659&lt;DATE(2026,9,30),"OVERDUE","Open")))</f>
        <v/>
      </c>
    </row>
    <row r="660">
      <c r="A660" t="inlineStr">
        <is>
          <t>INSP-2026-0659</t>
        </is>
      </c>
      <c r="B660" s="6" t="n">
        <v>46123</v>
      </c>
      <c r="C660" t="inlineStr">
        <is>
          <t>U-CD152-01-01</t>
        </is>
      </c>
      <c r="D660" t="inlineStr">
        <is>
          <t>Cendana</t>
        </is>
      </c>
      <c r="E660" t="inlineStr">
        <is>
          <t>Daniel Ong</t>
        </is>
      </c>
      <c r="F660" t="inlineStr">
        <is>
          <t>Follow-up</t>
        </is>
      </c>
      <c r="G660" t="inlineStr">
        <is>
          <t>NONE</t>
        </is>
      </c>
      <c r="H660" t="inlineStr">
        <is>
          <t>Compliant</t>
        </is>
      </c>
      <c r="I660" s="6" t="n"/>
      <c r="J660" s="6" t="n"/>
      <c r="K660">
        <f>IF(J660="","",J660-B660)</f>
        <v/>
      </c>
      <c r="L660">
        <f>IF(H660="Compliant","N/A",IF(J660&lt;&gt;"","Closed",IF(I660&lt;DATE(2026,9,30),"OVERDUE","Open")))</f>
        <v/>
      </c>
    </row>
    <row r="661">
      <c r="A661" t="inlineStr">
        <is>
          <t>INSP-2026-0660</t>
        </is>
      </c>
      <c r="B661" s="6" t="n">
        <v>46123</v>
      </c>
      <c r="C661" t="inlineStr">
        <is>
          <t>U-RH407-01-03</t>
        </is>
      </c>
      <c r="D661" t="inlineStr">
        <is>
          <t>Rimba Heights</t>
        </is>
      </c>
      <c r="E661" t="inlineStr">
        <is>
          <t>daniel ong</t>
        </is>
      </c>
      <c r="F661" t="inlineStr">
        <is>
          <t>Routine</t>
        </is>
      </c>
      <c r="G661" t="inlineStr">
        <is>
          <t>NONE</t>
        </is>
      </c>
      <c r="H661" t="inlineStr">
        <is>
          <t>Compliant</t>
        </is>
      </c>
      <c r="I661" s="6" t="n"/>
      <c r="J661" s="6" t="n"/>
      <c r="K661">
        <f>IF(J661="","",J661-B661)</f>
        <v/>
      </c>
      <c r="L661">
        <f>IF(H661="Compliant","N/A",IF(J661&lt;&gt;"","Closed",IF(I661&lt;DATE(2026,9,30),"OVERDUE","Open")))</f>
        <v/>
      </c>
    </row>
    <row r="662">
      <c r="A662" t="inlineStr">
        <is>
          <t>INSP-2026-0661</t>
        </is>
      </c>
      <c r="B662" s="6" t="n">
        <v>46123</v>
      </c>
      <c r="C662" t="inlineStr">
        <is>
          <t>U-BV296-01-05</t>
        </is>
      </c>
      <c r="D662" t="inlineStr">
        <is>
          <t>Bayshore Vale</t>
        </is>
      </c>
      <c r="E662" t="inlineStr">
        <is>
          <t>Daniel O.</t>
        </is>
      </c>
      <c r="F662" t="inlineStr">
        <is>
          <t>Complaint-driven</t>
        </is>
      </c>
      <c r="G662" t="inlineStr">
        <is>
          <t>NONE</t>
        </is>
      </c>
      <c r="H662" t="inlineStr">
        <is>
          <t>Compliant</t>
        </is>
      </c>
      <c r="I662" s="6" t="n"/>
      <c r="J662" s="6" t="n"/>
      <c r="K662">
        <f>IF(J662="","",J662-B662)</f>
        <v/>
      </c>
      <c r="L662">
        <f>IF(H662="Compliant","N/A",IF(J662&lt;&gt;"","Closed",IF(I662&lt;DATE(2026,9,30),"OVERDUE","Open")))</f>
        <v/>
      </c>
    </row>
    <row r="663">
      <c r="A663" t="inlineStr">
        <is>
          <t>INSP-2026-0662</t>
        </is>
      </c>
      <c r="B663" s="6" t="n">
        <v>46123</v>
      </c>
      <c r="C663" t="inlineStr">
        <is>
          <t>U-PI684-01-11</t>
        </is>
      </c>
      <c r="D663" t="inlineStr">
        <is>
          <t>Pasir Indah</t>
        </is>
      </c>
      <c r="E663" t="inlineStr">
        <is>
          <t>D. Ong</t>
        </is>
      </c>
      <c r="F663" t="inlineStr">
        <is>
          <t>Routine</t>
        </is>
      </c>
      <c r="G663" t="inlineStr">
        <is>
          <t>NONE</t>
        </is>
      </c>
      <c r="H663" t="inlineStr">
        <is>
          <t>Compliant</t>
        </is>
      </c>
      <c r="I663" s="6" t="n"/>
      <c r="J663" s="6" t="n"/>
      <c r="K663">
        <f>IF(J663="","",J663-B663)</f>
        <v/>
      </c>
      <c r="L663">
        <f>IF(H663="Compliant","N/A",IF(J663&lt;&gt;"","Closed",IF(I663&lt;DATE(2026,9,30),"OVERDUE","Open")))</f>
        <v/>
      </c>
    </row>
    <row r="664">
      <c r="A664" t="inlineStr">
        <is>
          <t>INSP-2026-0663</t>
        </is>
      </c>
      <c r="B664" s="6" t="n">
        <v>46124</v>
      </c>
      <c r="C664" t="inlineStr">
        <is>
          <t>U-PI646-01-06</t>
        </is>
      </c>
      <c r="D664" t="inlineStr">
        <is>
          <t>Pasir Indah</t>
        </is>
      </c>
      <c r="E664" t="inlineStr">
        <is>
          <t>marcus</t>
        </is>
      </c>
      <c r="F664" t="inlineStr">
        <is>
          <t>Routine</t>
        </is>
      </c>
      <c r="G664" t="inlineStr">
        <is>
          <t>NONE</t>
        </is>
      </c>
      <c r="H664" t="inlineStr">
        <is>
          <t>Compliant</t>
        </is>
      </c>
      <c r="I664" s="6" t="n"/>
      <c r="J664" s="6" t="n"/>
      <c r="K664">
        <f>IF(J664="","",J664-B664)</f>
        <v/>
      </c>
      <c r="L664">
        <f>IF(H664="Compliant","N/A",IF(J664&lt;&gt;"","Closed",IF(I664&lt;DATE(2026,9,30),"OVERDUE","Open")))</f>
        <v/>
      </c>
    </row>
    <row r="665">
      <c r="A665" t="inlineStr">
        <is>
          <t>INSP-2026-0664</t>
        </is>
      </c>
      <c r="B665" s="6" t="n">
        <v>46124</v>
      </c>
      <c r="C665" t="inlineStr">
        <is>
          <t>U-RH485-01-10</t>
        </is>
      </c>
      <c r="D665" t="inlineStr">
        <is>
          <t>Rimba Heights</t>
        </is>
      </c>
      <c r="E665" t="inlineStr">
        <is>
          <t>D. Ong</t>
        </is>
      </c>
      <c r="F665" t="inlineStr">
        <is>
          <t>Follow-up</t>
        </is>
      </c>
      <c r="G665" t="inlineStr">
        <is>
          <t>NONE</t>
        </is>
      </c>
      <c r="H665" t="inlineStr">
        <is>
          <t>Compliant</t>
        </is>
      </c>
      <c r="I665" s="6" t="n"/>
      <c r="J665" s="6" t="n"/>
      <c r="K665">
        <f>IF(J665="","",J665-B665)</f>
        <v/>
      </c>
      <c r="L665">
        <f>IF(H665="Compliant","N/A",IF(J665&lt;&gt;"","Closed",IF(I665&lt;DATE(2026,9,30),"OVERDUE","Open")))</f>
        <v/>
      </c>
    </row>
    <row r="666">
      <c r="A666" t="inlineStr">
        <is>
          <t>INSP-2026-0665</t>
        </is>
      </c>
      <c r="B666" s="6" t="n">
        <v>46124</v>
      </c>
      <c r="C666" t="inlineStr">
        <is>
          <t>U-KR330-01-02</t>
        </is>
      </c>
      <c r="D666" t="inlineStr">
        <is>
          <t>Kebun Raya</t>
        </is>
      </c>
      <c r="E666" t="inlineStr">
        <is>
          <t>D. Ong</t>
        </is>
      </c>
      <c r="F666" t="inlineStr">
        <is>
          <t>Follow-up</t>
        </is>
      </c>
      <c r="G666" t="inlineStr">
        <is>
          <t>NONE</t>
        </is>
      </c>
      <c r="H666" t="inlineStr">
        <is>
          <t>Compliant</t>
        </is>
      </c>
      <c r="I666" s="6" t="n"/>
      <c r="J666" s="6" t="n"/>
      <c r="K666">
        <f>IF(J666="","",J666-B666)</f>
        <v/>
      </c>
      <c r="L666">
        <f>IF(H666="Compliant","N/A",IF(J666&lt;&gt;"","Closed",IF(I666&lt;DATE(2026,9,30),"OVERDUE","Open")))</f>
        <v/>
      </c>
    </row>
    <row r="667">
      <c r="A667" t="inlineStr">
        <is>
          <t>INSP-2026-0666</t>
        </is>
      </c>
      <c r="B667" s="6" t="n">
        <v>46124</v>
      </c>
      <c r="C667" t="inlineStr">
        <is>
          <t>U-RH473-01-07</t>
        </is>
      </c>
      <c r="D667" t="inlineStr">
        <is>
          <t>Rimba Heights</t>
        </is>
      </c>
      <c r="E667" t="inlineStr">
        <is>
          <t>Ben Ho</t>
        </is>
      </c>
      <c r="F667" t="inlineStr">
        <is>
          <t>Follow-up</t>
        </is>
      </c>
      <c r="G667" t="inlineStr">
        <is>
          <t>DISPLAY_ENCROACH</t>
        </is>
      </c>
      <c r="H667" t="inlineStr">
        <is>
          <t>Minor Breach</t>
        </is>
      </c>
      <c r="I667" s="6" t="n">
        <v>46138</v>
      </c>
      <c r="J667" s="6" t="n">
        <v>46138</v>
      </c>
      <c r="K667">
        <f>IF(J667="","",J667-B667)</f>
        <v/>
      </c>
      <c r="L667">
        <f>IF(H667="Compliant","N/A",IF(J667&lt;&gt;"","Closed",IF(I667&lt;DATE(2026,9,30),"OVERDUE","Open")))</f>
        <v/>
      </c>
    </row>
    <row r="668">
      <c r="A668" t="inlineStr">
        <is>
          <t>INSP-2026-0667</t>
        </is>
      </c>
      <c r="B668" s="6" t="n">
        <v>46124</v>
      </c>
      <c r="C668" t="inlineStr">
        <is>
          <t>U-PI601-01-07</t>
        </is>
      </c>
      <c r="D668" t="inlineStr">
        <is>
          <t>Pasir Indah</t>
        </is>
      </c>
      <c r="E668" t="inlineStr">
        <is>
          <t>D. Ong</t>
        </is>
      </c>
      <c r="F668" t="inlineStr">
        <is>
          <t>Routine</t>
        </is>
      </c>
      <c r="G668" t="inlineStr">
        <is>
          <t>DISPLAY_ENCROACH</t>
        </is>
      </c>
      <c r="H668" t="inlineStr">
        <is>
          <t>Minor Breach</t>
        </is>
      </c>
      <c r="I668" s="6" t="n">
        <v>46138</v>
      </c>
      <c r="J668" s="6" t="n">
        <v>46138</v>
      </c>
      <c r="K668">
        <f>IF(J668="","",J668-B668)</f>
        <v/>
      </c>
      <c r="L668">
        <f>IF(H668="Compliant","N/A",IF(J668&lt;&gt;"","Closed",IF(I668&lt;DATE(2026,9,30),"OVERDUE","Open")))</f>
        <v/>
      </c>
    </row>
    <row r="669">
      <c r="A669" t="inlineStr">
        <is>
          <t>INSP-2026-0668</t>
        </is>
      </c>
      <c r="B669" s="6" t="n">
        <v>46125</v>
      </c>
      <c r="C669" t="inlineStr">
        <is>
          <t>U-ST564-02-09</t>
        </is>
      </c>
      <c r="D669" t="inlineStr">
        <is>
          <t>Sungai Tinggi</t>
        </is>
      </c>
      <c r="E669" t="inlineStr">
        <is>
          <t>Daniel Ong</t>
        </is>
      </c>
      <c r="F669" t="inlineStr">
        <is>
          <t>Routine</t>
        </is>
      </c>
      <c r="G669" t="inlineStr">
        <is>
          <t>DISPLAY_ENCROACH</t>
        </is>
      </c>
      <c r="H669" t="inlineStr">
        <is>
          <t>Minor Breach</t>
        </is>
      </c>
      <c r="I669" s="6" t="n">
        <v>46139</v>
      </c>
      <c r="J669" s="6" t="n">
        <v>46146</v>
      </c>
      <c r="K669">
        <f>IF(J669="","",J669-B669)</f>
        <v/>
      </c>
      <c r="L669">
        <f>IF(H669="Compliant","N/A",IF(J669&lt;&gt;"","Closed",IF(I669&lt;DATE(2026,9,30),"OVERDUE","Open")))</f>
        <v/>
      </c>
    </row>
    <row r="670">
      <c r="A670" t="inlineStr">
        <is>
          <t>INSP-2026-0669</t>
        </is>
      </c>
      <c r="B670" s="6" t="n">
        <v>46125</v>
      </c>
      <c r="C670" t="inlineStr">
        <is>
          <t>U-CD152-01-05</t>
        </is>
      </c>
      <c r="D670" t="inlineStr">
        <is>
          <t>Cendana</t>
        </is>
      </c>
      <c r="E670" t="inlineStr">
        <is>
          <t>Daniel Ong</t>
        </is>
      </c>
      <c r="F670" t="inlineStr">
        <is>
          <t>Routine</t>
        </is>
      </c>
      <c r="G670" t="inlineStr">
        <is>
          <t>NONE</t>
        </is>
      </c>
      <c r="H670" t="inlineStr">
        <is>
          <t>Compliant</t>
        </is>
      </c>
      <c r="I670" s="6" t="n"/>
      <c r="J670" s="6" t="n"/>
      <c r="K670">
        <f>IF(J670="","",J670-B670)</f>
        <v/>
      </c>
      <c r="L670">
        <f>IF(H670="Compliant","N/A",IF(J670&lt;&gt;"","Closed",IF(I670&lt;DATE(2026,9,30),"OVERDUE","Open")))</f>
        <v/>
      </c>
    </row>
    <row r="671">
      <c r="A671" t="inlineStr">
        <is>
          <t>INSP-2026-0670</t>
        </is>
      </c>
      <c r="B671" s="6" t="n">
        <v>46125</v>
      </c>
      <c r="C671" t="inlineStr">
        <is>
          <t>U-RH460-01-14</t>
        </is>
      </c>
      <c r="D671" t="inlineStr">
        <is>
          <t>Rimba Heights</t>
        </is>
      </c>
      <c r="E671" t="inlineStr">
        <is>
          <t>D. Ong</t>
        </is>
      </c>
      <c r="F671" t="inlineStr">
        <is>
          <t>Routine</t>
        </is>
      </c>
      <c r="G671" t="inlineStr">
        <is>
          <t>NONE</t>
        </is>
      </c>
      <c r="H671" t="inlineStr">
        <is>
          <t>Compliant</t>
        </is>
      </c>
      <c r="I671" s="6" t="n"/>
      <c r="J671" s="6" t="n"/>
      <c r="K671">
        <f>IF(J671="","",J671-B671)</f>
        <v/>
      </c>
      <c r="L671">
        <f>IF(H671="Compliant","N/A",IF(J671&lt;&gt;"","Closed",IF(I671&lt;DATE(2026,9,30),"OVERDUE","Open")))</f>
        <v/>
      </c>
    </row>
    <row r="672">
      <c r="A672" t="inlineStr">
        <is>
          <t>INSP-2026-0671</t>
        </is>
      </c>
      <c r="B672" s="6" t="n">
        <v>46125</v>
      </c>
      <c r="C672" t="inlineStr">
        <is>
          <t>U-PI657-01-03</t>
        </is>
      </c>
      <c r="D672" t="inlineStr">
        <is>
          <t>Pasir Indah</t>
        </is>
      </c>
      <c r="E672" t="inlineStr">
        <is>
          <t>D. Ong</t>
        </is>
      </c>
      <c r="F672" t="inlineStr">
        <is>
          <t>Routine</t>
        </is>
      </c>
      <c r="G672" t="inlineStr">
        <is>
          <t>NONE</t>
        </is>
      </c>
      <c r="H672" t="inlineStr">
        <is>
          <t>Compliant</t>
        </is>
      </c>
      <c r="I672" s="6" t="n"/>
      <c r="J672" s="6" t="n"/>
      <c r="K672">
        <f>IF(J672="","",J672-B672)</f>
        <v/>
      </c>
      <c r="L672">
        <f>IF(H672="Compliant","N/A",IF(J672&lt;&gt;"","Closed",IF(I672&lt;DATE(2026,9,30),"OVERDUE","Open")))</f>
        <v/>
      </c>
    </row>
    <row r="673">
      <c r="A673" t="inlineStr">
        <is>
          <t>INSP-2026-0672</t>
        </is>
      </c>
      <c r="B673" s="6" t="n">
        <v>46125</v>
      </c>
      <c r="C673" t="inlineStr">
        <is>
          <t>U-RH486-02-03</t>
        </is>
      </c>
      <c r="D673" t="inlineStr">
        <is>
          <t>Rimba Heights</t>
        </is>
      </c>
      <c r="E673" t="inlineStr">
        <is>
          <t>Ben Ho</t>
        </is>
      </c>
      <c r="F673" t="inlineStr">
        <is>
          <t>Follow-up</t>
        </is>
      </c>
      <c r="G673" t="inlineStr">
        <is>
          <t>NONE</t>
        </is>
      </c>
      <c r="H673" t="inlineStr">
        <is>
          <t>Compliant</t>
        </is>
      </c>
      <c r="I673" s="6" t="n"/>
      <c r="J673" s="6" t="n"/>
      <c r="K673">
        <f>IF(J673="","",J673-B673)</f>
        <v/>
      </c>
      <c r="L673">
        <f>IF(H673="Compliant","N/A",IF(J673&lt;&gt;"","Closed",IF(I673&lt;DATE(2026,9,30),"OVERDUE","Open")))</f>
        <v/>
      </c>
    </row>
    <row r="674">
      <c r="A674" t="inlineStr">
        <is>
          <t>INSP-2026-0673</t>
        </is>
      </c>
      <c r="B674" s="6" t="n">
        <v>46125</v>
      </c>
      <c r="C674" t="inlineStr">
        <is>
          <t>U-CD118-01-27</t>
        </is>
      </c>
      <c r="D674" t="inlineStr">
        <is>
          <t>Cendana</t>
        </is>
      </c>
      <c r="E674" t="inlineStr">
        <is>
          <t>D. Ong</t>
        </is>
      </c>
      <c r="F674" t="inlineStr">
        <is>
          <t>Routine</t>
        </is>
      </c>
      <c r="G674" t="inlineStr">
        <is>
          <t>HYGIENE</t>
        </is>
      </c>
      <c r="H674" t="inlineStr">
        <is>
          <t>Minor Breach</t>
        </is>
      </c>
      <c r="I674" s="6" t="n">
        <v>46139</v>
      </c>
      <c r="J674" s="6" t="n">
        <v>46140</v>
      </c>
      <c r="K674">
        <f>IF(J674="","",J674-B674)</f>
        <v/>
      </c>
      <c r="L674">
        <f>IF(H674="Compliant","N/A",IF(J674&lt;&gt;"","Closed",IF(I674&lt;DATE(2026,9,30),"OVERDUE","Open")))</f>
        <v/>
      </c>
    </row>
    <row r="675">
      <c r="A675" t="inlineStr">
        <is>
          <t>INSP-2026-0674</t>
        </is>
      </c>
      <c r="B675" s="6" t="n">
        <v>46126</v>
      </c>
      <c r="C675" t="inlineStr">
        <is>
          <t>U-BV229-01-02</t>
        </is>
      </c>
      <c r="D675" t="inlineStr">
        <is>
          <t>Bayshore Vale</t>
        </is>
      </c>
      <c r="E675" t="inlineStr">
        <is>
          <t>marcus</t>
        </is>
      </c>
      <c r="F675" t="inlineStr">
        <is>
          <t>Routine</t>
        </is>
      </c>
      <c r="G675" t="inlineStr">
        <is>
          <t>NONE</t>
        </is>
      </c>
      <c r="H675" t="inlineStr">
        <is>
          <t>Compliant</t>
        </is>
      </c>
      <c r="I675" s="6" t="n"/>
      <c r="J675" s="6" t="n"/>
      <c r="K675">
        <f>IF(J675="","",J675-B675)</f>
        <v/>
      </c>
      <c r="L675">
        <f>IF(H675="Compliant","N/A",IF(J675&lt;&gt;"","Closed",IF(I675&lt;DATE(2026,9,30),"OVERDUE","Open")))</f>
        <v/>
      </c>
    </row>
    <row r="676">
      <c r="A676" t="inlineStr">
        <is>
          <t>INSP-2026-0675</t>
        </is>
      </c>
      <c r="B676" s="6" t="n">
        <v>46126</v>
      </c>
      <c r="C676" t="inlineStr">
        <is>
          <t>U-ST501-01-11</t>
        </is>
      </c>
      <c r="D676" t="inlineStr">
        <is>
          <t>Sungai Tinggi</t>
        </is>
      </c>
      <c r="E676" t="inlineStr">
        <is>
          <t>daniel ong</t>
        </is>
      </c>
      <c r="F676" t="inlineStr">
        <is>
          <t>Routine</t>
        </is>
      </c>
      <c r="G676" t="inlineStr">
        <is>
          <t>HYGIENE</t>
        </is>
      </c>
      <c r="H676" t="inlineStr">
        <is>
          <t>Minor Breach</t>
        </is>
      </c>
      <c r="I676" s="6" t="n">
        <v>46140</v>
      </c>
      <c r="J676" s="6" t="n">
        <v>46150</v>
      </c>
      <c r="K676">
        <f>IF(J676="","",J676-B676)</f>
        <v/>
      </c>
      <c r="L676">
        <f>IF(H676="Compliant","N/A",IF(J676&lt;&gt;"","Closed",IF(I676&lt;DATE(2026,9,30),"OVERDUE","Open")))</f>
        <v/>
      </c>
    </row>
    <row r="677">
      <c r="A677" t="inlineStr">
        <is>
          <t>INSP-2026-0676</t>
        </is>
      </c>
      <c r="B677" s="6" t="n">
        <v>46126</v>
      </c>
      <c r="C677" t="inlineStr">
        <is>
          <t>U-KR318-01-05</t>
        </is>
      </c>
      <c r="D677" t="inlineStr">
        <is>
          <t>Kebun Raya</t>
        </is>
      </c>
      <c r="E677" t="inlineStr">
        <is>
          <t>D. Ong</t>
        </is>
      </c>
      <c r="F677" t="inlineStr">
        <is>
          <t>Routine</t>
        </is>
      </c>
      <c r="G677" t="inlineStr">
        <is>
          <t>NONE</t>
        </is>
      </c>
      <c r="H677" t="inlineStr">
        <is>
          <t>Compliant</t>
        </is>
      </c>
      <c r="I677" s="6" t="n"/>
      <c r="J677" s="6" t="n"/>
      <c r="K677">
        <f>IF(J677="","",J677-B677)</f>
        <v/>
      </c>
      <c r="L677">
        <f>IF(H677="Compliant","N/A",IF(J677&lt;&gt;"","Closed",IF(I677&lt;DATE(2026,9,30),"OVERDUE","Open")))</f>
        <v/>
      </c>
    </row>
    <row r="678">
      <c r="A678" t="inlineStr">
        <is>
          <t>INSP-2026-0677</t>
        </is>
      </c>
      <c r="B678" s="6" t="n">
        <v>46126</v>
      </c>
      <c r="C678" t="inlineStr">
        <is>
          <t>U-KR358-01-03</t>
        </is>
      </c>
      <c r="D678" t="inlineStr">
        <is>
          <t>Kebun Raya</t>
        </is>
      </c>
      <c r="E678" t="inlineStr">
        <is>
          <t>daniel ong</t>
        </is>
      </c>
      <c r="F678" t="inlineStr">
        <is>
          <t>Routine</t>
        </is>
      </c>
      <c r="G678" t="inlineStr">
        <is>
          <t>DISPLAY_ENCROACH</t>
        </is>
      </c>
      <c r="H678" t="inlineStr">
        <is>
          <t>Minor Breach</t>
        </is>
      </c>
      <c r="I678" s="6" t="n">
        <v>46140</v>
      </c>
      <c r="J678" s="6" t="n">
        <v>46147</v>
      </c>
      <c r="K678">
        <f>IF(J678="","",J678-B678)</f>
        <v/>
      </c>
      <c r="L678">
        <f>IF(H678="Compliant","N/A",IF(J678&lt;&gt;"","Closed",IF(I678&lt;DATE(2026,9,30),"OVERDUE","Open")))</f>
        <v/>
      </c>
    </row>
    <row r="679">
      <c r="A679" t="inlineStr">
        <is>
          <t>INSP-2026-0678</t>
        </is>
      </c>
      <c r="B679" s="6" t="n">
        <v>46127</v>
      </c>
      <c r="C679" t="inlineStr">
        <is>
          <t>U-KR358-01-07</t>
        </is>
      </c>
      <c r="D679" t="inlineStr">
        <is>
          <t>Kebun Raya</t>
        </is>
      </c>
      <c r="E679" t="inlineStr">
        <is>
          <t>Daniel O.</t>
        </is>
      </c>
      <c r="F679" t="inlineStr">
        <is>
          <t>Follow-up</t>
        </is>
      </c>
      <c r="G679" t="inlineStr">
        <is>
          <t>NONE</t>
        </is>
      </c>
      <c r="H679" t="inlineStr">
        <is>
          <t>Compliant</t>
        </is>
      </c>
      <c r="I679" s="6" t="n"/>
      <c r="J679" s="6" t="n"/>
      <c r="K679">
        <f>IF(J679="","",J679-B679)</f>
        <v/>
      </c>
      <c r="L679">
        <f>IF(H679="Compliant","N/A",IF(J679&lt;&gt;"","Closed",IF(I679&lt;DATE(2026,9,30),"OVERDUE","Open")))</f>
        <v/>
      </c>
    </row>
    <row r="680">
      <c r="A680" t="inlineStr">
        <is>
          <t>INSP-2026-0679</t>
        </is>
      </c>
      <c r="B680" s="6" t="n">
        <v>46127</v>
      </c>
      <c r="C680" t="inlineStr">
        <is>
          <t>U-CD170-01-03</t>
        </is>
      </c>
      <c r="D680" t="inlineStr">
        <is>
          <t>Cendana</t>
        </is>
      </c>
      <c r="E680" t="inlineStr">
        <is>
          <t>daniel ong</t>
        </is>
      </c>
      <c r="F680" t="inlineStr">
        <is>
          <t>Routine</t>
        </is>
      </c>
      <c r="G680" t="inlineStr">
        <is>
          <t>NONE</t>
        </is>
      </c>
      <c r="H680" t="inlineStr">
        <is>
          <t>Compliant</t>
        </is>
      </c>
      <c r="I680" s="6" t="n"/>
      <c r="J680" s="6" t="n"/>
      <c r="K680">
        <f>IF(J680="","",J680-B680)</f>
        <v/>
      </c>
      <c r="L680">
        <f>IF(H680="Compliant","N/A",IF(J680&lt;&gt;"","Closed",IF(I680&lt;DATE(2026,9,30),"OVERDUE","Open")))</f>
        <v/>
      </c>
    </row>
    <row r="681">
      <c r="A681" t="inlineStr">
        <is>
          <t>INSP-2026-0680</t>
        </is>
      </c>
      <c r="B681" s="6" t="n">
        <v>46127</v>
      </c>
      <c r="C681" t="inlineStr">
        <is>
          <t>U-CD136-01-13</t>
        </is>
      </c>
      <c r="D681" t="inlineStr">
        <is>
          <t>Cendana</t>
        </is>
      </c>
      <c r="E681" t="inlineStr">
        <is>
          <t>M. Lim</t>
        </is>
      </c>
      <c r="F681" t="inlineStr">
        <is>
          <t>Follow-up</t>
        </is>
      </c>
      <c r="G681" t="inlineStr">
        <is>
          <t>NONE</t>
        </is>
      </c>
      <c r="H681" t="inlineStr">
        <is>
          <t>Compliant</t>
        </is>
      </c>
      <c r="I681" s="6" t="n"/>
      <c r="J681" s="6" t="n"/>
      <c r="K681">
        <f>IF(J681="","",J681-B681)</f>
        <v/>
      </c>
      <c r="L681">
        <f>IF(H681="Compliant","N/A",IF(J681&lt;&gt;"","Closed",IF(I681&lt;DATE(2026,9,30),"OVERDUE","Open")))</f>
        <v/>
      </c>
    </row>
    <row r="682">
      <c r="A682" t="inlineStr">
        <is>
          <t>INSP-2026-0681</t>
        </is>
      </c>
      <c r="B682" s="6" t="n">
        <v>46127</v>
      </c>
      <c r="C682" t="inlineStr">
        <is>
          <t>U-CD165-01-03</t>
        </is>
      </c>
      <c r="D682" t="inlineStr">
        <is>
          <t>Cendana</t>
        </is>
      </c>
      <c r="E682" t="inlineStr">
        <is>
          <t>daniel ong</t>
        </is>
      </c>
      <c r="F682" t="inlineStr">
        <is>
          <t>Routine</t>
        </is>
      </c>
      <c r="G682" t="inlineStr">
        <is>
          <t>NONE</t>
        </is>
      </c>
      <c r="H682" t="inlineStr">
        <is>
          <t>Compliant</t>
        </is>
      </c>
      <c r="I682" s="6" t="n"/>
      <c r="J682" s="6" t="n"/>
      <c r="K682">
        <f>IF(J682="","",J682-B682)</f>
        <v/>
      </c>
      <c r="L682">
        <f>IF(H682="Compliant","N/A",IF(J682&lt;&gt;"","Closed",IF(I682&lt;DATE(2026,9,30),"OVERDUE","Open")))</f>
        <v/>
      </c>
    </row>
    <row r="683">
      <c r="A683" t="inlineStr">
        <is>
          <t>INSP-2026-0682</t>
        </is>
      </c>
      <c r="B683" s="6" t="n">
        <v>46127</v>
      </c>
      <c r="C683" t="inlineStr">
        <is>
          <t>U-PI642-01-02</t>
        </is>
      </c>
      <c r="D683" t="inlineStr">
        <is>
          <t>Pasir Indah</t>
        </is>
      </c>
      <c r="E683" t="inlineStr">
        <is>
          <t>Marcus Lim</t>
        </is>
      </c>
      <c r="F683" t="inlineStr">
        <is>
          <t>Routine</t>
        </is>
      </c>
      <c r="G683" t="inlineStr">
        <is>
          <t>NONE</t>
        </is>
      </c>
      <c r="H683" t="inlineStr">
        <is>
          <t>Compliant</t>
        </is>
      </c>
      <c r="I683" s="6" t="n"/>
      <c r="J683" s="6" t="n"/>
      <c r="K683">
        <f>IF(J683="","",J683-B683)</f>
        <v/>
      </c>
      <c r="L683">
        <f>IF(H683="Compliant","N/A",IF(J683&lt;&gt;"","Closed",IF(I683&lt;DATE(2026,9,30),"OVERDUE","Open")))</f>
        <v/>
      </c>
    </row>
    <row r="684">
      <c r="A684" t="inlineStr">
        <is>
          <t>INSP-2026-0683</t>
        </is>
      </c>
      <c r="B684" s="6" t="n">
        <v>46128</v>
      </c>
      <c r="C684" t="inlineStr">
        <is>
          <t>U-CD173-01-10</t>
        </is>
      </c>
      <c r="D684" t="inlineStr">
        <is>
          <t>Cendana</t>
        </is>
      </c>
      <c r="E684" t="inlineStr">
        <is>
          <t>Daniel O.</t>
        </is>
      </c>
      <c r="F684" t="inlineStr">
        <is>
          <t>Routine</t>
        </is>
      </c>
      <c r="G684" t="inlineStr">
        <is>
          <t>DISPLAY_ENCROACH</t>
        </is>
      </c>
      <c r="H684" t="inlineStr">
        <is>
          <t>Minor Breach</t>
        </is>
      </c>
      <c r="I684" s="6" t="n">
        <v>46142</v>
      </c>
      <c r="J684" s="6" t="n">
        <v>46144</v>
      </c>
      <c r="K684">
        <f>IF(J684="","",J684-B684)</f>
        <v/>
      </c>
      <c r="L684">
        <f>IF(H684="Compliant","N/A",IF(J684&lt;&gt;"","Closed",IF(I684&lt;DATE(2026,9,30),"OVERDUE","Open")))</f>
        <v/>
      </c>
    </row>
    <row r="685">
      <c r="A685" t="inlineStr">
        <is>
          <t>INSP-2026-0684</t>
        </is>
      </c>
      <c r="B685" s="6" t="n">
        <v>46128</v>
      </c>
      <c r="C685" t="inlineStr">
        <is>
          <t>U-CD105-01-05</t>
        </is>
      </c>
      <c r="D685" t="inlineStr">
        <is>
          <t>Cendana</t>
        </is>
      </c>
      <c r="E685" t="inlineStr">
        <is>
          <t>marcus</t>
        </is>
      </c>
      <c r="F685" t="inlineStr">
        <is>
          <t>Follow-up</t>
        </is>
      </c>
      <c r="G685" t="inlineStr">
        <is>
          <t>NONE</t>
        </is>
      </c>
      <c r="H685" t="inlineStr">
        <is>
          <t>Compliant</t>
        </is>
      </c>
      <c r="I685" s="6" t="n"/>
      <c r="J685" s="6" t="n"/>
      <c r="K685">
        <f>IF(J685="","",J685-B685)</f>
        <v/>
      </c>
      <c r="L685">
        <f>IF(H685="Compliant","N/A",IF(J685&lt;&gt;"","Closed",IF(I685&lt;DATE(2026,9,30),"OVERDUE","Open")))</f>
        <v/>
      </c>
    </row>
    <row r="686">
      <c r="A686" t="inlineStr">
        <is>
          <t>INSP-2026-0685</t>
        </is>
      </c>
      <c r="B686" s="6" t="n">
        <v>46128</v>
      </c>
      <c r="C686" t="inlineStr">
        <is>
          <t>U-PI678-01-08</t>
        </is>
      </c>
      <c r="D686" t="inlineStr">
        <is>
          <t>Pasir Indah</t>
        </is>
      </c>
      <c r="E686" t="inlineStr">
        <is>
          <t>Daniel O.</t>
        </is>
      </c>
      <c r="F686" t="inlineStr">
        <is>
          <t>Routine</t>
        </is>
      </c>
      <c r="G686" t="inlineStr">
        <is>
          <t>NONE</t>
        </is>
      </c>
      <c r="H686" t="inlineStr">
        <is>
          <t>Compliant</t>
        </is>
      </c>
      <c r="I686" s="6" t="n"/>
      <c r="J686" s="6" t="n"/>
      <c r="K686">
        <f>IF(J686="","",J686-B686)</f>
        <v/>
      </c>
      <c r="L686">
        <f>IF(H686="Compliant","N/A",IF(J686&lt;&gt;"","Closed",IF(I686&lt;DATE(2026,9,30),"OVERDUE","Open")))</f>
        <v/>
      </c>
    </row>
    <row r="687">
      <c r="A687" t="inlineStr">
        <is>
          <t>INSP-2026-0686</t>
        </is>
      </c>
      <c r="B687" s="6" t="n">
        <v>46128</v>
      </c>
      <c r="C687" t="inlineStr">
        <is>
          <t>U-BV229-01-07</t>
        </is>
      </c>
      <c r="D687" t="inlineStr">
        <is>
          <t>Bayshore Vale</t>
        </is>
      </c>
      <c r="E687" t="inlineStr">
        <is>
          <t>Daniel Ong</t>
        </is>
      </c>
      <c r="F687" t="inlineStr">
        <is>
          <t>Routine</t>
        </is>
      </c>
      <c r="G687" t="inlineStr">
        <is>
          <t>NONE</t>
        </is>
      </c>
      <c r="H687" t="inlineStr">
        <is>
          <t>Compliant</t>
        </is>
      </c>
      <c r="I687" s="6" t="n"/>
      <c r="J687" s="6" t="n"/>
      <c r="K687">
        <f>IF(J687="","",J687-B687)</f>
        <v/>
      </c>
      <c r="L687">
        <f>IF(H687="Compliant","N/A",IF(J687&lt;&gt;"","Closed",IF(I687&lt;DATE(2026,9,30),"OVERDUE","Open")))</f>
        <v/>
      </c>
    </row>
    <row r="688">
      <c r="A688" t="inlineStr">
        <is>
          <t>INSP-2026-0687</t>
        </is>
      </c>
      <c r="B688" s="6" t="n">
        <v>46128</v>
      </c>
      <c r="C688" t="inlineStr">
        <is>
          <t>U-ST518-01-02</t>
        </is>
      </c>
      <c r="D688" t="inlineStr">
        <is>
          <t>Sungai Tinggi</t>
        </is>
      </c>
      <c r="E688" t="inlineStr">
        <is>
          <t>Ben Ho</t>
        </is>
      </c>
      <c r="F688" t="inlineStr">
        <is>
          <t>Follow-up</t>
        </is>
      </c>
      <c r="G688" t="inlineStr">
        <is>
          <t>NONE</t>
        </is>
      </c>
      <c r="H688" t="inlineStr">
        <is>
          <t>Compliant</t>
        </is>
      </c>
      <c r="I688" s="6" t="n"/>
      <c r="J688" s="6" t="n"/>
      <c r="K688">
        <f>IF(J688="","",J688-B688)</f>
        <v/>
      </c>
      <c r="L688">
        <f>IF(H688="Compliant","N/A",IF(J688&lt;&gt;"","Closed",IF(I688&lt;DATE(2026,9,30),"OVERDUE","Open")))</f>
        <v/>
      </c>
    </row>
    <row r="689">
      <c r="A689" t="inlineStr">
        <is>
          <t>INSP-2026-0688</t>
        </is>
      </c>
      <c r="B689" s="6" t="n">
        <v>46128</v>
      </c>
      <c r="C689" t="inlineStr">
        <is>
          <t>U-KR345-01-09</t>
        </is>
      </c>
      <c r="D689" t="inlineStr">
        <is>
          <t>Kebun Raya</t>
        </is>
      </c>
      <c r="E689" t="inlineStr">
        <is>
          <t>Daniel O.</t>
        </is>
      </c>
      <c r="F689" t="inlineStr">
        <is>
          <t>Routine</t>
        </is>
      </c>
      <c r="G689" t="inlineStr">
        <is>
          <t>NONE</t>
        </is>
      </c>
      <c r="H689" t="inlineStr">
        <is>
          <t>Compliant</t>
        </is>
      </c>
      <c r="I689" s="6" t="n"/>
      <c r="J689" s="6" t="n"/>
      <c r="K689">
        <f>IF(J689="","",J689-B689)</f>
        <v/>
      </c>
      <c r="L689">
        <f>IF(H689="Compliant","N/A",IF(J689&lt;&gt;"","Closed",IF(I689&lt;DATE(2026,9,30),"OVERDUE","Open")))</f>
        <v/>
      </c>
    </row>
    <row r="690">
      <c r="A690" t="inlineStr">
        <is>
          <t>INSP-2026-0689</t>
        </is>
      </c>
      <c r="B690" s="6" t="n">
        <v>46128</v>
      </c>
      <c r="C690" t="inlineStr">
        <is>
          <t>U-KR353-01-02</t>
        </is>
      </c>
      <c r="D690" t="inlineStr">
        <is>
          <t>Kebun Raya</t>
        </is>
      </c>
      <c r="E690" t="inlineStr">
        <is>
          <t>B. Ho</t>
        </is>
      </c>
      <c r="F690" t="inlineStr">
        <is>
          <t>Complaint-driven</t>
        </is>
      </c>
      <c r="G690" t="inlineStr">
        <is>
          <t>NONE</t>
        </is>
      </c>
      <c r="H690" t="inlineStr">
        <is>
          <t>Compliant</t>
        </is>
      </c>
      <c r="I690" s="6" t="n"/>
      <c r="J690" s="6" t="n"/>
      <c r="K690">
        <f>IF(J690="","",J690-B690)</f>
        <v/>
      </c>
      <c r="L690">
        <f>IF(H690="Compliant","N/A",IF(J690&lt;&gt;"","Closed",IF(I690&lt;DATE(2026,9,30),"OVERDUE","Open")))</f>
        <v/>
      </c>
    </row>
    <row r="691">
      <c r="A691" t="inlineStr">
        <is>
          <t>INSP-2026-0690</t>
        </is>
      </c>
      <c r="B691" s="6" t="n">
        <v>46128</v>
      </c>
      <c r="C691" t="inlineStr">
        <is>
          <t>U-CD108-01-09</t>
        </is>
      </c>
      <c r="D691" t="inlineStr">
        <is>
          <t>Cendana</t>
        </is>
      </c>
      <c r="E691" t="inlineStr">
        <is>
          <t>marcus</t>
        </is>
      </c>
      <c r="F691" t="inlineStr">
        <is>
          <t>Follow-up</t>
        </is>
      </c>
      <c r="G691" t="inlineStr">
        <is>
          <t>NONE</t>
        </is>
      </c>
      <c r="H691" t="inlineStr">
        <is>
          <t>Compliant</t>
        </is>
      </c>
      <c r="I691" s="6" t="n"/>
      <c r="J691" s="6" t="n"/>
      <c r="K691">
        <f>IF(J691="","",J691-B691)</f>
        <v/>
      </c>
      <c r="L691">
        <f>IF(H691="Compliant","N/A",IF(J691&lt;&gt;"","Closed",IF(I691&lt;DATE(2026,9,30),"OVERDUE","Open")))</f>
        <v/>
      </c>
    </row>
    <row r="692">
      <c r="A692" t="inlineStr">
        <is>
          <t>INSP-2026-0691</t>
        </is>
      </c>
      <c r="B692" s="6" t="n">
        <v>46128</v>
      </c>
      <c r="C692" t="inlineStr">
        <is>
          <t>U-ST501-01-03</t>
        </is>
      </c>
      <c r="D692" t="inlineStr">
        <is>
          <t>Sungai Tinggi</t>
        </is>
      </c>
      <c r="E692" t="inlineStr">
        <is>
          <t>daniel ong</t>
        </is>
      </c>
      <c r="F692" t="inlineStr">
        <is>
          <t>Routine</t>
        </is>
      </c>
      <c r="G692" t="inlineStr">
        <is>
          <t>DISPLAY_ENCROACH</t>
        </is>
      </c>
      <c r="H692" t="inlineStr">
        <is>
          <t>Minor Breach</t>
        </is>
      </c>
      <c r="I692" s="6" t="n">
        <v>46142</v>
      </c>
      <c r="J692" s="6" t="n"/>
      <c r="K692">
        <f>IF(J692="","",J692-B692)</f>
        <v/>
      </c>
      <c r="L692">
        <f>IF(H692="Compliant","N/A",IF(J692&lt;&gt;"","Closed",IF(I692&lt;DATE(2026,9,30),"OVERDUE","Open")))</f>
        <v/>
      </c>
    </row>
    <row r="693">
      <c r="A693" t="inlineStr">
        <is>
          <t>INSP-2026-0692</t>
        </is>
      </c>
      <c r="B693" s="6" t="n">
        <v>46128</v>
      </c>
      <c r="C693" t="inlineStr">
        <is>
          <t>U-RH471-01-02</t>
        </is>
      </c>
      <c r="D693" t="inlineStr">
        <is>
          <t>Rimba Heights</t>
        </is>
      </c>
      <c r="E693" t="inlineStr">
        <is>
          <t>D. Ong</t>
        </is>
      </c>
      <c r="F693" t="inlineStr">
        <is>
          <t>Follow-up</t>
        </is>
      </c>
      <c r="G693" t="inlineStr">
        <is>
          <t>NONE</t>
        </is>
      </c>
      <c r="H693" t="inlineStr">
        <is>
          <t>Compliant</t>
        </is>
      </c>
      <c r="I693" s="6" t="n"/>
      <c r="J693" s="6" t="n"/>
      <c r="K693">
        <f>IF(J693="","",J693-B693)</f>
        <v/>
      </c>
      <c r="L693">
        <f>IF(H693="Compliant","N/A",IF(J693&lt;&gt;"","Closed",IF(I693&lt;DATE(2026,9,30),"OVERDUE","Open")))</f>
        <v/>
      </c>
    </row>
    <row r="694">
      <c r="A694" t="inlineStr">
        <is>
          <t>INSP-2026-0693</t>
        </is>
      </c>
      <c r="B694" s="6" t="n">
        <v>46128</v>
      </c>
      <c r="C694" t="inlineStr">
        <is>
          <t>U-BV214-01-33</t>
        </is>
      </c>
      <c r="D694" t="inlineStr">
        <is>
          <t>Bayshore Vale</t>
        </is>
      </c>
      <c r="E694" t="inlineStr">
        <is>
          <t>Daniel O.</t>
        </is>
      </c>
      <c r="F694" t="inlineStr">
        <is>
          <t>Routine</t>
        </is>
      </c>
      <c r="G694" t="inlineStr">
        <is>
          <t>NONE</t>
        </is>
      </c>
      <c r="H694" t="inlineStr">
        <is>
          <t>Compliant</t>
        </is>
      </c>
      <c r="I694" s="6" t="n"/>
      <c r="J694" s="6" t="n"/>
      <c r="K694">
        <f>IF(J694="","",J694-B694)</f>
        <v/>
      </c>
      <c r="L694">
        <f>IF(H694="Compliant","N/A",IF(J694&lt;&gt;"","Closed",IF(I694&lt;DATE(2026,9,30),"OVERDUE","Open")))</f>
        <v/>
      </c>
    </row>
    <row r="695">
      <c r="A695" t="inlineStr">
        <is>
          <t>INSP-2026-0694</t>
        </is>
      </c>
      <c r="B695" s="6" t="n">
        <v>46128</v>
      </c>
      <c r="C695" t="inlineStr">
        <is>
          <t>U-PI601-01-03</t>
        </is>
      </c>
      <c r="D695" t="inlineStr">
        <is>
          <t>Pasir Indah</t>
        </is>
      </c>
      <c r="E695" t="inlineStr">
        <is>
          <t>marcus</t>
        </is>
      </c>
      <c r="F695" t="inlineStr">
        <is>
          <t>Follow-up</t>
        </is>
      </c>
      <c r="G695" t="inlineStr">
        <is>
          <t>NONE</t>
        </is>
      </c>
      <c r="H695" t="inlineStr">
        <is>
          <t>Compliant</t>
        </is>
      </c>
      <c r="I695" s="6" t="n"/>
      <c r="J695" s="6" t="n"/>
      <c r="K695">
        <f>IF(J695="","",J695-B695)</f>
        <v/>
      </c>
      <c r="L695">
        <f>IF(H695="Compliant","N/A",IF(J695&lt;&gt;"","Closed",IF(I695&lt;DATE(2026,9,30),"OVERDUE","Open")))</f>
        <v/>
      </c>
    </row>
    <row r="696">
      <c r="A696" t="inlineStr">
        <is>
          <t>INSP-2026-0695</t>
        </is>
      </c>
      <c r="B696" s="6" t="n">
        <v>46128</v>
      </c>
      <c r="C696" t="inlineStr">
        <is>
          <t>U-BV277-01-03</t>
        </is>
      </c>
      <c r="D696" t="inlineStr">
        <is>
          <t>Bayshore Vale</t>
        </is>
      </c>
      <c r="E696" t="inlineStr">
        <is>
          <t>Daniel Ong</t>
        </is>
      </c>
      <c r="F696" t="inlineStr">
        <is>
          <t>Complaint-driven</t>
        </is>
      </c>
      <c r="G696" t="inlineStr">
        <is>
          <t>NONE</t>
        </is>
      </c>
      <c r="H696" t="inlineStr">
        <is>
          <t>Compliant</t>
        </is>
      </c>
      <c r="I696" s="6" t="n"/>
      <c r="J696" s="6" t="n"/>
      <c r="K696">
        <f>IF(J696="","",J696-B696)</f>
        <v/>
      </c>
      <c r="L696">
        <f>IF(H696="Compliant","N/A",IF(J696&lt;&gt;"","Closed",IF(I696&lt;DATE(2026,9,30),"OVERDUE","Open")))</f>
        <v/>
      </c>
    </row>
    <row r="697">
      <c r="A697" t="inlineStr">
        <is>
          <t>INSP-2026-0696</t>
        </is>
      </c>
      <c r="B697" s="6" t="n">
        <v>46128</v>
      </c>
      <c r="C697" t="inlineStr">
        <is>
          <t>U-KR329-01-01</t>
        </is>
      </c>
      <c r="D697" t="inlineStr">
        <is>
          <t>Kebun Raya</t>
        </is>
      </c>
      <c r="E697" t="inlineStr">
        <is>
          <t>B. Ho</t>
        </is>
      </c>
      <c r="F697" t="inlineStr">
        <is>
          <t>Follow-up</t>
        </is>
      </c>
      <c r="G697" t="inlineStr">
        <is>
          <t>NONE</t>
        </is>
      </c>
      <c r="H697" t="inlineStr">
        <is>
          <t>Compliant</t>
        </is>
      </c>
      <c r="I697" s="6" t="n"/>
      <c r="J697" s="6" t="n"/>
      <c r="K697">
        <f>IF(J697="","",J697-B697)</f>
        <v/>
      </c>
      <c r="L697">
        <f>IF(H697="Compliant","N/A",IF(J697&lt;&gt;"","Closed",IF(I697&lt;DATE(2026,9,30),"OVERDUE","Open")))</f>
        <v/>
      </c>
    </row>
    <row r="698">
      <c r="A698" t="inlineStr">
        <is>
          <t>INSP-2026-0697</t>
        </is>
      </c>
      <c r="B698" s="6" t="n">
        <v>46129</v>
      </c>
      <c r="C698" t="inlineStr">
        <is>
          <t>U-CD135-01-04</t>
        </is>
      </c>
      <c r="D698" t="inlineStr">
        <is>
          <t>Cendana</t>
        </is>
      </c>
      <c r="E698" t="inlineStr">
        <is>
          <t>Marcus Lim</t>
        </is>
      </c>
      <c r="F698" t="inlineStr">
        <is>
          <t>Routine</t>
        </is>
      </c>
      <c r="G698" t="inlineStr">
        <is>
          <t>HYGIENE</t>
        </is>
      </c>
      <c r="H698" t="inlineStr">
        <is>
          <t>Minor Breach</t>
        </is>
      </c>
      <c r="I698" s="6" t="n">
        <v>46143</v>
      </c>
      <c r="J698" s="6" t="n">
        <v>46153</v>
      </c>
      <c r="K698">
        <f>IF(J698="","",J698-B698)</f>
        <v/>
      </c>
      <c r="L698">
        <f>IF(H698="Compliant","N/A",IF(J698&lt;&gt;"","Closed",IF(I698&lt;DATE(2026,9,30),"OVERDUE","Open")))</f>
        <v/>
      </c>
    </row>
    <row r="699">
      <c r="A699" t="inlineStr">
        <is>
          <t>INSP-2026-0698</t>
        </is>
      </c>
      <c r="B699" s="6" t="n">
        <v>46129</v>
      </c>
      <c r="C699" t="inlineStr">
        <is>
          <t>U-PI667-02-07</t>
        </is>
      </c>
      <c r="D699" t="inlineStr">
        <is>
          <t>Pasir Indah</t>
        </is>
      </c>
      <c r="E699" t="inlineStr">
        <is>
          <t>D. Ong</t>
        </is>
      </c>
      <c r="F699" t="inlineStr">
        <is>
          <t>Routine</t>
        </is>
      </c>
      <c r="G699" t="inlineStr">
        <is>
          <t>NONE</t>
        </is>
      </c>
      <c r="H699" t="inlineStr">
        <is>
          <t>Compliant</t>
        </is>
      </c>
      <c r="I699" s="6" t="n"/>
      <c r="J699" s="6" t="n"/>
      <c r="K699">
        <f>IF(J699="","",J699-B699)</f>
        <v/>
      </c>
      <c r="L699">
        <f>IF(H699="Compliant","N/A",IF(J699&lt;&gt;"","Closed",IF(I699&lt;DATE(2026,9,30),"OVERDUE","Open")))</f>
        <v/>
      </c>
    </row>
    <row r="700">
      <c r="A700" t="inlineStr">
        <is>
          <t>INSP-2026-0699</t>
        </is>
      </c>
      <c r="B700" s="6" t="n">
        <v>46129</v>
      </c>
      <c r="C700" t="inlineStr">
        <is>
          <t>U-KR349-01-07</t>
        </is>
      </c>
      <c r="D700" t="inlineStr">
        <is>
          <t>Kebun Raya</t>
        </is>
      </c>
      <c r="E700" t="inlineStr">
        <is>
          <t>Daniel Ong</t>
        </is>
      </c>
      <c r="F700" t="inlineStr">
        <is>
          <t>Routine</t>
        </is>
      </c>
      <c r="G700" t="inlineStr">
        <is>
          <t>NONE</t>
        </is>
      </c>
      <c r="H700" t="inlineStr">
        <is>
          <t>Compliant</t>
        </is>
      </c>
      <c r="I700" s="6" t="n"/>
      <c r="J700" s="6" t="n"/>
      <c r="K700">
        <f>IF(J700="","",J700-B700)</f>
        <v/>
      </c>
      <c r="L700">
        <f>IF(H700="Compliant","N/A",IF(J700&lt;&gt;"","Closed",IF(I700&lt;DATE(2026,9,30),"OVERDUE","Open")))</f>
        <v/>
      </c>
    </row>
    <row r="701">
      <c r="A701" t="inlineStr">
        <is>
          <t>INSP-2026-0700</t>
        </is>
      </c>
      <c r="B701" s="6" t="n">
        <v>46130</v>
      </c>
      <c r="C701" t="inlineStr">
        <is>
          <t>U-PI684-01-06</t>
        </is>
      </c>
      <c r="D701" t="inlineStr">
        <is>
          <t>Pasir Indah</t>
        </is>
      </c>
      <c r="E701" t="inlineStr">
        <is>
          <t>D. Ong</t>
        </is>
      </c>
      <c r="F701" t="inlineStr">
        <is>
          <t>Follow-up</t>
        </is>
      </c>
      <c r="G701" t="inlineStr">
        <is>
          <t>NONE</t>
        </is>
      </c>
      <c r="H701" t="inlineStr">
        <is>
          <t>Compliant</t>
        </is>
      </c>
      <c r="I701" s="6" t="n"/>
      <c r="J701" s="6" t="n"/>
      <c r="K701">
        <f>IF(J701="","",J701-B701)</f>
        <v/>
      </c>
      <c r="L701">
        <f>IF(H701="Compliant","N/A",IF(J701&lt;&gt;"","Closed",IF(I701&lt;DATE(2026,9,30),"OVERDUE","Open")))</f>
        <v/>
      </c>
    </row>
    <row r="702">
      <c r="A702" t="inlineStr">
        <is>
          <t>INSP-2026-0701</t>
        </is>
      </c>
      <c r="B702" s="6" t="n">
        <v>46130</v>
      </c>
      <c r="C702" t="inlineStr">
        <is>
          <t>U-ST513-01-04</t>
        </is>
      </c>
      <c r="D702" t="inlineStr">
        <is>
          <t>Sungai Tinggi</t>
        </is>
      </c>
      <c r="E702" t="inlineStr">
        <is>
          <t>Benjamin Ho</t>
        </is>
      </c>
      <c r="F702" t="inlineStr">
        <is>
          <t>Complaint-driven</t>
        </is>
      </c>
      <c r="G702" t="inlineStr">
        <is>
          <t>NONE</t>
        </is>
      </c>
      <c r="H702" t="inlineStr">
        <is>
          <t>Compliant</t>
        </is>
      </c>
      <c r="I702" s="6" t="n"/>
      <c r="J702" s="6" t="n"/>
      <c r="K702">
        <f>IF(J702="","",J702-B702)</f>
        <v/>
      </c>
      <c r="L702">
        <f>IF(H702="Compliant","N/A",IF(J702&lt;&gt;"","Closed",IF(I702&lt;DATE(2026,9,30),"OVERDUE","Open")))</f>
        <v/>
      </c>
    </row>
    <row r="703">
      <c r="A703" t="inlineStr">
        <is>
          <t>INSP-2026-0702</t>
        </is>
      </c>
      <c r="B703" s="6" t="n">
        <v>46130</v>
      </c>
      <c r="C703" t="inlineStr">
        <is>
          <t>U-KR345-01-01</t>
        </is>
      </c>
      <c r="D703" t="inlineStr">
        <is>
          <t>Kebun Raya</t>
        </is>
      </c>
      <c r="E703" t="inlineStr">
        <is>
          <t>Ben Ho</t>
        </is>
      </c>
      <c r="F703" t="inlineStr">
        <is>
          <t>Routine</t>
        </is>
      </c>
      <c r="G703" t="inlineStr">
        <is>
          <t>NONE</t>
        </is>
      </c>
      <c r="H703" t="inlineStr">
        <is>
          <t>Compliant</t>
        </is>
      </c>
      <c r="I703" s="6" t="n"/>
      <c r="J703" s="6" t="n"/>
      <c r="K703">
        <f>IF(J703="","",J703-B703)</f>
        <v/>
      </c>
      <c r="L703">
        <f>IF(H703="Compliant","N/A",IF(J703&lt;&gt;"","Closed",IF(I703&lt;DATE(2026,9,30),"OVERDUE","Open")))</f>
        <v/>
      </c>
    </row>
    <row r="704">
      <c r="A704" t="inlineStr">
        <is>
          <t>INSP-2026-0703</t>
        </is>
      </c>
      <c r="B704" s="6" t="n">
        <v>46130</v>
      </c>
      <c r="C704" t="inlineStr">
        <is>
          <t>U-ST536-01-07</t>
        </is>
      </c>
      <c r="D704" t="inlineStr">
        <is>
          <t>Sungai Tinggi</t>
        </is>
      </c>
      <c r="E704" t="inlineStr">
        <is>
          <t>Daniel Ong</t>
        </is>
      </c>
      <c r="F704" t="inlineStr">
        <is>
          <t>Routine</t>
        </is>
      </c>
      <c r="G704" t="inlineStr">
        <is>
          <t>NONE</t>
        </is>
      </c>
      <c r="H704" t="inlineStr">
        <is>
          <t>Compliant</t>
        </is>
      </c>
      <c r="I704" s="6" t="n"/>
      <c r="J704" s="6" t="n"/>
      <c r="K704">
        <f>IF(J704="","",J704-B704)</f>
        <v/>
      </c>
      <c r="L704">
        <f>IF(H704="Compliant","N/A",IF(J704&lt;&gt;"","Closed",IF(I704&lt;DATE(2026,9,30),"OVERDUE","Open")))</f>
        <v/>
      </c>
    </row>
    <row r="705">
      <c r="A705" t="inlineStr">
        <is>
          <t>INSP-2026-0704</t>
        </is>
      </c>
      <c r="B705" s="6" t="n">
        <v>46130</v>
      </c>
      <c r="C705" t="inlineStr">
        <is>
          <t>U-RH482-01-05</t>
        </is>
      </c>
      <c r="D705" t="inlineStr">
        <is>
          <t>Rimba Heights</t>
        </is>
      </c>
      <c r="E705" t="inlineStr">
        <is>
          <t>Daniel O.</t>
        </is>
      </c>
      <c r="F705" t="inlineStr">
        <is>
          <t>Routine</t>
        </is>
      </c>
      <c r="G705" t="inlineStr">
        <is>
          <t>NONE</t>
        </is>
      </c>
      <c r="H705" t="inlineStr">
        <is>
          <t>Compliant</t>
        </is>
      </c>
      <c r="I705" s="6" t="n"/>
      <c r="J705" s="6" t="n"/>
      <c r="K705">
        <f>IF(J705="","",J705-B705)</f>
        <v/>
      </c>
      <c r="L705">
        <f>IF(H705="Compliant","N/A",IF(J705&lt;&gt;"","Closed",IF(I705&lt;DATE(2026,9,30),"OVERDUE","Open")))</f>
        <v/>
      </c>
    </row>
    <row r="706">
      <c r="A706" t="inlineStr">
        <is>
          <t>INSP-2026-0705</t>
        </is>
      </c>
      <c r="B706" s="6" t="n">
        <v>46130</v>
      </c>
      <c r="C706" t="inlineStr">
        <is>
          <t>U-RH441-01-03</t>
        </is>
      </c>
      <c r="D706" t="inlineStr">
        <is>
          <t>Rimba Heights</t>
        </is>
      </c>
      <c r="E706" t="inlineStr">
        <is>
          <t>daniel ong</t>
        </is>
      </c>
      <c r="F706" t="inlineStr">
        <is>
          <t>Routine</t>
        </is>
      </c>
      <c r="G706" t="inlineStr">
        <is>
          <t>NONE</t>
        </is>
      </c>
      <c r="H706" t="inlineStr">
        <is>
          <t>Compliant</t>
        </is>
      </c>
      <c r="I706" s="6" t="n"/>
      <c r="J706" s="6" t="n"/>
      <c r="K706">
        <f>IF(J706="","",J706-B706)</f>
        <v/>
      </c>
      <c r="L706">
        <f>IF(H706="Compliant","N/A",IF(J706&lt;&gt;"","Closed",IF(I706&lt;DATE(2026,9,30),"OVERDUE","Open")))</f>
        <v/>
      </c>
    </row>
    <row r="707">
      <c r="A707" t="inlineStr">
        <is>
          <t>INSP-2026-0706</t>
        </is>
      </c>
      <c r="B707" s="6" t="n">
        <v>46130</v>
      </c>
      <c r="C707" t="inlineStr">
        <is>
          <t>U-BV277-01-11</t>
        </is>
      </c>
      <c r="D707" t="inlineStr">
        <is>
          <t>Bayshore Vale</t>
        </is>
      </c>
      <c r="E707" t="inlineStr">
        <is>
          <t>Marcus Lim</t>
        </is>
      </c>
      <c r="F707" t="inlineStr">
        <is>
          <t>Routine</t>
        </is>
      </c>
      <c r="G707" t="inlineStr">
        <is>
          <t>NONE</t>
        </is>
      </c>
      <c r="H707" t="inlineStr">
        <is>
          <t>Compliant</t>
        </is>
      </c>
      <c r="I707" s="6" t="n"/>
      <c r="J707" s="6" t="n"/>
      <c r="K707">
        <f>IF(J707="","",J707-B707)</f>
        <v/>
      </c>
      <c r="L707">
        <f>IF(H707="Compliant","N/A",IF(J707&lt;&gt;"","Closed",IF(I707&lt;DATE(2026,9,30),"OVERDUE","Open")))</f>
        <v/>
      </c>
    </row>
    <row r="708">
      <c r="A708" t="inlineStr">
        <is>
          <t>INSP-2026-0707</t>
        </is>
      </c>
      <c r="B708" s="6" t="n">
        <v>46130</v>
      </c>
      <c r="C708" t="inlineStr">
        <is>
          <t>U-ST536-01-03</t>
        </is>
      </c>
      <c r="D708" t="inlineStr">
        <is>
          <t>Sungai Tinggi</t>
        </is>
      </c>
      <c r="E708" t="inlineStr">
        <is>
          <t>B. Ho</t>
        </is>
      </c>
      <c r="F708" t="inlineStr">
        <is>
          <t>Routine</t>
        </is>
      </c>
      <c r="G708" t="inlineStr">
        <is>
          <t>NONE</t>
        </is>
      </c>
      <c r="H708" t="inlineStr">
        <is>
          <t>Compliant</t>
        </is>
      </c>
      <c r="I708" s="6" t="n"/>
      <c r="J708" s="6" t="n"/>
      <c r="K708">
        <f>IF(J708="","",J708-B708)</f>
        <v/>
      </c>
      <c r="L708">
        <f>IF(H708="Compliant","N/A",IF(J708&lt;&gt;"","Closed",IF(I708&lt;DATE(2026,9,30),"OVERDUE","Open")))</f>
        <v/>
      </c>
    </row>
    <row r="709">
      <c r="A709" t="inlineStr">
        <is>
          <t>INSP-2026-0708</t>
        </is>
      </c>
      <c r="B709" s="6" t="n">
        <v>46130</v>
      </c>
      <c r="C709" t="inlineStr">
        <is>
          <t>U-BV297-01-03</t>
        </is>
      </c>
      <c r="D709" t="inlineStr">
        <is>
          <t>Bayshore Vale</t>
        </is>
      </c>
      <c r="E709" t="inlineStr">
        <is>
          <t>daniel ong</t>
        </is>
      </c>
      <c r="F709" t="inlineStr">
        <is>
          <t>Follow-up</t>
        </is>
      </c>
      <c r="G709" t="inlineStr">
        <is>
          <t>NONE</t>
        </is>
      </c>
      <c r="H709" t="inlineStr">
        <is>
          <t>Compliant</t>
        </is>
      </c>
      <c r="I709" s="6" t="n"/>
      <c r="J709" s="6" t="n"/>
      <c r="K709">
        <f>IF(J709="","",J709-B709)</f>
        <v/>
      </c>
      <c r="L709">
        <f>IF(H709="Compliant","N/A",IF(J709&lt;&gt;"","Closed",IF(I709&lt;DATE(2026,9,30),"OVERDUE","Open")))</f>
        <v/>
      </c>
    </row>
    <row r="710">
      <c r="A710" t="inlineStr">
        <is>
          <t>INSP-2026-0709</t>
        </is>
      </c>
      <c r="B710" s="6" t="n">
        <v>46130</v>
      </c>
      <c r="C710" t="inlineStr">
        <is>
          <t>U-CD135-02-06</t>
        </is>
      </c>
      <c r="D710" t="inlineStr">
        <is>
          <t>Cendana</t>
        </is>
      </c>
      <c r="E710" t="inlineStr">
        <is>
          <t>Daniel O.</t>
        </is>
      </c>
      <c r="F710" t="inlineStr">
        <is>
          <t>Routine</t>
        </is>
      </c>
      <c r="G710" t="inlineStr">
        <is>
          <t>UNAUTH_SUBLET</t>
        </is>
      </c>
      <c r="H710" t="inlineStr">
        <is>
          <t>Major Breach</t>
        </is>
      </c>
      <c r="I710" s="6" t="n">
        <v>46137</v>
      </c>
      <c r="J710" s="6" t="n">
        <v>46140</v>
      </c>
      <c r="K710">
        <f>IF(J710="","",J710-B710)</f>
        <v/>
      </c>
      <c r="L710">
        <f>IF(H710="Compliant","N/A",IF(J710&lt;&gt;"","Closed",IF(I710&lt;DATE(2026,9,30),"OVERDUE","Open")))</f>
        <v/>
      </c>
    </row>
    <row r="711">
      <c r="A711" t="inlineStr">
        <is>
          <t>INSP-2026-0710</t>
        </is>
      </c>
      <c r="B711" s="6" t="n">
        <v>46130</v>
      </c>
      <c r="C711" t="inlineStr">
        <is>
          <t>U-ST501-01-11</t>
        </is>
      </c>
      <c r="D711" t="inlineStr">
        <is>
          <t>Sungai Tinggi</t>
        </is>
      </c>
      <c r="E711" t="inlineStr">
        <is>
          <t>B. Ho</t>
        </is>
      </c>
      <c r="F711" t="inlineStr">
        <is>
          <t>Routine</t>
        </is>
      </c>
      <c r="G711" t="inlineStr">
        <is>
          <t>NONE</t>
        </is>
      </c>
      <c r="H711" t="inlineStr">
        <is>
          <t>Compliant</t>
        </is>
      </c>
      <c r="I711" s="6" t="n"/>
      <c r="J711" s="6" t="n"/>
      <c r="K711">
        <f>IF(J711="","",J711-B711)</f>
        <v/>
      </c>
      <c r="L711">
        <f>IF(H711="Compliant","N/A",IF(J711&lt;&gt;"","Closed",IF(I711&lt;DATE(2026,9,30),"OVERDUE","Open")))</f>
        <v/>
      </c>
    </row>
    <row r="712">
      <c r="A712" t="inlineStr">
        <is>
          <t>INSP-2026-0711</t>
        </is>
      </c>
      <c r="B712" s="6" t="n">
        <v>46130</v>
      </c>
      <c r="C712" t="inlineStr">
        <is>
          <t>U-ST534-01-09</t>
        </is>
      </c>
      <c r="D712" t="inlineStr">
        <is>
          <t>Sungai Tinggi</t>
        </is>
      </c>
      <c r="E712" t="inlineStr">
        <is>
          <t>Ben Ho</t>
        </is>
      </c>
      <c r="F712" t="inlineStr">
        <is>
          <t>Routine</t>
        </is>
      </c>
      <c r="G712" t="inlineStr">
        <is>
          <t>FIRE_SAFETY</t>
        </is>
      </c>
      <c r="H712" t="inlineStr">
        <is>
          <t>Major Breach</t>
        </is>
      </c>
      <c r="I712" s="6" t="n">
        <v>46137</v>
      </c>
      <c r="J712" s="6" t="n">
        <v>46145</v>
      </c>
      <c r="K712">
        <f>IF(J712="","",J712-B712)</f>
        <v/>
      </c>
      <c r="L712">
        <f>IF(H712="Compliant","N/A",IF(J712&lt;&gt;"","Closed",IF(I712&lt;DATE(2026,9,30),"OVERDUE","Open")))</f>
        <v/>
      </c>
    </row>
    <row r="713">
      <c r="A713" t="inlineStr">
        <is>
          <t>INSP-2026-0712</t>
        </is>
      </c>
      <c r="B713" s="6" t="n">
        <v>46130</v>
      </c>
      <c r="C713" t="inlineStr">
        <is>
          <t>U-CD153-01-03</t>
        </is>
      </c>
      <c r="D713" t="inlineStr">
        <is>
          <t>Cendana</t>
        </is>
      </c>
      <c r="E713" t="inlineStr">
        <is>
          <t>marcus</t>
        </is>
      </c>
      <c r="F713" t="inlineStr">
        <is>
          <t>Routine</t>
        </is>
      </c>
      <c r="G713" t="inlineStr">
        <is>
          <t>NONE</t>
        </is>
      </c>
      <c r="H713" t="inlineStr">
        <is>
          <t>Compliant</t>
        </is>
      </c>
      <c r="I713" s="6" t="n"/>
      <c r="J713" s="6" t="n"/>
      <c r="K713">
        <f>IF(J713="","",J713-B713)</f>
        <v/>
      </c>
      <c r="L713">
        <f>IF(H713="Compliant","N/A",IF(J713&lt;&gt;"","Closed",IF(I713&lt;DATE(2026,9,30),"OVERDUE","Open")))</f>
        <v/>
      </c>
    </row>
    <row r="714">
      <c r="A714" t="inlineStr">
        <is>
          <t>INSP-2026-0713</t>
        </is>
      </c>
      <c r="B714" s="6" t="n">
        <v>46130</v>
      </c>
      <c r="C714" t="inlineStr">
        <is>
          <t>U-CD108-01-04</t>
        </is>
      </c>
      <c r="D714" t="inlineStr">
        <is>
          <t>Cendana</t>
        </is>
      </c>
      <c r="E714" t="inlineStr">
        <is>
          <t>Marcus Lim</t>
        </is>
      </c>
      <c r="F714" t="inlineStr">
        <is>
          <t>Routine</t>
        </is>
      </c>
      <c r="G714" t="inlineStr">
        <is>
          <t>NONE</t>
        </is>
      </c>
      <c r="H714" t="inlineStr">
        <is>
          <t>Compliant</t>
        </is>
      </c>
      <c r="I714" s="6" t="n"/>
      <c r="J714" s="6" t="n"/>
      <c r="K714">
        <f>IF(J714="","",J714-B714)</f>
        <v/>
      </c>
      <c r="L714">
        <f>IF(H714="Compliant","N/A",IF(J714&lt;&gt;"","Closed",IF(I714&lt;DATE(2026,9,30),"OVERDUE","Open")))</f>
        <v/>
      </c>
    </row>
    <row r="715">
      <c r="A715" t="inlineStr">
        <is>
          <t>INSP-2026-0714</t>
        </is>
      </c>
      <c r="B715" s="6" t="n">
        <v>46131</v>
      </c>
      <c r="C715" t="inlineStr">
        <is>
          <t>U-RH456-01-06</t>
        </is>
      </c>
      <c r="D715" t="inlineStr">
        <is>
          <t>Rimba Heights</t>
        </is>
      </c>
      <c r="E715" t="inlineStr">
        <is>
          <t>Benjamin Ho</t>
        </is>
      </c>
      <c r="F715" t="inlineStr">
        <is>
          <t>Routine</t>
        </is>
      </c>
      <c r="G715" t="inlineStr">
        <is>
          <t>NONE</t>
        </is>
      </c>
      <c r="H715" t="inlineStr">
        <is>
          <t>Compliant</t>
        </is>
      </c>
      <c r="I715" s="6" t="n"/>
      <c r="J715" s="6" t="n"/>
      <c r="K715">
        <f>IF(J715="","",J715-B715)</f>
        <v/>
      </c>
      <c r="L715">
        <f>IF(H715="Compliant","N/A",IF(J715&lt;&gt;"","Closed",IF(I715&lt;DATE(2026,9,30),"OVERDUE","Open")))</f>
        <v/>
      </c>
    </row>
    <row r="716">
      <c r="A716" t="inlineStr">
        <is>
          <t>INSP-2026-0715</t>
        </is>
      </c>
      <c r="B716" s="6" t="n">
        <v>46131</v>
      </c>
      <c r="C716" t="inlineStr">
        <is>
          <t>U-KR353-02-10</t>
        </is>
      </c>
      <c r="D716" t="inlineStr">
        <is>
          <t>Kebun Raya</t>
        </is>
      </c>
      <c r="E716" t="inlineStr">
        <is>
          <t>daniel ong</t>
        </is>
      </c>
      <c r="F716" t="inlineStr">
        <is>
          <t>Routine</t>
        </is>
      </c>
      <c r="G716" t="inlineStr">
        <is>
          <t>DISPLAY_ENCROACH</t>
        </is>
      </c>
      <c r="H716" t="inlineStr">
        <is>
          <t>Minor Breach</t>
        </is>
      </c>
      <c r="I716" s="6" t="n">
        <v>46145</v>
      </c>
      <c r="J716" s="6" t="n">
        <v>46149</v>
      </c>
      <c r="K716">
        <f>IF(J716="","",J716-B716)</f>
        <v/>
      </c>
      <c r="L716">
        <f>IF(H716="Compliant","N/A",IF(J716&lt;&gt;"","Closed",IF(I716&lt;DATE(2026,9,30),"OVERDUE","Open")))</f>
        <v/>
      </c>
    </row>
    <row r="717">
      <c r="A717" t="inlineStr">
        <is>
          <t>INSP-2026-0716</t>
        </is>
      </c>
      <c r="B717" s="6" t="n">
        <v>46131</v>
      </c>
      <c r="C717" t="inlineStr">
        <is>
          <t>U-RH437-01-05</t>
        </is>
      </c>
      <c r="D717" t="inlineStr">
        <is>
          <t>Rimba Heights</t>
        </is>
      </c>
      <c r="E717" t="inlineStr">
        <is>
          <t>D. Ong</t>
        </is>
      </c>
      <c r="F717" t="inlineStr">
        <is>
          <t>Routine</t>
        </is>
      </c>
      <c r="G717" t="inlineStr">
        <is>
          <t>NONE</t>
        </is>
      </c>
      <c r="H717" t="inlineStr">
        <is>
          <t>Compliant</t>
        </is>
      </c>
      <c r="I717" s="6" t="n"/>
      <c r="J717" s="6" t="n"/>
      <c r="K717">
        <f>IF(J717="","",J717-B717)</f>
        <v/>
      </c>
      <c r="L717">
        <f>IF(H717="Compliant","N/A",IF(J717&lt;&gt;"","Closed",IF(I717&lt;DATE(2026,9,30),"OVERDUE","Open")))</f>
        <v/>
      </c>
    </row>
    <row r="718">
      <c r="A718" t="inlineStr">
        <is>
          <t>INSP-2026-0717</t>
        </is>
      </c>
      <c r="B718" s="6" t="n">
        <v>46131</v>
      </c>
      <c r="C718" t="inlineStr">
        <is>
          <t>U-BV230-01-04</t>
        </is>
      </c>
      <c r="D718" t="inlineStr">
        <is>
          <t>Bayshore Vale</t>
        </is>
      </c>
      <c r="E718" t="inlineStr">
        <is>
          <t>daniel ong</t>
        </is>
      </c>
      <c r="F718" t="inlineStr">
        <is>
          <t>Complaint-driven</t>
        </is>
      </c>
      <c r="G718" t="inlineStr">
        <is>
          <t>NONE</t>
        </is>
      </c>
      <c r="H718" t="inlineStr">
        <is>
          <t>Compliant</t>
        </is>
      </c>
      <c r="I718" s="6" t="n"/>
      <c r="J718" s="6" t="n"/>
      <c r="K718">
        <f>IF(J718="","",J718-B718)</f>
        <v/>
      </c>
      <c r="L718">
        <f>IF(H718="Compliant","N/A",IF(J718&lt;&gt;"","Closed",IF(I718&lt;DATE(2026,9,30),"OVERDUE","Open")))</f>
        <v/>
      </c>
    </row>
    <row r="719">
      <c r="A719" t="inlineStr">
        <is>
          <t>INSP-2026-0718</t>
        </is>
      </c>
      <c r="B719" s="6" t="n">
        <v>46131</v>
      </c>
      <c r="C719" t="inlineStr">
        <is>
          <t>U-CD118-01-25</t>
        </is>
      </c>
      <c r="D719" t="inlineStr">
        <is>
          <t>Cendana</t>
        </is>
      </c>
      <c r="E719" t="inlineStr">
        <is>
          <t>Daniel O.</t>
        </is>
      </c>
      <c r="F719" t="inlineStr">
        <is>
          <t>Routine</t>
        </is>
      </c>
      <c r="G719" t="inlineStr">
        <is>
          <t>NONE</t>
        </is>
      </c>
      <c r="H719" t="inlineStr">
        <is>
          <t>Compliant</t>
        </is>
      </c>
      <c r="I719" s="6" t="n"/>
      <c r="J719" s="6" t="n"/>
      <c r="K719">
        <f>IF(J719="","",J719-B719)</f>
        <v/>
      </c>
      <c r="L719">
        <f>IF(H719="Compliant","N/A",IF(J719&lt;&gt;"","Closed",IF(I719&lt;DATE(2026,9,30),"OVERDUE","Open")))</f>
        <v/>
      </c>
    </row>
    <row r="720">
      <c r="A720" t="inlineStr">
        <is>
          <t>INSP-2026-0719</t>
        </is>
      </c>
      <c r="B720" s="6" t="n">
        <v>46131</v>
      </c>
      <c r="C720" t="inlineStr">
        <is>
          <t>U-KR362-01-06</t>
        </is>
      </c>
      <c r="D720" t="inlineStr">
        <is>
          <t>Kebun Raya</t>
        </is>
      </c>
      <c r="E720" t="inlineStr">
        <is>
          <t>Benjamin Ho</t>
        </is>
      </c>
      <c r="F720" t="inlineStr">
        <is>
          <t>Follow-up</t>
        </is>
      </c>
      <c r="G720" t="inlineStr">
        <is>
          <t>NONE</t>
        </is>
      </c>
      <c r="H720" t="inlineStr">
        <is>
          <t>Compliant</t>
        </is>
      </c>
      <c r="I720" s="6" t="n"/>
      <c r="J720" s="6" t="n"/>
      <c r="K720">
        <f>IF(J720="","",J720-B720)</f>
        <v/>
      </c>
      <c r="L720">
        <f>IF(H720="Compliant","N/A",IF(J720&lt;&gt;"","Closed",IF(I720&lt;DATE(2026,9,30),"OVERDUE","Open")))</f>
        <v/>
      </c>
    </row>
    <row r="721">
      <c r="A721" t="inlineStr">
        <is>
          <t>INSP-2026-0720</t>
        </is>
      </c>
      <c r="B721" s="6" t="n">
        <v>46131</v>
      </c>
      <c r="C721" t="inlineStr">
        <is>
          <t>U-ST593-01-03</t>
        </is>
      </c>
      <c r="D721" t="inlineStr">
        <is>
          <t>Sungai Tinggi</t>
        </is>
      </c>
      <c r="E721" t="inlineStr">
        <is>
          <t>Daniel O.</t>
        </is>
      </c>
      <c r="F721" t="inlineStr">
        <is>
          <t>Routine</t>
        </is>
      </c>
      <c r="G721" t="inlineStr">
        <is>
          <t>NONE</t>
        </is>
      </c>
      <c r="H721" t="inlineStr">
        <is>
          <t>Compliant</t>
        </is>
      </c>
      <c r="I721" s="6" t="n"/>
      <c r="J721" s="6" t="n"/>
      <c r="K721">
        <f>IF(J721="","",J721-B721)</f>
        <v/>
      </c>
      <c r="L721">
        <f>IF(H721="Compliant","N/A",IF(J721&lt;&gt;"","Closed",IF(I721&lt;DATE(2026,9,30),"OVERDUE","Open")))</f>
        <v/>
      </c>
    </row>
    <row r="722">
      <c r="A722" t="inlineStr">
        <is>
          <t>INSP-2026-0721</t>
        </is>
      </c>
      <c r="B722" s="6" t="n">
        <v>46131</v>
      </c>
      <c r="C722" t="inlineStr">
        <is>
          <t>U-PI642-01-03</t>
        </is>
      </c>
      <c r="D722" t="inlineStr">
        <is>
          <t>Pasir Indah</t>
        </is>
      </c>
      <c r="E722" t="inlineStr">
        <is>
          <t>Daniel O.</t>
        </is>
      </c>
      <c r="F722" t="inlineStr">
        <is>
          <t>Complaint-driven</t>
        </is>
      </c>
      <c r="G722" t="inlineStr">
        <is>
          <t>DISPLAY_ENCROACH</t>
        </is>
      </c>
      <c r="H722" t="inlineStr">
        <is>
          <t>Minor Breach</t>
        </is>
      </c>
      <c r="I722" s="6" t="n">
        <v>46145</v>
      </c>
      <c r="J722" s="6" t="n">
        <v>46148</v>
      </c>
      <c r="K722">
        <f>IF(J722="","",J722-B722)</f>
        <v/>
      </c>
      <c r="L722">
        <f>IF(H722="Compliant","N/A",IF(J722&lt;&gt;"","Closed",IF(I722&lt;DATE(2026,9,30),"OVERDUE","Open")))</f>
        <v/>
      </c>
    </row>
    <row r="723">
      <c r="A723" t="inlineStr">
        <is>
          <t>INSP-2026-0722</t>
        </is>
      </c>
      <c r="B723" s="6" t="n">
        <v>46132</v>
      </c>
      <c r="C723" t="inlineStr">
        <is>
          <t>U-ST537-01-03</t>
        </is>
      </c>
      <c r="D723" t="inlineStr">
        <is>
          <t>Sungai Tinggi</t>
        </is>
      </c>
      <c r="E723" t="inlineStr">
        <is>
          <t>D. Ong</t>
        </is>
      </c>
      <c r="F723" t="inlineStr">
        <is>
          <t>Complaint-driven</t>
        </is>
      </c>
      <c r="G723" t="inlineStr">
        <is>
          <t>NONE</t>
        </is>
      </c>
      <c r="H723" t="inlineStr">
        <is>
          <t>Compliant</t>
        </is>
      </c>
      <c r="I723" s="6" t="n"/>
      <c r="J723" s="6" t="n"/>
      <c r="K723">
        <f>IF(J723="","",J723-B723)</f>
        <v/>
      </c>
      <c r="L723">
        <f>IF(H723="Compliant","N/A",IF(J723&lt;&gt;"","Closed",IF(I723&lt;DATE(2026,9,30),"OVERDUE","Open")))</f>
        <v/>
      </c>
    </row>
    <row r="724">
      <c r="A724" t="inlineStr">
        <is>
          <t>INSP-2026-0723</t>
        </is>
      </c>
      <c r="B724" s="6" t="n">
        <v>46132</v>
      </c>
      <c r="C724" t="inlineStr">
        <is>
          <t>U-PI625-01-03</t>
        </is>
      </c>
      <c r="D724" t="inlineStr">
        <is>
          <t>Pasir Indah</t>
        </is>
      </c>
      <c r="E724" t="inlineStr">
        <is>
          <t>M. Lim</t>
        </is>
      </c>
      <c r="F724" t="inlineStr">
        <is>
          <t>Follow-up</t>
        </is>
      </c>
      <c r="G724" t="inlineStr">
        <is>
          <t>NONE</t>
        </is>
      </c>
      <c r="H724" t="inlineStr">
        <is>
          <t>Compliant</t>
        </is>
      </c>
      <c r="I724" s="6" t="n"/>
      <c r="J724" s="6" t="n"/>
      <c r="K724">
        <f>IF(J724="","",J724-B724)</f>
        <v/>
      </c>
      <c r="L724">
        <f>IF(H724="Compliant","N/A",IF(J724&lt;&gt;"","Closed",IF(I724&lt;DATE(2026,9,30),"OVERDUE","Open")))</f>
        <v/>
      </c>
    </row>
    <row r="725">
      <c r="A725" t="inlineStr">
        <is>
          <t>INSP-2026-0724</t>
        </is>
      </c>
      <c r="B725" s="6" t="n">
        <v>46132</v>
      </c>
      <c r="C725" t="inlineStr">
        <is>
          <t>U-KR349-01-04</t>
        </is>
      </c>
      <c r="D725" t="inlineStr">
        <is>
          <t>Kebun Raya</t>
        </is>
      </c>
      <c r="E725" t="inlineStr">
        <is>
          <t>Daniel Ong</t>
        </is>
      </c>
      <c r="F725" t="inlineStr">
        <is>
          <t>Complaint-driven</t>
        </is>
      </c>
      <c r="G725" t="inlineStr">
        <is>
          <t>NONE</t>
        </is>
      </c>
      <c r="H725" t="inlineStr">
        <is>
          <t>Compliant</t>
        </is>
      </c>
      <c r="I725" s="6" t="n"/>
      <c r="J725" s="6" t="n"/>
      <c r="K725">
        <f>IF(J725="","",J725-B725)</f>
        <v/>
      </c>
      <c r="L725">
        <f>IF(H725="Compliant","N/A",IF(J725&lt;&gt;"","Closed",IF(I725&lt;DATE(2026,9,30),"OVERDUE","Open")))</f>
        <v/>
      </c>
    </row>
    <row r="726">
      <c r="A726" t="inlineStr">
        <is>
          <t>INSP-2026-0725</t>
        </is>
      </c>
      <c r="B726" s="6" t="n">
        <v>46132</v>
      </c>
      <c r="C726" t="inlineStr">
        <is>
          <t>U-ST501-01-10</t>
        </is>
      </c>
      <c r="D726" t="inlineStr">
        <is>
          <t>Sungai Tinggi</t>
        </is>
      </c>
      <c r="E726" t="inlineStr">
        <is>
          <t>daniel ong</t>
        </is>
      </c>
      <c r="F726" t="inlineStr">
        <is>
          <t>Follow-up</t>
        </is>
      </c>
      <c r="G726" t="inlineStr">
        <is>
          <t>HYGIENE</t>
        </is>
      </c>
      <c r="H726" t="inlineStr">
        <is>
          <t>Minor Breach</t>
        </is>
      </c>
      <c r="I726" s="6" t="n">
        <v>46146</v>
      </c>
      <c r="J726" s="6" t="n">
        <v>46147</v>
      </c>
      <c r="K726">
        <f>IF(J726="","",J726-B726)</f>
        <v/>
      </c>
      <c r="L726">
        <f>IF(H726="Compliant","N/A",IF(J726&lt;&gt;"","Closed",IF(I726&lt;DATE(2026,9,30),"OVERDUE","Open")))</f>
        <v/>
      </c>
    </row>
    <row r="727">
      <c r="A727" t="inlineStr">
        <is>
          <t>INSP-2026-0726</t>
        </is>
      </c>
      <c r="B727" s="6" t="n">
        <v>46132</v>
      </c>
      <c r="C727" t="inlineStr">
        <is>
          <t>U-CD173-02-02</t>
        </is>
      </c>
      <c r="D727" t="inlineStr">
        <is>
          <t>Cendana</t>
        </is>
      </c>
      <c r="E727" t="inlineStr">
        <is>
          <t>marcus</t>
        </is>
      </c>
      <c r="F727" t="inlineStr">
        <is>
          <t>Routine</t>
        </is>
      </c>
      <c r="G727" t="inlineStr">
        <is>
          <t>NONE</t>
        </is>
      </c>
      <c r="H727" t="inlineStr">
        <is>
          <t>Compliant</t>
        </is>
      </c>
      <c r="I727" s="6" t="n"/>
      <c r="J727" s="6" t="n"/>
      <c r="K727">
        <f>IF(J727="","",J727-B727)</f>
        <v/>
      </c>
      <c r="L727">
        <f>IF(H727="Compliant","N/A",IF(J727&lt;&gt;"","Closed",IF(I727&lt;DATE(2026,9,30),"OVERDUE","Open")))</f>
        <v/>
      </c>
    </row>
    <row r="728">
      <c r="A728" t="inlineStr">
        <is>
          <t>INSP-2026-0727</t>
        </is>
      </c>
      <c r="B728" s="6" t="n">
        <v>46132</v>
      </c>
      <c r="C728" t="inlineStr">
        <is>
          <t>U-KR317-01-02</t>
        </is>
      </c>
      <c r="D728" t="inlineStr">
        <is>
          <t>Kebun Raya</t>
        </is>
      </c>
      <c r="E728" t="inlineStr">
        <is>
          <t>Daniel O.</t>
        </is>
      </c>
      <c r="F728" t="inlineStr">
        <is>
          <t>Follow-up</t>
        </is>
      </c>
      <c r="G728" t="inlineStr">
        <is>
          <t>NONE</t>
        </is>
      </c>
      <c r="H728" t="inlineStr">
        <is>
          <t>Compliant</t>
        </is>
      </c>
      <c r="I728" s="6" t="n"/>
      <c r="J728" s="6" t="n"/>
      <c r="K728">
        <f>IF(J728="","",J728-B728)</f>
        <v/>
      </c>
      <c r="L728">
        <f>IF(H728="Compliant","N/A",IF(J728&lt;&gt;"","Closed",IF(I728&lt;DATE(2026,9,30),"OVERDUE","Open")))</f>
        <v/>
      </c>
    </row>
    <row r="729">
      <c r="A729" t="inlineStr">
        <is>
          <t>INSP-2026-0728</t>
        </is>
      </c>
      <c r="B729" s="6" t="n">
        <v>46133</v>
      </c>
      <c r="C729" t="inlineStr">
        <is>
          <t>U-PI606-02-06</t>
        </is>
      </c>
      <c r="D729" t="inlineStr">
        <is>
          <t>Pasir Indah</t>
        </is>
      </c>
      <c r="E729" t="inlineStr">
        <is>
          <t>daniel ong</t>
        </is>
      </c>
      <c r="F729" t="inlineStr">
        <is>
          <t>Routine</t>
        </is>
      </c>
      <c r="G729" t="inlineStr">
        <is>
          <t>NONE</t>
        </is>
      </c>
      <c r="H729" t="inlineStr">
        <is>
          <t>Compliant</t>
        </is>
      </c>
      <c r="I729" s="6" t="n"/>
      <c r="J729" s="6" t="n"/>
      <c r="K729">
        <f>IF(J729="","",J729-B729)</f>
        <v/>
      </c>
      <c r="L729">
        <f>IF(H729="Compliant","N/A",IF(J729&lt;&gt;"","Closed",IF(I729&lt;DATE(2026,9,30),"OVERDUE","Open")))</f>
        <v/>
      </c>
    </row>
    <row r="730">
      <c r="A730" t="inlineStr">
        <is>
          <t>INSP-2026-0729</t>
        </is>
      </c>
      <c r="B730" s="6" t="n">
        <v>46133</v>
      </c>
      <c r="C730" t="inlineStr">
        <is>
          <t>U-KR333-01-02</t>
        </is>
      </c>
      <c r="D730" t="inlineStr">
        <is>
          <t>Kebun Raya</t>
        </is>
      </c>
      <c r="E730" t="inlineStr">
        <is>
          <t>daniel ong</t>
        </is>
      </c>
      <c r="F730" t="inlineStr">
        <is>
          <t>Routine</t>
        </is>
      </c>
      <c r="G730" t="inlineStr">
        <is>
          <t>NONE</t>
        </is>
      </c>
      <c r="H730" t="inlineStr">
        <is>
          <t>Compliant</t>
        </is>
      </c>
      <c r="I730" s="6" t="n"/>
      <c r="J730" s="6" t="n"/>
      <c r="K730">
        <f>IF(J730="","",J730-B730)</f>
        <v/>
      </c>
      <c r="L730">
        <f>IF(H730="Compliant","N/A",IF(J730&lt;&gt;"","Closed",IF(I730&lt;DATE(2026,9,30),"OVERDUE","Open")))</f>
        <v/>
      </c>
    </row>
    <row r="731">
      <c r="A731" t="inlineStr">
        <is>
          <t>INSP-2026-0730</t>
        </is>
      </c>
      <c r="B731" s="6" t="n">
        <v>46133</v>
      </c>
      <c r="C731" t="inlineStr">
        <is>
          <t>U-KR368-01-13</t>
        </is>
      </c>
      <c r="D731" t="inlineStr">
        <is>
          <t>Kebun Raya</t>
        </is>
      </c>
      <c r="E731" t="inlineStr">
        <is>
          <t>Daniel O.</t>
        </is>
      </c>
      <c r="F731" t="inlineStr">
        <is>
          <t>Routine</t>
        </is>
      </c>
      <c r="G731" t="inlineStr">
        <is>
          <t>NONE</t>
        </is>
      </c>
      <c r="H731" t="inlineStr">
        <is>
          <t>Compliant</t>
        </is>
      </c>
      <c r="I731" s="6" t="n"/>
      <c r="J731" s="6" t="n"/>
      <c r="K731">
        <f>IF(J731="","",J731-B731)</f>
        <v/>
      </c>
      <c r="L731">
        <f>IF(H731="Compliant","N/A",IF(J731&lt;&gt;"","Closed",IF(I731&lt;DATE(2026,9,30),"OVERDUE","Open")))</f>
        <v/>
      </c>
    </row>
    <row r="732">
      <c r="A732" t="inlineStr">
        <is>
          <t>INSP-2026-0731</t>
        </is>
      </c>
      <c r="B732" s="6" t="n">
        <v>46133</v>
      </c>
      <c r="C732" t="inlineStr">
        <is>
          <t>U-BV205-01-03</t>
        </is>
      </c>
      <c r="D732" t="inlineStr">
        <is>
          <t>Bayshore Vale</t>
        </is>
      </c>
      <c r="E732" t="inlineStr">
        <is>
          <t>Daniel Ong</t>
        </is>
      </c>
      <c r="F732" t="inlineStr">
        <is>
          <t>Complaint-driven</t>
        </is>
      </c>
      <c r="G732" t="inlineStr">
        <is>
          <t>NONE</t>
        </is>
      </c>
      <c r="H732" t="inlineStr">
        <is>
          <t>Compliant</t>
        </is>
      </c>
      <c r="I732" s="6" t="n"/>
      <c r="J732" s="6" t="n"/>
      <c r="K732">
        <f>IF(J732="","",J732-B732)</f>
        <v/>
      </c>
      <c r="L732">
        <f>IF(H732="Compliant","N/A",IF(J732&lt;&gt;"","Closed",IF(I732&lt;DATE(2026,9,30),"OVERDUE","Open")))</f>
        <v/>
      </c>
    </row>
    <row r="733">
      <c r="A733" t="inlineStr">
        <is>
          <t>INSP-2026-0732</t>
        </is>
      </c>
      <c r="B733" s="6" t="n">
        <v>46133</v>
      </c>
      <c r="C733" t="inlineStr">
        <is>
          <t>U-KR345-01-13</t>
        </is>
      </c>
      <c r="D733" t="inlineStr">
        <is>
          <t>Kebun Raya</t>
        </is>
      </c>
      <c r="E733" t="inlineStr">
        <is>
          <t>B. Ho</t>
        </is>
      </c>
      <c r="F733" t="inlineStr">
        <is>
          <t>Routine</t>
        </is>
      </c>
      <c r="G733" t="inlineStr">
        <is>
          <t>NONE</t>
        </is>
      </c>
      <c r="H733" t="inlineStr">
        <is>
          <t>Compliant</t>
        </is>
      </c>
      <c r="I733" s="6" t="n"/>
      <c r="J733" s="6" t="n"/>
      <c r="K733">
        <f>IF(J733="","",J733-B733)</f>
        <v/>
      </c>
      <c r="L733">
        <f>IF(H733="Compliant","N/A",IF(J733&lt;&gt;"","Closed",IF(I733&lt;DATE(2026,9,30),"OVERDUE","Open")))</f>
        <v/>
      </c>
    </row>
    <row r="734">
      <c r="A734" t="inlineStr">
        <is>
          <t>INSP-2026-0733</t>
        </is>
      </c>
      <c r="B734" s="6" t="n">
        <v>46133</v>
      </c>
      <c r="C734" t="inlineStr">
        <is>
          <t>U-RH455-01-14</t>
        </is>
      </c>
      <c r="D734" t="inlineStr">
        <is>
          <t>Rimba Heights</t>
        </is>
      </c>
      <c r="E734" t="inlineStr">
        <is>
          <t>Daniel O.</t>
        </is>
      </c>
      <c r="F734" t="inlineStr">
        <is>
          <t>Routine</t>
        </is>
      </c>
      <c r="G734" t="inlineStr">
        <is>
          <t>NONE</t>
        </is>
      </c>
      <c r="H734" t="inlineStr">
        <is>
          <t>Compliant</t>
        </is>
      </c>
      <c r="I734" s="6" t="n"/>
      <c r="J734" s="6" t="n"/>
      <c r="K734">
        <f>IF(J734="","",J734-B734)</f>
        <v/>
      </c>
      <c r="L734">
        <f>IF(H734="Compliant","N/A",IF(J734&lt;&gt;"","Closed",IF(I734&lt;DATE(2026,9,30),"OVERDUE","Open")))</f>
        <v/>
      </c>
    </row>
    <row r="735">
      <c r="A735" t="inlineStr">
        <is>
          <t>INSP-2026-0734</t>
        </is>
      </c>
      <c r="B735" s="6" t="n">
        <v>46134</v>
      </c>
      <c r="C735" t="inlineStr">
        <is>
          <t>U-RH420-01-01</t>
        </is>
      </c>
      <c r="D735" t="inlineStr">
        <is>
          <t>Rimba Heights</t>
        </is>
      </c>
      <c r="E735" t="inlineStr">
        <is>
          <t>Daniel Ong</t>
        </is>
      </c>
      <c r="F735" t="inlineStr">
        <is>
          <t>Routine</t>
        </is>
      </c>
      <c r="G735" t="inlineStr">
        <is>
          <t>NONE</t>
        </is>
      </c>
      <c r="H735" t="inlineStr">
        <is>
          <t>Compliant</t>
        </is>
      </c>
      <c r="I735" s="6" t="n"/>
      <c r="J735" s="6" t="n"/>
      <c r="K735">
        <f>IF(J735="","",J735-B735)</f>
        <v/>
      </c>
      <c r="L735">
        <f>IF(H735="Compliant","N/A",IF(J735&lt;&gt;"","Closed",IF(I735&lt;DATE(2026,9,30),"OVERDUE","Open")))</f>
        <v/>
      </c>
    </row>
    <row r="736">
      <c r="A736" t="inlineStr">
        <is>
          <t>INSP-2026-0735</t>
        </is>
      </c>
      <c r="B736" s="6" t="n">
        <v>46134</v>
      </c>
      <c r="C736" t="inlineStr">
        <is>
          <t>U-PI642-01-06</t>
        </is>
      </c>
      <c r="D736" t="inlineStr">
        <is>
          <t>Pasir Indah</t>
        </is>
      </c>
      <c r="E736" t="inlineStr">
        <is>
          <t>Daniel O.</t>
        </is>
      </c>
      <c r="F736" t="inlineStr">
        <is>
          <t>Follow-up</t>
        </is>
      </c>
      <c r="G736" t="inlineStr">
        <is>
          <t>HYGIENE</t>
        </is>
      </c>
      <c r="H736" t="inlineStr">
        <is>
          <t>Minor Breach</t>
        </is>
      </c>
      <c r="I736" s="6" t="n">
        <v>46148</v>
      </c>
      <c r="J736" s="6" t="n"/>
      <c r="K736">
        <f>IF(J736="","",J736-B736)</f>
        <v/>
      </c>
      <c r="L736">
        <f>IF(H736="Compliant","N/A",IF(J736&lt;&gt;"","Closed",IF(I736&lt;DATE(2026,9,30),"OVERDUE","Open")))</f>
        <v/>
      </c>
    </row>
    <row r="737">
      <c r="A737" t="inlineStr">
        <is>
          <t>INSP-2026-0736</t>
        </is>
      </c>
      <c r="B737" s="6" t="n">
        <v>46134</v>
      </c>
      <c r="C737" t="inlineStr">
        <is>
          <t>U-RH482-01-02</t>
        </is>
      </c>
      <c r="D737" t="inlineStr">
        <is>
          <t>Rimba Heights</t>
        </is>
      </c>
      <c r="E737" t="inlineStr">
        <is>
          <t>D. Ong</t>
        </is>
      </c>
      <c r="F737" t="inlineStr">
        <is>
          <t>Routine</t>
        </is>
      </c>
      <c r="G737" t="inlineStr">
        <is>
          <t>DISPLAY_ENCROACH</t>
        </is>
      </c>
      <c r="H737" t="inlineStr">
        <is>
          <t>Minor Breach</t>
        </is>
      </c>
      <c r="I737" s="6" t="n">
        <v>46148</v>
      </c>
      <c r="J737" s="6" t="n">
        <v>46155</v>
      </c>
      <c r="K737">
        <f>IF(J737="","",J737-B737)</f>
        <v/>
      </c>
      <c r="L737">
        <f>IF(H737="Compliant","N/A",IF(J737&lt;&gt;"","Closed",IF(I737&lt;DATE(2026,9,30),"OVERDUE","Open")))</f>
        <v/>
      </c>
    </row>
    <row r="738">
      <c r="A738" t="inlineStr">
        <is>
          <t>INSP-2026-0737</t>
        </is>
      </c>
      <c r="B738" s="6" t="n">
        <v>46134</v>
      </c>
      <c r="C738" t="inlineStr">
        <is>
          <t>U-CD143-01-10</t>
        </is>
      </c>
      <c r="D738" t="inlineStr">
        <is>
          <t>Cendana</t>
        </is>
      </c>
      <c r="E738" t="inlineStr">
        <is>
          <t>Daniel O.</t>
        </is>
      </c>
      <c r="F738" t="inlineStr">
        <is>
          <t>Complaint-driven</t>
        </is>
      </c>
      <c r="G738" t="inlineStr">
        <is>
          <t>NONE</t>
        </is>
      </c>
      <c r="H738" t="inlineStr">
        <is>
          <t>Compliant</t>
        </is>
      </c>
      <c r="I738" s="6" t="n"/>
      <c r="J738" s="6" t="n"/>
      <c r="K738">
        <f>IF(J738="","",J738-B738)</f>
        <v/>
      </c>
      <c r="L738">
        <f>IF(H738="Compliant","N/A",IF(J738&lt;&gt;"","Closed",IF(I738&lt;DATE(2026,9,30),"OVERDUE","Open")))</f>
        <v/>
      </c>
    </row>
    <row r="739">
      <c r="A739" t="inlineStr">
        <is>
          <t>INSP-2026-0738</t>
        </is>
      </c>
      <c r="B739" s="6" t="n">
        <v>46135</v>
      </c>
      <c r="C739" t="inlineStr">
        <is>
          <t>U-ST512-01-29</t>
        </is>
      </c>
      <c r="D739" t="inlineStr">
        <is>
          <t>Sungai Tinggi</t>
        </is>
      </c>
      <c r="E739" t="inlineStr">
        <is>
          <t>B. Ho</t>
        </is>
      </c>
      <c r="F739" t="inlineStr">
        <is>
          <t>Complaint-driven</t>
        </is>
      </c>
      <c r="G739" t="inlineStr">
        <is>
          <t>NONE</t>
        </is>
      </c>
      <c r="H739" t="inlineStr">
        <is>
          <t>Compliant</t>
        </is>
      </c>
      <c r="I739" s="6" t="n"/>
      <c r="J739" s="6" t="n"/>
      <c r="K739">
        <f>IF(J739="","",J739-B739)</f>
        <v/>
      </c>
      <c r="L739">
        <f>IF(H739="Compliant","N/A",IF(J739&lt;&gt;"","Closed",IF(I739&lt;DATE(2026,9,30),"OVERDUE","Open")))</f>
        <v/>
      </c>
    </row>
    <row r="740">
      <c r="A740" t="inlineStr">
        <is>
          <t>INSP-2026-0739</t>
        </is>
      </c>
      <c r="B740" s="6" t="n">
        <v>46135</v>
      </c>
      <c r="C740" t="inlineStr">
        <is>
          <t>U-KR330-01-09</t>
        </is>
      </c>
      <c r="D740" t="inlineStr">
        <is>
          <t>Kebun Raya</t>
        </is>
      </c>
      <c r="E740" t="inlineStr">
        <is>
          <t>daniel ong</t>
        </is>
      </c>
      <c r="F740" t="inlineStr">
        <is>
          <t>Routine</t>
        </is>
      </c>
      <c r="G740" t="inlineStr">
        <is>
          <t>NONE</t>
        </is>
      </c>
      <c r="H740" t="inlineStr">
        <is>
          <t>Compliant</t>
        </is>
      </c>
      <c r="I740" s="6" t="n"/>
      <c r="J740" s="6" t="n"/>
      <c r="K740">
        <f>IF(J740="","",J740-B740)</f>
        <v/>
      </c>
      <c r="L740">
        <f>IF(H740="Compliant","N/A",IF(J740&lt;&gt;"","Closed",IF(I740&lt;DATE(2026,9,30),"OVERDUE","Open")))</f>
        <v/>
      </c>
    </row>
    <row r="741">
      <c r="A741" t="inlineStr">
        <is>
          <t>INSP-2026-0740</t>
        </is>
      </c>
      <c r="B741" s="6" t="n">
        <v>46135</v>
      </c>
      <c r="C741" t="inlineStr">
        <is>
          <t>U-CD131-01-10</t>
        </is>
      </c>
      <c r="D741" t="inlineStr">
        <is>
          <t>Cendana</t>
        </is>
      </c>
      <c r="E741" t="inlineStr">
        <is>
          <t>Marcus Lim</t>
        </is>
      </c>
      <c r="F741" t="inlineStr">
        <is>
          <t>Complaint-driven</t>
        </is>
      </c>
      <c r="G741" t="inlineStr">
        <is>
          <t>NONE</t>
        </is>
      </c>
      <c r="H741" t="inlineStr">
        <is>
          <t>Compliant</t>
        </is>
      </c>
      <c r="I741" s="6" t="n"/>
      <c r="J741" s="6" t="n"/>
      <c r="K741">
        <f>IF(J741="","",J741-B741)</f>
        <v/>
      </c>
      <c r="L741">
        <f>IF(H741="Compliant","N/A",IF(J741&lt;&gt;"","Closed",IF(I741&lt;DATE(2026,9,30),"OVERDUE","Open")))</f>
        <v/>
      </c>
    </row>
    <row r="742">
      <c r="A742" t="inlineStr">
        <is>
          <t>INSP-2026-0741</t>
        </is>
      </c>
      <c r="B742" s="6" t="n">
        <v>46136</v>
      </c>
      <c r="C742" t="inlineStr">
        <is>
          <t>U-ST579-01-06</t>
        </is>
      </c>
      <c r="D742" t="inlineStr">
        <is>
          <t>Sungai Tinggi</t>
        </is>
      </c>
      <c r="E742" t="inlineStr">
        <is>
          <t>Daniel O.</t>
        </is>
      </c>
      <c r="F742" t="inlineStr">
        <is>
          <t>Complaint-driven</t>
        </is>
      </c>
      <c r="G742" t="inlineStr">
        <is>
          <t>NONE</t>
        </is>
      </c>
      <c r="H742" t="inlineStr">
        <is>
          <t>Compliant</t>
        </is>
      </c>
      <c r="I742" s="6" t="n"/>
      <c r="J742" s="6" t="n"/>
      <c r="K742">
        <f>IF(J742="","",J742-B742)</f>
        <v/>
      </c>
      <c r="L742">
        <f>IF(H742="Compliant","N/A",IF(J742&lt;&gt;"","Closed",IF(I742&lt;DATE(2026,9,30),"OVERDUE","Open")))</f>
        <v/>
      </c>
    </row>
    <row r="743">
      <c r="A743" t="inlineStr">
        <is>
          <t>INSP-2026-0742</t>
        </is>
      </c>
      <c r="B743" s="6" t="n">
        <v>46136</v>
      </c>
      <c r="C743" t="inlineStr">
        <is>
          <t>U-PI601-01-09</t>
        </is>
      </c>
      <c r="D743" t="inlineStr">
        <is>
          <t>Pasir Indah</t>
        </is>
      </c>
      <c r="E743" t="inlineStr">
        <is>
          <t>D. Ong</t>
        </is>
      </c>
      <c r="F743" t="inlineStr">
        <is>
          <t>Routine</t>
        </is>
      </c>
      <c r="G743" t="inlineStr">
        <is>
          <t>NONE</t>
        </is>
      </c>
      <c r="H743" t="inlineStr">
        <is>
          <t>Compliant</t>
        </is>
      </c>
      <c r="I743" s="6" t="n"/>
      <c r="J743" s="6" t="n"/>
      <c r="K743">
        <f>IF(J743="","",J743-B743)</f>
        <v/>
      </c>
      <c r="L743">
        <f>IF(H743="Compliant","N/A",IF(J743&lt;&gt;"","Closed",IF(I743&lt;DATE(2026,9,30),"OVERDUE","Open")))</f>
        <v/>
      </c>
    </row>
    <row r="744">
      <c r="A744" t="inlineStr">
        <is>
          <t>INSP-2026-0743</t>
        </is>
      </c>
      <c r="B744" s="6" t="n">
        <v>46136</v>
      </c>
      <c r="C744" t="inlineStr">
        <is>
          <t>U-PI627-01-11</t>
        </is>
      </c>
      <c r="D744" t="inlineStr">
        <is>
          <t>Pasir Indah</t>
        </is>
      </c>
      <c r="E744" t="inlineStr">
        <is>
          <t>Marcus Lim</t>
        </is>
      </c>
      <c r="F744" t="inlineStr">
        <is>
          <t>Follow-up</t>
        </is>
      </c>
      <c r="G744" t="inlineStr">
        <is>
          <t>NONE</t>
        </is>
      </c>
      <c r="H744" t="inlineStr">
        <is>
          <t>Compliant</t>
        </is>
      </c>
      <c r="I744" s="6" t="n"/>
      <c r="J744" s="6" t="n"/>
      <c r="K744">
        <f>IF(J744="","",J744-B744)</f>
        <v/>
      </c>
      <c r="L744">
        <f>IF(H744="Compliant","N/A",IF(J744&lt;&gt;"","Closed",IF(I744&lt;DATE(2026,9,30),"OVERDUE","Open")))</f>
        <v/>
      </c>
    </row>
    <row r="745">
      <c r="A745" t="inlineStr">
        <is>
          <t>INSP-2026-0744</t>
        </is>
      </c>
      <c r="B745" s="6" t="n">
        <v>46136</v>
      </c>
      <c r="C745" t="inlineStr">
        <is>
          <t>U-CD135-01-07</t>
        </is>
      </c>
      <c r="D745" t="inlineStr">
        <is>
          <t>Cendana</t>
        </is>
      </c>
      <c r="E745" t="inlineStr">
        <is>
          <t>marcus</t>
        </is>
      </c>
      <c r="F745" t="inlineStr">
        <is>
          <t>Routine</t>
        </is>
      </c>
      <c r="G745" t="inlineStr">
        <is>
          <t>UNAUTH_TRADE</t>
        </is>
      </c>
      <c r="H745" t="inlineStr">
        <is>
          <t>Major Breach</t>
        </is>
      </c>
      <c r="I745" s="6" t="n">
        <v>46143</v>
      </c>
      <c r="J745" s="6" t="n">
        <v>46148</v>
      </c>
      <c r="K745">
        <f>IF(J745="","",J745-B745)</f>
        <v/>
      </c>
      <c r="L745">
        <f>IF(H745="Compliant","N/A",IF(J745&lt;&gt;"","Closed",IF(I745&lt;DATE(2026,9,30),"OVERDUE","Open")))</f>
        <v/>
      </c>
    </row>
    <row r="746">
      <c r="A746" t="inlineStr">
        <is>
          <t>INSP-2026-0745</t>
        </is>
      </c>
      <c r="B746" s="6" t="n">
        <v>46136</v>
      </c>
      <c r="C746" t="inlineStr">
        <is>
          <t>U-PI657-01-10</t>
        </is>
      </c>
      <c r="D746" t="inlineStr">
        <is>
          <t>Pasir Indah</t>
        </is>
      </c>
      <c r="E746" t="inlineStr">
        <is>
          <t>D. Ong</t>
        </is>
      </c>
      <c r="F746" t="inlineStr">
        <is>
          <t>Complaint-driven</t>
        </is>
      </c>
      <c r="G746" t="inlineStr">
        <is>
          <t>NONE</t>
        </is>
      </c>
      <c r="H746" t="inlineStr">
        <is>
          <t>Compliant</t>
        </is>
      </c>
      <c r="I746" s="6" t="n"/>
      <c r="J746" s="6" t="n"/>
      <c r="K746">
        <f>IF(J746="","",J746-B746)</f>
        <v/>
      </c>
      <c r="L746">
        <f>IF(H746="Compliant","N/A",IF(J746&lt;&gt;"","Closed",IF(I746&lt;DATE(2026,9,30),"OVERDUE","Open")))</f>
        <v/>
      </c>
    </row>
    <row r="747">
      <c r="A747" t="inlineStr">
        <is>
          <t>INSP-2026-0746</t>
        </is>
      </c>
      <c r="B747" s="6" t="n">
        <v>46136</v>
      </c>
      <c r="C747" t="inlineStr">
        <is>
          <t>U-CD105-01-08</t>
        </is>
      </c>
      <c r="D747" t="inlineStr">
        <is>
          <t>Cendana</t>
        </is>
      </c>
      <c r="E747" t="inlineStr">
        <is>
          <t>Daniel O.</t>
        </is>
      </c>
      <c r="F747" t="inlineStr">
        <is>
          <t>Routine</t>
        </is>
      </c>
      <c r="G747" t="inlineStr">
        <is>
          <t>NONE</t>
        </is>
      </c>
      <c r="H747" t="inlineStr">
        <is>
          <t>Compliant</t>
        </is>
      </c>
      <c r="I747" s="6" t="n"/>
      <c r="J747" s="6" t="n"/>
      <c r="K747">
        <f>IF(J747="","",J747-B747)</f>
        <v/>
      </c>
      <c r="L747">
        <f>IF(H747="Compliant","N/A",IF(J747&lt;&gt;"","Closed",IF(I747&lt;DATE(2026,9,30),"OVERDUE","Open")))</f>
        <v/>
      </c>
    </row>
    <row r="748">
      <c r="A748" t="inlineStr">
        <is>
          <t>INSP-2026-0747</t>
        </is>
      </c>
      <c r="B748" s="6" t="n">
        <v>46137</v>
      </c>
      <c r="C748" t="inlineStr">
        <is>
          <t>U-CD165-01-05</t>
        </is>
      </c>
      <c r="D748" t="inlineStr">
        <is>
          <t>Cendana</t>
        </is>
      </c>
      <c r="E748" t="inlineStr">
        <is>
          <t>marcus</t>
        </is>
      </c>
      <c r="F748" t="inlineStr">
        <is>
          <t>Routine</t>
        </is>
      </c>
      <c r="G748" t="inlineStr">
        <is>
          <t>NONE</t>
        </is>
      </c>
      <c r="H748" t="inlineStr">
        <is>
          <t>Compliant</t>
        </is>
      </c>
      <c r="I748" s="6" t="n"/>
      <c r="J748" s="6" t="n"/>
      <c r="K748">
        <f>IF(J748="","",J748-B748)</f>
        <v/>
      </c>
      <c r="L748">
        <f>IF(H748="Compliant","N/A",IF(J748&lt;&gt;"","Closed",IF(I748&lt;DATE(2026,9,30),"OVERDUE","Open")))</f>
        <v/>
      </c>
    </row>
    <row r="749">
      <c r="A749" t="inlineStr">
        <is>
          <t>INSP-2026-0748</t>
        </is>
      </c>
      <c r="B749" s="6" t="n">
        <v>46137</v>
      </c>
      <c r="C749" t="inlineStr">
        <is>
          <t>U-PI678-01-01</t>
        </is>
      </c>
      <c r="D749" t="inlineStr">
        <is>
          <t>Pasir Indah</t>
        </is>
      </c>
      <c r="E749" t="inlineStr">
        <is>
          <t>M. Lim</t>
        </is>
      </c>
      <c r="F749" t="inlineStr">
        <is>
          <t>Routine</t>
        </is>
      </c>
      <c r="G749" t="inlineStr">
        <is>
          <t>UNAPPROVED_AA</t>
        </is>
      </c>
      <c r="H749" t="inlineStr">
        <is>
          <t>Minor Breach</t>
        </is>
      </c>
      <c r="I749" s="6" t="n">
        <v>46151</v>
      </c>
      <c r="J749" s="6" t="n"/>
      <c r="K749">
        <f>IF(J749="","",J749-B749)</f>
        <v/>
      </c>
      <c r="L749">
        <f>IF(H749="Compliant","N/A",IF(J749&lt;&gt;"","Closed",IF(I749&lt;DATE(2026,9,30),"OVERDUE","Open")))</f>
        <v/>
      </c>
    </row>
    <row r="750">
      <c r="A750" t="inlineStr">
        <is>
          <t>INSP-2026-0749</t>
        </is>
      </c>
      <c r="B750" s="6" t="n">
        <v>46137</v>
      </c>
      <c r="C750" t="inlineStr">
        <is>
          <t>U-RH491-01-05</t>
        </is>
      </c>
      <c r="D750" t="inlineStr">
        <is>
          <t>Rimba Heights</t>
        </is>
      </c>
      <c r="E750" t="inlineStr">
        <is>
          <t>Daniel Ong</t>
        </is>
      </c>
      <c r="F750" t="inlineStr">
        <is>
          <t>Routine</t>
        </is>
      </c>
      <c r="G750" t="inlineStr">
        <is>
          <t>NONE</t>
        </is>
      </c>
      <c r="H750" t="inlineStr">
        <is>
          <t>Compliant</t>
        </is>
      </c>
      <c r="I750" s="6" t="n"/>
      <c r="J750" s="6" t="n"/>
      <c r="K750">
        <f>IF(J750="","",J750-B750)</f>
        <v/>
      </c>
      <c r="L750">
        <f>IF(H750="Compliant","N/A",IF(J750&lt;&gt;"","Closed",IF(I750&lt;DATE(2026,9,30),"OVERDUE","Open")))</f>
        <v/>
      </c>
    </row>
    <row r="751">
      <c r="A751" t="inlineStr">
        <is>
          <t>INSP-2026-0750</t>
        </is>
      </c>
      <c r="B751" s="6" t="n">
        <v>46137</v>
      </c>
      <c r="C751" t="inlineStr">
        <is>
          <t>U-PI627-01-29</t>
        </is>
      </c>
      <c r="D751" t="inlineStr">
        <is>
          <t>Pasir Indah</t>
        </is>
      </c>
      <c r="E751" t="inlineStr">
        <is>
          <t>daniel ong</t>
        </is>
      </c>
      <c r="F751" t="inlineStr">
        <is>
          <t>Routine</t>
        </is>
      </c>
      <c r="G751" t="inlineStr">
        <is>
          <t>NONE</t>
        </is>
      </c>
      <c r="H751" t="inlineStr">
        <is>
          <t>Compliant</t>
        </is>
      </c>
      <c r="I751" s="6" t="n"/>
      <c r="J751" s="6" t="n"/>
      <c r="K751">
        <f>IF(J751="","",J751-B751)</f>
        <v/>
      </c>
      <c r="L751">
        <f>IF(H751="Compliant","N/A",IF(J751&lt;&gt;"","Closed",IF(I751&lt;DATE(2026,9,30),"OVERDUE","Open")))</f>
        <v/>
      </c>
    </row>
    <row r="752">
      <c r="A752" t="inlineStr">
        <is>
          <t>INSP-2026-0751</t>
        </is>
      </c>
      <c r="B752" s="6" t="n">
        <v>46137</v>
      </c>
      <c r="C752" t="inlineStr">
        <is>
          <t>U-RH455-01-33</t>
        </is>
      </c>
      <c r="D752" t="inlineStr">
        <is>
          <t>Rimba Heights</t>
        </is>
      </c>
      <c r="E752" t="inlineStr">
        <is>
          <t>D. Ong</t>
        </is>
      </c>
      <c r="F752" t="inlineStr">
        <is>
          <t>Follow-up</t>
        </is>
      </c>
      <c r="G752" t="inlineStr">
        <is>
          <t>HYGIENE</t>
        </is>
      </c>
      <c r="H752" t="inlineStr">
        <is>
          <t>Minor Breach</t>
        </is>
      </c>
      <c r="I752" s="6" t="n">
        <v>46151</v>
      </c>
      <c r="J752" s="6" t="n">
        <v>46150</v>
      </c>
      <c r="K752">
        <f>IF(J752="","",J752-B752)</f>
        <v/>
      </c>
      <c r="L752">
        <f>IF(H752="Compliant","N/A",IF(J752&lt;&gt;"","Closed",IF(I752&lt;DATE(2026,9,30),"OVERDUE","Open")))</f>
        <v/>
      </c>
    </row>
    <row r="753">
      <c r="A753" t="inlineStr">
        <is>
          <t>INSP-2026-0752</t>
        </is>
      </c>
      <c r="B753" s="6" t="n">
        <v>46137</v>
      </c>
      <c r="C753" t="inlineStr">
        <is>
          <t>U-CD133-01-05</t>
        </is>
      </c>
      <c r="D753" t="inlineStr">
        <is>
          <t>Cendana</t>
        </is>
      </c>
      <c r="E753" t="inlineStr">
        <is>
          <t>Daniel Ong</t>
        </is>
      </c>
      <c r="F753" t="inlineStr">
        <is>
          <t>Routine</t>
        </is>
      </c>
      <c r="G753" t="inlineStr">
        <is>
          <t>NONE</t>
        </is>
      </c>
      <c r="H753" t="inlineStr">
        <is>
          <t>Compliant</t>
        </is>
      </c>
      <c r="I753" s="6" t="n"/>
      <c r="J753" s="6" t="n"/>
      <c r="K753">
        <f>IF(J753="","",J753-B753)</f>
        <v/>
      </c>
      <c r="L753">
        <f>IF(H753="Compliant","N/A",IF(J753&lt;&gt;"","Closed",IF(I753&lt;DATE(2026,9,30),"OVERDUE","Open")))</f>
        <v/>
      </c>
    </row>
    <row r="754">
      <c r="A754" t="inlineStr">
        <is>
          <t>INSP-2026-0753</t>
        </is>
      </c>
      <c r="B754" s="6" t="n">
        <v>46137</v>
      </c>
      <c r="C754" t="inlineStr">
        <is>
          <t>U-BV296-01-07</t>
        </is>
      </c>
      <c r="D754" t="inlineStr">
        <is>
          <t>Bayshore Vale</t>
        </is>
      </c>
      <c r="E754" t="inlineStr">
        <is>
          <t>daniel ong</t>
        </is>
      </c>
      <c r="F754" t="inlineStr">
        <is>
          <t>Routine</t>
        </is>
      </c>
      <c r="G754" t="inlineStr">
        <is>
          <t>NONE</t>
        </is>
      </c>
      <c r="H754" t="inlineStr">
        <is>
          <t>Compliant</t>
        </is>
      </c>
      <c r="I754" s="6" t="n"/>
      <c r="J754" s="6" t="n"/>
      <c r="K754">
        <f>IF(J754="","",J754-B754)</f>
        <v/>
      </c>
      <c r="L754">
        <f>IF(H754="Compliant","N/A",IF(J754&lt;&gt;"","Closed",IF(I754&lt;DATE(2026,9,30),"OVERDUE","Open")))</f>
        <v/>
      </c>
    </row>
    <row r="755">
      <c r="A755" t="inlineStr">
        <is>
          <t>INSP-2026-0754</t>
        </is>
      </c>
      <c r="B755" s="6" t="n">
        <v>46137</v>
      </c>
      <c r="C755" t="inlineStr">
        <is>
          <t>U-ST579-01-04</t>
        </is>
      </c>
      <c r="D755" t="inlineStr">
        <is>
          <t>Sungai Tinggi</t>
        </is>
      </c>
      <c r="E755" t="inlineStr">
        <is>
          <t>Ben Ho</t>
        </is>
      </c>
      <c r="F755" t="inlineStr">
        <is>
          <t>Complaint-driven</t>
        </is>
      </c>
      <c r="G755" t="inlineStr">
        <is>
          <t>NONE</t>
        </is>
      </c>
      <c r="H755" t="inlineStr">
        <is>
          <t>Compliant</t>
        </is>
      </c>
      <c r="I755" s="6" t="n"/>
      <c r="J755" s="6" t="n"/>
      <c r="K755">
        <f>IF(J755="","",J755-B755)</f>
        <v/>
      </c>
      <c r="L755">
        <f>IF(H755="Compliant","N/A",IF(J755&lt;&gt;"","Closed",IF(I755&lt;DATE(2026,9,30),"OVERDUE","Open")))</f>
        <v/>
      </c>
    </row>
    <row r="756">
      <c r="A756" t="inlineStr">
        <is>
          <t>INSP-2026-0755</t>
        </is>
      </c>
      <c r="B756" s="6" t="n">
        <v>46137</v>
      </c>
      <c r="C756" t="inlineStr">
        <is>
          <t>U-BV214-01-29</t>
        </is>
      </c>
      <c r="D756" t="inlineStr">
        <is>
          <t>Bayshore Vale</t>
        </is>
      </c>
      <c r="E756" t="inlineStr">
        <is>
          <t>daniel ong</t>
        </is>
      </c>
      <c r="F756" t="inlineStr">
        <is>
          <t>Routine</t>
        </is>
      </c>
      <c r="G756" t="inlineStr">
        <is>
          <t>NONE</t>
        </is>
      </c>
      <c r="H756" t="inlineStr">
        <is>
          <t>Compliant</t>
        </is>
      </c>
      <c r="I756" s="6" t="n"/>
      <c r="J756" s="6" t="n"/>
      <c r="K756">
        <f>IF(J756="","",J756-B756)</f>
        <v/>
      </c>
      <c r="L756">
        <f>IF(H756="Compliant","N/A",IF(J756&lt;&gt;"","Closed",IF(I756&lt;DATE(2026,9,30),"OVERDUE","Open")))</f>
        <v/>
      </c>
    </row>
    <row r="757">
      <c r="A757" t="inlineStr">
        <is>
          <t>INSP-2026-0756</t>
        </is>
      </c>
      <c r="B757" s="6" t="n">
        <v>46138</v>
      </c>
      <c r="C757" t="inlineStr">
        <is>
          <t>U-KR379-01-09</t>
        </is>
      </c>
      <c r="D757" t="inlineStr">
        <is>
          <t>Kebun Raya</t>
        </is>
      </c>
      <c r="E757" t="inlineStr">
        <is>
          <t>Daniel O.</t>
        </is>
      </c>
      <c r="F757" t="inlineStr">
        <is>
          <t>Complaint-driven</t>
        </is>
      </c>
      <c r="G757" t="inlineStr">
        <is>
          <t>NONE</t>
        </is>
      </c>
      <c r="H757" t="inlineStr">
        <is>
          <t>Compliant</t>
        </is>
      </c>
      <c r="I757" s="6" t="n"/>
      <c r="J757" s="6" t="n"/>
      <c r="K757">
        <f>IF(J757="","",J757-B757)</f>
        <v/>
      </c>
      <c r="L757">
        <f>IF(H757="Compliant","N/A",IF(J757&lt;&gt;"","Closed",IF(I757&lt;DATE(2026,9,30),"OVERDUE","Open")))</f>
        <v/>
      </c>
    </row>
    <row r="758">
      <c r="A758" t="inlineStr">
        <is>
          <t>INSP-2026-0757</t>
        </is>
      </c>
      <c r="B758" s="6" t="n">
        <v>46138</v>
      </c>
      <c r="C758" t="inlineStr">
        <is>
          <t>U-RH450-01-07</t>
        </is>
      </c>
      <c r="D758" t="inlineStr">
        <is>
          <t>Rimba Heights</t>
        </is>
      </c>
      <c r="E758" t="inlineStr">
        <is>
          <t>Daniel Ong</t>
        </is>
      </c>
      <c r="F758" t="inlineStr">
        <is>
          <t>Complaint-driven</t>
        </is>
      </c>
      <c r="G758" t="inlineStr">
        <is>
          <t>NONE</t>
        </is>
      </c>
      <c r="H758" t="inlineStr">
        <is>
          <t>Compliant</t>
        </is>
      </c>
      <c r="I758" s="6" t="n"/>
      <c r="J758" s="6" t="n"/>
      <c r="K758">
        <f>IF(J758="","",J758-B758)</f>
        <v/>
      </c>
      <c r="L758">
        <f>IF(H758="Compliant","N/A",IF(J758&lt;&gt;"","Closed",IF(I758&lt;DATE(2026,9,30),"OVERDUE","Open")))</f>
        <v/>
      </c>
    </row>
    <row r="759">
      <c r="A759" t="inlineStr">
        <is>
          <t>INSP-2026-0758</t>
        </is>
      </c>
      <c r="B759" s="6" t="n">
        <v>46138</v>
      </c>
      <c r="C759" t="inlineStr">
        <is>
          <t>U-ST596-01-05</t>
        </is>
      </c>
      <c r="D759" t="inlineStr">
        <is>
          <t>Sungai Tinggi</t>
        </is>
      </c>
      <c r="E759" t="inlineStr">
        <is>
          <t>Daniel Ong</t>
        </is>
      </c>
      <c r="F759" t="inlineStr">
        <is>
          <t>Routine</t>
        </is>
      </c>
      <c r="G759" t="inlineStr">
        <is>
          <t>NONE</t>
        </is>
      </c>
      <c r="H759" t="inlineStr">
        <is>
          <t>Compliant</t>
        </is>
      </c>
      <c r="I759" s="6" t="n"/>
      <c r="J759" s="6" t="n"/>
      <c r="K759">
        <f>IF(J759="","",J759-B759)</f>
        <v/>
      </c>
      <c r="L759">
        <f>IF(H759="Compliant","N/A",IF(J759&lt;&gt;"","Closed",IF(I759&lt;DATE(2026,9,30),"OVERDUE","Open")))</f>
        <v/>
      </c>
    </row>
    <row r="760">
      <c r="A760" t="inlineStr">
        <is>
          <t>INSP-2026-0759</t>
        </is>
      </c>
      <c r="B760" s="6" t="n">
        <v>46138</v>
      </c>
      <c r="C760" t="inlineStr">
        <is>
          <t>U-CD173-01-08</t>
        </is>
      </c>
      <c r="D760" t="inlineStr">
        <is>
          <t>Cendana</t>
        </is>
      </c>
      <c r="E760" t="inlineStr">
        <is>
          <t>M. Lim</t>
        </is>
      </c>
      <c r="F760" t="inlineStr">
        <is>
          <t>Complaint-driven</t>
        </is>
      </c>
      <c r="G760" t="inlineStr">
        <is>
          <t>NONE</t>
        </is>
      </c>
      <c r="H760" t="inlineStr">
        <is>
          <t>Compliant</t>
        </is>
      </c>
      <c r="I760" s="6" t="n"/>
      <c r="J760" s="6" t="n"/>
      <c r="K760">
        <f>IF(J760="","",J760-B760)</f>
        <v/>
      </c>
      <c r="L760">
        <f>IF(H760="Compliant","N/A",IF(J760&lt;&gt;"","Closed",IF(I760&lt;DATE(2026,9,30),"OVERDUE","Open")))</f>
        <v/>
      </c>
    </row>
    <row r="761">
      <c r="A761" t="inlineStr">
        <is>
          <t>INSP-2026-0760</t>
        </is>
      </c>
      <c r="B761" s="6" t="n">
        <v>46138</v>
      </c>
      <c r="C761" t="inlineStr">
        <is>
          <t>U-PI670-01-04</t>
        </is>
      </c>
      <c r="D761" t="inlineStr">
        <is>
          <t>Pasir Indah</t>
        </is>
      </c>
      <c r="E761" t="inlineStr">
        <is>
          <t>M. Lim</t>
        </is>
      </c>
      <c r="F761" t="inlineStr">
        <is>
          <t>Complaint-driven</t>
        </is>
      </c>
      <c r="G761" t="inlineStr">
        <is>
          <t>NONE</t>
        </is>
      </c>
      <c r="H761" t="inlineStr">
        <is>
          <t>Compliant</t>
        </is>
      </c>
      <c r="I761" s="6" t="n"/>
      <c r="J761" s="6" t="n"/>
      <c r="K761">
        <f>IF(J761="","",J761-B761)</f>
        <v/>
      </c>
      <c r="L761">
        <f>IF(H761="Compliant","N/A",IF(J761&lt;&gt;"","Closed",IF(I761&lt;DATE(2026,9,30),"OVERDUE","Open")))</f>
        <v/>
      </c>
    </row>
    <row r="762">
      <c r="A762" t="inlineStr">
        <is>
          <t>INSP-2026-0761</t>
        </is>
      </c>
      <c r="B762" s="6" t="n">
        <v>46138</v>
      </c>
      <c r="C762" t="inlineStr">
        <is>
          <t>U-BV215-01-13</t>
        </is>
      </c>
      <c r="D762" t="inlineStr">
        <is>
          <t>Bayshore Vale</t>
        </is>
      </c>
      <c r="E762" t="inlineStr">
        <is>
          <t>M. Lim</t>
        </is>
      </c>
      <c r="F762" t="inlineStr">
        <is>
          <t>Routine</t>
        </is>
      </c>
      <c r="G762" t="inlineStr">
        <is>
          <t>NONE</t>
        </is>
      </c>
      <c r="H762" t="inlineStr">
        <is>
          <t>Compliant</t>
        </is>
      </c>
      <c r="I762" s="6" t="n"/>
      <c r="J762" s="6" t="n"/>
      <c r="K762">
        <f>IF(J762="","",J762-B762)</f>
        <v/>
      </c>
      <c r="L762">
        <f>IF(H762="Compliant","N/A",IF(J762&lt;&gt;"","Closed",IF(I762&lt;DATE(2026,9,30),"OVERDUE","Open")))</f>
        <v/>
      </c>
    </row>
    <row r="763">
      <c r="A763" t="inlineStr">
        <is>
          <t>INSP-2026-0762</t>
        </is>
      </c>
      <c r="B763" s="6" t="n">
        <v>46138</v>
      </c>
      <c r="C763" t="inlineStr">
        <is>
          <t>U-ST534-01-10</t>
        </is>
      </c>
      <c r="D763" t="inlineStr">
        <is>
          <t>Sungai Tinggi</t>
        </is>
      </c>
      <c r="E763" t="inlineStr">
        <is>
          <t>Ben Ho</t>
        </is>
      </c>
      <c r="F763" t="inlineStr">
        <is>
          <t>Complaint-driven</t>
        </is>
      </c>
      <c r="G763" t="inlineStr">
        <is>
          <t>NONE</t>
        </is>
      </c>
      <c r="H763" t="inlineStr">
        <is>
          <t>Compliant</t>
        </is>
      </c>
      <c r="I763" s="6" t="n"/>
      <c r="J763" s="6" t="n"/>
      <c r="K763">
        <f>IF(J763="","",J763-B763)</f>
        <v/>
      </c>
      <c r="L763">
        <f>IF(H763="Compliant","N/A",IF(J763&lt;&gt;"","Closed",IF(I763&lt;DATE(2026,9,30),"OVERDUE","Open")))</f>
        <v/>
      </c>
    </row>
    <row r="764">
      <c r="A764" t="inlineStr">
        <is>
          <t>INSP-2026-0763</t>
        </is>
      </c>
      <c r="B764" s="6" t="n">
        <v>46138</v>
      </c>
      <c r="C764" t="inlineStr">
        <is>
          <t>U-KR305-01-23</t>
        </is>
      </c>
      <c r="D764" t="inlineStr">
        <is>
          <t>Kebun Raya</t>
        </is>
      </c>
      <c r="E764" t="inlineStr">
        <is>
          <t>Daniel Ong</t>
        </is>
      </c>
      <c r="F764" t="inlineStr">
        <is>
          <t>Routine</t>
        </is>
      </c>
      <c r="G764" t="inlineStr">
        <is>
          <t>NONE</t>
        </is>
      </c>
      <c r="H764" t="inlineStr">
        <is>
          <t>Compliant</t>
        </is>
      </c>
      <c r="I764" s="6" t="n"/>
      <c r="J764" s="6" t="n"/>
      <c r="K764">
        <f>IF(J764="","",J764-B764)</f>
        <v/>
      </c>
      <c r="L764">
        <f>IF(H764="Compliant","N/A",IF(J764&lt;&gt;"","Closed",IF(I764&lt;DATE(2026,9,30),"OVERDUE","Open")))</f>
        <v/>
      </c>
    </row>
    <row r="765">
      <c r="A765" t="inlineStr">
        <is>
          <t>INSP-2026-0764</t>
        </is>
      </c>
      <c r="B765" s="6" t="n">
        <v>46139</v>
      </c>
      <c r="C765" t="inlineStr">
        <is>
          <t>U-BV227-01-02</t>
        </is>
      </c>
      <c r="D765" t="inlineStr">
        <is>
          <t>Bayshore Vale</t>
        </is>
      </c>
      <c r="E765" t="inlineStr">
        <is>
          <t>Daniel Ong</t>
        </is>
      </c>
      <c r="F765" t="inlineStr">
        <is>
          <t>Follow-up</t>
        </is>
      </c>
      <c r="G765" t="inlineStr">
        <is>
          <t>NONE</t>
        </is>
      </c>
      <c r="H765" t="inlineStr">
        <is>
          <t>Compliant</t>
        </is>
      </c>
      <c r="I765" s="6" t="n"/>
      <c r="J765" s="6" t="n"/>
      <c r="K765">
        <f>IF(J765="","",J765-B765)</f>
        <v/>
      </c>
      <c r="L765">
        <f>IF(H765="Compliant","N/A",IF(J765&lt;&gt;"","Closed",IF(I765&lt;DATE(2026,9,30),"OVERDUE","Open")))</f>
        <v/>
      </c>
    </row>
    <row r="766">
      <c r="A766" t="inlineStr">
        <is>
          <t>INSP-2026-0765</t>
        </is>
      </c>
      <c r="B766" s="6" t="n">
        <v>46139</v>
      </c>
      <c r="C766" t="inlineStr">
        <is>
          <t>U-RH420-01-02</t>
        </is>
      </c>
      <c r="D766" t="inlineStr">
        <is>
          <t>Rimba Heights</t>
        </is>
      </c>
      <c r="E766" t="inlineStr">
        <is>
          <t>Daniel O.</t>
        </is>
      </c>
      <c r="F766" t="inlineStr">
        <is>
          <t>Routine</t>
        </is>
      </c>
      <c r="G766" t="inlineStr">
        <is>
          <t>NONE</t>
        </is>
      </c>
      <c r="H766" t="inlineStr">
        <is>
          <t>Compliant</t>
        </is>
      </c>
      <c r="I766" s="6" t="n"/>
      <c r="J766" s="6" t="n"/>
      <c r="K766">
        <f>IF(J766="","",J766-B766)</f>
        <v/>
      </c>
      <c r="L766">
        <f>IF(H766="Compliant","N/A",IF(J766&lt;&gt;"","Closed",IF(I766&lt;DATE(2026,9,30),"OVERDUE","Open")))</f>
        <v/>
      </c>
    </row>
    <row r="767">
      <c r="A767" t="inlineStr">
        <is>
          <t>INSP-2026-0766</t>
        </is>
      </c>
      <c r="B767" s="6" t="n">
        <v>46139</v>
      </c>
      <c r="C767" t="inlineStr">
        <is>
          <t>U-CD160-01-11</t>
        </is>
      </c>
      <c r="D767" t="inlineStr">
        <is>
          <t>Cendana</t>
        </is>
      </c>
      <c r="E767" t="inlineStr">
        <is>
          <t>marcus</t>
        </is>
      </c>
      <c r="F767" t="inlineStr">
        <is>
          <t>Routine</t>
        </is>
      </c>
      <c r="G767" t="inlineStr">
        <is>
          <t>NONE</t>
        </is>
      </c>
      <c r="H767" t="inlineStr">
        <is>
          <t>Compliant</t>
        </is>
      </c>
      <c r="I767" s="6" t="n"/>
      <c r="J767" s="6" t="n"/>
      <c r="K767">
        <f>IF(J767="","",J767-B767)</f>
        <v/>
      </c>
      <c r="L767">
        <f>IF(H767="Compliant","N/A",IF(J767&lt;&gt;"","Closed",IF(I767&lt;DATE(2026,9,30),"OVERDUE","Open")))</f>
        <v/>
      </c>
    </row>
    <row r="768">
      <c r="A768" t="inlineStr">
        <is>
          <t>INSP-2026-0767</t>
        </is>
      </c>
      <c r="B768" s="6" t="n">
        <v>46139</v>
      </c>
      <c r="C768" t="inlineStr">
        <is>
          <t>U-PI601-01-03</t>
        </is>
      </c>
      <c r="D768" t="inlineStr">
        <is>
          <t>Pasir Indah</t>
        </is>
      </c>
      <c r="E768" t="inlineStr">
        <is>
          <t>Daniel O.</t>
        </is>
      </c>
      <c r="F768" t="inlineStr">
        <is>
          <t>Routine</t>
        </is>
      </c>
      <c r="G768" t="inlineStr">
        <is>
          <t>DISPLAY_ENCROACH</t>
        </is>
      </c>
      <c r="H768" t="inlineStr">
        <is>
          <t>Minor Breach</t>
        </is>
      </c>
      <c r="I768" s="6" t="n">
        <v>46153</v>
      </c>
      <c r="J768" s="6" t="n">
        <v>46163</v>
      </c>
      <c r="K768">
        <f>IF(J768="","",J768-B768)</f>
        <v/>
      </c>
      <c r="L768">
        <f>IF(H768="Compliant","N/A",IF(J768&lt;&gt;"","Closed",IF(I768&lt;DATE(2026,9,30),"OVERDUE","Open")))</f>
        <v/>
      </c>
    </row>
    <row r="769">
      <c r="A769" t="inlineStr">
        <is>
          <t>INSP-2026-0768</t>
        </is>
      </c>
      <c r="B769" s="6" t="n">
        <v>46139</v>
      </c>
      <c r="C769" t="inlineStr">
        <is>
          <t>U-RH460-01-13</t>
        </is>
      </c>
      <c r="D769" t="inlineStr">
        <is>
          <t>Rimba Heights</t>
        </is>
      </c>
      <c r="E769" t="inlineStr">
        <is>
          <t>daniel ong</t>
        </is>
      </c>
      <c r="F769" t="inlineStr">
        <is>
          <t>Routine</t>
        </is>
      </c>
      <c r="G769" t="inlineStr">
        <is>
          <t>UNAPPROVED_AA</t>
        </is>
      </c>
      <c r="H769" t="inlineStr">
        <is>
          <t>Minor Breach</t>
        </is>
      </c>
      <c r="I769" s="6" t="n">
        <v>46153</v>
      </c>
      <c r="J769" s="6" t="n">
        <v>46158</v>
      </c>
      <c r="K769">
        <f>IF(J769="","",J769-B769)</f>
        <v/>
      </c>
      <c r="L769">
        <f>IF(H769="Compliant","N/A",IF(J769&lt;&gt;"","Closed",IF(I769&lt;DATE(2026,9,30),"OVERDUE","Open")))</f>
        <v/>
      </c>
    </row>
    <row r="770">
      <c r="A770" t="inlineStr">
        <is>
          <t>INSP-2026-0769</t>
        </is>
      </c>
      <c r="B770" s="6" t="n">
        <v>46139</v>
      </c>
      <c r="C770" t="inlineStr">
        <is>
          <t>U-CD174-01-08</t>
        </is>
      </c>
      <c r="D770" t="inlineStr">
        <is>
          <t>Cendana</t>
        </is>
      </c>
      <c r="E770" t="inlineStr">
        <is>
          <t>M. Lim</t>
        </is>
      </c>
      <c r="F770" t="inlineStr">
        <is>
          <t>Routine</t>
        </is>
      </c>
      <c r="G770" t="inlineStr">
        <is>
          <t>NONE</t>
        </is>
      </c>
      <c r="H770" t="inlineStr">
        <is>
          <t>Compliant</t>
        </is>
      </c>
      <c r="I770" s="6" t="n"/>
      <c r="J770" s="6" t="n"/>
      <c r="K770">
        <f>IF(J770="","",J770-B770)</f>
        <v/>
      </c>
      <c r="L770">
        <f>IF(H770="Compliant","N/A",IF(J770&lt;&gt;"","Closed",IF(I770&lt;DATE(2026,9,30),"OVERDUE","Open")))</f>
        <v/>
      </c>
    </row>
    <row r="771">
      <c r="A771" t="inlineStr">
        <is>
          <t>INSP-2026-0770</t>
        </is>
      </c>
      <c r="B771" s="6" t="n">
        <v>46140</v>
      </c>
      <c r="C771" t="inlineStr">
        <is>
          <t>U-CD131-02-08</t>
        </is>
      </c>
      <c r="D771" t="inlineStr">
        <is>
          <t>Cendana</t>
        </is>
      </c>
      <c r="E771" t="inlineStr">
        <is>
          <t>D. Ong</t>
        </is>
      </c>
      <c r="F771" t="inlineStr">
        <is>
          <t>Routine</t>
        </is>
      </c>
      <c r="G771" t="inlineStr">
        <is>
          <t>NONE</t>
        </is>
      </c>
      <c r="H771" t="inlineStr">
        <is>
          <t>Compliant</t>
        </is>
      </c>
      <c r="I771" s="6" t="n"/>
      <c r="J771" s="6" t="n"/>
      <c r="K771">
        <f>IF(J771="","",J771-B771)</f>
        <v/>
      </c>
      <c r="L771">
        <f>IF(H771="Compliant","N/A",IF(J771&lt;&gt;"","Closed",IF(I771&lt;DATE(2026,9,30),"OVERDUE","Open")))</f>
        <v/>
      </c>
    </row>
    <row r="772">
      <c r="A772" t="inlineStr">
        <is>
          <t>INSP-2026-0771</t>
        </is>
      </c>
      <c r="B772" s="6" t="n">
        <v>46140</v>
      </c>
      <c r="C772" t="inlineStr">
        <is>
          <t>U-RH460-01-14</t>
        </is>
      </c>
      <c r="D772" t="inlineStr">
        <is>
          <t>Rimba Heights</t>
        </is>
      </c>
      <c r="E772" t="inlineStr">
        <is>
          <t>daniel ong</t>
        </is>
      </c>
      <c r="F772" t="inlineStr">
        <is>
          <t>Complaint-driven</t>
        </is>
      </c>
      <c r="G772" t="inlineStr">
        <is>
          <t>NONE</t>
        </is>
      </c>
      <c r="H772" t="inlineStr">
        <is>
          <t>Compliant</t>
        </is>
      </c>
      <c r="I772" s="6" t="n"/>
      <c r="J772" s="6" t="n"/>
      <c r="K772">
        <f>IF(J772="","",J772-B772)</f>
        <v/>
      </c>
      <c r="L772">
        <f>IF(H772="Compliant","N/A",IF(J772&lt;&gt;"","Closed",IF(I772&lt;DATE(2026,9,30),"OVERDUE","Open")))</f>
        <v/>
      </c>
    </row>
    <row r="773">
      <c r="A773" t="inlineStr">
        <is>
          <t>INSP-2026-0772</t>
        </is>
      </c>
      <c r="B773" s="6" t="n">
        <v>46140</v>
      </c>
      <c r="C773" t="inlineStr">
        <is>
          <t>U-BV231-02-10</t>
        </is>
      </c>
      <c r="D773" t="inlineStr">
        <is>
          <t>Bayshore Vale</t>
        </is>
      </c>
      <c r="E773" t="inlineStr">
        <is>
          <t>Daniel Ong</t>
        </is>
      </c>
      <c r="F773" t="inlineStr">
        <is>
          <t>Routine</t>
        </is>
      </c>
      <c r="G773" t="inlineStr">
        <is>
          <t>NONE</t>
        </is>
      </c>
      <c r="H773" t="inlineStr">
        <is>
          <t>Compliant</t>
        </is>
      </c>
      <c r="I773" s="6" t="n"/>
      <c r="J773" s="6" t="n"/>
      <c r="K773">
        <f>IF(J773="","",J773-B773)</f>
        <v/>
      </c>
      <c r="L773">
        <f>IF(H773="Compliant","N/A",IF(J773&lt;&gt;"","Closed",IF(I773&lt;DATE(2026,9,30),"OVERDUE","Open")))</f>
        <v/>
      </c>
    </row>
    <row r="774">
      <c r="A774" t="inlineStr">
        <is>
          <t>INSP-2026-0773</t>
        </is>
      </c>
      <c r="B774" s="6" t="n">
        <v>46140</v>
      </c>
      <c r="C774" t="inlineStr">
        <is>
          <t>U-ST513-01-07</t>
        </is>
      </c>
      <c r="D774" t="inlineStr">
        <is>
          <t>Sungai Tinggi</t>
        </is>
      </c>
      <c r="E774" t="inlineStr">
        <is>
          <t>Ben Ho</t>
        </is>
      </c>
      <c r="F774" t="inlineStr">
        <is>
          <t>Routine</t>
        </is>
      </c>
      <c r="G774" t="inlineStr">
        <is>
          <t>NONE</t>
        </is>
      </c>
      <c r="H774" t="inlineStr">
        <is>
          <t>Compliant</t>
        </is>
      </c>
      <c r="I774" s="6" t="n"/>
      <c r="J774" s="6" t="n"/>
      <c r="K774">
        <f>IF(J774="","",J774-B774)</f>
        <v/>
      </c>
      <c r="L774">
        <f>IF(H774="Compliant","N/A",IF(J774&lt;&gt;"","Closed",IF(I774&lt;DATE(2026,9,30),"OVERDUE","Open")))</f>
        <v/>
      </c>
    </row>
    <row r="775">
      <c r="A775" t="inlineStr">
        <is>
          <t>INSP-2026-0774</t>
        </is>
      </c>
      <c r="B775" s="6" t="n">
        <v>46140</v>
      </c>
      <c r="C775" t="inlineStr">
        <is>
          <t>U-CD136-02-01</t>
        </is>
      </c>
      <c r="D775" t="inlineStr">
        <is>
          <t>Cendana</t>
        </is>
      </c>
      <c r="E775" t="inlineStr">
        <is>
          <t>daniel ong</t>
        </is>
      </c>
      <c r="F775" t="inlineStr">
        <is>
          <t>Routine</t>
        </is>
      </c>
      <c r="G775" t="inlineStr">
        <is>
          <t>DISPLAY_ENCROACH</t>
        </is>
      </c>
      <c r="H775" t="inlineStr">
        <is>
          <t>Minor Breach</t>
        </is>
      </c>
      <c r="I775" s="6" t="n">
        <v>46154</v>
      </c>
      <c r="J775" s="6" t="n">
        <v>46163</v>
      </c>
      <c r="K775">
        <f>IF(J775="","",J775-B775)</f>
        <v/>
      </c>
      <c r="L775">
        <f>IF(H775="Compliant","N/A",IF(J775&lt;&gt;"","Closed",IF(I775&lt;DATE(2026,9,30),"OVERDUE","Open")))</f>
        <v/>
      </c>
    </row>
    <row r="776">
      <c r="A776" t="inlineStr">
        <is>
          <t>INSP-2026-0775</t>
        </is>
      </c>
      <c r="B776" s="6" t="n">
        <v>46140</v>
      </c>
      <c r="C776" t="inlineStr">
        <is>
          <t>U-ST535-01-02</t>
        </is>
      </c>
      <c r="D776" t="inlineStr">
        <is>
          <t>Sungai Tinggi</t>
        </is>
      </c>
      <c r="E776" t="inlineStr">
        <is>
          <t>D. Ong</t>
        </is>
      </c>
      <c r="F776" t="inlineStr">
        <is>
          <t>Routine</t>
        </is>
      </c>
      <c r="G776" t="inlineStr">
        <is>
          <t>NONE</t>
        </is>
      </c>
      <c r="H776" t="inlineStr">
        <is>
          <t>Compliant</t>
        </is>
      </c>
      <c r="I776" s="6" t="n"/>
      <c r="J776" s="6" t="n"/>
      <c r="K776">
        <f>IF(J776="","",J776-B776)</f>
        <v/>
      </c>
      <c r="L776">
        <f>IF(H776="Compliant","N/A",IF(J776&lt;&gt;"","Closed",IF(I776&lt;DATE(2026,9,30),"OVERDUE","Open")))</f>
        <v/>
      </c>
    </row>
    <row r="777">
      <c r="A777" t="inlineStr">
        <is>
          <t>INSP-2026-0776</t>
        </is>
      </c>
      <c r="B777" s="6" t="n">
        <v>46140</v>
      </c>
      <c r="C777" t="inlineStr">
        <is>
          <t>U-BV215-01-09</t>
        </is>
      </c>
      <c r="D777" t="inlineStr">
        <is>
          <t>Bayshore Vale</t>
        </is>
      </c>
      <c r="E777" t="inlineStr">
        <is>
          <t>Daniel O.</t>
        </is>
      </c>
      <c r="F777" t="inlineStr">
        <is>
          <t>Routine</t>
        </is>
      </c>
      <c r="G777" t="inlineStr">
        <is>
          <t>NONE</t>
        </is>
      </c>
      <c r="H777" t="inlineStr">
        <is>
          <t>Compliant</t>
        </is>
      </c>
      <c r="I777" s="6" t="n"/>
      <c r="J777" s="6" t="n"/>
      <c r="K777">
        <f>IF(J777="","",J777-B777)</f>
        <v/>
      </c>
      <c r="L777">
        <f>IF(H777="Compliant","N/A",IF(J777&lt;&gt;"","Closed",IF(I777&lt;DATE(2026,9,30),"OVERDUE","Open")))</f>
        <v/>
      </c>
    </row>
    <row r="778">
      <c r="A778" t="inlineStr">
        <is>
          <t>INSP-2026-0777</t>
        </is>
      </c>
      <c r="B778" s="6" t="n">
        <v>46140</v>
      </c>
      <c r="C778" t="inlineStr">
        <is>
          <t>U-CD194-01-06</t>
        </is>
      </c>
      <c r="D778" t="inlineStr">
        <is>
          <t>Cendana</t>
        </is>
      </c>
      <c r="E778" t="inlineStr">
        <is>
          <t>Marcus Lim</t>
        </is>
      </c>
      <c r="F778" t="inlineStr">
        <is>
          <t>Routine</t>
        </is>
      </c>
      <c r="G778" t="inlineStr">
        <is>
          <t>NONE</t>
        </is>
      </c>
      <c r="H778" t="inlineStr">
        <is>
          <t>Compliant</t>
        </is>
      </c>
      <c r="I778" s="6" t="n"/>
      <c r="J778" s="6" t="n"/>
      <c r="K778">
        <f>IF(J778="","",J778-B778)</f>
        <v/>
      </c>
      <c r="L778">
        <f>IF(H778="Compliant","N/A",IF(J778&lt;&gt;"","Closed",IF(I778&lt;DATE(2026,9,30),"OVERDUE","Open")))</f>
        <v/>
      </c>
    </row>
    <row r="779">
      <c r="A779" t="inlineStr">
        <is>
          <t>INSP-2026-0778</t>
        </is>
      </c>
      <c r="B779" s="6" t="n">
        <v>46140</v>
      </c>
      <c r="C779" t="inlineStr">
        <is>
          <t>U-PI648-01-05</t>
        </is>
      </c>
      <c r="D779" t="inlineStr">
        <is>
          <t>Pasir Indah</t>
        </is>
      </c>
      <c r="E779" t="inlineStr">
        <is>
          <t>daniel ong</t>
        </is>
      </c>
      <c r="F779" t="inlineStr">
        <is>
          <t>Routine</t>
        </is>
      </c>
      <c r="G779" t="inlineStr">
        <is>
          <t>NONE</t>
        </is>
      </c>
      <c r="H779" t="inlineStr">
        <is>
          <t>Compliant</t>
        </is>
      </c>
      <c r="I779" s="6" t="n"/>
      <c r="J779" s="6" t="n"/>
      <c r="K779">
        <f>IF(J779="","",J779-B779)</f>
        <v/>
      </c>
      <c r="L779">
        <f>IF(H779="Compliant","N/A",IF(J779&lt;&gt;"","Closed",IF(I779&lt;DATE(2026,9,30),"OVERDUE","Open")))</f>
        <v/>
      </c>
    </row>
    <row r="780">
      <c r="A780" t="inlineStr">
        <is>
          <t>INSP-2026-0779</t>
        </is>
      </c>
      <c r="B780" s="6" t="n">
        <v>46140</v>
      </c>
      <c r="C780" t="inlineStr">
        <is>
          <t>U-ST545-01-10</t>
        </is>
      </c>
      <c r="D780" t="inlineStr">
        <is>
          <t>Sungai Tinggi</t>
        </is>
      </c>
      <c r="E780" t="inlineStr">
        <is>
          <t>Ben Ho</t>
        </is>
      </c>
      <c r="F780" t="inlineStr">
        <is>
          <t>Complaint-driven</t>
        </is>
      </c>
      <c r="G780" t="inlineStr">
        <is>
          <t>HYGIENE</t>
        </is>
      </c>
      <c r="H780" t="inlineStr">
        <is>
          <t>Minor Breach</t>
        </is>
      </c>
      <c r="I780" s="6" t="n">
        <v>46154</v>
      </c>
      <c r="J780" s="6" t="n">
        <v>46158</v>
      </c>
      <c r="K780">
        <f>IF(J780="","",J780-B780)</f>
        <v/>
      </c>
      <c r="L780">
        <f>IF(H780="Compliant","N/A",IF(J780&lt;&gt;"","Closed",IF(I780&lt;DATE(2026,9,30),"OVERDUE","Open")))</f>
        <v/>
      </c>
    </row>
    <row r="781">
      <c r="A781" t="inlineStr">
        <is>
          <t>INSP-2026-0780</t>
        </is>
      </c>
      <c r="B781" s="6" t="n">
        <v>46140</v>
      </c>
      <c r="C781" t="inlineStr">
        <is>
          <t>U-RH437-01-04</t>
        </is>
      </c>
      <c r="D781" t="inlineStr">
        <is>
          <t>Rimba Heights</t>
        </is>
      </c>
      <c r="E781" t="inlineStr">
        <is>
          <t>D. Ong</t>
        </is>
      </c>
      <c r="F781" t="inlineStr">
        <is>
          <t>Follow-up</t>
        </is>
      </c>
      <c r="G781" t="inlineStr">
        <is>
          <t>UNAPPROVED_AA</t>
        </is>
      </c>
      <c r="H781" t="inlineStr">
        <is>
          <t>Minor Breach</t>
        </is>
      </c>
      <c r="I781" s="6" t="n">
        <v>46154</v>
      </c>
      <c r="J781" s="6" t="n">
        <v>46155</v>
      </c>
      <c r="K781">
        <f>IF(J781="","",J781-B781)</f>
        <v/>
      </c>
      <c r="L781">
        <f>IF(H781="Compliant","N/A",IF(J781&lt;&gt;"","Closed",IF(I781&lt;DATE(2026,9,30),"OVERDUE","Open")))</f>
        <v/>
      </c>
    </row>
    <row r="782">
      <c r="A782" t="inlineStr">
        <is>
          <t>INSP-2026-0781</t>
        </is>
      </c>
      <c r="B782" s="6" t="n">
        <v>46141</v>
      </c>
      <c r="C782" t="inlineStr">
        <is>
          <t>U-RH408-01-06</t>
        </is>
      </c>
      <c r="D782" t="inlineStr">
        <is>
          <t>Rimba Heights</t>
        </is>
      </c>
      <c r="E782" t="inlineStr">
        <is>
          <t>daniel ong</t>
        </is>
      </c>
      <c r="F782" t="inlineStr">
        <is>
          <t>Routine</t>
        </is>
      </c>
      <c r="G782" t="inlineStr">
        <is>
          <t>NONE</t>
        </is>
      </c>
      <c r="H782" t="inlineStr">
        <is>
          <t>Compliant</t>
        </is>
      </c>
      <c r="I782" s="6" t="n"/>
      <c r="J782" s="6" t="n"/>
      <c r="K782">
        <f>IF(J782="","",J782-B782)</f>
        <v/>
      </c>
      <c r="L782">
        <f>IF(H782="Compliant","N/A",IF(J782&lt;&gt;"","Closed",IF(I782&lt;DATE(2026,9,30),"OVERDUE","Open")))</f>
        <v/>
      </c>
    </row>
    <row r="783">
      <c r="A783" t="inlineStr">
        <is>
          <t>INSP-2026-0782</t>
        </is>
      </c>
      <c r="B783" s="6" t="n">
        <v>46141</v>
      </c>
      <c r="C783" t="inlineStr">
        <is>
          <t>U-PI627-01-05</t>
        </is>
      </c>
      <c r="D783" t="inlineStr">
        <is>
          <t>Pasir Indah</t>
        </is>
      </c>
      <c r="E783" t="inlineStr">
        <is>
          <t>M. Lim</t>
        </is>
      </c>
      <c r="F783" t="inlineStr">
        <is>
          <t>Routine</t>
        </is>
      </c>
      <c r="G783" t="inlineStr">
        <is>
          <t>NONE</t>
        </is>
      </c>
      <c r="H783" t="inlineStr">
        <is>
          <t>Compliant</t>
        </is>
      </c>
      <c r="I783" s="6" t="n"/>
      <c r="J783" s="6" t="n"/>
      <c r="K783">
        <f>IF(J783="","",J783-B783)</f>
        <v/>
      </c>
      <c r="L783">
        <f>IF(H783="Compliant","N/A",IF(J783&lt;&gt;"","Closed",IF(I783&lt;DATE(2026,9,30),"OVERDUE","Open")))</f>
        <v/>
      </c>
    </row>
    <row r="784">
      <c r="A784" t="inlineStr">
        <is>
          <t>INSP-2026-0783</t>
        </is>
      </c>
      <c r="B784" s="6" t="n">
        <v>46141</v>
      </c>
      <c r="C784" t="inlineStr">
        <is>
          <t>U-BV279-01-04</t>
        </is>
      </c>
      <c r="D784" t="inlineStr">
        <is>
          <t>Bayshore Vale</t>
        </is>
      </c>
      <c r="E784" t="inlineStr">
        <is>
          <t>D. Ong</t>
        </is>
      </c>
      <c r="F784" t="inlineStr">
        <is>
          <t>Routine</t>
        </is>
      </c>
      <c r="G784" t="inlineStr">
        <is>
          <t>NONE</t>
        </is>
      </c>
      <c r="H784" t="inlineStr">
        <is>
          <t>Compliant</t>
        </is>
      </c>
      <c r="I784" s="6" t="n"/>
      <c r="J784" s="6" t="n"/>
      <c r="K784">
        <f>IF(J784="","",J784-B784)</f>
        <v/>
      </c>
      <c r="L784">
        <f>IF(H784="Compliant","N/A",IF(J784&lt;&gt;"","Closed",IF(I784&lt;DATE(2026,9,30),"OVERDUE","Open")))</f>
        <v/>
      </c>
    </row>
    <row r="785">
      <c r="A785" t="inlineStr">
        <is>
          <t>INSP-2026-0784</t>
        </is>
      </c>
      <c r="B785" s="6" t="n">
        <v>46141</v>
      </c>
      <c r="C785" t="inlineStr">
        <is>
          <t>U-BV256-01-07</t>
        </is>
      </c>
      <c r="D785" t="inlineStr">
        <is>
          <t>Bayshore Vale</t>
        </is>
      </c>
      <c r="E785" t="inlineStr">
        <is>
          <t>D. Ong</t>
        </is>
      </c>
      <c r="F785" t="inlineStr">
        <is>
          <t>Routine</t>
        </is>
      </c>
      <c r="G785" t="inlineStr">
        <is>
          <t>NONE</t>
        </is>
      </c>
      <c r="H785" t="inlineStr">
        <is>
          <t>Compliant</t>
        </is>
      </c>
      <c r="I785" s="6" t="n"/>
      <c r="J785" s="6" t="n"/>
      <c r="K785">
        <f>IF(J785="","",J785-B785)</f>
        <v/>
      </c>
      <c r="L785">
        <f>IF(H785="Compliant","N/A",IF(J785&lt;&gt;"","Closed",IF(I785&lt;DATE(2026,9,30),"OVERDUE","Open")))</f>
        <v/>
      </c>
    </row>
    <row r="786">
      <c r="A786" t="inlineStr">
        <is>
          <t>INSP-2026-0785</t>
        </is>
      </c>
      <c r="B786" s="6" t="n">
        <v>46142</v>
      </c>
      <c r="C786" t="inlineStr">
        <is>
          <t>U-BV256-01-14</t>
        </is>
      </c>
      <c r="D786" t="inlineStr">
        <is>
          <t>Bayshore Vale</t>
        </is>
      </c>
      <c r="E786" t="inlineStr">
        <is>
          <t>marcus</t>
        </is>
      </c>
      <c r="F786" t="inlineStr">
        <is>
          <t>Follow-up</t>
        </is>
      </c>
      <c r="G786" t="inlineStr">
        <is>
          <t>UNAUTH_SUBLET</t>
        </is>
      </c>
      <c r="H786" t="inlineStr">
        <is>
          <t>Major Breach</t>
        </is>
      </c>
      <c r="I786" s="6" t="n">
        <v>46149</v>
      </c>
      <c r="J786" s="6" t="n">
        <v>46149</v>
      </c>
      <c r="K786">
        <f>IF(J786="","",J786-B786)</f>
        <v/>
      </c>
      <c r="L786">
        <f>IF(H786="Compliant","N/A",IF(J786&lt;&gt;"","Closed",IF(I786&lt;DATE(2026,9,30),"OVERDUE","Open")))</f>
        <v/>
      </c>
    </row>
    <row r="787">
      <c r="A787" t="inlineStr">
        <is>
          <t>INSP-2026-0786</t>
        </is>
      </c>
      <c r="B787" s="6" t="n">
        <v>46142</v>
      </c>
      <c r="C787" t="inlineStr">
        <is>
          <t>U-ST512-01-28</t>
        </is>
      </c>
      <c r="D787" t="inlineStr">
        <is>
          <t>Sungai Tinggi</t>
        </is>
      </c>
      <c r="E787" t="inlineStr">
        <is>
          <t>Ben Ho</t>
        </is>
      </c>
      <c r="F787" t="inlineStr">
        <is>
          <t>Complaint-driven</t>
        </is>
      </c>
      <c r="G787" t="inlineStr">
        <is>
          <t>HYGIENE</t>
        </is>
      </c>
      <c r="H787" t="inlineStr">
        <is>
          <t>Minor Breach</t>
        </is>
      </c>
      <c r="I787" s="6" t="n">
        <v>46156</v>
      </c>
      <c r="J787" s="6" t="n">
        <v>46166</v>
      </c>
      <c r="K787">
        <f>IF(J787="","",J787-B787)</f>
        <v/>
      </c>
      <c r="L787">
        <f>IF(H787="Compliant","N/A",IF(J787&lt;&gt;"","Closed",IF(I787&lt;DATE(2026,9,30),"OVERDUE","Open")))</f>
        <v/>
      </c>
    </row>
    <row r="788">
      <c r="A788" t="inlineStr">
        <is>
          <t>INSP-2026-0787</t>
        </is>
      </c>
      <c r="B788" s="6" t="n">
        <v>46142</v>
      </c>
      <c r="C788" t="inlineStr">
        <is>
          <t>U-CD131-01-09</t>
        </is>
      </c>
      <c r="D788" t="inlineStr">
        <is>
          <t>Cendana</t>
        </is>
      </c>
      <c r="E788" t="inlineStr">
        <is>
          <t>Daniel Ong</t>
        </is>
      </c>
      <c r="F788" t="inlineStr">
        <is>
          <t>Routine</t>
        </is>
      </c>
      <c r="G788" t="inlineStr">
        <is>
          <t>HYGIENE</t>
        </is>
      </c>
      <c r="H788" t="inlineStr">
        <is>
          <t>Minor Breach</t>
        </is>
      </c>
      <c r="I788" s="6" t="n">
        <v>46156</v>
      </c>
      <c r="J788" s="6" t="n">
        <v>46165</v>
      </c>
      <c r="K788">
        <f>IF(J788="","",J788-B788)</f>
        <v/>
      </c>
      <c r="L788">
        <f>IF(H788="Compliant","N/A",IF(J788&lt;&gt;"","Closed",IF(I788&lt;DATE(2026,9,30),"OVERDUE","Open")))</f>
        <v/>
      </c>
    </row>
    <row r="789">
      <c r="A789" t="inlineStr">
        <is>
          <t>INSP-2026-0788</t>
        </is>
      </c>
      <c r="B789" s="6" t="n">
        <v>46142</v>
      </c>
      <c r="C789" t="inlineStr">
        <is>
          <t>U-RH464-01-01</t>
        </is>
      </c>
      <c r="D789" t="inlineStr">
        <is>
          <t>Rimba Heights</t>
        </is>
      </c>
      <c r="E789" t="inlineStr">
        <is>
          <t>Ben Ho</t>
        </is>
      </c>
      <c r="F789" t="inlineStr">
        <is>
          <t>Complaint-driven</t>
        </is>
      </c>
      <c r="G789" t="inlineStr">
        <is>
          <t>NONE</t>
        </is>
      </c>
      <c r="H789" t="inlineStr">
        <is>
          <t>Compliant</t>
        </is>
      </c>
      <c r="I789" s="6" t="n"/>
      <c r="J789" s="6" t="n"/>
      <c r="K789">
        <f>IF(J789="","",J789-B789)</f>
        <v/>
      </c>
      <c r="L789">
        <f>IF(H789="Compliant","N/A",IF(J789&lt;&gt;"","Closed",IF(I789&lt;DATE(2026,9,30),"OVERDUE","Open")))</f>
        <v/>
      </c>
    </row>
    <row r="790">
      <c r="A790" t="inlineStr">
        <is>
          <t>INSP-2026-0789</t>
        </is>
      </c>
      <c r="B790" s="6" t="n">
        <v>46142</v>
      </c>
      <c r="C790" t="inlineStr">
        <is>
          <t>U-BV215-01-07</t>
        </is>
      </c>
      <c r="D790" t="inlineStr">
        <is>
          <t>Bayshore Vale</t>
        </is>
      </c>
      <c r="E790" t="inlineStr">
        <is>
          <t>Daniel O.</t>
        </is>
      </c>
      <c r="F790" t="inlineStr">
        <is>
          <t>Routine</t>
        </is>
      </c>
      <c r="G790" t="inlineStr">
        <is>
          <t>NONE</t>
        </is>
      </c>
      <c r="H790" t="inlineStr">
        <is>
          <t>Compliant</t>
        </is>
      </c>
      <c r="I790" s="6" t="n"/>
      <c r="J790" s="6" t="n"/>
      <c r="K790">
        <f>IF(J790="","",J790-B790)</f>
        <v/>
      </c>
      <c r="L790">
        <f>IF(H790="Compliant","N/A",IF(J790&lt;&gt;"","Closed",IF(I790&lt;DATE(2026,9,30),"OVERDUE","Open")))</f>
        <v/>
      </c>
    </row>
    <row r="791">
      <c r="A791" t="inlineStr">
        <is>
          <t>INSP-2026-0790</t>
        </is>
      </c>
      <c r="B791" s="6" t="n">
        <v>46143</v>
      </c>
      <c r="C791" t="inlineStr">
        <is>
          <t>U-PI657-01-11</t>
        </is>
      </c>
      <c r="D791" t="inlineStr">
        <is>
          <t>Pasir Indah</t>
        </is>
      </c>
      <c r="E791" t="inlineStr">
        <is>
          <t>D. Ong</t>
        </is>
      </c>
      <c r="F791" t="inlineStr">
        <is>
          <t>Routine</t>
        </is>
      </c>
      <c r="G791" t="inlineStr">
        <is>
          <t>NONE</t>
        </is>
      </c>
      <c r="H791" t="inlineStr">
        <is>
          <t>Compliant</t>
        </is>
      </c>
      <c r="I791" s="6" t="n"/>
      <c r="J791" s="6" t="n"/>
      <c r="K791">
        <f>IF(J791="","",J791-B791)</f>
        <v/>
      </c>
      <c r="L791">
        <f>IF(H791="Compliant","N/A",IF(J791&lt;&gt;"","Closed",IF(I791&lt;DATE(2026,9,30),"OVERDUE","Open")))</f>
        <v/>
      </c>
    </row>
    <row r="792">
      <c r="A792" t="inlineStr">
        <is>
          <t>INSP-2026-0791</t>
        </is>
      </c>
      <c r="B792" s="6" t="n">
        <v>46143</v>
      </c>
      <c r="C792" t="inlineStr">
        <is>
          <t>U-KR329-01-10</t>
        </is>
      </c>
      <c r="D792" t="inlineStr">
        <is>
          <t>Kebun Raya</t>
        </is>
      </c>
      <c r="E792" t="inlineStr">
        <is>
          <t>Daniel O.</t>
        </is>
      </c>
      <c r="F792" t="inlineStr">
        <is>
          <t>Routine</t>
        </is>
      </c>
      <c r="G792" t="inlineStr">
        <is>
          <t>STRUCTURAL_DEFECT</t>
        </is>
      </c>
      <c r="H792" t="inlineStr">
        <is>
          <t>Major Breach</t>
        </is>
      </c>
      <c r="I792" s="6" t="n">
        <v>46150</v>
      </c>
      <c r="J792" s="6" t="n">
        <v>46157</v>
      </c>
      <c r="K792">
        <f>IF(J792="","",J792-B792)</f>
        <v/>
      </c>
      <c r="L792">
        <f>IF(H792="Compliant","N/A",IF(J792&lt;&gt;"","Closed",IF(I792&lt;DATE(2026,9,30),"OVERDUE","Open")))</f>
        <v/>
      </c>
    </row>
    <row r="793">
      <c r="A793" t="inlineStr">
        <is>
          <t>INSP-2026-0792</t>
        </is>
      </c>
      <c r="B793" s="6" t="n">
        <v>46143</v>
      </c>
      <c r="C793" t="inlineStr">
        <is>
          <t>U-CD135-01-03</t>
        </is>
      </c>
      <c r="D793" t="inlineStr">
        <is>
          <t>Cendana</t>
        </is>
      </c>
      <c r="E793" t="inlineStr">
        <is>
          <t>Marcus Lim</t>
        </is>
      </c>
      <c r="F793" t="inlineStr">
        <is>
          <t>Routine</t>
        </is>
      </c>
      <c r="G793" t="inlineStr">
        <is>
          <t>NONE</t>
        </is>
      </c>
      <c r="H793" t="inlineStr">
        <is>
          <t>Compliant</t>
        </is>
      </c>
      <c r="I793" s="6" t="n"/>
      <c r="J793" s="6" t="n"/>
      <c r="K793">
        <f>IF(J793="","",J793-B793)</f>
        <v/>
      </c>
      <c r="L793">
        <f>IF(H793="Compliant","N/A",IF(J793&lt;&gt;"","Closed",IF(I793&lt;DATE(2026,9,30),"OVERDUE","Open")))</f>
        <v/>
      </c>
    </row>
    <row r="794">
      <c r="A794" t="inlineStr">
        <is>
          <t>INSP-2026-0793</t>
        </is>
      </c>
      <c r="B794" s="6" t="n">
        <v>46143</v>
      </c>
      <c r="C794" t="inlineStr">
        <is>
          <t>U-CD181-01-06</t>
        </is>
      </c>
      <c r="D794" t="inlineStr">
        <is>
          <t>Cendana</t>
        </is>
      </c>
      <c r="E794" t="inlineStr">
        <is>
          <t>marcus</t>
        </is>
      </c>
      <c r="F794" t="inlineStr">
        <is>
          <t>Routine</t>
        </is>
      </c>
      <c r="G794" t="inlineStr">
        <is>
          <t>NONE</t>
        </is>
      </c>
      <c r="H794" t="inlineStr">
        <is>
          <t>Compliant</t>
        </is>
      </c>
      <c r="I794" s="6" t="n"/>
      <c r="J794" s="6" t="n"/>
      <c r="K794">
        <f>IF(J794="","",J794-B794)</f>
        <v/>
      </c>
      <c r="L794">
        <f>IF(H794="Compliant","N/A",IF(J794&lt;&gt;"","Closed",IF(I794&lt;DATE(2026,9,30),"OVERDUE","Open")))</f>
        <v/>
      </c>
    </row>
    <row r="795">
      <c r="A795" t="inlineStr">
        <is>
          <t>INSP-2026-0794</t>
        </is>
      </c>
      <c r="B795" s="6" t="n">
        <v>46143</v>
      </c>
      <c r="C795" t="inlineStr">
        <is>
          <t>U-PI678-01-01</t>
        </is>
      </c>
      <c r="D795" t="inlineStr">
        <is>
          <t>Pasir Indah</t>
        </is>
      </c>
      <c r="E795" t="inlineStr">
        <is>
          <t>M. Lim</t>
        </is>
      </c>
      <c r="F795" t="inlineStr">
        <is>
          <t>Complaint-driven</t>
        </is>
      </c>
      <c r="G795" t="inlineStr">
        <is>
          <t>NONE</t>
        </is>
      </c>
      <c r="H795" t="inlineStr">
        <is>
          <t>Compliant</t>
        </is>
      </c>
      <c r="I795" s="6" t="n"/>
      <c r="J795" s="6" t="n"/>
      <c r="K795">
        <f>IF(J795="","",J795-B795)</f>
        <v/>
      </c>
      <c r="L795">
        <f>IF(H795="Compliant","N/A",IF(J795&lt;&gt;"","Closed",IF(I795&lt;DATE(2026,9,30),"OVERDUE","Open")))</f>
        <v/>
      </c>
    </row>
    <row r="796">
      <c r="A796" t="inlineStr">
        <is>
          <t>INSP-2026-0795</t>
        </is>
      </c>
      <c r="B796" s="6" t="n">
        <v>46143</v>
      </c>
      <c r="C796" t="inlineStr">
        <is>
          <t>U-KR341-01-06</t>
        </is>
      </c>
      <c r="D796" t="inlineStr">
        <is>
          <t>Kebun Raya</t>
        </is>
      </c>
      <c r="E796" t="inlineStr">
        <is>
          <t>daniel ong</t>
        </is>
      </c>
      <c r="F796" t="inlineStr">
        <is>
          <t>Complaint-driven</t>
        </is>
      </c>
      <c r="G796" t="inlineStr">
        <is>
          <t>HYGIENE</t>
        </is>
      </c>
      <c r="H796" t="inlineStr">
        <is>
          <t>Minor Breach</t>
        </is>
      </c>
      <c r="I796" s="6" t="n">
        <v>46157</v>
      </c>
      <c r="J796" s="6" t="n">
        <v>46161</v>
      </c>
      <c r="K796">
        <f>IF(J796="","",J796-B796)</f>
        <v/>
      </c>
      <c r="L796">
        <f>IF(H796="Compliant","N/A",IF(J796&lt;&gt;"","Closed",IF(I796&lt;DATE(2026,9,30),"OVERDUE","Open")))</f>
        <v/>
      </c>
    </row>
    <row r="797">
      <c r="A797" t="inlineStr">
        <is>
          <t>INSP-2026-0796</t>
        </is>
      </c>
      <c r="B797" s="6" t="n">
        <v>46143</v>
      </c>
      <c r="C797" t="inlineStr">
        <is>
          <t>U-CD118-01-17</t>
        </is>
      </c>
      <c r="D797" t="inlineStr">
        <is>
          <t>Cendana</t>
        </is>
      </c>
      <c r="E797" t="inlineStr">
        <is>
          <t>M. Lim</t>
        </is>
      </c>
      <c r="F797" t="inlineStr">
        <is>
          <t>Routine</t>
        </is>
      </c>
      <c r="G797" t="inlineStr">
        <is>
          <t>NONE</t>
        </is>
      </c>
      <c r="H797" t="inlineStr">
        <is>
          <t>Compliant</t>
        </is>
      </c>
      <c r="I797" s="6" t="n"/>
      <c r="J797" s="6" t="n"/>
      <c r="K797">
        <f>IF(J797="","",J797-B797)</f>
        <v/>
      </c>
      <c r="L797">
        <f>IF(H797="Compliant","N/A",IF(J797&lt;&gt;"","Closed",IF(I797&lt;DATE(2026,9,30),"OVERDUE","Open")))</f>
        <v/>
      </c>
    </row>
    <row r="798">
      <c r="A798" t="inlineStr">
        <is>
          <t>INSP-2026-0797</t>
        </is>
      </c>
      <c r="B798" s="6" t="n">
        <v>46143</v>
      </c>
      <c r="C798" t="inlineStr">
        <is>
          <t>U-KR385-01-08</t>
        </is>
      </c>
      <c r="D798" t="inlineStr">
        <is>
          <t>Kebun Raya</t>
        </is>
      </c>
      <c r="E798" t="inlineStr">
        <is>
          <t>daniel ong</t>
        </is>
      </c>
      <c r="F798" t="inlineStr">
        <is>
          <t>Routine</t>
        </is>
      </c>
      <c r="G798" t="inlineStr">
        <is>
          <t>NONE</t>
        </is>
      </c>
      <c r="H798" t="inlineStr">
        <is>
          <t>Compliant</t>
        </is>
      </c>
      <c r="I798" s="6" t="n"/>
      <c r="J798" s="6" t="n"/>
      <c r="K798">
        <f>IF(J798="","",J798-B798)</f>
        <v/>
      </c>
      <c r="L798">
        <f>IF(H798="Compliant","N/A",IF(J798&lt;&gt;"","Closed",IF(I798&lt;DATE(2026,9,30),"OVERDUE","Open")))</f>
        <v/>
      </c>
    </row>
    <row r="799">
      <c r="A799" t="inlineStr">
        <is>
          <t>INSP-2026-0798</t>
        </is>
      </c>
      <c r="B799" s="6" t="n">
        <v>46143</v>
      </c>
      <c r="C799" t="inlineStr">
        <is>
          <t>U-ST596-01-07</t>
        </is>
      </c>
      <c r="D799" t="inlineStr">
        <is>
          <t>Sungai Tinggi</t>
        </is>
      </c>
      <c r="E799" t="inlineStr">
        <is>
          <t>Ben Ho</t>
        </is>
      </c>
      <c r="F799" t="inlineStr">
        <is>
          <t>Routine</t>
        </is>
      </c>
      <c r="G799" t="inlineStr">
        <is>
          <t>NONE</t>
        </is>
      </c>
      <c r="H799" t="inlineStr">
        <is>
          <t>Compliant</t>
        </is>
      </c>
      <c r="I799" s="6" t="n"/>
      <c r="J799" s="6" t="n"/>
      <c r="K799">
        <f>IF(J799="","",J799-B799)</f>
        <v/>
      </c>
      <c r="L799">
        <f>IF(H799="Compliant","N/A",IF(J799&lt;&gt;"","Closed",IF(I799&lt;DATE(2026,9,30),"OVERDUE","Open")))</f>
        <v/>
      </c>
    </row>
    <row r="800">
      <c r="A800" t="inlineStr">
        <is>
          <t>INSP-2026-0799</t>
        </is>
      </c>
      <c r="B800" s="6" t="n">
        <v>46144</v>
      </c>
      <c r="C800" t="inlineStr">
        <is>
          <t>U-CD129-01-05</t>
        </is>
      </c>
      <c r="D800" t="inlineStr">
        <is>
          <t>Cendana</t>
        </is>
      </c>
      <c r="E800" t="inlineStr">
        <is>
          <t>Daniel O.</t>
        </is>
      </c>
      <c r="F800" t="inlineStr">
        <is>
          <t>Routine</t>
        </is>
      </c>
      <c r="G800" t="inlineStr">
        <is>
          <t>NONE</t>
        </is>
      </c>
      <c r="H800" t="inlineStr">
        <is>
          <t>Compliant</t>
        </is>
      </c>
      <c r="I800" s="6" t="n"/>
      <c r="J800" s="6" t="n"/>
      <c r="K800">
        <f>IF(J800="","",J800-B800)</f>
        <v/>
      </c>
      <c r="L800">
        <f>IF(H800="Compliant","N/A",IF(J800&lt;&gt;"","Closed",IF(I800&lt;DATE(2026,9,30),"OVERDUE","Open")))</f>
        <v/>
      </c>
    </row>
    <row r="801">
      <c r="A801" t="inlineStr">
        <is>
          <t>INSP-2026-0800</t>
        </is>
      </c>
      <c r="B801" s="6" t="n">
        <v>46144</v>
      </c>
      <c r="C801" t="inlineStr">
        <is>
          <t>U-CD119-02-07</t>
        </is>
      </c>
      <c r="D801" t="inlineStr">
        <is>
          <t>Cendana</t>
        </is>
      </c>
      <c r="E801" t="inlineStr">
        <is>
          <t>D. Ong</t>
        </is>
      </c>
      <c r="F801" t="inlineStr">
        <is>
          <t>Complaint-driven</t>
        </is>
      </c>
      <c r="G801" t="inlineStr">
        <is>
          <t>NONE</t>
        </is>
      </c>
      <c r="H801" t="inlineStr">
        <is>
          <t>Compliant</t>
        </is>
      </c>
      <c r="I801" s="6" t="n"/>
      <c r="J801" s="6" t="n"/>
      <c r="K801">
        <f>IF(J801="","",J801-B801)</f>
        <v/>
      </c>
      <c r="L801">
        <f>IF(H801="Compliant","N/A",IF(J801&lt;&gt;"","Closed",IF(I801&lt;DATE(2026,9,30),"OVERDUE","Open")))</f>
        <v/>
      </c>
    </row>
    <row r="802">
      <c r="A802" t="inlineStr">
        <is>
          <t>INSP-2026-0801</t>
        </is>
      </c>
      <c r="B802" s="6" t="n">
        <v>46144</v>
      </c>
      <c r="C802" t="inlineStr">
        <is>
          <t>U-ST545-01-05</t>
        </is>
      </c>
      <c r="D802" t="inlineStr">
        <is>
          <t>Sungai Tinggi</t>
        </is>
      </c>
      <c r="E802" t="inlineStr">
        <is>
          <t>Daniel Ong</t>
        </is>
      </c>
      <c r="F802" t="inlineStr">
        <is>
          <t>Routine</t>
        </is>
      </c>
      <c r="G802" t="inlineStr">
        <is>
          <t>NONE</t>
        </is>
      </c>
      <c r="H802" t="inlineStr">
        <is>
          <t>Compliant</t>
        </is>
      </c>
      <c r="I802" s="6" t="n"/>
      <c r="J802" s="6" t="n"/>
      <c r="K802">
        <f>IF(J802="","",J802-B802)</f>
        <v/>
      </c>
      <c r="L802">
        <f>IF(H802="Compliant","N/A",IF(J802&lt;&gt;"","Closed",IF(I802&lt;DATE(2026,9,30),"OVERDUE","Open")))</f>
        <v/>
      </c>
    </row>
    <row r="803">
      <c r="A803" t="inlineStr">
        <is>
          <t>INSP-2026-0802</t>
        </is>
      </c>
      <c r="B803" s="6" t="n">
        <v>46144</v>
      </c>
      <c r="C803" t="inlineStr">
        <is>
          <t>U-RH463-01-01</t>
        </is>
      </c>
      <c r="D803" t="inlineStr">
        <is>
          <t>Rimba Heights</t>
        </is>
      </c>
      <c r="E803" t="inlineStr">
        <is>
          <t>D. Ong</t>
        </is>
      </c>
      <c r="F803" t="inlineStr">
        <is>
          <t>Complaint-driven</t>
        </is>
      </c>
      <c r="G803" t="inlineStr">
        <is>
          <t>DISPLAY_ENCROACH</t>
        </is>
      </c>
      <c r="H803" t="inlineStr">
        <is>
          <t>Minor Breach</t>
        </is>
      </c>
      <c r="I803" s="6" t="n">
        <v>46158</v>
      </c>
      <c r="J803" s="6" t="n">
        <v>46157</v>
      </c>
      <c r="K803">
        <f>IF(J803="","",J803-B803)</f>
        <v/>
      </c>
      <c r="L803">
        <f>IF(H803="Compliant","N/A",IF(J803&lt;&gt;"","Closed",IF(I803&lt;DATE(2026,9,30),"OVERDUE","Open")))</f>
        <v/>
      </c>
    </row>
    <row r="804">
      <c r="A804" t="inlineStr">
        <is>
          <t>INSP-2026-0803</t>
        </is>
      </c>
      <c r="B804" s="6" t="n">
        <v>46144</v>
      </c>
      <c r="C804" t="inlineStr">
        <is>
          <t>U-CD108-01-04</t>
        </is>
      </c>
      <c r="D804" t="inlineStr">
        <is>
          <t>Cendana</t>
        </is>
      </c>
      <c r="E804" t="inlineStr">
        <is>
          <t>marcus</t>
        </is>
      </c>
      <c r="F804" t="inlineStr">
        <is>
          <t>Follow-up</t>
        </is>
      </c>
      <c r="G804" t="inlineStr">
        <is>
          <t>NONE</t>
        </is>
      </c>
      <c r="H804" t="inlineStr">
        <is>
          <t>Compliant</t>
        </is>
      </c>
      <c r="I804" s="6" t="n"/>
      <c r="J804" s="6" t="n"/>
      <c r="K804">
        <f>IF(J804="","",J804-B804)</f>
        <v/>
      </c>
      <c r="L804">
        <f>IF(H804="Compliant","N/A",IF(J804&lt;&gt;"","Closed",IF(I804&lt;DATE(2026,9,30),"OVERDUE","Open")))</f>
        <v/>
      </c>
    </row>
    <row r="805">
      <c r="A805" t="inlineStr">
        <is>
          <t>INSP-2026-0804</t>
        </is>
      </c>
      <c r="B805" s="6" t="n">
        <v>46144</v>
      </c>
      <c r="C805" t="inlineStr">
        <is>
          <t>U-RH491-01-01</t>
        </is>
      </c>
      <c r="D805" t="inlineStr">
        <is>
          <t>Rimba Heights</t>
        </is>
      </c>
      <c r="E805" t="inlineStr">
        <is>
          <t>Ben Ho</t>
        </is>
      </c>
      <c r="F805" t="inlineStr">
        <is>
          <t>Routine</t>
        </is>
      </c>
      <c r="G805" t="inlineStr">
        <is>
          <t>NONE</t>
        </is>
      </c>
      <c r="H805" t="inlineStr">
        <is>
          <t>Compliant</t>
        </is>
      </c>
      <c r="I805" s="6" t="n"/>
      <c r="J805" s="6" t="n"/>
      <c r="K805">
        <f>IF(J805="","",J805-B805)</f>
        <v/>
      </c>
      <c r="L805">
        <f>IF(H805="Compliant","N/A",IF(J805&lt;&gt;"","Closed",IF(I805&lt;DATE(2026,9,30),"OVERDUE","Open")))</f>
        <v/>
      </c>
    </row>
    <row r="806">
      <c r="A806" t="inlineStr">
        <is>
          <t>INSP-2026-0805</t>
        </is>
      </c>
      <c r="B806" s="6" t="n">
        <v>46145</v>
      </c>
      <c r="C806" t="inlineStr">
        <is>
          <t>U-ST522-01-02</t>
        </is>
      </c>
      <c r="D806" t="inlineStr">
        <is>
          <t>Sungai Tinggi</t>
        </is>
      </c>
      <c r="E806" t="inlineStr">
        <is>
          <t>Daniel Ong</t>
        </is>
      </c>
      <c r="F806" t="inlineStr">
        <is>
          <t>Routine</t>
        </is>
      </c>
      <c r="G806" t="inlineStr">
        <is>
          <t>NONE</t>
        </is>
      </c>
      <c r="H806" t="inlineStr">
        <is>
          <t>Compliant</t>
        </is>
      </c>
      <c r="I806" s="6" t="n"/>
      <c r="J806" s="6" t="n"/>
      <c r="K806">
        <f>IF(J806="","",J806-B806)</f>
        <v/>
      </c>
      <c r="L806">
        <f>IF(H806="Compliant","N/A",IF(J806&lt;&gt;"","Closed",IF(I806&lt;DATE(2026,9,30),"OVERDUE","Open")))</f>
        <v/>
      </c>
    </row>
    <row r="807">
      <c r="A807" t="inlineStr">
        <is>
          <t>INSP-2026-0806</t>
        </is>
      </c>
      <c r="B807" s="6" t="n">
        <v>46145</v>
      </c>
      <c r="C807" t="inlineStr">
        <is>
          <t>U-ST512-01-03</t>
        </is>
      </c>
      <c r="D807" t="inlineStr">
        <is>
          <t>Sungai Tinggi</t>
        </is>
      </c>
      <c r="E807" t="inlineStr">
        <is>
          <t>B. Ho</t>
        </is>
      </c>
      <c r="F807" t="inlineStr">
        <is>
          <t>Routine</t>
        </is>
      </c>
      <c r="G807" t="inlineStr">
        <is>
          <t>NONE</t>
        </is>
      </c>
      <c r="H807" t="inlineStr">
        <is>
          <t>Compliant</t>
        </is>
      </c>
      <c r="I807" s="6" t="n"/>
      <c r="J807" s="6" t="n"/>
      <c r="K807">
        <f>IF(J807="","",J807-B807)</f>
        <v/>
      </c>
      <c r="L807">
        <f>IF(H807="Compliant","N/A",IF(J807&lt;&gt;"","Closed",IF(I807&lt;DATE(2026,9,30),"OVERDUE","Open")))</f>
        <v/>
      </c>
    </row>
    <row r="808">
      <c r="A808" t="inlineStr">
        <is>
          <t>INSP-2026-0807</t>
        </is>
      </c>
      <c r="B808" s="6" t="n">
        <v>46145</v>
      </c>
      <c r="C808" t="inlineStr">
        <is>
          <t>U-PI627-01-19</t>
        </is>
      </c>
      <c r="D808" t="inlineStr">
        <is>
          <t>Pasir Indah</t>
        </is>
      </c>
      <c r="E808" t="inlineStr">
        <is>
          <t>Daniel O.</t>
        </is>
      </c>
      <c r="F808" t="inlineStr">
        <is>
          <t>Complaint-driven</t>
        </is>
      </c>
      <c r="G808" t="inlineStr">
        <is>
          <t>NONE</t>
        </is>
      </c>
      <c r="H808" t="inlineStr">
        <is>
          <t>Compliant</t>
        </is>
      </c>
      <c r="I808" s="6" t="n"/>
      <c r="J808" s="6" t="n"/>
      <c r="K808">
        <f>IF(J808="","",J808-B808)</f>
        <v/>
      </c>
      <c r="L808">
        <f>IF(H808="Compliant","N/A",IF(J808&lt;&gt;"","Closed",IF(I808&lt;DATE(2026,9,30),"OVERDUE","Open")))</f>
        <v/>
      </c>
    </row>
    <row r="809">
      <c r="A809" t="inlineStr">
        <is>
          <t>INSP-2026-0808</t>
        </is>
      </c>
      <c r="B809" s="6" t="n">
        <v>46145</v>
      </c>
      <c r="C809" t="inlineStr">
        <is>
          <t>U-CD189-01-10</t>
        </is>
      </c>
      <c r="D809" t="inlineStr">
        <is>
          <t>Cendana</t>
        </is>
      </c>
      <c r="E809" t="inlineStr">
        <is>
          <t>Daniel Ong</t>
        </is>
      </c>
      <c r="F809" t="inlineStr">
        <is>
          <t>Routine</t>
        </is>
      </c>
      <c r="G809" t="inlineStr">
        <is>
          <t>NONE</t>
        </is>
      </c>
      <c r="H809" t="inlineStr">
        <is>
          <t>Compliant</t>
        </is>
      </c>
      <c r="I809" s="6" t="n"/>
      <c r="J809" s="6" t="n"/>
      <c r="K809">
        <f>IF(J809="","",J809-B809)</f>
        <v/>
      </c>
      <c r="L809">
        <f>IF(H809="Compliant","N/A",IF(J809&lt;&gt;"","Closed",IF(I809&lt;DATE(2026,9,30),"OVERDUE","Open")))</f>
        <v/>
      </c>
    </row>
    <row r="810">
      <c r="A810" t="inlineStr">
        <is>
          <t>INSP-2026-0809</t>
        </is>
      </c>
      <c r="B810" s="6" t="n">
        <v>46145</v>
      </c>
      <c r="C810" t="inlineStr">
        <is>
          <t>U-PI679-01-06</t>
        </is>
      </c>
      <c r="D810" t="inlineStr">
        <is>
          <t>Pasir Indah</t>
        </is>
      </c>
      <c r="E810" t="inlineStr">
        <is>
          <t>Daniel Ong</t>
        </is>
      </c>
      <c r="F810" t="inlineStr">
        <is>
          <t>Routine</t>
        </is>
      </c>
      <c r="G810" t="inlineStr">
        <is>
          <t>NONE</t>
        </is>
      </c>
      <c r="H810" t="inlineStr">
        <is>
          <t>Compliant</t>
        </is>
      </c>
      <c r="I810" s="6" t="n"/>
      <c r="J810" s="6" t="n"/>
      <c r="K810">
        <f>IF(J810="","",J810-B810)</f>
        <v/>
      </c>
      <c r="L810">
        <f>IF(H810="Compliant","N/A",IF(J810&lt;&gt;"","Closed",IF(I810&lt;DATE(2026,9,30),"OVERDUE","Open")))</f>
        <v/>
      </c>
    </row>
    <row r="811">
      <c r="A811" t="inlineStr">
        <is>
          <t>INSP-2026-0810</t>
        </is>
      </c>
      <c r="B811" s="6" t="n">
        <v>46145</v>
      </c>
      <c r="C811" t="inlineStr">
        <is>
          <t>U-CD189-02-07</t>
        </is>
      </c>
      <c r="D811" t="inlineStr">
        <is>
          <t>Cendana</t>
        </is>
      </c>
      <c r="E811" t="inlineStr">
        <is>
          <t>M. Lim</t>
        </is>
      </c>
      <c r="F811" t="inlineStr">
        <is>
          <t>Follow-up</t>
        </is>
      </c>
      <c r="G811" t="inlineStr">
        <is>
          <t>NONE</t>
        </is>
      </c>
      <c r="H811" t="inlineStr">
        <is>
          <t>Compliant</t>
        </is>
      </c>
      <c r="I811" s="6" t="n"/>
      <c r="J811" s="6" t="n"/>
      <c r="K811">
        <f>IF(J811="","",J811-B811)</f>
        <v/>
      </c>
      <c r="L811">
        <f>IF(H811="Compliant","N/A",IF(J811&lt;&gt;"","Closed",IF(I811&lt;DATE(2026,9,30),"OVERDUE","Open")))</f>
        <v/>
      </c>
    </row>
    <row r="812">
      <c r="A812" t="inlineStr">
        <is>
          <t>INSP-2026-0811</t>
        </is>
      </c>
      <c r="B812" s="6" t="n">
        <v>46145</v>
      </c>
      <c r="C812" t="inlineStr">
        <is>
          <t>U-RH463-01-06</t>
        </is>
      </c>
      <c r="D812" t="inlineStr">
        <is>
          <t>Rimba Heights</t>
        </is>
      </c>
      <c r="E812" t="inlineStr">
        <is>
          <t>D. Ong</t>
        </is>
      </c>
      <c r="F812" t="inlineStr">
        <is>
          <t>Routine</t>
        </is>
      </c>
      <c r="G812" t="inlineStr">
        <is>
          <t>NONE</t>
        </is>
      </c>
      <c r="H812" t="inlineStr">
        <is>
          <t>Compliant</t>
        </is>
      </c>
      <c r="I812" s="6" t="n"/>
      <c r="J812" s="6" t="n"/>
      <c r="K812">
        <f>IF(J812="","",J812-B812)</f>
        <v/>
      </c>
      <c r="L812">
        <f>IF(H812="Compliant","N/A",IF(J812&lt;&gt;"","Closed",IF(I812&lt;DATE(2026,9,30),"OVERDUE","Open")))</f>
        <v/>
      </c>
    </row>
    <row r="813">
      <c r="A813" t="inlineStr">
        <is>
          <t>INSP-2026-0812</t>
        </is>
      </c>
      <c r="B813" s="6" t="n">
        <v>46146</v>
      </c>
      <c r="C813" t="inlineStr">
        <is>
          <t>U-RH491-01-12</t>
        </is>
      </c>
      <c r="D813" t="inlineStr">
        <is>
          <t>Rimba Heights</t>
        </is>
      </c>
      <c r="E813" t="inlineStr">
        <is>
          <t>Daniel Ong</t>
        </is>
      </c>
      <c r="F813" t="inlineStr">
        <is>
          <t>Complaint-driven</t>
        </is>
      </c>
      <c r="G813" t="inlineStr">
        <is>
          <t>FIRE_SAFETY</t>
        </is>
      </c>
      <c r="H813" t="inlineStr">
        <is>
          <t>Major Breach</t>
        </is>
      </c>
      <c r="I813" s="6" t="n">
        <v>46153</v>
      </c>
      <c r="J813" s="6" t="n">
        <v>46163</v>
      </c>
      <c r="K813">
        <f>IF(J813="","",J813-B813)</f>
        <v/>
      </c>
      <c r="L813">
        <f>IF(H813="Compliant","N/A",IF(J813&lt;&gt;"","Closed",IF(I813&lt;DATE(2026,9,30),"OVERDUE","Open")))</f>
        <v/>
      </c>
    </row>
    <row r="814">
      <c r="A814" t="inlineStr">
        <is>
          <t>INSP-2026-0813</t>
        </is>
      </c>
      <c r="B814" s="6" t="n">
        <v>46146</v>
      </c>
      <c r="C814" t="inlineStr">
        <is>
          <t>U-ST537-01-04</t>
        </is>
      </c>
      <c r="D814" t="inlineStr">
        <is>
          <t>Sungai Tinggi</t>
        </is>
      </c>
      <c r="E814" t="inlineStr">
        <is>
          <t>D. Ong</t>
        </is>
      </c>
      <c r="F814" t="inlineStr">
        <is>
          <t>Routine</t>
        </is>
      </c>
      <c r="G814" t="inlineStr">
        <is>
          <t>NONE</t>
        </is>
      </c>
      <c r="H814" t="inlineStr">
        <is>
          <t>Compliant</t>
        </is>
      </c>
      <c r="I814" s="6" t="n"/>
      <c r="J814" s="6" t="n"/>
      <c r="K814">
        <f>IF(J814="","",J814-B814)</f>
        <v/>
      </c>
      <c r="L814">
        <f>IF(H814="Compliant","N/A",IF(J814&lt;&gt;"","Closed",IF(I814&lt;DATE(2026,9,30),"OVERDUE","Open")))</f>
        <v/>
      </c>
    </row>
    <row r="815">
      <c r="A815" t="inlineStr">
        <is>
          <t>INSP-2026-0814</t>
        </is>
      </c>
      <c r="B815" s="6" t="n">
        <v>46146</v>
      </c>
      <c r="C815" t="inlineStr">
        <is>
          <t>U-RH460-01-09</t>
        </is>
      </c>
      <c r="D815" t="inlineStr">
        <is>
          <t>Rimba Heights</t>
        </is>
      </c>
      <c r="E815" t="inlineStr">
        <is>
          <t>Benjamin Ho</t>
        </is>
      </c>
      <c r="F815" t="inlineStr">
        <is>
          <t>Routine</t>
        </is>
      </c>
      <c r="G815" t="inlineStr">
        <is>
          <t>NONE</t>
        </is>
      </c>
      <c r="H815" t="inlineStr">
        <is>
          <t>Compliant</t>
        </is>
      </c>
      <c r="I815" s="6" t="n"/>
      <c r="J815" s="6" t="n"/>
      <c r="K815">
        <f>IF(J815="","",J815-B815)</f>
        <v/>
      </c>
      <c r="L815">
        <f>IF(H815="Compliant","N/A",IF(J815&lt;&gt;"","Closed",IF(I815&lt;DATE(2026,9,30),"OVERDUE","Open")))</f>
        <v/>
      </c>
    </row>
    <row r="816">
      <c r="A816" t="inlineStr">
        <is>
          <t>INSP-2026-0815</t>
        </is>
      </c>
      <c r="B816" s="6" t="n">
        <v>46146</v>
      </c>
      <c r="C816" t="inlineStr">
        <is>
          <t>U-PI627-02-18</t>
        </is>
      </c>
      <c r="D816" t="inlineStr">
        <is>
          <t>Pasir Indah</t>
        </is>
      </c>
      <c r="E816" t="inlineStr">
        <is>
          <t>Daniel Ong</t>
        </is>
      </c>
      <c r="F816" t="inlineStr">
        <is>
          <t>Routine</t>
        </is>
      </c>
      <c r="G816" t="inlineStr">
        <is>
          <t>NONE</t>
        </is>
      </c>
      <c r="H816" t="inlineStr">
        <is>
          <t>Compliant</t>
        </is>
      </c>
      <c r="I816" s="6" t="n"/>
      <c r="J816" s="6" t="n"/>
      <c r="K816">
        <f>IF(J816="","",J816-B816)</f>
        <v/>
      </c>
      <c r="L816">
        <f>IF(H816="Compliant","N/A",IF(J816&lt;&gt;"","Closed",IF(I816&lt;DATE(2026,9,30),"OVERDUE","Open")))</f>
        <v/>
      </c>
    </row>
    <row r="817">
      <c r="A817" t="inlineStr">
        <is>
          <t>INSP-2026-0816</t>
        </is>
      </c>
      <c r="B817" s="6" t="n">
        <v>46146</v>
      </c>
      <c r="C817" t="inlineStr">
        <is>
          <t>U-BV273-02-03</t>
        </is>
      </c>
      <c r="D817" t="inlineStr">
        <is>
          <t>Bayshore Vale</t>
        </is>
      </c>
      <c r="E817" t="inlineStr">
        <is>
          <t>daniel ong</t>
        </is>
      </c>
      <c r="F817" t="inlineStr">
        <is>
          <t>Follow-up</t>
        </is>
      </c>
      <c r="G817" t="inlineStr">
        <is>
          <t>NONE</t>
        </is>
      </c>
      <c r="H817" t="inlineStr">
        <is>
          <t>Compliant</t>
        </is>
      </c>
      <c r="I817" s="6" t="n"/>
      <c r="J817" s="6" t="n"/>
      <c r="K817">
        <f>IF(J817="","",J817-B817)</f>
        <v/>
      </c>
      <c r="L817">
        <f>IF(H817="Compliant","N/A",IF(J817&lt;&gt;"","Closed",IF(I817&lt;DATE(2026,9,30),"OVERDUE","Open")))</f>
        <v/>
      </c>
    </row>
    <row r="818">
      <c r="A818" t="inlineStr">
        <is>
          <t>INSP-2026-0817</t>
        </is>
      </c>
      <c r="B818" s="6" t="n">
        <v>46146</v>
      </c>
      <c r="C818" t="inlineStr">
        <is>
          <t>U-KR371-01-08</t>
        </is>
      </c>
      <c r="D818" t="inlineStr">
        <is>
          <t>Kebun Raya</t>
        </is>
      </c>
      <c r="E818" t="inlineStr">
        <is>
          <t>Benjamin Ho</t>
        </is>
      </c>
      <c r="F818" t="inlineStr">
        <is>
          <t>Routine</t>
        </is>
      </c>
      <c r="G818" t="inlineStr">
        <is>
          <t>DISPLAY_ENCROACH</t>
        </is>
      </c>
      <c r="H818" t="inlineStr">
        <is>
          <t>Minor Breach</t>
        </is>
      </c>
      <c r="I818" s="6" t="n">
        <v>46160</v>
      </c>
      <c r="J818" s="6" t="n">
        <v>46156</v>
      </c>
      <c r="K818">
        <f>IF(J818="","",J818-B818)</f>
        <v/>
      </c>
      <c r="L818">
        <f>IF(H818="Compliant","N/A",IF(J818&lt;&gt;"","Closed",IF(I818&lt;DATE(2026,9,30),"OVERDUE","Open")))</f>
        <v/>
      </c>
    </row>
    <row r="819">
      <c r="A819" t="inlineStr">
        <is>
          <t>INSP-2026-0818</t>
        </is>
      </c>
      <c r="B819" s="6" t="n">
        <v>46147</v>
      </c>
      <c r="C819" t="inlineStr">
        <is>
          <t>U-KR385-02-02</t>
        </is>
      </c>
      <c r="D819" t="inlineStr">
        <is>
          <t>Kebun Raya</t>
        </is>
      </c>
      <c r="E819" t="inlineStr">
        <is>
          <t>daniel ong</t>
        </is>
      </c>
      <c r="F819" t="inlineStr">
        <is>
          <t>Routine</t>
        </is>
      </c>
      <c r="G819" t="inlineStr">
        <is>
          <t>NONE</t>
        </is>
      </c>
      <c r="H819" t="inlineStr">
        <is>
          <t>Compliant</t>
        </is>
      </c>
      <c r="I819" s="6" t="n"/>
      <c r="J819" s="6" t="n"/>
      <c r="K819">
        <f>IF(J819="","",J819-B819)</f>
        <v/>
      </c>
      <c r="L819">
        <f>IF(H819="Compliant","N/A",IF(J819&lt;&gt;"","Closed",IF(I819&lt;DATE(2026,9,30),"OVERDUE","Open")))</f>
        <v/>
      </c>
    </row>
    <row r="820">
      <c r="A820" t="inlineStr">
        <is>
          <t>INSP-2026-0819</t>
        </is>
      </c>
      <c r="B820" s="6" t="n">
        <v>46147</v>
      </c>
      <c r="C820" t="inlineStr">
        <is>
          <t>U-KR329-01-11</t>
        </is>
      </c>
      <c r="D820" t="inlineStr">
        <is>
          <t>Kebun Raya</t>
        </is>
      </c>
      <c r="E820" t="inlineStr">
        <is>
          <t>daniel ong</t>
        </is>
      </c>
      <c r="F820" t="inlineStr">
        <is>
          <t>Follow-up</t>
        </is>
      </c>
      <c r="G820" t="inlineStr">
        <is>
          <t>NONE</t>
        </is>
      </c>
      <c r="H820" t="inlineStr">
        <is>
          <t>Compliant</t>
        </is>
      </c>
      <c r="I820" s="6" t="n"/>
      <c r="J820" s="6" t="n"/>
      <c r="K820">
        <f>IF(J820="","",J820-B820)</f>
        <v/>
      </c>
      <c r="L820">
        <f>IF(H820="Compliant","N/A",IF(J820&lt;&gt;"","Closed",IF(I820&lt;DATE(2026,9,30),"OVERDUE","Open")))</f>
        <v/>
      </c>
    </row>
    <row r="821">
      <c r="A821" t="inlineStr">
        <is>
          <t>INSP-2026-0820</t>
        </is>
      </c>
      <c r="B821" s="6" t="n">
        <v>46147</v>
      </c>
      <c r="C821" t="inlineStr">
        <is>
          <t>U-KR359-01-07</t>
        </is>
      </c>
      <c r="D821" t="inlineStr">
        <is>
          <t>Kebun Raya</t>
        </is>
      </c>
      <c r="E821" t="inlineStr">
        <is>
          <t>daniel ong</t>
        </is>
      </c>
      <c r="F821" t="inlineStr">
        <is>
          <t>Routine</t>
        </is>
      </c>
      <c r="G821" t="inlineStr">
        <is>
          <t>FIRE_SAFETY</t>
        </is>
      </c>
      <c r="H821" t="inlineStr">
        <is>
          <t>Major Breach</t>
        </is>
      </c>
      <c r="I821" s="6" t="n">
        <v>46154</v>
      </c>
      <c r="J821" s="6" t="n">
        <v>46162</v>
      </c>
      <c r="K821">
        <f>IF(J821="","",J821-B821)</f>
        <v/>
      </c>
      <c r="L821">
        <f>IF(H821="Compliant","N/A",IF(J821&lt;&gt;"","Closed",IF(I821&lt;DATE(2026,9,30),"OVERDUE","Open")))</f>
        <v/>
      </c>
    </row>
    <row r="822">
      <c r="A822" t="inlineStr">
        <is>
          <t>INSP-2026-0821</t>
        </is>
      </c>
      <c r="B822" s="6" t="n">
        <v>46147</v>
      </c>
      <c r="C822" t="inlineStr">
        <is>
          <t>U-CD129-01-07</t>
        </is>
      </c>
      <c r="D822" t="inlineStr">
        <is>
          <t>Cendana</t>
        </is>
      </c>
      <c r="E822" t="inlineStr">
        <is>
          <t>D. Ong</t>
        </is>
      </c>
      <c r="F822" t="inlineStr">
        <is>
          <t>Routine</t>
        </is>
      </c>
      <c r="G822" t="inlineStr">
        <is>
          <t>NONE</t>
        </is>
      </c>
      <c r="H822" t="inlineStr">
        <is>
          <t>Compliant</t>
        </is>
      </c>
      <c r="I822" s="6" t="n"/>
      <c r="J822" s="6" t="n"/>
      <c r="K822">
        <f>IF(J822="","",J822-B822)</f>
        <v/>
      </c>
      <c r="L822">
        <f>IF(H822="Compliant","N/A",IF(J822&lt;&gt;"","Closed",IF(I822&lt;DATE(2026,9,30),"OVERDUE","Open")))</f>
        <v/>
      </c>
    </row>
    <row r="823">
      <c r="A823" t="inlineStr">
        <is>
          <t>INSP-2026-0822</t>
        </is>
      </c>
      <c r="B823" s="6" t="n">
        <v>46147</v>
      </c>
      <c r="C823" t="inlineStr">
        <is>
          <t>U-RH464-01-01</t>
        </is>
      </c>
      <c r="D823" t="inlineStr">
        <is>
          <t>Rimba Heights</t>
        </is>
      </c>
      <c r="E823" t="inlineStr">
        <is>
          <t>Daniel Ong</t>
        </is>
      </c>
      <c r="F823" t="inlineStr">
        <is>
          <t>Routine</t>
        </is>
      </c>
      <c r="G823" t="inlineStr">
        <is>
          <t>NONE</t>
        </is>
      </c>
      <c r="H823" t="inlineStr">
        <is>
          <t>Compliant</t>
        </is>
      </c>
      <c r="I823" s="6" t="n"/>
      <c r="J823" s="6" t="n"/>
      <c r="K823">
        <f>IF(J823="","",J823-B823)</f>
        <v/>
      </c>
      <c r="L823">
        <f>IF(H823="Compliant","N/A",IF(J823&lt;&gt;"","Closed",IF(I823&lt;DATE(2026,9,30),"OVERDUE","Open")))</f>
        <v/>
      </c>
    </row>
    <row r="824">
      <c r="A824" t="inlineStr">
        <is>
          <t>INSP-2026-0823</t>
        </is>
      </c>
      <c r="B824" s="6" t="n">
        <v>46147</v>
      </c>
      <c r="C824" t="inlineStr">
        <is>
          <t>U-RH464-01-05</t>
        </is>
      </c>
      <c r="D824" t="inlineStr">
        <is>
          <t>Rimba Heights</t>
        </is>
      </c>
      <c r="E824" t="inlineStr">
        <is>
          <t>Ben Ho</t>
        </is>
      </c>
      <c r="F824" t="inlineStr">
        <is>
          <t>Follow-up</t>
        </is>
      </c>
      <c r="G824" t="inlineStr">
        <is>
          <t>NONE</t>
        </is>
      </c>
      <c r="H824" t="inlineStr">
        <is>
          <t>Compliant</t>
        </is>
      </c>
      <c r="I824" s="6" t="n"/>
      <c r="J824" s="6" t="n"/>
      <c r="K824">
        <f>IF(J824="","",J824-B824)</f>
        <v/>
      </c>
      <c r="L824">
        <f>IF(H824="Compliant","N/A",IF(J824&lt;&gt;"","Closed",IF(I824&lt;DATE(2026,9,30),"OVERDUE","Open")))</f>
        <v/>
      </c>
    </row>
    <row r="825">
      <c r="A825" t="inlineStr">
        <is>
          <t>INSP-2026-0824</t>
        </is>
      </c>
      <c r="B825" s="6" t="n">
        <v>46148</v>
      </c>
      <c r="C825" t="inlineStr">
        <is>
          <t>U-RH408-01-07</t>
        </is>
      </c>
      <c r="D825" t="inlineStr">
        <is>
          <t>Rimba Heights</t>
        </is>
      </c>
      <c r="E825" t="inlineStr">
        <is>
          <t>Daniel Ong</t>
        </is>
      </c>
      <c r="F825" t="inlineStr">
        <is>
          <t>Routine</t>
        </is>
      </c>
      <c r="G825" t="inlineStr">
        <is>
          <t>HYGIENE</t>
        </is>
      </c>
      <c r="H825" t="inlineStr">
        <is>
          <t>Minor Breach</t>
        </is>
      </c>
      <c r="I825" s="6" t="n">
        <v>46162</v>
      </c>
      <c r="J825" s="6" t="n">
        <v>46157</v>
      </c>
      <c r="K825">
        <f>IF(J825="","",J825-B825)</f>
        <v/>
      </c>
      <c r="L825">
        <f>IF(H825="Compliant","N/A",IF(J825&lt;&gt;"","Closed",IF(I825&lt;DATE(2026,9,30),"OVERDUE","Open")))</f>
        <v/>
      </c>
    </row>
    <row r="826">
      <c r="A826" t="inlineStr">
        <is>
          <t>INSP-2026-0825</t>
        </is>
      </c>
      <c r="B826" s="6" t="n">
        <v>46148</v>
      </c>
      <c r="C826" t="inlineStr">
        <is>
          <t>U-PI642-01-12</t>
        </is>
      </c>
      <c r="D826" t="inlineStr">
        <is>
          <t>Pasir Indah</t>
        </is>
      </c>
      <c r="E826" t="inlineStr">
        <is>
          <t>daniel ong</t>
        </is>
      </c>
      <c r="F826" t="inlineStr">
        <is>
          <t>Routine</t>
        </is>
      </c>
      <c r="G826" t="inlineStr">
        <is>
          <t>NONE</t>
        </is>
      </c>
      <c r="H826" t="inlineStr">
        <is>
          <t>Compliant</t>
        </is>
      </c>
      <c r="I826" s="6" t="n"/>
      <c r="J826" s="6" t="n"/>
      <c r="K826">
        <f>IF(J826="","",J826-B826)</f>
        <v/>
      </c>
      <c r="L826">
        <f>IF(H826="Compliant","N/A",IF(J826&lt;&gt;"","Closed",IF(I826&lt;DATE(2026,9,30),"OVERDUE","Open")))</f>
        <v/>
      </c>
    </row>
    <row r="827">
      <c r="A827" t="inlineStr">
        <is>
          <t>INSP-2026-0826</t>
        </is>
      </c>
      <c r="B827" s="6" t="n">
        <v>46148</v>
      </c>
      <c r="C827" t="inlineStr">
        <is>
          <t>U-PI667-01-02</t>
        </is>
      </c>
      <c r="D827" t="inlineStr">
        <is>
          <t>Pasir Indah</t>
        </is>
      </c>
      <c r="E827" t="inlineStr">
        <is>
          <t>Daniel O.</t>
        </is>
      </c>
      <c r="F827" t="inlineStr">
        <is>
          <t>Routine</t>
        </is>
      </c>
      <c r="G827" t="inlineStr">
        <is>
          <t>NONE</t>
        </is>
      </c>
      <c r="H827" t="inlineStr">
        <is>
          <t>Compliant</t>
        </is>
      </c>
      <c r="I827" s="6" t="n"/>
      <c r="J827" s="6" t="n"/>
      <c r="K827">
        <f>IF(J827="","",J827-B827)</f>
        <v/>
      </c>
      <c r="L827">
        <f>IF(H827="Compliant","N/A",IF(J827&lt;&gt;"","Closed",IF(I827&lt;DATE(2026,9,30),"OVERDUE","Open")))</f>
        <v/>
      </c>
    </row>
    <row r="828">
      <c r="A828" t="inlineStr">
        <is>
          <t>INSP-2026-0827</t>
        </is>
      </c>
      <c r="B828" s="6" t="n">
        <v>46148</v>
      </c>
      <c r="C828" t="inlineStr">
        <is>
          <t>U-RH460-01-06</t>
        </is>
      </c>
      <c r="D828" t="inlineStr">
        <is>
          <t>Rimba Heights</t>
        </is>
      </c>
      <c r="E828" t="inlineStr">
        <is>
          <t>Ben Ho</t>
        </is>
      </c>
      <c r="F828" t="inlineStr">
        <is>
          <t>Routine</t>
        </is>
      </c>
      <c r="G828" t="inlineStr">
        <is>
          <t>UNAUTH_TRADE</t>
        </is>
      </c>
      <c r="H828" t="inlineStr">
        <is>
          <t>Major Breach</t>
        </is>
      </c>
      <c r="I828" s="6" t="n">
        <v>46155</v>
      </c>
      <c r="J828" s="6" t="n"/>
      <c r="K828">
        <f>IF(J828="","",J828-B828)</f>
        <v/>
      </c>
      <c r="L828">
        <f>IF(H828="Compliant","N/A",IF(J828&lt;&gt;"","Closed",IF(I828&lt;DATE(2026,9,30),"OVERDUE","Open")))</f>
        <v/>
      </c>
    </row>
    <row r="829">
      <c r="A829" t="inlineStr">
        <is>
          <t>INSP-2026-0828</t>
        </is>
      </c>
      <c r="B829" s="6" t="n">
        <v>46148</v>
      </c>
      <c r="C829" t="inlineStr">
        <is>
          <t>U-KR379-01-05</t>
        </is>
      </c>
      <c r="D829" t="inlineStr">
        <is>
          <t>Kebun Raya</t>
        </is>
      </c>
      <c r="E829" t="inlineStr">
        <is>
          <t>D. Ong</t>
        </is>
      </c>
      <c r="F829" t="inlineStr">
        <is>
          <t>Complaint-driven</t>
        </is>
      </c>
      <c r="G829" t="inlineStr">
        <is>
          <t>NONE</t>
        </is>
      </c>
      <c r="H829" t="inlineStr">
        <is>
          <t>Compliant</t>
        </is>
      </c>
      <c r="I829" s="6" t="n"/>
      <c r="J829" s="6" t="n"/>
      <c r="K829">
        <f>IF(J829="","",J829-B829)</f>
        <v/>
      </c>
      <c r="L829">
        <f>IF(H829="Compliant","N/A",IF(J829&lt;&gt;"","Closed",IF(I829&lt;DATE(2026,9,30),"OVERDUE","Open")))</f>
        <v/>
      </c>
    </row>
    <row r="830">
      <c r="A830" t="inlineStr">
        <is>
          <t>INSP-2026-0829</t>
        </is>
      </c>
      <c r="B830" s="6" t="n">
        <v>46148</v>
      </c>
      <c r="C830" t="inlineStr">
        <is>
          <t>U-PI684-01-11</t>
        </is>
      </c>
      <c r="D830" t="inlineStr">
        <is>
          <t>Pasir Indah</t>
        </is>
      </c>
      <c r="E830" t="inlineStr">
        <is>
          <t>marcus</t>
        </is>
      </c>
      <c r="F830" t="inlineStr">
        <is>
          <t>Follow-up</t>
        </is>
      </c>
      <c r="G830" t="inlineStr">
        <is>
          <t>NONE</t>
        </is>
      </c>
      <c r="H830" t="inlineStr">
        <is>
          <t>Compliant</t>
        </is>
      </c>
      <c r="I830" s="6" t="n"/>
      <c r="J830" s="6" t="n"/>
      <c r="K830">
        <f>IF(J830="","",J830-B830)</f>
        <v/>
      </c>
      <c r="L830">
        <f>IF(H830="Compliant","N/A",IF(J830&lt;&gt;"","Closed",IF(I830&lt;DATE(2026,9,30),"OVERDUE","Open")))</f>
        <v/>
      </c>
    </row>
    <row r="831">
      <c r="A831" t="inlineStr">
        <is>
          <t>INSP-2026-0830</t>
        </is>
      </c>
      <c r="B831" s="6" t="n">
        <v>46149</v>
      </c>
      <c r="C831" t="inlineStr">
        <is>
          <t>U-RH485-01-08</t>
        </is>
      </c>
      <c r="D831" t="inlineStr">
        <is>
          <t>Rimba Heights</t>
        </is>
      </c>
      <c r="E831" t="inlineStr">
        <is>
          <t>B. Ho</t>
        </is>
      </c>
      <c r="F831" t="inlineStr">
        <is>
          <t>Complaint-driven</t>
        </is>
      </c>
      <c r="G831" t="inlineStr">
        <is>
          <t>NONE</t>
        </is>
      </c>
      <c r="H831" t="inlineStr">
        <is>
          <t>Compliant</t>
        </is>
      </c>
      <c r="I831" s="6" t="n"/>
      <c r="J831" s="6" t="n"/>
      <c r="K831">
        <f>IF(J831="","",J831-B831)</f>
        <v/>
      </c>
      <c r="L831">
        <f>IF(H831="Compliant","N/A",IF(J831&lt;&gt;"","Closed",IF(I831&lt;DATE(2026,9,30),"OVERDUE","Open")))</f>
        <v/>
      </c>
    </row>
    <row r="832">
      <c r="A832" t="inlineStr">
        <is>
          <t>INSP-2026-0831</t>
        </is>
      </c>
      <c r="B832" s="6" t="n">
        <v>46149</v>
      </c>
      <c r="C832" t="inlineStr">
        <is>
          <t>U-CD160-01-03</t>
        </is>
      </c>
      <c r="D832" t="inlineStr">
        <is>
          <t>Cendana</t>
        </is>
      </c>
      <c r="E832" t="inlineStr">
        <is>
          <t>Daniel O.</t>
        </is>
      </c>
      <c r="F832" t="inlineStr">
        <is>
          <t>Complaint-driven</t>
        </is>
      </c>
      <c r="G832" t="inlineStr">
        <is>
          <t>NONE</t>
        </is>
      </c>
      <c r="H832" t="inlineStr">
        <is>
          <t>Compliant</t>
        </is>
      </c>
      <c r="I832" s="6" t="n"/>
      <c r="J832" s="6" t="n"/>
      <c r="K832">
        <f>IF(J832="","",J832-B832)</f>
        <v/>
      </c>
      <c r="L832">
        <f>IF(H832="Compliant","N/A",IF(J832&lt;&gt;"","Closed",IF(I832&lt;DATE(2026,9,30),"OVERDUE","Open")))</f>
        <v/>
      </c>
    </row>
    <row r="833">
      <c r="A833" t="inlineStr">
        <is>
          <t>INSP-2026-0832</t>
        </is>
      </c>
      <c r="B833" s="6" t="n">
        <v>46149</v>
      </c>
      <c r="C833" t="inlineStr">
        <is>
          <t>U-ST590-01-09</t>
        </is>
      </c>
      <c r="D833" t="inlineStr">
        <is>
          <t>Sungai Tinggi</t>
        </is>
      </c>
      <c r="E833" t="inlineStr">
        <is>
          <t>B. Ho</t>
        </is>
      </c>
      <c r="F833" t="inlineStr">
        <is>
          <t>Routine</t>
        </is>
      </c>
      <c r="G833" t="inlineStr">
        <is>
          <t>UNAUTH_SUBLET</t>
        </is>
      </c>
      <c r="H833" t="inlineStr">
        <is>
          <t>Major Breach</t>
        </is>
      </c>
      <c r="I833" s="6" t="n">
        <v>46156</v>
      </c>
      <c r="J833" s="6" t="n"/>
      <c r="K833">
        <f>IF(J833="","",J833-B833)</f>
        <v/>
      </c>
      <c r="L833">
        <f>IF(H833="Compliant","N/A",IF(J833&lt;&gt;"","Closed",IF(I833&lt;DATE(2026,9,30),"OVERDUE","Open")))</f>
        <v/>
      </c>
    </row>
    <row r="834">
      <c r="A834" t="inlineStr">
        <is>
          <t>INSP-2026-0833</t>
        </is>
      </c>
      <c r="B834" s="6" t="n">
        <v>46149</v>
      </c>
      <c r="C834" t="inlineStr">
        <is>
          <t>U-RH455-01-10</t>
        </is>
      </c>
      <c r="D834" t="inlineStr">
        <is>
          <t>Rimba Heights</t>
        </is>
      </c>
      <c r="E834" t="inlineStr">
        <is>
          <t>D. Ong</t>
        </is>
      </c>
      <c r="F834" t="inlineStr">
        <is>
          <t>Routine</t>
        </is>
      </c>
      <c r="G834" t="inlineStr">
        <is>
          <t>HYGIENE</t>
        </is>
      </c>
      <c r="H834" t="inlineStr">
        <is>
          <t>Minor Breach</t>
        </is>
      </c>
      <c r="I834" s="6" t="n">
        <v>46163</v>
      </c>
      <c r="J834" s="6" t="n"/>
      <c r="K834">
        <f>IF(J834="","",J834-B834)</f>
        <v/>
      </c>
      <c r="L834">
        <f>IF(H834="Compliant","N/A",IF(J834&lt;&gt;"","Closed",IF(I834&lt;DATE(2026,9,30),"OVERDUE","Open")))</f>
        <v/>
      </c>
    </row>
    <row r="835">
      <c r="A835" t="inlineStr">
        <is>
          <t>INSP-2026-0834</t>
        </is>
      </c>
      <c r="B835" s="6" t="n">
        <v>46149</v>
      </c>
      <c r="C835" t="inlineStr">
        <is>
          <t>U-KR305-01-11</t>
        </is>
      </c>
      <c r="D835" t="inlineStr">
        <is>
          <t>Kebun Raya</t>
        </is>
      </c>
      <c r="E835" t="inlineStr">
        <is>
          <t>Benjamin Ho</t>
        </is>
      </c>
      <c r="F835" t="inlineStr">
        <is>
          <t>Routine</t>
        </is>
      </c>
      <c r="G835" t="inlineStr">
        <is>
          <t>NONE</t>
        </is>
      </c>
      <c r="H835" t="inlineStr">
        <is>
          <t>Compliant</t>
        </is>
      </c>
      <c r="I835" s="6" t="n"/>
      <c r="J835" s="6" t="n"/>
      <c r="K835">
        <f>IF(J835="","",J835-B835)</f>
        <v/>
      </c>
      <c r="L835">
        <f>IF(H835="Compliant","N/A",IF(J835&lt;&gt;"","Closed",IF(I835&lt;DATE(2026,9,30),"OVERDUE","Open")))</f>
        <v/>
      </c>
    </row>
    <row r="836">
      <c r="A836" t="inlineStr">
        <is>
          <t>INSP-2026-0835</t>
        </is>
      </c>
      <c r="B836" s="6" t="n">
        <v>46149</v>
      </c>
      <c r="C836" t="inlineStr">
        <is>
          <t>U-PI627-01-22</t>
        </is>
      </c>
      <c r="D836" t="inlineStr">
        <is>
          <t>Pasir Indah</t>
        </is>
      </c>
      <c r="E836" t="inlineStr">
        <is>
          <t>Daniel Ong</t>
        </is>
      </c>
      <c r="F836" t="inlineStr">
        <is>
          <t>Routine</t>
        </is>
      </c>
      <c r="G836" t="inlineStr">
        <is>
          <t>NONE</t>
        </is>
      </c>
      <c r="H836" t="inlineStr">
        <is>
          <t>Compliant</t>
        </is>
      </c>
      <c r="I836" s="6" t="n"/>
      <c r="J836" s="6" t="n"/>
      <c r="K836">
        <f>IF(J836="","",J836-B836)</f>
        <v/>
      </c>
      <c r="L836">
        <f>IF(H836="Compliant","N/A",IF(J836&lt;&gt;"","Closed",IF(I836&lt;DATE(2026,9,30),"OVERDUE","Open")))</f>
        <v/>
      </c>
    </row>
    <row r="837">
      <c r="A837" t="inlineStr">
        <is>
          <t>INSP-2026-0836</t>
        </is>
      </c>
      <c r="B837" s="6" t="n">
        <v>46150</v>
      </c>
      <c r="C837" t="inlineStr">
        <is>
          <t>U-RH425-01-07</t>
        </is>
      </c>
      <c r="D837" t="inlineStr">
        <is>
          <t>Rimba Heights</t>
        </is>
      </c>
      <c r="E837" t="inlineStr">
        <is>
          <t>Ben Ho</t>
        </is>
      </c>
      <c r="F837" t="inlineStr">
        <is>
          <t>Complaint-driven</t>
        </is>
      </c>
      <c r="G837" t="inlineStr">
        <is>
          <t>NONE</t>
        </is>
      </c>
      <c r="H837" t="inlineStr">
        <is>
          <t>Compliant</t>
        </is>
      </c>
      <c r="I837" s="6" t="n"/>
      <c r="J837" s="6" t="n"/>
      <c r="K837">
        <f>IF(J837="","",J837-B837)</f>
        <v/>
      </c>
      <c r="L837">
        <f>IF(H837="Compliant","N/A",IF(J837&lt;&gt;"","Closed",IF(I837&lt;DATE(2026,9,30),"OVERDUE","Open")))</f>
        <v/>
      </c>
    </row>
    <row r="838">
      <c r="A838" t="inlineStr">
        <is>
          <t>INSP-2026-0837</t>
        </is>
      </c>
      <c r="B838" s="6" t="n">
        <v>46150</v>
      </c>
      <c r="C838" t="inlineStr">
        <is>
          <t>U-BV227-01-07</t>
        </is>
      </c>
      <c r="D838" t="inlineStr">
        <is>
          <t>Bayshore Vale</t>
        </is>
      </c>
      <c r="E838" t="inlineStr">
        <is>
          <t>Daniel Ong</t>
        </is>
      </c>
      <c r="F838" t="inlineStr">
        <is>
          <t>Routine</t>
        </is>
      </c>
      <c r="G838" t="inlineStr">
        <is>
          <t>NONE</t>
        </is>
      </c>
      <c r="H838" t="inlineStr">
        <is>
          <t>Compliant</t>
        </is>
      </c>
      <c r="I838" s="6" t="n"/>
      <c r="J838" s="6" t="n"/>
      <c r="K838">
        <f>IF(J838="","",J838-B838)</f>
        <v/>
      </c>
      <c r="L838">
        <f>IF(H838="Compliant","N/A",IF(J838&lt;&gt;"","Closed",IF(I838&lt;DATE(2026,9,30),"OVERDUE","Open")))</f>
        <v/>
      </c>
    </row>
    <row r="839">
      <c r="A839" t="inlineStr">
        <is>
          <t>INSP-2026-0838</t>
        </is>
      </c>
      <c r="B839" s="6" t="n">
        <v>46150</v>
      </c>
      <c r="C839" t="inlineStr">
        <is>
          <t>U-CD135-01-05</t>
        </is>
      </c>
      <c r="D839" t="inlineStr">
        <is>
          <t>Cendana</t>
        </is>
      </c>
      <c r="E839" t="inlineStr">
        <is>
          <t>Daniel Ong</t>
        </is>
      </c>
      <c r="F839" t="inlineStr">
        <is>
          <t>Routine</t>
        </is>
      </c>
      <c r="G839" t="inlineStr">
        <is>
          <t>NONE</t>
        </is>
      </c>
      <c r="H839" t="inlineStr">
        <is>
          <t>Compliant</t>
        </is>
      </c>
      <c r="I839" s="6" t="n"/>
      <c r="J839" s="6" t="n"/>
      <c r="K839">
        <f>IF(J839="","",J839-B839)</f>
        <v/>
      </c>
      <c r="L839">
        <f>IF(H839="Compliant","N/A",IF(J839&lt;&gt;"","Closed",IF(I839&lt;DATE(2026,9,30),"OVERDUE","Open")))</f>
        <v/>
      </c>
    </row>
    <row r="840">
      <c r="A840" t="inlineStr">
        <is>
          <t>INSP-2026-0839</t>
        </is>
      </c>
      <c r="B840" s="6" t="n">
        <v>46150</v>
      </c>
      <c r="C840" t="inlineStr">
        <is>
          <t>U-ST591-01-08</t>
        </is>
      </c>
      <c r="D840" t="inlineStr">
        <is>
          <t>Sungai Tinggi</t>
        </is>
      </c>
      <c r="E840" t="inlineStr">
        <is>
          <t>B. Ho</t>
        </is>
      </c>
      <c r="F840" t="inlineStr">
        <is>
          <t>Routine</t>
        </is>
      </c>
      <c r="G840" t="inlineStr">
        <is>
          <t>NONE</t>
        </is>
      </c>
      <c r="H840" t="inlineStr">
        <is>
          <t>Compliant</t>
        </is>
      </c>
      <c r="I840" s="6" t="n"/>
      <c r="J840" s="6" t="n"/>
      <c r="K840">
        <f>IF(J840="","",J840-B840)</f>
        <v/>
      </c>
      <c r="L840">
        <f>IF(H840="Compliant","N/A",IF(J840&lt;&gt;"","Closed",IF(I840&lt;DATE(2026,9,30),"OVERDUE","Open")))</f>
        <v/>
      </c>
    </row>
    <row r="841">
      <c r="A841" t="inlineStr">
        <is>
          <t>INSP-2026-0840</t>
        </is>
      </c>
      <c r="B841" s="6" t="n">
        <v>46150</v>
      </c>
      <c r="C841" t="inlineStr">
        <is>
          <t>U-KR341-01-12</t>
        </is>
      </c>
      <c r="D841" t="inlineStr">
        <is>
          <t>Kebun Raya</t>
        </is>
      </c>
      <c r="E841" t="inlineStr">
        <is>
          <t>B. Ho</t>
        </is>
      </c>
      <c r="F841" t="inlineStr">
        <is>
          <t>Routine</t>
        </is>
      </c>
      <c r="G841" t="inlineStr">
        <is>
          <t>NONE</t>
        </is>
      </c>
      <c r="H841" t="inlineStr">
        <is>
          <t>Compliant</t>
        </is>
      </c>
      <c r="I841" s="6" t="n"/>
      <c r="J841" s="6" t="n"/>
      <c r="K841">
        <f>IF(J841="","",J841-B841)</f>
        <v/>
      </c>
      <c r="L841">
        <f>IF(H841="Compliant","N/A",IF(J841&lt;&gt;"","Closed",IF(I841&lt;DATE(2026,9,30),"OVERDUE","Open")))</f>
        <v/>
      </c>
    </row>
    <row r="842">
      <c r="A842" t="inlineStr">
        <is>
          <t>INSP-2026-0841</t>
        </is>
      </c>
      <c r="B842" s="6" t="n">
        <v>46150</v>
      </c>
      <c r="C842" t="inlineStr">
        <is>
          <t>U-KR349-01-01</t>
        </is>
      </c>
      <c r="D842" t="inlineStr">
        <is>
          <t>Kebun Raya</t>
        </is>
      </c>
      <c r="E842" t="inlineStr">
        <is>
          <t>daniel ong</t>
        </is>
      </c>
      <c r="F842" t="inlineStr">
        <is>
          <t>Routine</t>
        </is>
      </c>
      <c r="G842" t="inlineStr">
        <is>
          <t>DISPLAY_ENCROACH</t>
        </is>
      </c>
      <c r="H842" t="inlineStr">
        <is>
          <t>Minor Breach</t>
        </is>
      </c>
      <c r="I842" s="6" t="n">
        <v>46164</v>
      </c>
      <c r="J842" s="6" t="n"/>
      <c r="K842">
        <f>IF(J842="","",J842-B842)</f>
        <v/>
      </c>
      <c r="L842">
        <f>IF(H842="Compliant","N/A",IF(J842&lt;&gt;"","Closed",IF(I842&lt;DATE(2026,9,30),"OVERDUE","Open")))</f>
        <v/>
      </c>
    </row>
    <row r="843">
      <c r="A843" t="inlineStr">
        <is>
          <t>INSP-2026-0842</t>
        </is>
      </c>
      <c r="B843" s="6" t="n">
        <v>46150</v>
      </c>
      <c r="C843" t="inlineStr">
        <is>
          <t>U-ST528-01-03</t>
        </is>
      </c>
      <c r="D843" t="inlineStr">
        <is>
          <t>Sungai Tinggi</t>
        </is>
      </c>
      <c r="E843" t="inlineStr">
        <is>
          <t>Ben Ho</t>
        </is>
      </c>
      <c r="F843" t="inlineStr">
        <is>
          <t>Routine</t>
        </is>
      </c>
      <c r="G843" t="inlineStr">
        <is>
          <t>UNAUTH_TRADE</t>
        </is>
      </c>
      <c r="H843" t="inlineStr">
        <is>
          <t>Major Breach</t>
        </is>
      </c>
      <c r="I843" s="6" t="n">
        <v>46157</v>
      </c>
      <c r="J843" s="6" t="n">
        <v>46158</v>
      </c>
      <c r="K843">
        <f>IF(J843="","",J843-B843)</f>
        <v/>
      </c>
      <c r="L843">
        <f>IF(H843="Compliant","N/A",IF(J843&lt;&gt;"","Closed",IF(I843&lt;DATE(2026,9,30),"OVERDUE","Open")))</f>
        <v/>
      </c>
    </row>
    <row r="844">
      <c r="A844" t="inlineStr">
        <is>
          <t>INSP-2026-0843</t>
        </is>
      </c>
      <c r="B844" s="6" t="n">
        <v>46150</v>
      </c>
      <c r="C844" t="inlineStr">
        <is>
          <t>U-CD194-01-02</t>
        </is>
      </c>
      <c r="D844" t="inlineStr">
        <is>
          <t>Cendana</t>
        </is>
      </c>
      <c r="E844" t="inlineStr">
        <is>
          <t>M. Lim</t>
        </is>
      </c>
      <c r="F844" t="inlineStr">
        <is>
          <t>Routine</t>
        </is>
      </c>
      <c r="G844" t="inlineStr">
        <is>
          <t>NONE</t>
        </is>
      </c>
      <c r="H844" t="inlineStr">
        <is>
          <t>Compliant</t>
        </is>
      </c>
      <c r="I844" s="6" t="n"/>
      <c r="J844" s="6" t="n"/>
      <c r="K844">
        <f>IF(J844="","",J844-B844)</f>
        <v/>
      </c>
      <c r="L844">
        <f>IF(H844="Compliant","N/A",IF(J844&lt;&gt;"","Closed",IF(I844&lt;DATE(2026,9,30),"OVERDUE","Open")))</f>
        <v/>
      </c>
    </row>
    <row r="845">
      <c r="A845" t="inlineStr">
        <is>
          <t>INSP-2026-0844</t>
        </is>
      </c>
      <c r="B845" s="6" t="n">
        <v>46150</v>
      </c>
      <c r="C845" t="inlineStr">
        <is>
          <t>U-PI648-01-09</t>
        </is>
      </c>
      <c r="D845" t="inlineStr">
        <is>
          <t>Pasir Indah</t>
        </is>
      </c>
      <c r="E845" t="inlineStr">
        <is>
          <t>M. Lim</t>
        </is>
      </c>
      <c r="F845" t="inlineStr">
        <is>
          <t>Routine</t>
        </is>
      </c>
      <c r="G845" t="inlineStr">
        <is>
          <t>NONE</t>
        </is>
      </c>
      <c r="H845" t="inlineStr">
        <is>
          <t>Compliant</t>
        </is>
      </c>
      <c r="I845" s="6" t="n"/>
      <c r="J845" s="6" t="n"/>
      <c r="K845">
        <f>IF(J845="","",J845-B845)</f>
        <v/>
      </c>
      <c r="L845">
        <f>IF(H845="Compliant","N/A",IF(J845&lt;&gt;"","Closed",IF(I845&lt;DATE(2026,9,30),"OVERDUE","Open")))</f>
        <v/>
      </c>
    </row>
    <row r="846">
      <c r="A846" t="inlineStr">
        <is>
          <t>INSP-2026-0845</t>
        </is>
      </c>
      <c r="B846" s="6" t="n">
        <v>46151</v>
      </c>
      <c r="C846" t="inlineStr">
        <is>
          <t>U-CD170-01-06</t>
        </is>
      </c>
      <c r="D846" t="inlineStr">
        <is>
          <t>Cendana</t>
        </is>
      </c>
      <c r="E846" t="inlineStr">
        <is>
          <t>marcus</t>
        </is>
      </c>
      <c r="F846" t="inlineStr">
        <is>
          <t>Complaint-driven</t>
        </is>
      </c>
      <c r="G846" t="inlineStr">
        <is>
          <t>NONE</t>
        </is>
      </c>
      <c r="H846" t="inlineStr">
        <is>
          <t>Compliant</t>
        </is>
      </c>
      <c r="I846" s="6" t="n"/>
      <c r="J846" s="6" t="n"/>
      <c r="K846">
        <f>IF(J846="","",J846-B846)</f>
        <v/>
      </c>
      <c r="L846">
        <f>IF(H846="Compliant","N/A",IF(J846&lt;&gt;"","Closed",IF(I846&lt;DATE(2026,9,30),"OVERDUE","Open")))</f>
        <v/>
      </c>
    </row>
    <row r="847">
      <c r="A847" t="inlineStr">
        <is>
          <t>INSP-2026-0846</t>
        </is>
      </c>
      <c r="B847" s="6" t="n">
        <v>46151</v>
      </c>
      <c r="C847" t="inlineStr">
        <is>
          <t>U-KR329-01-05</t>
        </is>
      </c>
      <c r="D847" t="inlineStr">
        <is>
          <t>Kebun Raya</t>
        </is>
      </c>
      <c r="E847" t="inlineStr">
        <is>
          <t>Benjamin Ho</t>
        </is>
      </c>
      <c r="F847" t="inlineStr">
        <is>
          <t>Routine</t>
        </is>
      </c>
      <c r="G847" t="inlineStr">
        <is>
          <t>NONE</t>
        </is>
      </c>
      <c r="H847" t="inlineStr">
        <is>
          <t>Compliant</t>
        </is>
      </c>
      <c r="I847" s="6" t="n"/>
      <c r="J847" s="6" t="n"/>
      <c r="K847">
        <f>IF(J847="","",J847-B847)</f>
        <v/>
      </c>
      <c r="L847">
        <f>IF(H847="Compliant","N/A",IF(J847&lt;&gt;"","Closed",IF(I847&lt;DATE(2026,9,30),"OVERDUE","Open")))</f>
        <v/>
      </c>
    </row>
    <row r="848">
      <c r="A848" t="inlineStr">
        <is>
          <t>INSP-2026-0847</t>
        </is>
      </c>
      <c r="B848" s="6" t="n">
        <v>46151</v>
      </c>
      <c r="C848" t="inlineStr">
        <is>
          <t>U-RH455-01-13</t>
        </is>
      </c>
      <c r="D848" t="inlineStr">
        <is>
          <t>Rimba Heights</t>
        </is>
      </c>
      <c r="E848" t="inlineStr">
        <is>
          <t>daniel ong</t>
        </is>
      </c>
      <c r="F848" t="inlineStr">
        <is>
          <t>Follow-up</t>
        </is>
      </c>
      <c r="G848" t="inlineStr">
        <is>
          <t>UNAUTH_SUBLET</t>
        </is>
      </c>
      <c r="H848" t="inlineStr">
        <is>
          <t>Major Breach</t>
        </is>
      </c>
      <c r="I848" s="6" t="n">
        <v>46158</v>
      </c>
      <c r="J848" s="6" t="n">
        <v>46155</v>
      </c>
      <c r="K848">
        <f>IF(J848="","",J848-B848)</f>
        <v/>
      </c>
      <c r="L848">
        <f>IF(H848="Compliant","N/A",IF(J848&lt;&gt;"","Closed",IF(I848&lt;DATE(2026,9,30),"OVERDUE","Open")))</f>
        <v/>
      </c>
    </row>
    <row r="849">
      <c r="A849" t="inlineStr">
        <is>
          <t>INSP-2026-0848</t>
        </is>
      </c>
      <c r="B849" s="6" t="n">
        <v>46151</v>
      </c>
      <c r="C849" t="inlineStr">
        <is>
          <t>U-ST566-02-01</t>
        </is>
      </c>
      <c r="D849" t="inlineStr">
        <is>
          <t>Sungai Tinggi</t>
        </is>
      </c>
      <c r="E849" t="inlineStr">
        <is>
          <t>Daniel O.</t>
        </is>
      </c>
      <c r="F849" t="inlineStr">
        <is>
          <t>Routine</t>
        </is>
      </c>
      <c r="G849" t="inlineStr">
        <is>
          <t>HYGIENE</t>
        </is>
      </c>
      <c r="H849" t="inlineStr">
        <is>
          <t>Minor Breach</t>
        </is>
      </c>
      <c r="I849" s="6" t="n">
        <v>46165</v>
      </c>
      <c r="J849" s="6" t="n">
        <v>46168</v>
      </c>
      <c r="K849">
        <f>IF(J849="","",J849-B849)</f>
        <v/>
      </c>
      <c r="L849">
        <f>IF(H849="Compliant","N/A",IF(J849&lt;&gt;"","Closed",IF(I849&lt;DATE(2026,9,30),"OVERDUE","Open")))</f>
        <v/>
      </c>
    </row>
    <row r="850">
      <c r="A850" t="inlineStr">
        <is>
          <t>INSP-2026-0849</t>
        </is>
      </c>
      <c r="B850" s="6" t="n">
        <v>46151</v>
      </c>
      <c r="C850" t="inlineStr">
        <is>
          <t>U-CD190-01-05</t>
        </is>
      </c>
      <c r="D850" t="inlineStr">
        <is>
          <t>Cendana</t>
        </is>
      </c>
      <c r="E850" t="inlineStr">
        <is>
          <t>Marcus Lim</t>
        </is>
      </c>
      <c r="F850" t="inlineStr">
        <is>
          <t>Routine</t>
        </is>
      </c>
      <c r="G850" t="inlineStr">
        <is>
          <t>NONE</t>
        </is>
      </c>
      <c r="H850" t="inlineStr">
        <is>
          <t>Compliant</t>
        </is>
      </c>
      <c r="I850" s="6" t="n"/>
      <c r="J850" s="6" t="n"/>
      <c r="K850">
        <f>IF(J850="","",J850-B850)</f>
        <v/>
      </c>
      <c r="L850">
        <f>IF(H850="Compliant","N/A",IF(J850&lt;&gt;"","Closed",IF(I850&lt;DATE(2026,9,30),"OVERDUE","Open")))</f>
        <v/>
      </c>
    </row>
    <row r="851">
      <c r="A851" t="inlineStr">
        <is>
          <t>INSP-2026-0850</t>
        </is>
      </c>
      <c r="B851" s="6" t="n">
        <v>46151</v>
      </c>
      <c r="C851" t="inlineStr">
        <is>
          <t>U-KR333-01-04</t>
        </is>
      </c>
      <c r="D851" t="inlineStr">
        <is>
          <t>Kebun Raya</t>
        </is>
      </c>
      <c r="E851" t="inlineStr">
        <is>
          <t>B. Ho</t>
        </is>
      </c>
      <c r="F851" t="inlineStr">
        <is>
          <t>Routine</t>
        </is>
      </c>
      <c r="G851" t="inlineStr">
        <is>
          <t>NONE</t>
        </is>
      </c>
      <c r="H851" t="inlineStr">
        <is>
          <t>Compliant</t>
        </is>
      </c>
      <c r="I851" s="6" t="n"/>
      <c r="J851" s="6" t="n"/>
      <c r="K851">
        <f>IF(J851="","",J851-B851)</f>
        <v/>
      </c>
      <c r="L851">
        <f>IF(H851="Compliant","N/A",IF(J851&lt;&gt;"","Closed",IF(I851&lt;DATE(2026,9,30),"OVERDUE","Open")))</f>
        <v/>
      </c>
    </row>
    <row r="852">
      <c r="A852" t="inlineStr">
        <is>
          <t>INSP-2026-0851</t>
        </is>
      </c>
      <c r="B852" s="6" t="n">
        <v>46151</v>
      </c>
      <c r="C852" t="inlineStr">
        <is>
          <t>U-RH486-01-04</t>
        </is>
      </c>
      <c r="D852" t="inlineStr">
        <is>
          <t>Rimba Heights</t>
        </is>
      </c>
      <c r="E852" t="inlineStr">
        <is>
          <t>Daniel O.</t>
        </is>
      </c>
      <c r="F852" t="inlineStr">
        <is>
          <t>Routine</t>
        </is>
      </c>
      <c r="G852" t="inlineStr">
        <is>
          <t>NONE</t>
        </is>
      </c>
      <c r="H852" t="inlineStr">
        <is>
          <t>Compliant</t>
        </is>
      </c>
      <c r="I852" s="6" t="n"/>
      <c r="J852" s="6" t="n"/>
      <c r="K852">
        <f>IF(J852="","",J852-B852)</f>
        <v/>
      </c>
      <c r="L852">
        <f>IF(H852="Compliant","N/A",IF(J852&lt;&gt;"","Closed",IF(I852&lt;DATE(2026,9,30),"OVERDUE","Open")))</f>
        <v/>
      </c>
    </row>
    <row r="853">
      <c r="A853" t="inlineStr">
        <is>
          <t>INSP-2026-0852</t>
        </is>
      </c>
      <c r="B853" s="6" t="n">
        <v>46152</v>
      </c>
      <c r="C853" t="inlineStr">
        <is>
          <t>U-BV216-01-04</t>
        </is>
      </c>
      <c r="D853" t="inlineStr">
        <is>
          <t>Bayshore Vale</t>
        </is>
      </c>
      <c r="E853" t="inlineStr">
        <is>
          <t>marcus</t>
        </is>
      </c>
      <c r="F853" t="inlineStr">
        <is>
          <t>Follow-up</t>
        </is>
      </c>
      <c r="G853" t="inlineStr">
        <is>
          <t>NONE</t>
        </is>
      </c>
      <c r="H853" t="inlineStr">
        <is>
          <t>Compliant</t>
        </is>
      </c>
      <c r="I853" s="6" t="n"/>
      <c r="J853" s="6" t="n"/>
      <c r="K853">
        <f>IF(J853="","",J853-B853)</f>
        <v/>
      </c>
      <c r="L853">
        <f>IF(H853="Compliant","N/A",IF(J853&lt;&gt;"","Closed",IF(I853&lt;DATE(2026,9,30),"OVERDUE","Open")))</f>
        <v/>
      </c>
    </row>
    <row r="854">
      <c r="A854" t="inlineStr">
        <is>
          <t>INSP-2026-0853</t>
        </is>
      </c>
      <c r="B854" s="6" t="n">
        <v>46152</v>
      </c>
      <c r="C854" t="inlineStr">
        <is>
          <t>U-CD118-01-01</t>
        </is>
      </c>
      <c r="D854" t="inlineStr">
        <is>
          <t>Cendana</t>
        </is>
      </c>
      <c r="E854" t="inlineStr">
        <is>
          <t>Daniel O.</t>
        </is>
      </c>
      <c r="F854" t="inlineStr">
        <is>
          <t>Follow-up</t>
        </is>
      </c>
      <c r="G854" t="inlineStr">
        <is>
          <t>DISPLAY_ENCROACH</t>
        </is>
      </c>
      <c r="H854" t="inlineStr">
        <is>
          <t>Minor Breach</t>
        </is>
      </c>
      <c r="I854" s="6" t="n">
        <v>46166</v>
      </c>
      <c r="J854" s="6" t="n">
        <v>46167</v>
      </c>
      <c r="K854">
        <f>IF(J854="","",J854-B854)</f>
        <v/>
      </c>
      <c r="L854">
        <f>IF(H854="Compliant","N/A",IF(J854&lt;&gt;"","Closed",IF(I854&lt;DATE(2026,9,30),"OVERDUE","Open")))</f>
        <v/>
      </c>
    </row>
    <row r="855">
      <c r="A855" t="inlineStr">
        <is>
          <t>INSP-2026-0854</t>
        </is>
      </c>
      <c r="B855" s="6" t="n">
        <v>46152</v>
      </c>
      <c r="C855" t="inlineStr">
        <is>
          <t>U-ST579-01-01</t>
        </is>
      </c>
      <c r="D855" t="inlineStr">
        <is>
          <t>Sungai Tinggi</t>
        </is>
      </c>
      <c r="E855" t="inlineStr">
        <is>
          <t>Ben Ho</t>
        </is>
      </c>
      <c r="F855" t="inlineStr">
        <is>
          <t>Follow-up</t>
        </is>
      </c>
      <c r="G855" t="inlineStr">
        <is>
          <t>NONE</t>
        </is>
      </c>
      <c r="H855" t="inlineStr">
        <is>
          <t>Compliant</t>
        </is>
      </c>
      <c r="I855" s="6" t="n"/>
      <c r="J855" s="6" t="n"/>
      <c r="K855">
        <f>IF(J855="","",J855-B855)</f>
        <v/>
      </c>
      <c r="L855">
        <f>IF(H855="Compliant","N/A",IF(J855&lt;&gt;"","Closed",IF(I855&lt;DATE(2026,9,30),"OVERDUE","Open")))</f>
        <v/>
      </c>
    </row>
    <row r="856">
      <c r="A856" t="inlineStr">
        <is>
          <t>INSP-2026-0855</t>
        </is>
      </c>
      <c r="B856" s="6" t="n">
        <v>46152</v>
      </c>
      <c r="C856" t="inlineStr">
        <is>
          <t>U-KR372-01-07</t>
        </is>
      </c>
      <c r="D856" t="inlineStr">
        <is>
          <t>Kebun Raya</t>
        </is>
      </c>
      <c r="E856" t="inlineStr">
        <is>
          <t>D. Ong</t>
        </is>
      </c>
      <c r="F856" t="inlineStr">
        <is>
          <t>Routine</t>
        </is>
      </c>
      <c r="G856" t="inlineStr">
        <is>
          <t>NONE</t>
        </is>
      </c>
      <c r="H856" t="inlineStr">
        <is>
          <t>Compliant</t>
        </is>
      </c>
      <c r="I856" s="6" t="n"/>
      <c r="J856" s="6" t="n"/>
      <c r="K856">
        <f>IF(J856="","",J856-B856)</f>
        <v/>
      </c>
      <c r="L856">
        <f>IF(H856="Compliant","N/A",IF(J856&lt;&gt;"","Closed",IF(I856&lt;DATE(2026,9,30),"OVERDUE","Open")))</f>
        <v/>
      </c>
    </row>
    <row r="857">
      <c r="A857" t="inlineStr">
        <is>
          <t>INSP-2026-0856</t>
        </is>
      </c>
      <c r="B857" s="6" t="n">
        <v>46152</v>
      </c>
      <c r="C857" t="inlineStr">
        <is>
          <t>U-BV279-01-01</t>
        </is>
      </c>
      <c r="D857" t="inlineStr">
        <is>
          <t>Bayshore Vale</t>
        </is>
      </c>
      <c r="E857" t="inlineStr">
        <is>
          <t>Daniel Ong</t>
        </is>
      </c>
      <c r="F857" t="inlineStr">
        <is>
          <t>Routine</t>
        </is>
      </c>
      <c r="G857" t="inlineStr">
        <is>
          <t>NONE</t>
        </is>
      </c>
      <c r="H857" t="inlineStr">
        <is>
          <t>Compliant</t>
        </is>
      </c>
      <c r="I857" s="6" t="n"/>
      <c r="J857" s="6" t="n"/>
      <c r="K857">
        <f>IF(J857="","",J857-B857)</f>
        <v/>
      </c>
      <c r="L857">
        <f>IF(H857="Compliant","N/A",IF(J857&lt;&gt;"","Closed",IF(I857&lt;DATE(2026,9,30),"OVERDUE","Open")))</f>
        <v/>
      </c>
    </row>
    <row r="858">
      <c r="A858" t="inlineStr">
        <is>
          <t>INSP-2026-0857</t>
        </is>
      </c>
      <c r="B858" s="6" t="n">
        <v>46152</v>
      </c>
      <c r="C858" t="inlineStr">
        <is>
          <t>U-PI678-01-06</t>
        </is>
      </c>
      <c r="D858" t="inlineStr">
        <is>
          <t>Pasir Indah</t>
        </is>
      </c>
      <c r="E858" t="inlineStr">
        <is>
          <t>M. Lim</t>
        </is>
      </c>
      <c r="F858" t="inlineStr">
        <is>
          <t>Routine</t>
        </is>
      </c>
      <c r="G858" t="inlineStr">
        <is>
          <t>NONE</t>
        </is>
      </c>
      <c r="H858" t="inlineStr">
        <is>
          <t>Compliant</t>
        </is>
      </c>
      <c r="I858" s="6" t="n"/>
      <c r="J858" s="6" t="n"/>
      <c r="K858">
        <f>IF(J858="","",J858-B858)</f>
        <v/>
      </c>
      <c r="L858">
        <f>IF(H858="Compliant","N/A",IF(J858&lt;&gt;"","Closed",IF(I858&lt;DATE(2026,9,30),"OVERDUE","Open")))</f>
        <v/>
      </c>
    </row>
    <row r="859">
      <c r="A859" t="inlineStr">
        <is>
          <t>INSP-2026-0858</t>
        </is>
      </c>
      <c r="B859" s="6" t="n">
        <v>46152</v>
      </c>
      <c r="C859" t="inlineStr">
        <is>
          <t>U-ST596-01-05</t>
        </is>
      </c>
      <c r="D859" t="inlineStr">
        <is>
          <t>Sungai Tinggi</t>
        </is>
      </c>
      <c r="E859" t="inlineStr">
        <is>
          <t>D. Ong</t>
        </is>
      </c>
      <c r="F859" t="inlineStr">
        <is>
          <t>Routine</t>
        </is>
      </c>
      <c r="G859" t="inlineStr">
        <is>
          <t>NONE</t>
        </is>
      </c>
      <c r="H859" t="inlineStr">
        <is>
          <t>Compliant</t>
        </is>
      </c>
      <c r="I859" s="6" t="n"/>
      <c r="J859" s="6" t="n"/>
      <c r="K859">
        <f>IF(J859="","",J859-B859)</f>
        <v/>
      </c>
      <c r="L859">
        <f>IF(H859="Compliant","N/A",IF(J859&lt;&gt;"","Closed",IF(I859&lt;DATE(2026,9,30),"OVERDUE","Open")))</f>
        <v/>
      </c>
    </row>
    <row r="860">
      <c r="A860" t="inlineStr">
        <is>
          <t>INSP-2026-0859</t>
        </is>
      </c>
      <c r="B860" s="6" t="n">
        <v>46152</v>
      </c>
      <c r="C860" t="inlineStr">
        <is>
          <t>U-BV205-01-02</t>
        </is>
      </c>
      <c r="D860" t="inlineStr">
        <is>
          <t>Bayshore Vale</t>
        </is>
      </c>
      <c r="E860" t="inlineStr">
        <is>
          <t>Daniel Ong</t>
        </is>
      </c>
      <c r="F860" t="inlineStr">
        <is>
          <t>Routine</t>
        </is>
      </c>
      <c r="G860" t="inlineStr">
        <is>
          <t>STRUCTURAL_DEFECT</t>
        </is>
      </c>
      <c r="H860" t="inlineStr">
        <is>
          <t>Major Breach</t>
        </is>
      </c>
      <c r="I860" s="6" t="n">
        <v>46159</v>
      </c>
      <c r="J860" s="6" t="n">
        <v>46156</v>
      </c>
      <c r="K860">
        <f>IF(J860="","",J860-B860)</f>
        <v/>
      </c>
      <c r="L860">
        <f>IF(H860="Compliant","N/A",IF(J860&lt;&gt;"","Closed",IF(I860&lt;DATE(2026,9,30),"OVERDUE","Open")))</f>
        <v/>
      </c>
    </row>
    <row r="861">
      <c r="A861" t="inlineStr">
        <is>
          <t>INSP-2026-0860</t>
        </is>
      </c>
      <c r="B861" s="6" t="n">
        <v>46153</v>
      </c>
      <c r="C861" t="inlineStr">
        <is>
          <t>U-KR341-01-10</t>
        </is>
      </c>
      <c r="D861" t="inlineStr">
        <is>
          <t>Kebun Raya</t>
        </is>
      </c>
      <c r="E861" t="inlineStr">
        <is>
          <t>D. Ong</t>
        </is>
      </c>
      <c r="F861" t="inlineStr">
        <is>
          <t>Routine</t>
        </is>
      </c>
      <c r="G861" t="inlineStr">
        <is>
          <t>NONE</t>
        </is>
      </c>
      <c r="H861" t="inlineStr">
        <is>
          <t>Compliant</t>
        </is>
      </c>
      <c r="I861" s="6" t="n"/>
      <c r="J861" s="6" t="n"/>
      <c r="K861">
        <f>IF(J861="","",J861-B861)</f>
        <v/>
      </c>
      <c r="L861">
        <f>IF(H861="Compliant","N/A",IF(J861&lt;&gt;"","Closed",IF(I861&lt;DATE(2026,9,30),"OVERDUE","Open")))</f>
        <v/>
      </c>
    </row>
    <row r="862">
      <c r="A862" t="inlineStr">
        <is>
          <t>INSP-2026-0861</t>
        </is>
      </c>
      <c r="B862" s="6" t="n">
        <v>46153</v>
      </c>
      <c r="C862" t="inlineStr">
        <is>
          <t>U-ST590-01-02</t>
        </is>
      </c>
      <c r="D862" t="inlineStr">
        <is>
          <t>Sungai Tinggi</t>
        </is>
      </c>
      <c r="E862" t="inlineStr">
        <is>
          <t>Daniel Ong</t>
        </is>
      </c>
      <c r="F862" t="inlineStr">
        <is>
          <t>Routine</t>
        </is>
      </c>
      <c r="G862" t="inlineStr">
        <is>
          <t>NONE</t>
        </is>
      </c>
      <c r="H862" t="inlineStr">
        <is>
          <t>Compliant</t>
        </is>
      </c>
      <c r="I862" s="6" t="n"/>
      <c r="J862" s="6" t="n"/>
      <c r="K862">
        <f>IF(J862="","",J862-B862)</f>
        <v/>
      </c>
      <c r="L862">
        <f>IF(H862="Compliant","N/A",IF(J862&lt;&gt;"","Closed",IF(I862&lt;DATE(2026,9,30),"OVERDUE","Open")))</f>
        <v/>
      </c>
    </row>
    <row r="863">
      <c r="A863" t="inlineStr">
        <is>
          <t>INSP-2026-0862</t>
        </is>
      </c>
      <c r="B863" s="6" t="n">
        <v>46153</v>
      </c>
      <c r="C863" t="inlineStr">
        <is>
          <t>U-RH456-01-05</t>
        </is>
      </c>
      <c r="D863" t="inlineStr">
        <is>
          <t>Rimba Heights</t>
        </is>
      </c>
      <c r="E863" t="inlineStr">
        <is>
          <t>D. Ong</t>
        </is>
      </c>
      <c r="F863" t="inlineStr">
        <is>
          <t>Routine</t>
        </is>
      </c>
      <c r="G863" t="inlineStr">
        <is>
          <t>HYGIENE</t>
        </is>
      </c>
      <c r="H863" t="inlineStr">
        <is>
          <t>Minor Breach</t>
        </is>
      </c>
      <c r="I863" s="6" t="n">
        <v>46167</v>
      </c>
      <c r="J863" s="6" t="n"/>
      <c r="K863">
        <f>IF(J863="","",J863-B863)</f>
        <v/>
      </c>
      <c r="L863">
        <f>IF(H863="Compliant","N/A",IF(J863&lt;&gt;"","Closed",IF(I863&lt;DATE(2026,9,30),"OVERDUE","Open")))</f>
        <v/>
      </c>
    </row>
    <row r="864">
      <c r="A864" t="inlineStr">
        <is>
          <t>INSP-2026-0863</t>
        </is>
      </c>
      <c r="B864" s="6" t="n">
        <v>46153</v>
      </c>
      <c r="C864" t="inlineStr">
        <is>
          <t>U-RH455-01-32</t>
        </is>
      </c>
      <c r="D864" t="inlineStr">
        <is>
          <t>Rimba Heights</t>
        </is>
      </c>
      <c r="E864" t="inlineStr">
        <is>
          <t>Daniel Ong</t>
        </is>
      </c>
      <c r="F864" t="inlineStr">
        <is>
          <t>Complaint-driven</t>
        </is>
      </c>
      <c r="G864" t="inlineStr">
        <is>
          <t>NONE</t>
        </is>
      </c>
      <c r="H864" t="inlineStr">
        <is>
          <t>Compliant</t>
        </is>
      </c>
      <c r="I864" s="6" t="n"/>
      <c r="J864" s="6" t="n"/>
      <c r="K864">
        <f>IF(J864="","",J864-B864)</f>
        <v/>
      </c>
      <c r="L864">
        <f>IF(H864="Compliant","N/A",IF(J864&lt;&gt;"","Closed",IF(I864&lt;DATE(2026,9,30),"OVERDUE","Open")))</f>
        <v/>
      </c>
    </row>
    <row r="865">
      <c r="A865" t="inlineStr">
        <is>
          <t>INSP-2026-0864</t>
        </is>
      </c>
      <c r="B865" s="6" t="n">
        <v>46153</v>
      </c>
      <c r="C865" t="inlineStr">
        <is>
          <t>U-BV297-01-01</t>
        </is>
      </c>
      <c r="D865" t="inlineStr">
        <is>
          <t>Bayshore Vale</t>
        </is>
      </c>
      <c r="E865" t="inlineStr">
        <is>
          <t>Daniel O.</t>
        </is>
      </c>
      <c r="F865" t="inlineStr">
        <is>
          <t>Follow-up</t>
        </is>
      </c>
      <c r="G865" t="inlineStr">
        <is>
          <t>NONE</t>
        </is>
      </c>
      <c r="H865" t="inlineStr">
        <is>
          <t>Compliant</t>
        </is>
      </c>
      <c r="I865" s="6" t="n"/>
      <c r="J865" s="6" t="n"/>
      <c r="K865">
        <f>IF(J865="","",J865-B865)</f>
        <v/>
      </c>
      <c r="L865">
        <f>IF(H865="Compliant","N/A",IF(J865&lt;&gt;"","Closed",IF(I865&lt;DATE(2026,9,30),"OVERDUE","Open")))</f>
        <v/>
      </c>
    </row>
    <row r="866">
      <c r="A866" t="inlineStr">
        <is>
          <t>INSP-2026-0865</t>
        </is>
      </c>
      <c r="B866" s="6" t="n">
        <v>46153</v>
      </c>
      <c r="C866" t="inlineStr">
        <is>
          <t>U-BV290-01-07</t>
        </is>
      </c>
      <c r="D866" t="inlineStr">
        <is>
          <t>Bayshore Vale</t>
        </is>
      </c>
      <c r="E866" t="inlineStr">
        <is>
          <t>Marcus Lim</t>
        </is>
      </c>
      <c r="F866" t="inlineStr">
        <is>
          <t>Routine</t>
        </is>
      </c>
      <c r="G866" t="inlineStr">
        <is>
          <t>NONE</t>
        </is>
      </c>
      <c r="H866" t="inlineStr">
        <is>
          <t>Compliant</t>
        </is>
      </c>
      <c r="I866" s="6" t="n"/>
      <c r="J866" s="6" t="n"/>
      <c r="K866">
        <f>IF(J866="","",J866-B866)</f>
        <v/>
      </c>
      <c r="L866">
        <f>IF(H866="Compliant","N/A",IF(J866&lt;&gt;"","Closed",IF(I866&lt;DATE(2026,9,30),"OVERDUE","Open")))</f>
        <v/>
      </c>
    </row>
    <row r="867">
      <c r="A867" t="inlineStr">
        <is>
          <t>INSP-2026-0866</t>
        </is>
      </c>
      <c r="B867" s="6" t="n">
        <v>46153</v>
      </c>
      <c r="C867" t="inlineStr">
        <is>
          <t>U-ST512-01-06</t>
        </is>
      </c>
      <c r="D867" t="inlineStr">
        <is>
          <t>Sungai Tinggi</t>
        </is>
      </c>
      <c r="E867" t="inlineStr">
        <is>
          <t>Benjamin Ho</t>
        </is>
      </c>
      <c r="F867" t="inlineStr">
        <is>
          <t>Routine</t>
        </is>
      </c>
      <c r="G867" t="inlineStr">
        <is>
          <t>HYGIENE</t>
        </is>
      </c>
      <c r="H867" t="inlineStr">
        <is>
          <t>Minor Breach</t>
        </is>
      </c>
      <c r="I867" s="6" t="n">
        <v>46167</v>
      </c>
      <c r="J867" s="6" t="n">
        <v>46164</v>
      </c>
      <c r="K867">
        <f>IF(J867="","",J867-B867)</f>
        <v/>
      </c>
      <c r="L867">
        <f>IF(H867="Compliant","N/A",IF(J867&lt;&gt;"","Closed",IF(I867&lt;DATE(2026,9,30),"OVERDUE","Open")))</f>
        <v/>
      </c>
    </row>
    <row r="868">
      <c r="A868" t="inlineStr">
        <is>
          <t>INSP-2026-0867</t>
        </is>
      </c>
      <c r="B868" s="6" t="n">
        <v>46153</v>
      </c>
      <c r="C868" t="inlineStr">
        <is>
          <t>U-RH460-01-11</t>
        </is>
      </c>
      <c r="D868" t="inlineStr">
        <is>
          <t>Rimba Heights</t>
        </is>
      </c>
      <c r="E868" t="inlineStr">
        <is>
          <t>D. Ong</t>
        </is>
      </c>
      <c r="F868" t="inlineStr">
        <is>
          <t>Routine</t>
        </is>
      </c>
      <c r="G868" t="inlineStr">
        <is>
          <t>NONE</t>
        </is>
      </c>
      <c r="H868" t="inlineStr">
        <is>
          <t>Compliant</t>
        </is>
      </c>
      <c r="I868" s="6" t="n"/>
      <c r="J868" s="6" t="n"/>
      <c r="K868">
        <f>IF(J868="","",J868-B868)</f>
        <v/>
      </c>
      <c r="L868">
        <f>IF(H868="Compliant","N/A",IF(J868&lt;&gt;"","Closed",IF(I868&lt;DATE(2026,9,30),"OVERDUE","Open")))</f>
        <v/>
      </c>
    </row>
    <row r="869">
      <c r="A869" t="inlineStr">
        <is>
          <t>INSP-2026-0868</t>
        </is>
      </c>
      <c r="B869" s="6" t="n">
        <v>46153</v>
      </c>
      <c r="C869" t="inlineStr">
        <is>
          <t>U-KR371-01-01</t>
        </is>
      </c>
      <c r="D869" t="inlineStr">
        <is>
          <t>Kebun Raya</t>
        </is>
      </c>
      <c r="E869" t="inlineStr">
        <is>
          <t>B. Ho</t>
        </is>
      </c>
      <c r="F869" t="inlineStr">
        <is>
          <t>Routine</t>
        </is>
      </c>
      <c r="G869" t="inlineStr">
        <is>
          <t>NONE</t>
        </is>
      </c>
      <c r="H869" t="inlineStr">
        <is>
          <t>Compliant</t>
        </is>
      </c>
      <c r="I869" s="6" t="n"/>
      <c r="J869" s="6" t="n"/>
      <c r="K869">
        <f>IF(J869="","",J869-B869)</f>
        <v/>
      </c>
      <c r="L869">
        <f>IF(H869="Compliant","N/A",IF(J869&lt;&gt;"","Closed",IF(I869&lt;DATE(2026,9,30),"OVERDUE","Open")))</f>
        <v/>
      </c>
    </row>
    <row r="870">
      <c r="A870" t="inlineStr">
        <is>
          <t>INSP-2026-0869</t>
        </is>
      </c>
      <c r="B870" s="6" t="n">
        <v>46153</v>
      </c>
      <c r="C870" t="inlineStr">
        <is>
          <t>U-CD152-01-07</t>
        </is>
      </c>
      <c r="D870" t="inlineStr">
        <is>
          <t>Cendana</t>
        </is>
      </c>
      <c r="E870" t="inlineStr">
        <is>
          <t>Daniel O.</t>
        </is>
      </c>
      <c r="F870" t="inlineStr">
        <is>
          <t>Complaint-driven</t>
        </is>
      </c>
      <c r="G870" t="inlineStr">
        <is>
          <t>NONE</t>
        </is>
      </c>
      <c r="H870" t="inlineStr">
        <is>
          <t>Compliant</t>
        </is>
      </c>
      <c r="I870" s="6" t="n"/>
      <c r="J870" s="6" t="n"/>
      <c r="K870">
        <f>IF(J870="","",J870-B870)</f>
        <v/>
      </c>
      <c r="L870">
        <f>IF(H870="Compliant","N/A",IF(J870&lt;&gt;"","Closed",IF(I870&lt;DATE(2026,9,30),"OVERDUE","Open")))</f>
        <v/>
      </c>
    </row>
    <row r="871">
      <c r="A871" t="inlineStr">
        <is>
          <t>INSP-2026-0870</t>
        </is>
      </c>
      <c r="B871" s="6" t="n">
        <v>46153</v>
      </c>
      <c r="C871" t="inlineStr">
        <is>
          <t>U-BV233-01-04</t>
        </is>
      </c>
      <c r="D871" t="inlineStr">
        <is>
          <t>Bayshore Vale</t>
        </is>
      </c>
      <c r="E871" t="inlineStr">
        <is>
          <t>marcus</t>
        </is>
      </c>
      <c r="F871" t="inlineStr">
        <is>
          <t>Routine</t>
        </is>
      </c>
      <c r="G871" t="inlineStr">
        <is>
          <t>DISPLAY_ENCROACH</t>
        </is>
      </c>
      <c r="H871" t="inlineStr">
        <is>
          <t>Minor Breach</t>
        </is>
      </c>
      <c r="I871" s="6" t="n">
        <v>46167</v>
      </c>
      <c r="J871" s="6" t="n">
        <v>46172</v>
      </c>
      <c r="K871">
        <f>IF(J871="","",J871-B871)</f>
        <v/>
      </c>
      <c r="L871">
        <f>IF(H871="Compliant","N/A",IF(J871&lt;&gt;"","Closed",IF(I871&lt;DATE(2026,9,30),"OVERDUE","Open")))</f>
        <v/>
      </c>
    </row>
    <row r="872">
      <c r="A872" t="inlineStr">
        <is>
          <t>INSP-2026-0871</t>
        </is>
      </c>
      <c r="B872" s="6" t="n">
        <v>46154</v>
      </c>
      <c r="C872" t="inlineStr">
        <is>
          <t>U-KR335-01-05</t>
        </is>
      </c>
      <c r="D872" t="inlineStr">
        <is>
          <t>Kebun Raya</t>
        </is>
      </c>
      <c r="E872" t="inlineStr">
        <is>
          <t>Benjamin Ho</t>
        </is>
      </c>
      <c r="F872" t="inlineStr">
        <is>
          <t>Routine</t>
        </is>
      </c>
      <c r="G872" t="inlineStr">
        <is>
          <t>FIRE_SAFETY</t>
        </is>
      </c>
      <c r="H872" t="inlineStr">
        <is>
          <t>Major Breach</t>
        </is>
      </c>
      <c r="I872" s="6" t="n">
        <v>46161</v>
      </c>
      <c r="J872" s="6" t="n">
        <v>46161</v>
      </c>
      <c r="K872">
        <f>IF(J872="","",J872-B872)</f>
        <v/>
      </c>
      <c r="L872">
        <f>IF(H872="Compliant","N/A",IF(J872&lt;&gt;"","Closed",IF(I872&lt;DATE(2026,9,30),"OVERDUE","Open")))</f>
        <v/>
      </c>
    </row>
    <row r="873">
      <c r="A873" t="inlineStr">
        <is>
          <t>INSP-2026-0872</t>
        </is>
      </c>
      <c r="B873" s="6" t="n">
        <v>46154</v>
      </c>
      <c r="C873" t="inlineStr">
        <is>
          <t>U-PI696-01-10</t>
        </is>
      </c>
      <c r="D873" t="inlineStr">
        <is>
          <t>Pasir Indah</t>
        </is>
      </c>
      <c r="E873" t="inlineStr">
        <is>
          <t>daniel ong</t>
        </is>
      </c>
      <c r="F873" t="inlineStr">
        <is>
          <t>Complaint-driven</t>
        </is>
      </c>
      <c r="G873" t="inlineStr">
        <is>
          <t>DISPLAY_ENCROACH</t>
        </is>
      </c>
      <c r="H873" t="inlineStr">
        <is>
          <t>Minor Breach</t>
        </is>
      </c>
      <c r="I873" s="6" t="n">
        <v>46168</v>
      </c>
      <c r="J873" s="6" t="n"/>
      <c r="K873">
        <f>IF(J873="","",J873-B873)</f>
        <v/>
      </c>
      <c r="L873">
        <f>IF(H873="Compliant","N/A",IF(J873&lt;&gt;"","Closed",IF(I873&lt;DATE(2026,9,30),"OVERDUE","Open")))</f>
        <v/>
      </c>
    </row>
    <row r="874">
      <c r="A874" t="inlineStr">
        <is>
          <t>INSP-2026-0873</t>
        </is>
      </c>
      <c r="B874" s="6" t="n">
        <v>46154</v>
      </c>
      <c r="C874" t="inlineStr">
        <is>
          <t>U-KR333-01-08</t>
        </is>
      </c>
      <c r="D874" t="inlineStr">
        <is>
          <t>Kebun Raya</t>
        </is>
      </c>
      <c r="E874" t="inlineStr">
        <is>
          <t>Benjamin Ho</t>
        </is>
      </c>
      <c r="F874" t="inlineStr">
        <is>
          <t>Follow-up</t>
        </is>
      </c>
      <c r="G874" t="inlineStr">
        <is>
          <t>NONE</t>
        </is>
      </c>
      <c r="H874" t="inlineStr">
        <is>
          <t>Compliant</t>
        </is>
      </c>
      <c r="I874" s="6" t="n"/>
      <c r="J874" s="6" t="n"/>
      <c r="K874">
        <f>IF(J874="","",J874-B874)</f>
        <v/>
      </c>
      <c r="L874">
        <f>IF(H874="Compliant","N/A",IF(J874&lt;&gt;"","Closed",IF(I874&lt;DATE(2026,9,30),"OVERDUE","Open")))</f>
        <v/>
      </c>
    </row>
    <row r="875">
      <c r="A875" t="inlineStr">
        <is>
          <t>INSP-2026-0874</t>
        </is>
      </c>
      <c r="B875" s="6" t="n">
        <v>46154</v>
      </c>
      <c r="C875" t="inlineStr">
        <is>
          <t>U-PI675-01-05</t>
        </is>
      </c>
      <c r="D875" t="inlineStr">
        <is>
          <t>Pasir Indah</t>
        </is>
      </c>
      <c r="E875" t="inlineStr">
        <is>
          <t>Daniel Ong</t>
        </is>
      </c>
      <c r="F875" t="inlineStr">
        <is>
          <t>Routine</t>
        </is>
      </c>
      <c r="G875" t="inlineStr">
        <is>
          <t>NONE</t>
        </is>
      </c>
      <c r="H875" t="inlineStr">
        <is>
          <t>Compliant</t>
        </is>
      </c>
      <c r="I875" s="6" t="n"/>
      <c r="J875" s="6" t="n"/>
      <c r="K875">
        <f>IF(J875="","",J875-B875)</f>
        <v/>
      </c>
      <c r="L875">
        <f>IF(H875="Compliant","N/A",IF(J875&lt;&gt;"","Closed",IF(I875&lt;DATE(2026,9,30),"OVERDUE","Open")))</f>
        <v/>
      </c>
    </row>
    <row r="876">
      <c r="A876" t="inlineStr">
        <is>
          <t>INSP-2026-0875</t>
        </is>
      </c>
      <c r="B876" s="6" t="n">
        <v>46154</v>
      </c>
      <c r="C876" t="inlineStr">
        <is>
          <t>U-PI668-01-01</t>
        </is>
      </c>
      <c r="D876" t="inlineStr">
        <is>
          <t>Pasir Indah</t>
        </is>
      </c>
      <c r="E876" t="inlineStr">
        <is>
          <t>Daniel O.</t>
        </is>
      </c>
      <c r="F876" t="inlineStr">
        <is>
          <t>Complaint-driven</t>
        </is>
      </c>
      <c r="G876" t="inlineStr">
        <is>
          <t>NONE</t>
        </is>
      </c>
      <c r="H876" t="inlineStr">
        <is>
          <t>Compliant</t>
        </is>
      </c>
      <c r="I876" s="6" t="n"/>
      <c r="J876" s="6" t="n"/>
      <c r="K876">
        <f>IF(J876="","",J876-B876)</f>
        <v/>
      </c>
      <c r="L876">
        <f>IF(H876="Compliant","N/A",IF(J876&lt;&gt;"","Closed",IF(I876&lt;DATE(2026,9,30),"OVERDUE","Open")))</f>
        <v/>
      </c>
    </row>
    <row r="877">
      <c r="A877" t="inlineStr">
        <is>
          <t>INSP-2026-0876</t>
        </is>
      </c>
      <c r="B877" s="6" t="n">
        <v>46154</v>
      </c>
      <c r="C877" t="inlineStr">
        <is>
          <t>U-RH455-01-23</t>
        </is>
      </c>
      <c r="D877" t="inlineStr">
        <is>
          <t>Rimba Heights</t>
        </is>
      </c>
      <c r="E877" t="inlineStr">
        <is>
          <t>daniel ong</t>
        </is>
      </c>
      <c r="F877" t="inlineStr">
        <is>
          <t>Follow-up</t>
        </is>
      </c>
      <c r="G877" t="inlineStr">
        <is>
          <t>UNAUTH_TRADE</t>
        </is>
      </c>
      <c r="H877" t="inlineStr">
        <is>
          <t>Major Breach</t>
        </is>
      </c>
      <c r="I877" s="6" t="n">
        <v>46161</v>
      </c>
      <c r="J877" s="6" t="n">
        <v>46168</v>
      </c>
      <c r="K877">
        <f>IF(J877="","",J877-B877)</f>
        <v/>
      </c>
      <c r="L877">
        <f>IF(H877="Compliant","N/A",IF(J877&lt;&gt;"","Closed",IF(I877&lt;DATE(2026,9,30),"OVERDUE","Open")))</f>
        <v/>
      </c>
    </row>
    <row r="878">
      <c r="A878" t="inlineStr">
        <is>
          <t>INSP-2026-0877</t>
        </is>
      </c>
      <c r="B878" s="6" t="n">
        <v>46154</v>
      </c>
      <c r="C878" t="inlineStr">
        <is>
          <t>U-BV288-02-01</t>
        </is>
      </c>
      <c r="D878" t="inlineStr">
        <is>
          <t>Bayshore Vale</t>
        </is>
      </c>
      <c r="E878" t="inlineStr">
        <is>
          <t>Daniel Ong</t>
        </is>
      </c>
      <c r="F878" t="inlineStr">
        <is>
          <t>Routine</t>
        </is>
      </c>
      <c r="G878" t="inlineStr">
        <is>
          <t>NONE</t>
        </is>
      </c>
      <c r="H878" t="inlineStr">
        <is>
          <t>Compliant</t>
        </is>
      </c>
      <c r="I878" s="6" t="n"/>
      <c r="J878" s="6" t="n"/>
      <c r="K878">
        <f>IF(J878="","",J878-B878)</f>
        <v/>
      </c>
      <c r="L878">
        <f>IF(H878="Compliant","N/A",IF(J878&lt;&gt;"","Closed",IF(I878&lt;DATE(2026,9,30),"OVERDUE","Open")))</f>
        <v/>
      </c>
    </row>
    <row r="879">
      <c r="A879" t="inlineStr">
        <is>
          <t>INSP-2026-0878</t>
        </is>
      </c>
      <c r="B879" s="6" t="n">
        <v>46154</v>
      </c>
      <c r="C879" t="inlineStr">
        <is>
          <t>U-PI625-01-04</t>
        </is>
      </c>
      <c r="D879" t="inlineStr">
        <is>
          <t>Pasir Indah</t>
        </is>
      </c>
      <c r="E879" t="inlineStr">
        <is>
          <t>daniel ong</t>
        </is>
      </c>
      <c r="F879" t="inlineStr">
        <is>
          <t>Routine</t>
        </is>
      </c>
      <c r="G879" t="inlineStr">
        <is>
          <t>NONE</t>
        </is>
      </c>
      <c r="H879" t="inlineStr">
        <is>
          <t>Compliant</t>
        </is>
      </c>
      <c r="I879" s="6" t="n"/>
      <c r="J879" s="6" t="n"/>
      <c r="K879">
        <f>IF(J879="","",J879-B879)</f>
        <v/>
      </c>
      <c r="L879">
        <f>IF(H879="Compliant","N/A",IF(J879&lt;&gt;"","Closed",IF(I879&lt;DATE(2026,9,30),"OVERDUE","Open")))</f>
        <v/>
      </c>
    </row>
    <row r="880">
      <c r="A880" t="inlineStr">
        <is>
          <t>INSP-2026-0879</t>
        </is>
      </c>
      <c r="B880" s="6" t="n">
        <v>46155</v>
      </c>
      <c r="C880" t="inlineStr">
        <is>
          <t>U-ST564-01-08</t>
        </is>
      </c>
      <c r="D880" t="inlineStr">
        <is>
          <t>Sungai Tinggi</t>
        </is>
      </c>
      <c r="E880" t="inlineStr">
        <is>
          <t>Ben Ho</t>
        </is>
      </c>
      <c r="F880" t="inlineStr">
        <is>
          <t>Routine</t>
        </is>
      </c>
      <c r="G880" t="inlineStr">
        <is>
          <t>NONE</t>
        </is>
      </c>
      <c r="H880" t="inlineStr">
        <is>
          <t>Compliant</t>
        </is>
      </c>
      <c r="I880" s="6" t="n"/>
      <c r="J880" s="6" t="n"/>
      <c r="K880">
        <f>IF(J880="","",J880-B880)</f>
        <v/>
      </c>
      <c r="L880">
        <f>IF(H880="Compliant","N/A",IF(J880&lt;&gt;"","Closed",IF(I880&lt;DATE(2026,9,30),"OVERDUE","Open")))</f>
        <v/>
      </c>
    </row>
    <row r="881">
      <c r="A881" t="inlineStr">
        <is>
          <t>INSP-2026-0880</t>
        </is>
      </c>
      <c r="B881" s="6" t="n">
        <v>46155</v>
      </c>
      <c r="C881" t="inlineStr">
        <is>
          <t>U-ST535-01-01</t>
        </is>
      </c>
      <c r="D881" t="inlineStr">
        <is>
          <t>Sungai Tinggi</t>
        </is>
      </c>
      <c r="E881" t="inlineStr">
        <is>
          <t>D. Ong</t>
        </is>
      </c>
      <c r="F881" t="inlineStr">
        <is>
          <t>Routine</t>
        </is>
      </c>
      <c r="G881" t="inlineStr">
        <is>
          <t>UNAPPROVED_AA</t>
        </is>
      </c>
      <c r="H881" t="inlineStr">
        <is>
          <t>Minor Breach</t>
        </is>
      </c>
      <c r="I881" s="6" t="n">
        <v>46169</v>
      </c>
      <c r="J881" s="6" t="n">
        <v>46175</v>
      </c>
      <c r="K881">
        <f>IF(J881="","",J881-B881)</f>
        <v/>
      </c>
      <c r="L881">
        <f>IF(H881="Compliant","N/A",IF(J881&lt;&gt;"","Closed",IF(I881&lt;DATE(2026,9,30),"OVERDUE","Open")))</f>
        <v/>
      </c>
    </row>
    <row r="882">
      <c r="A882" t="inlineStr">
        <is>
          <t>INSP-2026-0881</t>
        </is>
      </c>
      <c r="B882" s="6" t="n">
        <v>46155</v>
      </c>
      <c r="C882" t="inlineStr">
        <is>
          <t>U-PI679-01-08</t>
        </is>
      </c>
      <c r="D882" t="inlineStr">
        <is>
          <t>Pasir Indah</t>
        </is>
      </c>
      <c r="E882" t="inlineStr">
        <is>
          <t>Daniel Ong</t>
        </is>
      </c>
      <c r="F882" t="inlineStr">
        <is>
          <t>Routine</t>
        </is>
      </c>
      <c r="G882" t="inlineStr">
        <is>
          <t>DISPLAY_ENCROACH</t>
        </is>
      </c>
      <c r="H882" t="inlineStr">
        <is>
          <t>Minor Breach</t>
        </is>
      </c>
      <c r="I882" s="6" t="n">
        <v>46169</v>
      </c>
      <c r="J882" s="6" t="n"/>
      <c r="K882">
        <f>IF(J882="","",J882-B882)</f>
        <v/>
      </c>
      <c r="L882">
        <f>IF(H882="Compliant","N/A",IF(J882&lt;&gt;"","Closed",IF(I882&lt;DATE(2026,9,30),"OVERDUE","Open")))</f>
        <v/>
      </c>
    </row>
    <row r="883">
      <c r="A883" t="inlineStr">
        <is>
          <t>INSP-2026-0882</t>
        </is>
      </c>
      <c r="B883" s="6" t="n">
        <v>46155</v>
      </c>
      <c r="C883" t="inlineStr">
        <is>
          <t>U-RH466-02-04</t>
        </is>
      </c>
      <c r="D883" t="inlineStr">
        <is>
          <t>Rimba Heights</t>
        </is>
      </c>
      <c r="E883" t="inlineStr">
        <is>
          <t>D. Ong</t>
        </is>
      </c>
      <c r="F883" t="inlineStr">
        <is>
          <t>Routine</t>
        </is>
      </c>
      <c r="G883" t="inlineStr">
        <is>
          <t>NONE</t>
        </is>
      </c>
      <c r="H883" t="inlineStr">
        <is>
          <t>Compliant</t>
        </is>
      </c>
      <c r="I883" s="6" t="n"/>
      <c r="J883" s="6" t="n"/>
      <c r="K883">
        <f>IF(J883="","",J883-B883)</f>
        <v/>
      </c>
      <c r="L883">
        <f>IF(H883="Compliant","N/A",IF(J883&lt;&gt;"","Closed",IF(I883&lt;DATE(2026,9,30),"OVERDUE","Open")))</f>
        <v/>
      </c>
    </row>
    <row r="884">
      <c r="A884" t="inlineStr">
        <is>
          <t>INSP-2026-0883</t>
        </is>
      </c>
      <c r="B884" s="6" t="n">
        <v>46155</v>
      </c>
      <c r="C884" t="inlineStr">
        <is>
          <t>U-KR368-01-07</t>
        </is>
      </c>
      <c r="D884" t="inlineStr">
        <is>
          <t>Kebun Raya</t>
        </is>
      </c>
      <c r="E884" t="inlineStr">
        <is>
          <t>Daniel O.</t>
        </is>
      </c>
      <c r="F884" t="inlineStr">
        <is>
          <t>Routine</t>
        </is>
      </c>
      <c r="G884" t="inlineStr">
        <is>
          <t>DISPLAY_ENCROACH</t>
        </is>
      </c>
      <c r="H884" t="inlineStr">
        <is>
          <t>Minor Breach</t>
        </is>
      </c>
      <c r="I884" s="6" t="n">
        <v>46169</v>
      </c>
      <c r="J884" s="6" t="n">
        <v>46164</v>
      </c>
      <c r="K884">
        <f>IF(J884="","",J884-B884)</f>
        <v/>
      </c>
      <c r="L884">
        <f>IF(H884="Compliant","N/A",IF(J884&lt;&gt;"","Closed",IF(I884&lt;DATE(2026,9,30),"OVERDUE","Open")))</f>
        <v/>
      </c>
    </row>
    <row r="885">
      <c r="A885" t="inlineStr">
        <is>
          <t>INSP-2026-0884</t>
        </is>
      </c>
      <c r="B885" s="6" t="n">
        <v>46155</v>
      </c>
      <c r="C885" t="inlineStr">
        <is>
          <t>U-BV296-01-09</t>
        </is>
      </c>
      <c r="D885" t="inlineStr">
        <is>
          <t>Bayshore Vale</t>
        </is>
      </c>
      <c r="E885" t="inlineStr">
        <is>
          <t>Daniel O.</t>
        </is>
      </c>
      <c r="F885" t="inlineStr">
        <is>
          <t>Routine</t>
        </is>
      </c>
      <c r="G885" t="inlineStr">
        <is>
          <t>NONE</t>
        </is>
      </c>
      <c r="H885" t="inlineStr">
        <is>
          <t>Compliant</t>
        </is>
      </c>
      <c r="I885" s="6" t="n"/>
      <c r="J885" s="6" t="n"/>
      <c r="K885">
        <f>IF(J885="","",J885-B885)</f>
        <v/>
      </c>
      <c r="L885">
        <f>IF(H885="Compliant","N/A",IF(J885&lt;&gt;"","Closed",IF(I885&lt;DATE(2026,9,30),"OVERDUE","Open")))</f>
        <v/>
      </c>
    </row>
    <row r="886">
      <c r="A886" t="inlineStr">
        <is>
          <t>INSP-2026-0885</t>
        </is>
      </c>
      <c r="B886" s="6" t="n">
        <v>46155</v>
      </c>
      <c r="C886" t="inlineStr">
        <is>
          <t>U-PI644-02-06</t>
        </is>
      </c>
      <c r="D886" t="inlineStr">
        <is>
          <t>Pasir Indah</t>
        </is>
      </c>
      <c r="E886" t="inlineStr">
        <is>
          <t>D. Ong</t>
        </is>
      </c>
      <c r="F886" t="inlineStr">
        <is>
          <t>Follow-up</t>
        </is>
      </c>
      <c r="G886" t="inlineStr">
        <is>
          <t>NONE</t>
        </is>
      </c>
      <c r="H886" t="inlineStr">
        <is>
          <t>Compliant</t>
        </is>
      </c>
      <c r="I886" s="6" t="n"/>
      <c r="J886" s="6" t="n"/>
      <c r="K886">
        <f>IF(J886="","",J886-B886)</f>
        <v/>
      </c>
      <c r="L886">
        <f>IF(H886="Compliant","N/A",IF(J886&lt;&gt;"","Closed",IF(I886&lt;DATE(2026,9,30),"OVERDUE","Open")))</f>
        <v/>
      </c>
    </row>
    <row r="887">
      <c r="A887" t="inlineStr">
        <is>
          <t>INSP-2026-0886</t>
        </is>
      </c>
      <c r="B887" s="6" t="n">
        <v>46155</v>
      </c>
      <c r="C887" t="inlineStr">
        <is>
          <t>U-PI615-01-11</t>
        </is>
      </c>
      <c r="D887" t="inlineStr">
        <is>
          <t>Pasir Indah</t>
        </is>
      </c>
      <c r="E887" t="inlineStr">
        <is>
          <t>Marcus Lim</t>
        </is>
      </c>
      <c r="F887" t="inlineStr">
        <is>
          <t>Routine</t>
        </is>
      </c>
      <c r="G887" t="inlineStr">
        <is>
          <t>UNAPPROVED_AA</t>
        </is>
      </c>
      <c r="H887" t="inlineStr">
        <is>
          <t>Minor Breach</t>
        </is>
      </c>
      <c r="I887" s="6" t="n">
        <v>46169</v>
      </c>
      <c r="J887" s="6" t="n">
        <v>46167</v>
      </c>
      <c r="K887">
        <f>IF(J887="","",J887-B887)</f>
        <v/>
      </c>
      <c r="L887">
        <f>IF(H887="Compliant","N/A",IF(J887&lt;&gt;"","Closed",IF(I887&lt;DATE(2026,9,30),"OVERDUE","Open")))</f>
        <v/>
      </c>
    </row>
    <row r="888">
      <c r="A888" t="inlineStr">
        <is>
          <t>INSP-2026-0887</t>
        </is>
      </c>
      <c r="B888" s="6" t="n">
        <v>46155</v>
      </c>
      <c r="C888" t="inlineStr">
        <is>
          <t>U-ST512-01-32</t>
        </is>
      </c>
      <c r="D888" t="inlineStr">
        <is>
          <t>Sungai Tinggi</t>
        </is>
      </c>
      <c r="E888" t="inlineStr">
        <is>
          <t>daniel ong</t>
        </is>
      </c>
      <c r="F888" t="inlineStr">
        <is>
          <t>Complaint-driven</t>
        </is>
      </c>
      <c r="G888" t="inlineStr">
        <is>
          <t>NONE</t>
        </is>
      </c>
      <c r="H888" t="inlineStr">
        <is>
          <t>Compliant</t>
        </is>
      </c>
      <c r="I888" s="6" t="n"/>
      <c r="J888" s="6" t="n"/>
      <c r="K888">
        <f>IF(J888="","",J888-B888)</f>
        <v/>
      </c>
      <c r="L888">
        <f>IF(H888="Compliant","N/A",IF(J888&lt;&gt;"","Closed",IF(I888&lt;DATE(2026,9,30),"OVERDUE","Open")))</f>
        <v/>
      </c>
    </row>
    <row r="889">
      <c r="A889" t="inlineStr">
        <is>
          <t>INSP-2026-0888</t>
        </is>
      </c>
      <c r="B889" s="6" t="n">
        <v>46155</v>
      </c>
      <c r="C889" t="inlineStr">
        <is>
          <t>U-KR349-01-02</t>
        </is>
      </c>
      <c r="D889" t="inlineStr">
        <is>
          <t>Kebun Raya</t>
        </is>
      </c>
      <c r="E889" t="inlineStr">
        <is>
          <t>daniel ong</t>
        </is>
      </c>
      <c r="F889" t="inlineStr">
        <is>
          <t>Routine</t>
        </is>
      </c>
      <c r="G889" t="inlineStr">
        <is>
          <t>NONE</t>
        </is>
      </c>
      <c r="H889" t="inlineStr">
        <is>
          <t>Compliant</t>
        </is>
      </c>
      <c r="I889" s="6" t="n"/>
      <c r="J889" s="6" t="n"/>
      <c r="K889">
        <f>IF(J889="","",J889-B889)</f>
        <v/>
      </c>
      <c r="L889">
        <f>IF(H889="Compliant","N/A",IF(J889&lt;&gt;"","Closed",IF(I889&lt;DATE(2026,9,30),"OVERDUE","Open")))</f>
        <v/>
      </c>
    </row>
    <row r="890">
      <c r="A890" t="inlineStr">
        <is>
          <t>INSP-2026-0889</t>
        </is>
      </c>
      <c r="B890" s="6" t="n">
        <v>46156</v>
      </c>
      <c r="C890" t="inlineStr">
        <is>
          <t>U-ST544-02-04</t>
        </is>
      </c>
      <c r="D890" t="inlineStr">
        <is>
          <t>Sungai Tinggi</t>
        </is>
      </c>
      <c r="E890" t="inlineStr">
        <is>
          <t>Benjamin Ho</t>
        </is>
      </c>
      <c r="F890" t="inlineStr">
        <is>
          <t>Routine</t>
        </is>
      </c>
      <c r="G890" t="inlineStr">
        <is>
          <t>NONE</t>
        </is>
      </c>
      <c r="H890" t="inlineStr">
        <is>
          <t>Compliant</t>
        </is>
      </c>
      <c r="I890" s="6" t="n"/>
      <c r="J890" s="6" t="n"/>
      <c r="K890">
        <f>IF(J890="","",J890-B890)</f>
        <v/>
      </c>
      <c r="L890">
        <f>IF(H890="Compliant","N/A",IF(J890&lt;&gt;"","Closed",IF(I890&lt;DATE(2026,9,30),"OVERDUE","Open")))</f>
        <v/>
      </c>
    </row>
    <row r="891">
      <c r="A891" t="inlineStr">
        <is>
          <t>INSP-2026-0890</t>
        </is>
      </c>
      <c r="B891" s="6" t="n">
        <v>46156</v>
      </c>
      <c r="C891" t="inlineStr">
        <is>
          <t>U-ST522-01-06</t>
        </is>
      </c>
      <c r="D891" t="inlineStr">
        <is>
          <t>Sungai Tinggi</t>
        </is>
      </c>
      <c r="E891" t="inlineStr">
        <is>
          <t>Daniel O.</t>
        </is>
      </c>
      <c r="F891" t="inlineStr">
        <is>
          <t>Routine</t>
        </is>
      </c>
      <c r="G891" t="inlineStr">
        <is>
          <t>NONE</t>
        </is>
      </c>
      <c r="H891" t="inlineStr">
        <is>
          <t>Compliant</t>
        </is>
      </c>
      <c r="I891" s="6" t="n"/>
      <c r="J891" s="6" t="n"/>
      <c r="K891">
        <f>IF(J891="","",J891-B891)</f>
        <v/>
      </c>
      <c r="L891">
        <f>IF(H891="Compliant","N/A",IF(J891&lt;&gt;"","Closed",IF(I891&lt;DATE(2026,9,30),"OVERDUE","Open")))</f>
        <v/>
      </c>
    </row>
    <row r="892">
      <c r="A892" t="inlineStr">
        <is>
          <t>INSP-2026-0891</t>
        </is>
      </c>
      <c r="B892" s="6" t="n">
        <v>46156</v>
      </c>
      <c r="C892" t="inlineStr">
        <is>
          <t>U-ST522-01-06</t>
        </is>
      </c>
      <c r="D892" t="inlineStr">
        <is>
          <t>Sungai Tinggi</t>
        </is>
      </c>
      <c r="E892" t="inlineStr">
        <is>
          <t>daniel ong</t>
        </is>
      </c>
      <c r="F892" t="inlineStr">
        <is>
          <t>Follow-up</t>
        </is>
      </c>
      <c r="G892" t="inlineStr">
        <is>
          <t>UNAPPROVED_AA</t>
        </is>
      </c>
      <c r="H892" t="inlineStr">
        <is>
          <t>Minor Breach</t>
        </is>
      </c>
      <c r="I892" s="6" t="n">
        <v>46170</v>
      </c>
      <c r="J892" s="6" t="n">
        <v>46180</v>
      </c>
      <c r="K892">
        <f>IF(J892="","",J892-B892)</f>
        <v/>
      </c>
      <c r="L892">
        <f>IF(H892="Compliant","N/A",IF(J892&lt;&gt;"","Closed",IF(I892&lt;DATE(2026,9,30),"OVERDUE","Open")))</f>
        <v/>
      </c>
    </row>
    <row r="893">
      <c r="A893" t="inlineStr">
        <is>
          <t>INSP-2026-0892</t>
        </is>
      </c>
      <c r="B893" s="6" t="n">
        <v>46156</v>
      </c>
      <c r="C893" t="inlineStr">
        <is>
          <t>U-ST512-01-19</t>
        </is>
      </c>
      <c r="D893" t="inlineStr">
        <is>
          <t>Sungai Tinggi</t>
        </is>
      </c>
      <c r="E893" t="inlineStr">
        <is>
          <t>B. Ho</t>
        </is>
      </c>
      <c r="F893" t="inlineStr">
        <is>
          <t>Routine</t>
        </is>
      </c>
      <c r="G893" t="inlineStr">
        <is>
          <t>NONE</t>
        </is>
      </c>
      <c r="H893" t="inlineStr">
        <is>
          <t>Compliant</t>
        </is>
      </c>
      <c r="I893" s="6" t="n"/>
      <c r="J893" s="6" t="n"/>
      <c r="K893">
        <f>IF(J893="","",J893-B893)</f>
        <v/>
      </c>
      <c r="L893">
        <f>IF(H893="Compliant","N/A",IF(J893&lt;&gt;"","Closed",IF(I893&lt;DATE(2026,9,30),"OVERDUE","Open")))</f>
        <v/>
      </c>
    </row>
    <row r="894">
      <c r="A894" t="inlineStr">
        <is>
          <t>INSP-2026-0893</t>
        </is>
      </c>
      <c r="B894" s="6" t="n">
        <v>46156</v>
      </c>
      <c r="C894" t="inlineStr">
        <is>
          <t>U-PI626-01-02</t>
        </is>
      </c>
      <c r="D894" t="inlineStr">
        <is>
          <t>Pasir Indah</t>
        </is>
      </c>
      <c r="E894" t="inlineStr">
        <is>
          <t>M. Lim</t>
        </is>
      </c>
      <c r="F894" t="inlineStr">
        <is>
          <t>Routine</t>
        </is>
      </c>
      <c r="G894" t="inlineStr">
        <is>
          <t>NONE</t>
        </is>
      </c>
      <c r="H894" t="inlineStr">
        <is>
          <t>Compliant</t>
        </is>
      </c>
      <c r="I894" s="6" t="n"/>
      <c r="J894" s="6" t="n"/>
      <c r="K894">
        <f>IF(J894="","",J894-B894)</f>
        <v/>
      </c>
      <c r="L894">
        <f>IF(H894="Compliant","N/A",IF(J894&lt;&gt;"","Closed",IF(I894&lt;DATE(2026,9,30),"OVERDUE","Open")))</f>
        <v/>
      </c>
    </row>
    <row r="895">
      <c r="A895" t="inlineStr">
        <is>
          <t>INSP-2026-0894</t>
        </is>
      </c>
      <c r="B895" s="6" t="n">
        <v>46156</v>
      </c>
      <c r="C895" t="inlineStr">
        <is>
          <t>U-BV266-01-04</t>
        </is>
      </c>
      <c r="D895" t="inlineStr">
        <is>
          <t>Bayshore Vale</t>
        </is>
      </c>
      <c r="E895" t="inlineStr">
        <is>
          <t>Marcus Lim</t>
        </is>
      </c>
      <c r="F895" t="inlineStr">
        <is>
          <t>Routine</t>
        </is>
      </c>
      <c r="G895" t="inlineStr">
        <is>
          <t>DISPLAY_ENCROACH</t>
        </is>
      </c>
      <c r="H895" t="inlineStr">
        <is>
          <t>Minor Breach</t>
        </is>
      </c>
      <c r="I895" s="6" t="n">
        <v>46170</v>
      </c>
      <c r="J895" s="6" t="n">
        <v>46171</v>
      </c>
      <c r="K895">
        <f>IF(J895="","",J895-B895)</f>
        <v/>
      </c>
      <c r="L895">
        <f>IF(H895="Compliant","N/A",IF(J895&lt;&gt;"","Closed",IF(I895&lt;DATE(2026,9,30),"OVERDUE","Open")))</f>
        <v/>
      </c>
    </row>
    <row r="896">
      <c r="A896" t="inlineStr">
        <is>
          <t>INSP-2026-0895</t>
        </is>
      </c>
      <c r="B896" s="6" t="n">
        <v>46157</v>
      </c>
      <c r="C896" t="inlineStr">
        <is>
          <t>U-BV279-01-07</t>
        </is>
      </c>
      <c r="D896" t="inlineStr">
        <is>
          <t>Bayshore Vale</t>
        </is>
      </c>
      <c r="E896" t="inlineStr">
        <is>
          <t>Daniel Ong</t>
        </is>
      </c>
      <c r="F896" t="inlineStr">
        <is>
          <t>Complaint-driven</t>
        </is>
      </c>
      <c r="G896" t="inlineStr">
        <is>
          <t>UNAPPROVED_AA</t>
        </is>
      </c>
      <c r="H896" t="inlineStr">
        <is>
          <t>Minor Breach</t>
        </is>
      </c>
      <c r="I896" s="6" t="n">
        <v>46171</v>
      </c>
      <c r="J896" s="6" t="n">
        <v>46171</v>
      </c>
      <c r="K896">
        <f>IF(J896="","",J896-B896)</f>
        <v/>
      </c>
      <c r="L896">
        <f>IF(H896="Compliant","N/A",IF(J896&lt;&gt;"","Closed",IF(I896&lt;DATE(2026,9,30),"OVERDUE","Open")))</f>
        <v/>
      </c>
    </row>
    <row r="897">
      <c r="A897" t="inlineStr">
        <is>
          <t>INSP-2026-0896</t>
        </is>
      </c>
      <c r="B897" s="6" t="n">
        <v>46157</v>
      </c>
      <c r="C897" t="inlineStr">
        <is>
          <t>U-ST596-01-01</t>
        </is>
      </c>
      <c r="D897" t="inlineStr">
        <is>
          <t>Sungai Tinggi</t>
        </is>
      </c>
      <c r="E897" t="inlineStr">
        <is>
          <t>Daniel O.</t>
        </is>
      </c>
      <c r="F897" t="inlineStr">
        <is>
          <t>Routine</t>
        </is>
      </c>
      <c r="G897" t="inlineStr">
        <is>
          <t>NONE</t>
        </is>
      </c>
      <c r="H897" t="inlineStr">
        <is>
          <t>Compliant</t>
        </is>
      </c>
      <c r="I897" s="6" t="n"/>
      <c r="J897" s="6" t="n"/>
      <c r="K897">
        <f>IF(J897="","",J897-B897)</f>
        <v/>
      </c>
      <c r="L897">
        <f>IF(H897="Compliant","N/A",IF(J897&lt;&gt;"","Closed",IF(I897&lt;DATE(2026,9,30),"OVERDUE","Open")))</f>
        <v/>
      </c>
    </row>
    <row r="898">
      <c r="A898" t="inlineStr">
        <is>
          <t>INSP-2026-0897</t>
        </is>
      </c>
      <c r="B898" s="6" t="n">
        <v>46157</v>
      </c>
      <c r="C898" t="inlineStr">
        <is>
          <t>U-CD142-01-06</t>
        </is>
      </c>
      <c r="D898" t="inlineStr">
        <is>
          <t>Cendana</t>
        </is>
      </c>
      <c r="E898" t="inlineStr">
        <is>
          <t>marcus</t>
        </is>
      </c>
      <c r="F898" t="inlineStr">
        <is>
          <t>Complaint-driven</t>
        </is>
      </c>
      <c r="G898" t="inlineStr">
        <is>
          <t>HYGIENE</t>
        </is>
      </c>
      <c r="H898" t="inlineStr">
        <is>
          <t>Minor Breach</t>
        </is>
      </c>
      <c r="I898" s="6" t="n">
        <v>46171</v>
      </c>
      <c r="J898" s="6" t="n">
        <v>46175</v>
      </c>
      <c r="K898">
        <f>IF(J898="","",J898-B898)</f>
        <v/>
      </c>
      <c r="L898">
        <f>IF(H898="Compliant","N/A",IF(J898&lt;&gt;"","Closed",IF(I898&lt;DATE(2026,9,30),"OVERDUE","Open")))</f>
        <v/>
      </c>
    </row>
    <row r="899">
      <c r="A899" t="inlineStr">
        <is>
          <t>INSP-2026-0898</t>
        </is>
      </c>
      <c r="B899" s="6" t="n">
        <v>46157</v>
      </c>
      <c r="C899" t="inlineStr">
        <is>
          <t>U-PI609-01-04</t>
        </is>
      </c>
      <c r="D899" t="inlineStr">
        <is>
          <t>Pasir Indah</t>
        </is>
      </c>
      <c r="E899" t="inlineStr">
        <is>
          <t>M. Lim</t>
        </is>
      </c>
      <c r="F899" t="inlineStr">
        <is>
          <t>Routine</t>
        </is>
      </c>
      <c r="G899" t="inlineStr">
        <is>
          <t>NONE</t>
        </is>
      </c>
      <c r="H899" t="inlineStr">
        <is>
          <t>Compliant</t>
        </is>
      </c>
      <c r="I899" s="6" t="n"/>
      <c r="J899" s="6" t="n"/>
      <c r="K899">
        <f>IF(J899="","",J899-B899)</f>
        <v/>
      </c>
      <c r="L899">
        <f>IF(H899="Compliant","N/A",IF(J899&lt;&gt;"","Closed",IF(I899&lt;DATE(2026,9,30),"OVERDUE","Open")))</f>
        <v/>
      </c>
    </row>
    <row r="900">
      <c r="A900" t="inlineStr">
        <is>
          <t>INSP-2026-0899</t>
        </is>
      </c>
      <c r="B900" s="6" t="n">
        <v>46157</v>
      </c>
      <c r="C900" t="inlineStr">
        <is>
          <t>U-RH464-01-08</t>
        </is>
      </c>
      <c r="D900" t="inlineStr">
        <is>
          <t>Rimba Heights</t>
        </is>
      </c>
      <c r="E900" t="inlineStr">
        <is>
          <t>Ben Ho</t>
        </is>
      </c>
      <c r="F900" t="inlineStr">
        <is>
          <t>Routine</t>
        </is>
      </c>
      <c r="G900" t="inlineStr">
        <is>
          <t>UNAUTH_SUBLET</t>
        </is>
      </c>
      <c r="H900" t="inlineStr">
        <is>
          <t>Major Breach</t>
        </is>
      </c>
      <c r="I900" s="6" t="n">
        <v>46164</v>
      </c>
      <c r="J900" s="6" t="n">
        <v>46164</v>
      </c>
      <c r="K900">
        <f>IF(J900="","",J900-B900)</f>
        <v/>
      </c>
      <c r="L900">
        <f>IF(H900="Compliant","N/A",IF(J900&lt;&gt;"","Closed",IF(I900&lt;DATE(2026,9,30),"OVERDUE","Open")))</f>
        <v/>
      </c>
    </row>
    <row r="901">
      <c r="A901" t="inlineStr">
        <is>
          <t>INSP-2026-0900</t>
        </is>
      </c>
      <c r="B901" s="6" t="n">
        <v>46157</v>
      </c>
      <c r="C901" t="inlineStr">
        <is>
          <t>U-PI693-01-03</t>
        </is>
      </c>
      <c r="D901" t="inlineStr">
        <is>
          <t>Pasir Indah</t>
        </is>
      </c>
      <c r="E901" t="inlineStr">
        <is>
          <t>Daniel Ong</t>
        </is>
      </c>
      <c r="F901" t="inlineStr">
        <is>
          <t>Routine</t>
        </is>
      </c>
      <c r="G901" t="inlineStr">
        <is>
          <t>NONE</t>
        </is>
      </c>
      <c r="H901" t="inlineStr">
        <is>
          <t>Compliant</t>
        </is>
      </c>
      <c r="I901" s="6" t="n"/>
      <c r="J901" s="6" t="n"/>
      <c r="K901">
        <f>IF(J901="","",J901-B901)</f>
        <v/>
      </c>
      <c r="L901">
        <f>IF(H901="Compliant","N/A",IF(J901&lt;&gt;"","Closed",IF(I901&lt;DATE(2026,9,30),"OVERDUE","Open")))</f>
        <v/>
      </c>
    </row>
    <row r="902">
      <c r="A902" t="inlineStr">
        <is>
          <t>INSP-2026-0901</t>
        </is>
      </c>
      <c r="B902" s="6" t="n">
        <v>46157</v>
      </c>
      <c r="C902" t="inlineStr">
        <is>
          <t>U-RH482-02-03</t>
        </is>
      </c>
      <c r="D902" t="inlineStr">
        <is>
          <t>Rimba Heights</t>
        </is>
      </c>
      <c r="E902" t="inlineStr">
        <is>
          <t>Benjamin Ho</t>
        </is>
      </c>
      <c r="F902" t="inlineStr">
        <is>
          <t>Routine</t>
        </is>
      </c>
      <c r="G902" t="inlineStr">
        <is>
          <t>NONE</t>
        </is>
      </c>
      <c r="H902" t="inlineStr">
        <is>
          <t>Compliant</t>
        </is>
      </c>
      <c r="I902" s="6" t="n"/>
      <c r="J902" s="6" t="n"/>
      <c r="K902">
        <f>IF(J902="","",J902-B902)</f>
        <v/>
      </c>
      <c r="L902">
        <f>IF(H902="Compliant","N/A",IF(J902&lt;&gt;"","Closed",IF(I902&lt;DATE(2026,9,30),"OVERDUE","Open")))</f>
        <v/>
      </c>
    </row>
    <row r="903">
      <c r="A903" t="inlineStr">
        <is>
          <t>INSP-2026-0902</t>
        </is>
      </c>
      <c r="B903" s="6" t="n">
        <v>46157</v>
      </c>
      <c r="C903" t="inlineStr">
        <is>
          <t>U-RH491-01-11</t>
        </is>
      </c>
      <c r="D903" t="inlineStr">
        <is>
          <t>Rimba Heights</t>
        </is>
      </c>
      <c r="E903" t="inlineStr">
        <is>
          <t>Daniel O.</t>
        </is>
      </c>
      <c r="F903" t="inlineStr">
        <is>
          <t>Routine</t>
        </is>
      </c>
      <c r="G903" t="inlineStr">
        <is>
          <t>HYGIENE</t>
        </is>
      </c>
      <c r="H903" t="inlineStr">
        <is>
          <t>Minor Breach</t>
        </is>
      </c>
      <c r="I903" s="6" t="n">
        <v>46171</v>
      </c>
      <c r="J903" s="6" t="n">
        <v>46174</v>
      </c>
      <c r="K903">
        <f>IF(J903="","",J903-B903)</f>
        <v/>
      </c>
      <c r="L903">
        <f>IF(H903="Compliant","N/A",IF(J903&lt;&gt;"","Closed",IF(I903&lt;DATE(2026,9,30),"OVERDUE","Open")))</f>
        <v/>
      </c>
    </row>
    <row r="904">
      <c r="A904" t="inlineStr">
        <is>
          <t>INSP-2026-0903</t>
        </is>
      </c>
      <c r="B904" s="6" t="n">
        <v>46157</v>
      </c>
      <c r="C904" t="inlineStr">
        <is>
          <t>U-ST512-01-30</t>
        </is>
      </c>
      <c r="D904" t="inlineStr">
        <is>
          <t>Sungai Tinggi</t>
        </is>
      </c>
      <c r="E904" t="inlineStr">
        <is>
          <t>daniel ong</t>
        </is>
      </c>
      <c r="F904" t="inlineStr">
        <is>
          <t>Follow-up</t>
        </is>
      </c>
      <c r="G904" t="inlineStr">
        <is>
          <t>NONE</t>
        </is>
      </c>
      <c r="H904" t="inlineStr">
        <is>
          <t>Compliant</t>
        </is>
      </c>
      <c r="I904" s="6" t="n"/>
      <c r="J904" s="6" t="n"/>
      <c r="K904">
        <f>IF(J904="","",J904-B904)</f>
        <v/>
      </c>
      <c r="L904">
        <f>IF(H904="Compliant","N/A",IF(J904&lt;&gt;"","Closed",IF(I904&lt;DATE(2026,9,30),"OVERDUE","Open")))</f>
        <v/>
      </c>
    </row>
    <row r="905">
      <c r="A905" t="inlineStr">
        <is>
          <t>INSP-2026-0904</t>
        </is>
      </c>
      <c r="B905" s="6" t="n">
        <v>46157</v>
      </c>
      <c r="C905" t="inlineStr">
        <is>
          <t>U-CD136-01-03</t>
        </is>
      </c>
      <c r="D905" t="inlineStr">
        <is>
          <t>Cendana</t>
        </is>
      </c>
      <c r="E905" t="inlineStr">
        <is>
          <t>Daniel Ong</t>
        </is>
      </c>
      <c r="F905" t="inlineStr">
        <is>
          <t>Routine</t>
        </is>
      </c>
      <c r="G905" t="inlineStr">
        <is>
          <t>NONE</t>
        </is>
      </c>
      <c r="H905" t="inlineStr">
        <is>
          <t>Compliant</t>
        </is>
      </c>
      <c r="I905" s="6" t="n"/>
      <c r="J905" s="6" t="n"/>
      <c r="K905">
        <f>IF(J905="","",J905-B905)</f>
        <v/>
      </c>
      <c r="L905">
        <f>IF(H905="Compliant","N/A",IF(J905&lt;&gt;"","Closed",IF(I905&lt;DATE(2026,9,30),"OVERDUE","Open")))</f>
        <v/>
      </c>
    </row>
    <row r="906">
      <c r="A906" t="inlineStr">
        <is>
          <t>INSP-2026-0905</t>
        </is>
      </c>
      <c r="B906" s="6" t="n">
        <v>46157</v>
      </c>
      <c r="C906" t="inlineStr">
        <is>
          <t>U-BV215-01-13</t>
        </is>
      </c>
      <c r="D906" t="inlineStr">
        <is>
          <t>Bayshore Vale</t>
        </is>
      </c>
      <c r="E906" t="inlineStr">
        <is>
          <t>daniel ong</t>
        </is>
      </c>
      <c r="F906" t="inlineStr">
        <is>
          <t>Routine</t>
        </is>
      </c>
      <c r="G906" t="inlineStr">
        <is>
          <t>NONE</t>
        </is>
      </c>
      <c r="H906" t="inlineStr">
        <is>
          <t>Compliant</t>
        </is>
      </c>
      <c r="I906" s="6" t="n"/>
      <c r="J906" s="6" t="n"/>
      <c r="K906">
        <f>IF(J906="","",J906-B906)</f>
        <v/>
      </c>
      <c r="L906">
        <f>IF(H906="Compliant","N/A",IF(J906&lt;&gt;"","Closed",IF(I906&lt;DATE(2026,9,30),"OVERDUE","Open")))</f>
        <v/>
      </c>
    </row>
    <row r="907">
      <c r="A907" t="inlineStr">
        <is>
          <t>INSP-2026-0906</t>
        </is>
      </c>
      <c r="B907" s="6" t="n">
        <v>46157</v>
      </c>
      <c r="C907" t="inlineStr">
        <is>
          <t>U-KR318-01-11</t>
        </is>
      </c>
      <c r="D907" t="inlineStr">
        <is>
          <t>Kebun Raya</t>
        </is>
      </c>
      <c r="E907" t="inlineStr">
        <is>
          <t>Benjamin Ho</t>
        </is>
      </c>
      <c r="F907" t="inlineStr">
        <is>
          <t>Routine</t>
        </is>
      </c>
      <c r="G907" t="inlineStr">
        <is>
          <t>NONE</t>
        </is>
      </c>
      <c r="H907" t="inlineStr">
        <is>
          <t>Compliant</t>
        </is>
      </c>
      <c r="I907" s="6" t="n"/>
      <c r="J907" s="6" t="n"/>
      <c r="K907">
        <f>IF(J907="","",J907-B907)</f>
        <v/>
      </c>
      <c r="L907">
        <f>IF(H907="Compliant","N/A",IF(J907&lt;&gt;"","Closed",IF(I907&lt;DATE(2026,9,30),"OVERDUE","Open")))</f>
        <v/>
      </c>
    </row>
    <row r="908">
      <c r="A908" t="inlineStr">
        <is>
          <t>INSP-2026-0907</t>
        </is>
      </c>
      <c r="B908" s="6" t="n">
        <v>46157</v>
      </c>
      <c r="C908" t="inlineStr">
        <is>
          <t>U-KR385-01-05</t>
        </is>
      </c>
      <c r="D908" t="inlineStr">
        <is>
          <t>Kebun Raya</t>
        </is>
      </c>
      <c r="E908" t="inlineStr">
        <is>
          <t>B. Ho</t>
        </is>
      </c>
      <c r="F908" t="inlineStr">
        <is>
          <t>Routine</t>
        </is>
      </c>
      <c r="G908" t="inlineStr">
        <is>
          <t>HYGIENE</t>
        </is>
      </c>
      <c r="H908" t="inlineStr">
        <is>
          <t>Minor Breach</t>
        </is>
      </c>
      <c r="I908" s="6" t="n">
        <v>46171</v>
      </c>
      <c r="J908" s="6" t="n">
        <v>46171</v>
      </c>
      <c r="K908">
        <f>IF(J908="","",J908-B908)</f>
        <v/>
      </c>
      <c r="L908">
        <f>IF(H908="Compliant","N/A",IF(J908&lt;&gt;"","Closed",IF(I908&lt;DATE(2026,9,30),"OVERDUE","Open")))</f>
        <v/>
      </c>
    </row>
    <row r="909">
      <c r="A909" t="inlineStr">
        <is>
          <t>INSP-2026-0908</t>
        </is>
      </c>
      <c r="B909" s="6" t="n">
        <v>46157</v>
      </c>
      <c r="C909" t="inlineStr">
        <is>
          <t>U-RH455-01-21</t>
        </is>
      </c>
      <c r="D909" t="inlineStr">
        <is>
          <t>Rimba Heights</t>
        </is>
      </c>
      <c r="E909" t="inlineStr">
        <is>
          <t>Daniel O.</t>
        </is>
      </c>
      <c r="F909" t="inlineStr">
        <is>
          <t>Routine</t>
        </is>
      </c>
      <c r="G909" t="inlineStr">
        <is>
          <t>NONE</t>
        </is>
      </c>
      <c r="H909" t="inlineStr">
        <is>
          <t>Compliant</t>
        </is>
      </c>
      <c r="I909" s="6" t="n"/>
      <c r="J909" s="6" t="n"/>
      <c r="K909">
        <f>IF(J909="","",J909-B909)</f>
        <v/>
      </c>
      <c r="L909">
        <f>IF(H909="Compliant","N/A",IF(J909&lt;&gt;"","Closed",IF(I909&lt;DATE(2026,9,30),"OVERDUE","Open")))</f>
        <v/>
      </c>
    </row>
    <row r="910">
      <c r="A910" t="inlineStr">
        <is>
          <t>INSP-2026-0909</t>
        </is>
      </c>
      <c r="B910" s="6" t="n">
        <v>46157</v>
      </c>
      <c r="C910" t="inlineStr">
        <is>
          <t>U-KR305-01-25</t>
        </is>
      </c>
      <c r="D910" t="inlineStr">
        <is>
          <t>Kebun Raya</t>
        </is>
      </c>
      <c r="E910" t="inlineStr">
        <is>
          <t>Daniel Ong</t>
        </is>
      </c>
      <c r="F910" t="inlineStr">
        <is>
          <t>Routine</t>
        </is>
      </c>
      <c r="G910" t="inlineStr">
        <is>
          <t>NONE</t>
        </is>
      </c>
      <c r="H910" t="inlineStr">
        <is>
          <t>Compliant</t>
        </is>
      </c>
      <c r="I910" s="6" t="n"/>
      <c r="J910" s="6" t="n"/>
      <c r="K910">
        <f>IF(J910="","",J910-B910)</f>
        <v/>
      </c>
      <c r="L910">
        <f>IF(H910="Compliant","N/A",IF(J910&lt;&gt;"","Closed",IF(I910&lt;DATE(2026,9,30),"OVERDUE","Open")))</f>
        <v/>
      </c>
    </row>
    <row r="911">
      <c r="A911" t="inlineStr">
        <is>
          <t>INSP-2026-0910</t>
        </is>
      </c>
      <c r="B911" s="6" t="n">
        <v>46158</v>
      </c>
      <c r="C911" t="inlineStr">
        <is>
          <t>U-PI634-01-13</t>
        </is>
      </c>
      <c r="D911" t="inlineStr">
        <is>
          <t>Pasir Indah</t>
        </is>
      </c>
      <c r="E911" t="inlineStr">
        <is>
          <t>D. Ong</t>
        </is>
      </c>
      <c r="F911" t="inlineStr">
        <is>
          <t>Routine</t>
        </is>
      </c>
      <c r="G911" t="inlineStr">
        <is>
          <t>NONE</t>
        </is>
      </c>
      <c r="H911" t="inlineStr">
        <is>
          <t>Compliant</t>
        </is>
      </c>
      <c r="I911" s="6" t="n"/>
      <c r="J911" s="6" t="n"/>
      <c r="K911">
        <f>IF(J911="","",J911-B911)</f>
        <v/>
      </c>
      <c r="L911">
        <f>IF(H911="Compliant","N/A",IF(J911&lt;&gt;"","Closed",IF(I911&lt;DATE(2026,9,30),"OVERDUE","Open")))</f>
        <v/>
      </c>
    </row>
    <row r="912">
      <c r="A912" t="inlineStr">
        <is>
          <t>INSP-2026-0911</t>
        </is>
      </c>
      <c r="B912" s="6" t="n">
        <v>46158</v>
      </c>
      <c r="C912" t="inlineStr">
        <is>
          <t>U-KR356-01-06</t>
        </is>
      </c>
      <c r="D912" t="inlineStr">
        <is>
          <t>Kebun Raya</t>
        </is>
      </c>
      <c r="E912" t="inlineStr">
        <is>
          <t>daniel ong</t>
        </is>
      </c>
      <c r="F912" t="inlineStr">
        <is>
          <t>Routine</t>
        </is>
      </c>
      <c r="G912" t="inlineStr">
        <is>
          <t>NONE</t>
        </is>
      </c>
      <c r="H912" t="inlineStr">
        <is>
          <t>Compliant</t>
        </is>
      </c>
      <c r="I912" s="6" t="n"/>
      <c r="J912" s="6" t="n"/>
      <c r="K912">
        <f>IF(J912="","",J912-B912)</f>
        <v/>
      </c>
      <c r="L912">
        <f>IF(H912="Compliant","N/A",IF(J912&lt;&gt;"","Closed",IF(I912&lt;DATE(2026,9,30),"OVERDUE","Open")))</f>
        <v/>
      </c>
    </row>
    <row r="913">
      <c r="A913" t="inlineStr">
        <is>
          <t>INSP-2026-0912</t>
        </is>
      </c>
      <c r="B913" s="6" t="n">
        <v>46158</v>
      </c>
      <c r="C913" t="inlineStr">
        <is>
          <t>U-KR349-01-03</t>
        </is>
      </c>
      <c r="D913" t="inlineStr">
        <is>
          <t>Kebun Raya</t>
        </is>
      </c>
      <c r="E913" t="inlineStr">
        <is>
          <t>B. Ho</t>
        </is>
      </c>
      <c r="F913" t="inlineStr">
        <is>
          <t>Routine</t>
        </is>
      </c>
      <c r="G913" t="inlineStr">
        <is>
          <t>NONE</t>
        </is>
      </c>
      <c r="H913" t="inlineStr">
        <is>
          <t>Compliant</t>
        </is>
      </c>
      <c r="I913" s="6" t="n"/>
      <c r="J913" s="6" t="n"/>
      <c r="K913">
        <f>IF(J913="","",J913-B913)</f>
        <v/>
      </c>
      <c r="L913">
        <f>IF(H913="Compliant","N/A",IF(J913&lt;&gt;"","Closed",IF(I913&lt;DATE(2026,9,30),"OVERDUE","Open")))</f>
        <v/>
      </c>
    </row>
    <row r="914">
      <c r="A914" t="inlineStr">
        <is>
          <t>INSP-2026-0913</t>
        </is>
      </c>
      <c r="B914" s="6" t="n">
        <v>46158</v>
      </c>
      <c r="C914" t="inlineStr">
        <is>
          <t>U-RH485-01-09</t>
        </is>
      </c>
      <c r="D914" t="inlineStr">
        <is>
          <t>Rimba Heights</t>
        </is>
      </c>
      <c r="E914" t="inlineStr">
        <is>
          <t>Daniel O.</t>
        </is>
      </c>
      <c r="F914" t="inlineStr">
        <is>
          <t>Routine</t>
        </is>
      </c>
      <c r="G914" t="inlineStr">
        <is>
          <t>DISPLAY_ENCROACH</t>
        </is>
      </c>
      <c r="H914" t="inlineStr">
        <is>
          <t>Minor Breach</t>
        </is>
      </c>
      <c r="I914" s="6" t="n">
        <v>46172</v>
      </c>
      <c r="J914" s="6" t="n">
        <v>46174</v>
      </c>
      <c r="K914">
        <f>IF(J914="","",J914-B914)</f>
        <v/>
      </c>
      <c r="L914">
        <f>IF(H914="Compliant","N/A",IF(J914&lt;&gt;"","Closed",IF(I914&lt;DATE(2026,9,30),"OVERDUE","Open")))</f>
        <v/>
      </c>
    </row>
    <row r="915">
      <c r="A915" t="inlineStr">
        <is>
          <t>INSP-2026-0914</t>
        </is>
      </c>
      <c r="B915" s="6" t="n">
        <v>46158</v>
      </c>
      <c r="C915" t="inlineStr">
        <is>
          <t>U-PI657-01-10</t>
        </is>
      </c>
      <c r="D915" t="inlineStr">
        <is>
          <t>Pasir Indah</t>
        </is>
      </c>
      <c r="E915" t="inlineStr">
        <is>
          <t>D. Ong</t>
        </is>
      </c>
      <c r="F915" t="inlineStr">
        <is>
          <t>Routine</t>
        </is>
      </c>
      <c r="G915" t="inlineStr">
        <is>
          <t>NONE</t>
        </is>
      </c>
      <c r="H915" t="inlineStr">
        <is>
          <t>Compliant</t>
        </is>
      </c>
      <c r="I915" s="6" t="n"/>
      <c r="J915" s="6" t="n"/>
      <c r="K915">
        <f>IF(J915="","",J915-B915)</f>
        <v/>
      </c>
      <c r="L915">
        <f>IF(H915="Compliant","N/A",IF(J915&lt;&gt;"","Closed",IF(I915&lt;DATE(2026,9,30),"OVERDUE","Open")))</f>
        <v/>
      </c>
    </row>
    <row r="916">
      <c r="A916" t="inlineStr">
        <is>
          <t>INSP-2026-0915</t>
        </is>
      </c>
      <c r="B916" s="6" t="n">
        <v>46159</v>
      </c>
      <c r="C916" t="inlineStr">
        <is>
          <t>U-BV233-01-02</t>
        </is>
      </c>
      <c r="D916" t="inlineStr">
        <is>
          <t>Bayshore Vale</t>
        </is>
      </c>
      <c r="E916" t="inlineStr">
        <is>
          <t>M. Lim</t>
        </is>
      </c>
      <c r="F916" t="inlineStr">
        <is>
          <t>Routine</t>
        </is>
      </c>
      <c r="G916" t="inlineStr">
        <is>
          <t>HYGIENE</t>
        </is>
      </c>
      <c r="H916" t="inlineStr">
        <is>
          <t>Minor Breach</t>
        </is>
      </c>
      <c r="I916" s="6" t="n">
        <v>46173</v>
      </c>
      <c r="J916" s="6" t="n">
        <v>46176</v>
      </c>
      <c r="K916">
        <f>IF(J916="","",J916-B916)</f>
        <v/>
      </c>
      <c r="L916">
        <f>IF(H916="Compliant","N/A",IF(J916&lt;&gt;"","Closed",IF(I916&lt;DATE(2026,9,30),"OVERDUE","Open")))</f>
        <v/>
      </c>
    </row>
    <row r="917">
      <c r="A917" t="inlineStr">
        <is>
          <t>INSP-2026-0916</t>
        </is>
      </c>
      <c r="B917" s="6" t="n">
        <v>46159</v>
      </c>
      <c r="C917" t="inlineStr">
        <is>
          <t>U-PI678-01-10</t>
        </is>
      </c>
      <c r="D917" t="inlineStr">
        <is>
          <t>Pasir Indah</t>
        </is>
      </c>
      <c r="E917" t="inlineStr">
        <is>
          <t>Marcus Lim</t>
        </is>
      </c>
      <c r="F917" t="inlineStr">
        <is>
          <t>Routine</t>
        </is>
      </c>
      <c r="G917" t="inlineStr">
        <is>
          <t>UNAUTH_TRADE</t>
        </is>
      </c>
      <c r="H917" t="inlineStr">
        <is>
          <t>Major Breach</t>
        </is>
      </c>
      <c r="I917" s="6" t="n">
        <v>46166</v>
      </c>
      <c r="J917" s="6" t="n">
        <v>46162</v>
      </c>
      <c r="K917">
        <f>IF(J917="","",J917-B917)</f>
        <v/>
      </c>
      <c r="L917">
        <f>IF(H917="Compliant","N/A",IF(J917&lt;&gt;"","Closed",IF(I917&lt;DATE(2026,9,30),"OVERDUE","Open")))</f>
        <v/>
      </c>
    </row>
    <row r="918">
      <c r="A918" t="inlineStr">
        <is>
          <t>INSP-2026-0917</t>
        </is>
      </c>
      <c r="B918" s="6" t="n">
        <v>46159</v>
      </c>
      <c r="C918" t="inlineStr">
        <is>
          <t>U-CD118-01-33</t>
        </is>
      </c>
      <c r="D918" t="inlineStr">
        <is>
          <t>Cendana</t>
        </is>
      </c>
      <c r="E918" t="inlineStr">
        <is>
          <t>daniel ong</t>
        </is>
      </c>
      <c r="F918" t="inlineStr">
        <is>
          <t>Routine</t>
        </is>
      </c>
      <c r="G918" t="inlineStr">
        <is>
          <t>NONE</t>
        </is>
      </c>
      <c r="H918" t="inlineStr">
        <is>
          <t>Compliant</t>
        </is>
      </c>
      <c r="I918" s="6" t="n"/>
      <c r="J918" s="6" t="n"/>
      <c r="K918">
        <f>IF(J918="","",J918-B918)</f>
        <v/>
      </c>
      <c r="L918">
        <f>IF(H918="Compliant","N/A",IF(J918&lt;&gt;"","Closed",IF(I918&lt;DATE(2026,9,30),"OVERDUE","Open")))</f>
        <v/>
      </c>
    </row>
    <row r="919">
      <c r="A919" t="inlineStr">
        <is>
          <t>INSP-2026-0918</t>
        </is>
      </c>
      <c r="B919" s="6" t="n">
        <v>46159</v>
      </c>
      <c r="C919" t="inlineStr">
        <is>
          <t>U-PI634-02-03</t>
        </is>
      </c>
      <c r="D919" t="inlineStr">
        <is>
          <t>Pasir Indah</t>
        </is>
      </c>
      <c r="E919" t="inlineStr">
        <is>
          <t>daniel ong</t>
        </is>
      </c>
      <c r="F919" t="inlineStr">
        <is>
          <t>Routine</t>
        </is>
      </c>
      <c r="G919" t="inlineStr">
        <is>
          <t>NONE</t>
        </is>
      </c>
      <c r="H919" t="inlineStr">
        <is>
          <t>Compliant</t>
        </is>
      </c>
      <c r="I919" s="6" t="n"/>
      <c r="J919" s="6" t="n"/>
      <c r="K919">
        <f>IF(J919="","",J919-B919)</f>
        <v/>
      </c>
      <c r="L919">
        <f>IF(H919="Compliant","N/A",IF(J919&lt;&gt;"","Closed",IF(I919&lt;DATE(2026,9,30),"OVERDUE","Open")))</f>
        <v/>
      </c>
    </row>
    <row r="920">
      <c r="A920" t="inlineStr">
        <is>
          <t>INSP-2026-0919</t>
        </is>
      </c>
      <c r="B920" s="6" t="n">
        <v>46159</v>
      </c>
      <c r="C920" t="inlineStr">
        <is>
          <t>U-RH434-01-06</t>
        </is>
      </c>
      <c r="D920" t="inlineStr">
        <is>
          <t>Rimba Heights</t>
        </is>
      </c>
      <c r="E920" t="inlineStr">
        <is>
          <t>Daniel O.</t>
        </is>
      </c>
      <c r="F920" t="inlineStr">
        <is>
          <t>Routine</t>
        </is>
      </c>
      <c r="G920" t="inlineStr">
        <is>
          <t>NONE</t>
        </is>
      </c>
      <c r="H920" t="inlineStr">
        <is>
          <t>Compliant</t>
        </is>
      </c>
      <c r="I920" s="6" t="n"/>
      <c r="J920" s="6" t="n"/>
      <c r="K920">
        <f>IF(J920="","",J920-B920)</f>
        <v/>
      </c>
      <c r="L920">
        <f>IF(H920="Compliant","N/A",IF(J920&lt;&gt;"","Closed",IF(I920&lt;DATE(2026,9,30),"OVERDUE","Open")))</f>
        <v/>
      </c>
    </row>
    <row r="921">
      <c r="A921" t="inlineStr">
        <is>
          <t>INSP-2026-0920</t>
        </is>
      </c>
      <c r="B921" s="6" t="n">
        <v>46159</v>
      </c>
      <c r="C921" t="inlineStr">
        <is>
          <t>U-PI684-01-02</t>
        </is>
      </c>
      <c r="D921" t="inlineStr">
        <is>
          <t>Pasir Indah</t>
        </is>
      </c>
      <c r="E921" t="inlineStr">
        <is>
          <t>Marcus Lim</t>
        </is>
      </c>
      <c r="F921" t="inlineStr">
        <is>
          <t>Routine</t>
        </is>
      </c>
      <c r="G921" t="inlineStr">
        <is>
          <t>NONE</t>
        </is>
      </c>
      <c r="H921" t="inlineStr">
        <is>
          <t>Compliant</t>
        </is>
      </c>
      <c r="I921" s="6" t="n"/>
      <c r="J921" s="6" t="n"/>
      <c r="K921">
        <f>IF(J921="","",J921-B921)</f>
        <v/>
      </c>
      <c r="L921">
        <f>IF(H921="Compliant","N/A",IF(J921&lt;&gt;"","Closed",IF(I921&lt;DATE(2026,9,30),"OVERDUE","Open")))</f>
        <v/>
      </c>
    </row>
    <row r="922">
      <c r="A922" t="inlineStr">
        <is>
          <t>INSP-2026-0921</t>
        </is>
      </c>
      <c r="B922" s="6" t="n">
        <v>46159</v>
      </c>
      <c r="C922" t="inlineStr">
        <is>
          <t>U-ST566-02-06</t>
        </is>
      </c>
      <c r="D922" t="inlineStr">
        <is>
          <t>Sungai Tinggi</t>
        </is>
      </c>
      <c r="E922" t="inlineStr">
        <is>
          <t>Benjamin Ho</t>
        </is>
      </c>
      <c r="F922" t="inlineStr">
        <is>
          <t>Routine</t>
        </is>
      </c>
      <c r="G922" t="inlineStr">
        <is>
          <t>NONE</t>
        </is>
      </c>
      <c r="H922" t="inlineStr">
        <is>
          <t>Compliant</t>
        </is>
      </c>
      <c r="I922" s="6" t="n"/>
      <c r="J922" s="6" t="n"/>
      <c r="K922">
        <f>IF(J922="","",J922-B922)</f>
        <v/>
      </c>
      <c r="L922">
        <f>IF(H922="Compliant","N/A",IF(J922&lt;&gt;"","Closed",IF(I922&lt;DATE(2026,9,30),"OVERDUE","Open")))</f>
        <v/>
      </c>
    </row>
    <row r="923">
      <c r="A923" t="inlineStr">
        <is>
          <t>INSP-2026-0922</t>
        </is>
      </c>
      <c r="B923" s="6" t="n">
        <v>46159</v>
      </c>
      <c r="C923" t="inlineStr">
        <is>
          <t>U-PI626-02-06</t>
        </is>
      </c>
      <c r="D923" t="inlineStr">
        <is>
          <t>Pasir Indah</t>
        </is>
      </c>
      <c r="E923" t="inlineStr">
        <is>
          <t>daniel ong</t>
        </is>
      </c>
      <c r="F923" t="inlineStr">
        <is>
          <t>Complaint-driven</t>
        </is>
      </c>
      <c r="G923" t="inlineStr">
        <is>
          <t>NONE</t>
        </is>
      </c>
      <c r="H923" t="inlineStr">
        <is>
          <t>Compliant</t>
        </is>
      </c>
      <c r="I923" s="6" t="n"/>
      <c r="J923" s="6" t="n"/>
      <c r="K923">
        <f>IF(J923="","",J923-B923)</f>
        <v/>
      </c>
      <c r="L923">
        <f>IF(H923="Compliant","N/A",IF(J923&lt;&gt;"","Closed",IF(I923&lt;DATE(2026,9,30),"OVERDUE","Open")))</f>
        <v/>
      </c>
    </row>
    <row r="924">
      <c r="A924" t="inlineStr">
        <is>
          <t>INSP-2026-0923</t>
        </is>
      </c>
      <c r="B924" s="6" t="n">
        <v>46160</v>
      </c>
      <c r="C924" t="inlineStr">
        <is>
          <t>U-KR330-01-03</t>
        </is>
      </c>
      <c r="D924" t="inlineStr">
        <is>
          <t>Kebun Raya</t>
        </is>
      </c>
      <c r="E924" t="inlineStr">
        <is>
          <t>Daniel Ong</t>
        </is>
      </c>
      <c r="F924" t="inlineStr">
        <is>
          <t>Routine</t>
        </is>
      </c>
      <c r="G924" t="inlineStr">
        <is>
          <t>DISPLAY_ENCROACH</t>
        </is>
      </c>
      <c r="H924" t="inlineStr">
        <is>
          <t>Minor Breach</t>
        </is>
      </c>
      <c r="I924" s="6" t="n">
        <v>46174</v>
      </c>
      <c r="J924" s="6" t="n">
        <v>46177</v>
      </c>
      <c r="K924">
        <f>IF(J924="","",J924-B924)</f>
        <v/>
      </c>
      <c r="L924">
        <f>IF(H924="Compliant","N/A",IF(J924&lt;&gt;"","Closed",IF(I924&lt;DATE(2026,9,30),"OVERDUE","Open")))</f>
        <v/>
      </c>
    </row>
    <row r="925">
      <c r="A925" t="inlineStr">
        <is>
          <t>INSP-2026-0924</t>
        </is>
      </c>
      <c r="B925" s="6" t="n">
        <v>46160</v>
      </c>
      <c r="C925" t="inlineStr">
        <is>
          <t>U-CD143-01-05</t>
        </is>
      </c>
      <c r="D925" t="inlineStr">
        <is>
          <t>Cendana</t>
        </is>
      </c>
      <c r="E925" t="inlineStr">
        <is>
          <t>daniel ong</t>
        </is>
      </c>
      <c r="F925" t="inlineStr">
        <is>
          <t>Routine</t>
        </is>
      </c>
      <c r="G925" t="inlineStr">
        <is>
          <t>NONE</t>
        </is>
      </c>
      <c r="H925" t="inlineStr">
        <is>
          <t>Compliant</t>
        </is>
      </c>
      <c r="I925" s="6" t="n"/>
      <c r="J925" s="6" t="n"/>
      <c r="K925">
        <f>IF(J925="","",J925-B925)</f>
        <v/>
      </c>
      <c r="L925">
        <f>IF(H925="Compliant","N/A",IF(J925&lt;&gt;"","Closed",IF(I925&lt;DATE(2026,9,30),"OVERDUE","Open")))</f>
        <v/>
      </c>
    </row>
    <row r="926">
      <c r="A926" t="inlineStr">
        <is>
          <t>INSP-2026-0925</t>
        </is>
      </c>
      <c r="B926" s="6" t="n">
        <v>46160</v>
      </c>
      <c r="C926" t="inlineStr">
        <is>
          <t>U-RH434-01-01</t>
        </is>
      </c>
      <c r="D926" t="inlineStr">
        <is>
          <t>Rimba Heights</t>
        </is>
      </c>
      <c r="E926" t="inlineStr">
        <is>
          <t>Daniel O.</t>
        </is>
      </c>
      <c r="F926" t="inlineStr">
        <is>
          <t>Routine</t>
        </is>
      </c>
      <c r="G926" t="inlineStr">
        <is>
          <t>NONE</t>
        </is>
      </c>
      <c r="H926" t="inlineStr">
        <is>
          <t>Compliant</t>
        </is>
      </c>
      <c r="I926" s="6" t="n"/>
      <c r="J926" s="6" t="n"/>
      <c r="K926">
        <f>IF(J926="","",J926-B926)</f>
        <v/>
      </c>
      <c r="L926">
        <f>IF(H926="Compliant","N/A",IF(J926&lt;&gt;"","Closed",IF(I926&lt;DATE(2026,9,30),"OVERDUE","Open")))</f>
        <v/>
      </c>
    </row>
    <row r="927">
      <c r="A927" t="inlineStr">
        <is>
          <t>INSP-2026-0926</t>
        </is>
      </c>
      <c r="B927" s="6" t="n">
        <v>46160</v>
      </c>
      <c r="C927" t="inlineStr">
        <is>
          <t>U-PI651-01-07</t>
        </is>
      </c>
      <c r="D927" t="inlineStr">
        <is>
          <t>Pasir Indah</t>
        </is>
      </c>
      <c r="E927" t="inlineStr">
        <is>
          <t>M. Lim</t>
        </is>
      </c>
      <c r="F927" t="inlineStr">
        <is>
          <t>Routine</t>
        </is>
      </c>
      <c r="G927" t="inlineStr">
        <is>
          <t>STRUCTURAL_DEFECT</t>
        </is>
      </c>
      <c r="H927" t="inlineStr">
        <is>
          <t>Major Breach</t>
        </is>
      </c>
      <c r="I927" s="6" t="n">
        <v>46167</v>
      </c>
      <c r="J927" s="6" t="n">
        <v>46163</v>
      </c>
      <c r="K927">
        <f>IF(J927="","",J927-B927)</f>
        <v/>
      </c>
      <c r="L927">
        <f>IF(H927="Compliant","N/A",IF(J927&lt;&gt;"","Closed",IF(I927&lt;DATE(2026,9,30),"OVERDUE","Open")))</f>
        <v/>
      </c>
    </row>
    <row r="928">
      <c r="A928" t="inlineStr">
        <is>
          <t>INSP-2026-0927</t>
        </is>
      </c>
      <c r="B928" s="6" t="n">
        <v>46160</v>
      </c>
      <c r="C928" t="inlineStr">
        <is>
          <t>U-PI648-01-02</t>
        </is>
      </c>
      <c r="D928" t="inlineStr">
        <is>
          <t>Pasir Indah</t>
        </is>
      </c>
      <c r="E928" t="inlineStr">
        <is>
          <t>D. Ong</t>
        </is>
      </c>
      <c r="F928" t="inlineStr">
        <is>
          <t>Follow-up</t>
        </is>
      </c>
      <c r="G928" t="inlineStr">
        <is>
          <t>NONE</t>
        </is>
      </c>
      <c r="H928" t="inlineStr">
        <is>
          <t>Compliant</t>
        </is>
      </c>
      <c r="I928" s="6" t="n"/>
      <c r="J928" s="6" t="n"/>
      <c r="K928">
        <f>IF(J928="","",J928-B928)</f>
        <v/>
      </c>
      <c r="L928">
        <f>IF(H928="Compliant","N/A",IF(J928&lt;&gt;"","Closed",IF(I928&lt;DATE(2026,9,30),"OVERDUE","Open")))</f>
        <v/>
      </c>
    </row>
    <row r="929">
      <c r="A929" t="inlineStr">
        <is>
          <t>INSP-2026-0928</t>
        </is>
      </c>
      <c r="B929" s="6" t="n">
        <v>46160</v>
      </c>
      <c r="C929" t="inlineStr">
        <is>
          <t>U-RH455-01-01</t>
        </is>
      </c>
      <c r="D929" t="inlineStr">
        <is>
          <t>Rimba Heights</t>
        </is>
      </c>
      <c r="E929" t="inlineStr">
        <is>
          <t>D. Ong</t>
        </is>
      </c>
      <c r="F929" t="inlineStr">
        <is>
          <t>Routine</t>
        </is>
      </c>
      <c r="G929" t="inlineStr">
        <is>
          <t>UNAUTH_TRADE</t>
        </is>
      </c>
      <c r="H929" t="inlineStr">
        <is>
          <t>Major Breach</t>
        </is>
      </c>
      <c r="I929" s="6" t="n">
        <v>46167</v>
      </c>
      <c r="J929" s="6" t="n"/>
      <c r="K929">
        <f>IF(J929="","",J929-B929)</f>
        <v/>
      </c>
      <c r="L929">
        <f>IF(H929="Compliant","N/A",IF(J929&lt;&gt;"","Closed",IF(I929&lt;DATE(2026,9,30),"OVERDUE","Open")))</f>
        <v/>
      </c>
    </row>
    <row r="930">
      <c r="A930" t="inlineStr">
        <is>
          <t>INSP-2026-0929</t>
        </is>
      </c>
      <c r="B930" s="6" t="n">
        <v>46160</v>
      </c>
      <c r="C930" t="inlineStr">
        <is>
          <t>U-RH438-01-02</t>
        </is>
      </c>
      <c r="D930" t="inlineStr">
        <is>
          <t>Rimba Heights</t>
        </is>
      </c>
      <c r="E930" t="inlineStr">
        <is>
          <t>D. Ong</t>
        </is>
      </c>
      <c r="F930" t="inlineStr">
        <is>
          <t>Complaint-driven</t>
        </is>
      </c>
      <c r="G930" t="inlineStr">
        <is>
          <t>NONE</t>
        </is>
      </c>
      <c r="H930" t="inlineStr">
        <is>
          <t>Compliant</t>
        </is>
      </c>
      <c r="I930" s="6" t="n"/>
      <c r="J930" s="6" t="n"/>
      <c r="K930">
        <f>IF(J930="","",J930-B930)</f>
        <v/>
      </c>
      <c r="L930">
        <f>IF(H930="Compliant","N/A",IF(J930&lt;&gt;"","Closed",IF(I930&lt;DATE(2026,9,30),"OVERDUE","Open")))</f>
        <v/>
      </c>
    </row>
    <row r="931">
      <c r="A931" t="inlineStr">
        <is>
          <t>INSP-2026-0930</t>
        </is>
      </c>
      <c r="B931" s="6" t="n">
        <v>46161</v>
      </c>
      <c r="C931" t="inlineStr">
        <is>
          <t>U-RH463-01-10</t>
        </is>
      </c>
      <c r="D931" t="inlineStr">
        <is>
          <t>Rimba Heights</t>
        </is>
      </c>
      <c r="E931" t="inlineStr">
        <is>
          <t>B. Ho</t>
        </is>
      </c>
      <c r="F931" t="inlineStr">
        <is>
          <t>Routine</t>
        </is>
      </c>
      <c r="G931" t="inlineStr">
        <is>
          <t>NONE</t>
        </is>
      </c>
      <c r="H931" t="inlineStr">
        <is>
          <t>Compliant</t>
        </is>
      </c>
      <c r="I931" s="6" t="n"/>
      <c r="J931" s="6" t="n"/>
      <c r="K931">
        <f>IF(J931="","",J931-B931)</f>
        <v/>
      </c>
      <c r="L931">
        <f>IF(H931="Compliant","N/A",IF(J931&lt;&gt;"","Closed",IF(I931&lt;DATE(2026,9,30),"OVERDUE","Open")))</f>
        <v/>
      </c>
    </row>
    <row r="932">
      <c r="A932" t="inlineStr">
        <is>
          <t>INSP-2026-0931</t>
        </is>
      </c>
      <c r="B932" s="6" t="n">
        <v>46161</v>
      </c>
      <c r="C932" t="inlineStr">
        <is>
          <t>U-CD160-01-06</t>
        </is>
      </c>
      <c r="D932" t="inlineStr">
        <is>
          <t>Cendana</t>
        </is>
      </c>
      <c r="E932" t="inlineStr">
        <is>
          <t>daniel ong</t>
        </is>
      </c>
      <c r="F932" t="inlineStr">
        <is>
          <t>Routine</t>
        </is>
      </c>
      <c r="G932" t="inlineStr">
        <is>
          <t>NONE</t>
        </is>
      </c>
      <c r="H932" t="inlineStr">
        <is>
          <t>Compliant</t>
        </is>
      </c>
      <c r="I932" s="6" t="n"/>
      <c r="J932" s="6" t="n"/>
      <c r="K932">
        <f>IF(J932="","",J932-B932)</f>
        <v/>
      </c>
      <c r="L932">
        <f>IF(H932="Compliant","N/A",IF(J932&lt;&gt;"","Closed",IF(I932&lt;DATE(2026,9,30),"OVERDUE","Open")))</f>
        <v/>
      </c>
    </row>
    <row r="933">
      <c r="A933" t="inlineStr">
        <is>
          <t>INSP-2026-0932</t>
        </is>
      </c>
      <c r="B933" s="6" t="n">
        <v>46161</v>
      </c>
      <c r="C933" t="inlineStr">
        <is>
          <t>U-PI615-01-07</t>
        </is>
      </c>
      <c r="D933" t="inlineStr">
        <is>
          <t>Pasir Indah</t>
        </is>
      </c>
      <c r="E933" t="inlineStr">
        <is>
          <t>M. Lim</t>
        </is>
      </c>
      <c r="F933" t="inlineStr">
        <is>
          <t>Follow-up</t>
        </is>
      </c>
      <c r="G933" t="inlineStr">
        <is>
          <t>DISPLAY_ENCROACH</t>
        </is>
      </c>
      <c r="H933" t="inlineStr">
        <is>
          <t>Minor Breach</t>
        </is>
      </c>
      <c r="I933" s="6" t="n">
        <v>46175</v>
      </c>
      <c r="J933" s="6" t="n">
        <v>46174</v>
      </c>
      <c r="K933">
        <f>IF(J933="","",J933-B933)</f>
        <v/>
      </c>
      <c r="L933">
        <f>IF(H933="Compliant","N/A",IF(J933&lt;&gt;"","Closed",IF(I933&lt;DATE(2026,9,30),"OVERDUE","Open")))</f>
        <v/>
      </c>
    </row>
    <row r="934">
      <c r="A934" t="inlineStr">
        <is>
          <t>INSP-2026-0933</t>
        </is>
      </c>
      <c r="B934" s="6" t="n">
        <v>46162</v>
      </c>
      <c r="C934" t="inlineStr">
        <is>
          <t>U-KR379-01-07</t>
        </is>
      </c>
      <c r="D934" t="inlineStr">
        <is>
          <t>Kebun Raya</t>
        </is>
      </c>
      <c r="E934" t="inlineStr">
        <is>
          <t>D. Ong</t>
        </is>
      </c>
      <c r="F934" t="inlineStr">
        <is>
          <t>Routine</t>
        </is>
      </c>
      <c r="G934" t="inlineStr">
        <is>
          <t>NONE</t>
        </is>
      </c>
      <c r="H934" t="inlineStr">
        <is>
          <t>Compliant</t>
        </is>
      </c>
      <c r="I934" s="6" t="n"/>
      <c r="J934" s="6" t="n"/>
      <c r="K934">
        <f>IF(J934="","",J934-B934)</f>
        <v/>
      </c>
      <c r="L934">
        <f>IF(H934="Compliant","N/A",IF(J934&lt;&gt;"","Closed",IF(I934&lt;DATE(2026,9,30),"OVERDUE","Open")))</f>
        <v/>
      </c>
    </row>
    <row r="935">
      <c r="A935" t="inlineStr">
        <is>
          <t>INSP-2026-0934</t>
        </is>
      </c>
      <c r="B935" s="6" t="n">
        <v>46162</v>
      </c>
      <c r="C935" t="inlineStr">
        <is>
          <t>U-ST566-01-03</t>
        </is>
      </c>
      <c r="D935" t="inlineStr">
        <is>
          <t>Sungai Tinggi</t>
        </is>
      </c>
      <c r="E935" t="inlineStr">
        <is>
          <t>B. Ho</t>
        </is>
      </c>
      <c r="F935" t="inlineStr">
        <is>
          <t>Follow-up</t>
        </is>
      </c>
      <c r="G935" t="inlineStr">
        <is>
          <t>NONE</t>
        </is>
      </c>
      <c r="H935" t="inlineStr">
        <is>
          <t>Compliant</t>
        </is>
      </c>
      <c r="I935" s="6" t="n"/>
      <c r="J935" s="6" t="n"/>
      <c r="K935">
        <f>IF(J935="","",J935-B935)</f>
        <v/>
      </c>
      <c r="L935">
        <f>IF(H935="Compliant","N/A",IF(J935&lt;&gt;"","Closed",IF(I935&lt;DATE(2026,9,30),"OVERDUE","Open")))</f>
        <v/>
      </c>
    </row>
    <row r="936">
      <c r="A936" t="inlineStr">
        <is>
          <t>INSP-2026-0935</t>
        </is>
      </c>
      <c r="B936" s="6" t="n">
        <v>46162</v>
      </c>
      <c r="C936" t="inlineStr">
        <is>
          <t>U-BV237-01-06</t>
        </is>
      </c>
      <c r="D936" t="inlineStr">
        <is>
          <t>Bayshore Vale</t>
        </is>
      </c>
      <c r="E936" t="inlineStr">
        <is>
          <t>Daniel O.</t>
        </is>
      </c>
      <c r="F936" t="inlineStr">
        <is>
          <t>Routine</t>
        </is>
      </c>
      <c r="G936" t="inlineStr">
        <is>
          <t>NONE</t>
        </is>
      </c>
      <c r="H936" t="inlineStr">
        <is>
          <t>Compliant</t>
        </is>
      </c>
      <c r="I936" s="6" t="n"/>
      <c r="J936" s="6" t="n"/>
      <c r="K936">
        <f>IF(J936="","",J936-B936)</f>
        <v/>
      </c>
      <c r="L936">
        <f>IF(H936="Compliant","N/A",IF(J936&lt;&gt;"","Closed",IF(I936&lt;DATE(2026,9,30),"OVERDUE","Open")))</f>
        <v/>
      </c>
    </row>
    <row r="937">
      <c r="A937" t="inlineStr">
        <is>
          <t>INSP-2026-0936</t>
        </is>
      </c>
      <c r="B937" s="6" t="n">
        <v>46163</v>
      </c>
      <c r="C937" t="inlineStr">
        <is>
          <t>U-CD174-01-07</t>
        </is>
      </c>
      <c r="D937" t="inlineStr">
        <is>
          <t>Cendana</t>
        </is>
      </c>
      <c r="E937" t="inlineStr">
        <is>
          <t>Marcus Lim</t>
        </is>
      </c>
      <c r="F937" t="inlineStr">
        <is>
          <t>Routine</t>
        </is>
      </c>
      <c r="G937" t="inlineStr">
        <is>
          <t>HYGIENE</t>
        </is>
      </c>
      <c r="H937" t="inlineStr">
        <is>
          <t>Minor Breach</t>
        </is>
      </c>
      <c r="I937" s="6" t="n">
        <v>46177</v>
      </c>
      <c r="J937" s="6" t="n">
        <v>46182</v>
      </c>
      <c r="K937">
        <f>IF(J937="","",J937-B937)</f>
        <v/>
      </c>
      <c r="L937">
        <f>IF(H937="Compliant","N/A",IF(J937&lt;&gt;"","Closed",IF(I937&lt;DATE(2026,9,30),"OVERDUE","Open")))</f>
        <v/>
      </c>
    </row>
    <row r="938">
      <c r="A938" t="inlineStr">
        <is>
          <t>INSP-2026-0937</t>
        </is>
      </c>
      <c r="B938" s="6" t="n">
        <v>46163</v>
      </c>
      <c r="C938" t="inlineStr">
        <is>
          <t>U-PI627-01-02</t>
        </is>
      </c>
      <c r="D938" t="inlineStr">
        <is>
          <t>Pasir Indah</t>
        </is>
      </c>
      <c r="E938" t="inlineStr">
        <is>
          <t>M. Lim</t>
        </is>
      </c>
      <c r="F938" t="inlineStr">
        <is>
          <t>Routine</t>
        </is>
      </c>
      <c r="G938" t="inlineStr">
        <is>
          <t>HYGIENE</t>
        </is>
      </c>
      <c r="H938" t="inlineStr">
        <is>
          <t>Minor Breach</t>
        </is>
      </c>
      <c r="I938" s="6" t="n">
        <v>46177</v>
      </c>
      <c r="J938" s="6" t="n">
        <v>46177</v>
      </c>
      <c r="K938">
        <f>IF(J938="","",J938-B938)</f>
        <v/>
      </c>
      <c r="L938">
        <f>IF(H938="Compliant","N/A",IF(J938&lt;&gt;"","Closed",IF(I938&lt;DATE(2026,9,30),"OVERDUE","Open")))</f>
        <v/>
      </c>
    </row>
    <row r="939">
      <c r="A939" t="inlineStr">
        <is>
          <t>INSP-2026-0938</t>
        </is>
      </c>
      <c r="B939" s="6" t="n">
        <v>46163</v>
      </c>
      <c r="C939" t="inlineStr">
        <is>
          <t>U-PI675-01-13</t>
        </is>
      </c>
      <c r="D939" t="inlineStr">
        <is>
          <t>Pasir Indah</t>
        </is>
      </c>
      <c r="E939" t="inlineStr">
        <is>
          <t>Daniel O.</t>
        </is>
      </c>
      <c r="F939" t="inlineStr">
        <is>
          <t>Routine</t>
        </is>
      </c>
      <c r="G939" t="inlineStr">
        <is>
          <t>UNAPPROVED_AA</t>
        </is>
      </c>
      <c r="H939" t="inlineStr">
        <is>
          <t>Minor Breach</t>
        </is>
      </c>
      <c r="I939" s="6" t="n">
        <v>46177</v>
      </c>
      <c r="J939" s="6" t="n">
        <v>46186</v>
      </c>
      <c r="K939">
        <f>IF(J939="","",J939-B939)</f>
        <v/>
      </c>
      <c r="L939">
        <f>IF(H939="Compliant","N/A",IF(J939&lt;&gt;"","Closed",IF(I939&lt;DATE(2026,9,30),"OVERDUE","Open")))</f>
        <v/>
      </c>
    </row>
    <row r="940">
      <c r="A940" t="inlineStr">
        <is>
          <t>INSP-2026-0939</t>
        </is>
      </c>
      <c r="B940" s="6" t="n">
        <v>46163</v>
      </c>
      <c r="C940" t="inlineStr">
        <is>
          <t>U-PI614-01-03</t>
        </is>
      </c>
      <c r="D940" t="inlineStr">
        <is>
          <t>Pasir Indah</t>
        </is>
      </c>
      <c r="E940" t="inlineStr">
        <is>
          <t>M. Lim</t>
        </is>
      </c>
      <c r="F940" t="inlineStr">
        <is>
          <t>Follow-up</t>
        </is>
      </c>
      <c r="G940" t="inlineStr">
        <is>
          <t>DISPLAY_ENCROACH</t>
        </is>
      </c>
      <c r="H940" t="inlineStr">
        <is>
          <t>Minor Breach</t>
        </is>
      </c>
      <c r="I940" s="6" t="n">
        <v>46177</v>
      </c>
      <c r="J940" s="6" t="n"/>
      <c r="K940">
        <f>IF(J940="","",J940-B940)</f>
        <v/>
      </c>
      <c r="L940">
        <f>IF(H940="Compliant","N/A",IF(J940&lt;&gt;"","Closed",IF(I940&lt;DATE(2026,9,30),"OVERDUE","Open")))</f>
        <v/>
      </c>
    </row>
    <row r="941">
      <c r="A941" t="inlineStr">
        <is>
          <t>INSP-2026-0940</t>
        </is>
      </c>
      <c r="B941" s="6" t="n">
        <v>46163</v>
      </c>
      <c r="C941" t="inlineStr">
        <is>
          <t>U-KR385-01-13</t>
        </is>
      </c>
      <c r="D941" t="inlineStr">
        <is>
          <t>Kebun Raya</t>
        </is>
      </c>
      <c r="E941" t="inlineStr">
        <is>
          <t>D. Ong</t>
        </is>
      </c>
      <c r="F941" t="inlineStr">
        <is>
          <t>Routine</t>
        </is>
      </c>
      <c r="G941" t="inlineStr">
        <is>
          <t>NONE</t>
        </is>
      </c>
      <c r="H941" t="inlineStr">
        <is>
          <t>Compliant</t>
        </is>
      </c>
      <c r="I941" s="6" t="n"/>
      <c r="J941" s="6" t="n"/>
      <c r="K941">
        <f>IF(J941="","",J941-B941)</f>
        <v/>
      </c>
      <c r="L941">
        <f>IF(H941="Compliant","N/A",IF(J941&lt;&gt;"","Closed",IF(I941&lt;DATE(2026,9,30),"OVERDUE","Open")))</f>
        <v/>
      </c>
    </row>
    <row r="942">
      <c r="A942" t="inlineStr">
        <is>
          <t>INSP-2026-0941</t>
        </is>
      </c>
      <c r="B942" s="6" t="n">
        <v>46163</v>
      </c>
      <c r="C942" t="inlineStr">
        <is>
          <t>U-ST590-01-05</t>
        </is>
      </c>
      <c r="D942" t="inlineStr">
        <is>
          <t>Sungai Tinggi</t>
        </is>
      </c>
      <c r="E942" t="inlineStr">
        <is>
          <t>Ben Ho</t>
        </is>
      </c>
      <c r="F942" t="inlineStr">
        <is>
          <t>Routine</t>
        </is>
      </c>
      <c r="G942" t="inlineStr">
        <is>
          <t>NONE</t>
        </is>
      </c>
      <c r="H942" t="inlineStr">
        <is>
          <t>Compliant</t>
        </is>
      </c>
      <c r="I942" s="6" t="n"/>
      <c r="J942" s="6" t="n"/>
      <c r="K942">
        <f>IF(J942="","",J942-B942)</f>
        <v/>
      </c>
      <c r="L942">
        <f>IF(H942="Compliant","N/A",IF(J942&lt;&gt;"","Closed",IF(I942&lt;DATE(2026,9,30),"OVERDUE","Open")))</f>
        <v/>
      </c>
    </row>
    <row r="943">
      <c r="A943" t="inlineStr">
        <is>
          <t>INSP-2026-0942</t>
        </is>
      </c>
      <c r="B943" s="6" t="n">
        <v>46163</v>
      </c>
      <c r="C943" t="inlineStr">
        <is>
          <t>U-KR368-01-11</t>
        </is>
      </c>
      <c r="D943" t="inlineStr">
        <is>
          <t>Kebun Raya</t>
        </is>
      </c>
      <c r="E943" t="inlineStr">
        <is>
          <t>Benjamin Ho</t>
        </is>
      </c>
      <c r="F943" t="inlineStr">
        <is>
          <t>Routine</t>
        </is>
      </c>
      <c r="G943" t="inlineStr">
        <is>
          <t>NONE</t>
        </is>
      </c>
      <c r="H943" t="inlineStr">
        <is>
          <t>Compliant</t>
        </is>
      </c>
      <c r="I943" s="6" t="n"/>
      <c r="J943" s="6" t="n"/>
      <c r="K943">
        <f>IF(J943="","",J943-B943)</f>
        <v/>
      </c>
      <c r="L943">
        <f>IF(H943="Compliant","N/A",IF(J943&lt;&gt;"","Closed",IF(I943&lt;DATE(2026,9,30),"OVERDUE","Open")))</f>
        <v/>
      </c>
    </row>
    <row r="944">
      <c r="A944" t="inlineStr">
        <is>
          <t>INSP-2026-0943</t>
        </is>
      </c>
      <c r="B944" s="6" t="n">
        <v>46163</v>
      </c>
      <c r="C944" t="inlineStr">
        <is>
          <t>U-CD185-01-01</t>
        </is>
      </c>
      <c r="D944" t="inlineStr">
        <is>
          <t>Cendana</t>
        </is>
      </c>
      <c r="E944" t="inlineStr">
        <is>
          <t>daniel ong</t>
        </is>
      </c>
      <c r="F944" t="inlineStr">
        <is>
          <t>Routine</t>
        </is>
      </c>
      <c r="G944" t="inlineStr">
        <is>
          <t>NONE</t>
        </is>
      </c>
      <c r="H944" t="inlineStr">
        <is>
          <t>Compliant</t>
        </is>
      </c>
      <c r="I944" s="6" t="n"/>
      <c r="J944" s="6" t="n"/>
      <c r="K944">
        <f>IF(J944="","",J944-B944)</f>
        <v/>
      </c>
      <c r="L944">
        <f>IF(H944="Compliant","N/A",IF(J944&lt;&gt;"","Closed",IF(I944&lt;DATE(2026,9,30),"OVERDUE","Open")))</f>
        <v/>
      </c>
    </row>
    <row r="945">
      <c r="A945" t="inlineStr">
        <is>
          <t>INSP-2026-0944</t>
        </is>
      </c>
      <c r="B945" s="6" t="n">
        <v>46164</v>
      </c>
      <c r="C945" t="inlineStr">
        <is>
          <t>U-RH460-01-10</t>
        </is>
      </c>
      <c r="D945" t="inlineStr">
        <is>
          <t>Rimba Heights</t>
        </is>
      </c>
      <c r="E945" t="inlineStr">
        <is>
          <t>Ben Ho</t>
        </is>
      </c>
      <c r="F945" t="inlineStr">
        <is>
          <t>Complaint-driven</t>
        </is>
      </c>
      <c r="G945" t="inlineStr">
        <is>
          <t>UNAUTH_TRADE</t>
        </is>
      </c>
      <c r="H945" t="inlineStr">
        <is>
          <t>Major Breach</t>
        </is>
      </c>
      <c r="I945" s="6" t="n">
        <v>46171</v>
      </c>
      <c r="J945" s="6" t="n">
        <v>46176</v>
      </c>
      <c r="K945">
        <f>IF(J945="","",J945-B945)</f>
        <v/>
      </c>
      <c r="L945">
        <f>IF(H945="Compliant","N/A",IF(J945&lt;&gt;"","Closed",IF(I945&lt;DATE(2026,9,30),"OVERDUE","Open")))</f>
        <v/>
      </c>
    </row>
    <row r="946">
      <c r="A946" t="inlineStr">
        <is>
          <t>INSP-2026-0945</t>
        </is>
      </c>
      <c r="B946" s="6" t="n">
        <v>46164</v>
      </c>
      <c r="C946" t="inlineStr">
        <is>
          <t>U-RH428-01-05</t>
        </is>
      </c>
      <c r="D946" t="inlineStr">
        <is>
          <t>Rimba Heights</t>
        </is>
      </c>
      <c r="E946" t="inlineStr">
        <is>
          <t>B. Ho</t>
        </is>
      </c>
      <c r="F946" t="inlineStr">
        <is>
          <t>Routine</t>
        </is>
      </c>
      <c r="G946" t="inlineStr">
        <is>
          <t>NONE</t>
        </is>
      </c>
      <c r="H946" t="inlineStr">
        <is>
          <t>Compliant</t>
        </is>
      </c>
      <c r="I946" s="6" t="n"/>
      <c r="J946" s="6" t="n"/>
      <c r="K946">
        <f>IF(J946="","",J946-B946)</f>
        <v/>
      </c>
      <c r="L946">
        <f>IF(H946="Compliant","N/A",IF(J946&lt;&gt;"","Closed",IF(I946&lt;DATE(2026,9,30),"OVERDUE","Open")))</f>
        <v/>
      </c>
    </row>
    <row r="947">
      <c r="A947" t="inlineStr">
        <is>
          <t>INSP-2026-0946</t>
        </is>
      </c>
      <c r="B947" s="6" t="n">
        <v>46164</v>
      </c>
      <c r="C947" t="inlineStr">
        <is>
          <t>U-CD136-01-07</t>
        </is>
      </c>
      <c r="D947" t="inlineStr">
        <is>
          <t>Cendana</t>
        </is>
      </c>
      <c r="E947" t="inlineStr">
        <is>
          <t>Daniel Ong</t>
        </is>
      </c>
      <c r="F947" t="inlineStr">
        <is>
          <t>Routine</t>
        </is>
      </c>
      <c r="G947" t="inlineStr">
        <is>
          <t>NONE</t>
        </is>
      </c>
      <c r="H947" t="inlineStr">
        <is>
          <t>Compliant</t>
        </is>
      </c>
      <c r="I947" s="6" t="n"/>
      <c r="J947" s="6" t="n"/>
      <c r="K947">
        <f>IF(J947="","",J947-B947)</f>
        <v/>
      </c>
      <c r="L947">
        <f>IF(H947="Compliant","N/A",IF(J947&lt;&gt;"","Closed",IF(I947&lt;DATE(2026,9,30),"OVERDUE","Open")))</f>
        <v/>
      </c>
    </row>
    <row r="948">
      <c r="A948" t="inlineStr">
        <is>
          <t>INSP-2026-0947</t>
        </is>
      </c>
      <c r="B948" s="6" t="n">
        <v>46164</v>
      </c>
      <c r="C948" t="inlineStr">
        <is>
          <t>U-PI684-01-01</t>
        </is>
      </c>
      <c r="D948" t="inlineStr">
        <is>
          <t>Pasir Indah</t>
        </is>
      </c>
      <c r="E948" t="inlineStr">
        <is>
          <t>Daniel Ong</t>
        </is>
      </c>
      <c r="F948" t="inlineStr">
        <is>
          <t>Follow-up</t>
        </is>
      </c>
      <c r="G948" t="inlineStr">
        <is>
          <t>NONE</t>
        </is>
      </c>
      <c r="H948" t="inlineStr">
        <is>
          <t>Compliant</t>
        </is>
      </c>
      <c r="I948" s="6" t="n"/>
      <c r="J948" s="6" t="n"/>
      <c r="K948">
        <f>IF(J948="","",J948-B948)</f>
        <v/>
      </c>
      <c r="L948">
        <f>IF(H948="Compliant","N/A",IF(J948&lt;&gt;"","Closed",IF(I948&lt;DATE(2026,9,30),"OVERDUE","Open")))</f>
        <v/>
      </c>
    </row>
    <row r="949">
      <c r="A949" t="inlineStr">
        <is>
          <t>INSP-2026-0948</t>
        </is>
      </c>
      <c r="B949" s="6" t="n">
        <v>46164</v>
      </c>
      <c r="C949" t="inlineStr">
        <is>
          <t>U-PI679-01-08</t>
        </is>
      </c>
      <c r="D949" t="inlineStr">
        <is>
          <t>Pasir Indah</t>
        </is>
      </c>
      <c r="E949" t="inlineStr">
        <is>
          <t>marcus</t>
        </is>
      </c>
      <c r="F949" t="inlineStr">
        <is>
          <t>Routine</t>
        </is>
      </c>
      <c r="G949" t="inlineStr">
        <is>
          <t>UNAUTH_SUBLET</t>
        </is>
      </c>
      <c r="H949" t="inlineStr">
        <is>
          <t>Major Breach</t>
        </is>
      </c>
      <c r="I949" s="6" t="n">
        <v>46171</v>
      </c>
      <c r="J949" s="6" t="n">
        <v>46181</v>
      </c>
      <c r="K949">
        <f>IF(J949="","",J949-B949)</f>
        <v/>
      </c>
      <c r="L949">
        <f>IF(H949="Compliant","N/A",IF(J949&lt;&gt;"","Closed",IF(I949&lt;DATE(2026,9,30),"OVERDUE","Open")))</f>
        <v/>
      </c>
    </row>
    <row r="950">
      <c r="A950" t="inlineStr">
        <is>
          <t>INSP-2026-0949</t>
        </is>
      </c>
      <c r="B950" s="6" t="n">
        <v>46164</v>
      </c>
      <c r="C950" t="inlineStr">
        <is>
          <t>U-RH456-01-04</t>
        </is>
      </c>
      <c r="D950" t="inlineStr">
        <is>
          <t>Rimba Heights</t>
        </is>
      </c>
      <c r="E950" t="inlineStr">
        <is>
          <t>B. Ho</t>
        </is>
      </c>
      <c r="F950" t="inlineStr">
        <is>
          <t>Follow-up</t>
        </is>
      </c>
      <c r="G950" t="inlineStr">
        <is>
          <t>NONE</t>
        </is>
      </c>
      <c r="H950" t="inlineStr">
        <is>
          <t>Compliant</t>
        </is>
      </c>
      <c r="I950" s="6" t="n"/>
      <c r="J950" s="6" t="n"/>
      <c r="K950">
        <f>IF(J950="","",J950-B950)</f>
        <v/>
      </c>
      <c r="L950">
        <f>IF(H950="Compliant","N/A",IF(J950&lt;&gt;"","Closed",IF(I950&lt;DATE(2026,9,30),"OVERDUE","Open")))</f>
        <v/>
      </c>
    </row>
    <row r="951">
      <c r="A951" t="inlineStr">
        <is>
          <t>INSP-2026-0950</t>
        </is>
      </c>
      <c r="B951" s="6" t="n">
        <v>46164</v>
      </c>
      <c r="C951" t="inlineStr">
        <is>
          <t>U-KR358-01-04</t>
        </is>
      </c>
      <c r="D951" t="inlineStr">
        <is>
          <t>Kebun Raya</t>
        </is>
      </c>
      <c r="E951" t="inlineStr">
        <is>
          <t>Daniel O.</t>
        </is>
      </c>
      <c r="F951" t="inlineStr">
        <is>
          <t>Routine</t>
        </is>
      </c>
      <c r="G951" t="inlineStr">
        <is>
          <t>NONE</t>
        </is>
      </c>
      <c r="H951" t="inlineStr">
        <is>
          <t>Compliant</t>
        </is>
      </c>
      <c r="I951" s="6" t="n"/>
      <c r="J951" s="6" t="n"/>
      <c r="K951">
        <f>IF(J951="","",J951-B951)</f>
        <v/>
      </c>
      <c r="L951">
        <f>IF(H951="Compliant","N/A",IF(J951&lt;&gt;"","Closed",IF(I951&lt;DATE(2026,9,30),"OVERDUE","Open")))</f>
        <v/>
      </c>
    </row>
    <row r="952">
      <c r="A952" t="inlineStr">
        <is>
          <t>INSP-2026-0951</t>
        </is>
      </c>
      <c r="B952" s="6" t="n">
        <v>46164</v>
      </c>
      <c r="C952" t="inlineStr">
        <is>
          <t>U-ST506-01-06</t>
        </is>
      </c>
      <c r="D952" t="inlineStr">
        <is>
          <t>Sungai Tinggi</t>
        </is>
      </c>
      <c r="E952" t="inlineStr">
        <is>
          <t>B. Ho</t>
        </is>
      </c>
      <c r="F952" t="inlineStr">
        <is>
          <t>Routine</t>
        </is>
      </c>
      <c r="G952" t="inlineStr">
        <is>
          <t>NONE</t>
        </is>
      </c>
      <c r="H952" t="inlineStr">
        <is>
          <t>Compliant</t>
        </is>
      </c>
      <c r="I952" s="6" t="n"/>
      <c r="J952" s="6" t="n"/>
      <c r="K952">
        <f>IF(J952="","",J952-B952)</f>
        <v/>
      </c>
      <c r="L952">
        <f>IF(H952="Compliant","N/A",IF(J952&lt;&gt;"","Closed",IF(I952&lt;DATE(2026,9,30),"OVERDUE","Open")))</f>
        <v/>
      </c>
    </row>
    <row r="953">
      <c r="A953" t="inlineStr">
        <is>
          <t>INSP-2026-0952</t>
        </is>
      </c>
      <c r="B953" s="6" t="n">
        <v>46164</v>
      </c>
      <c r="C953" t="inlineStr">
        <is>
          <t>U-ST507-02-04</t>
        </is>
      </c>
      <c r="D953" t="inlineStr">
        <is>
          <t>Sungai Tinggi</t>
        </is>
      </c>
      <c r="E953" t="inlineStr">
        <is>
          <t>daniel ong</t>
        </is>
      </c>
      <c r="F953" t="inlineStr">
        <is>
          <t>Complaint-driven</t>
        </is>
      </c>
      <c r="G953" t="inlineStr">
        <is>
          <t>NONE</t>
        </is>
      </c>
      <c r="H953" t="inlineStr">
        <is>
          <t>Compliant</t>
        </is>
      </c>
      <c r="I953" s="6" t="n"/>
      <c r="J953" s="6" t="n"/>
      <c r="K953">
        <f>IF(J953="","",J953-B953)</f>
        <v/>
      </c>
      <c r="L953">
        <f>IF(H953="Compliant","N/A",IF(J953&lt;&gt;"","Closed",IF(I953&lt;DATE(2026,9,30),"OVERDUE","Open")))</f>
        <v/>
      </c>
    </row>
    <row r="954">
      <c r="A954" t="inlineStr">
        <is>
          <t>INSP-2026-0953</t>
        </is>
      </c>
      <c r="B954" s="6" t="n">
        <v>46164</v>
      </c>
      <c r="C954" t="inlineStr">
        <is>
          <t>U-KR329-01-09</t>
        </is>
      </c>
      <c r="D954" t="inlineStr">
        <is>
          <t>Kebun Raya</t>
        </is>
      </c>
      <c r="E954" t="inlineStr">
        <is>
          <t>Daniel O.</t>
        </is>
      </c>
      <c r="F954" t="inlineStr">
        <is>
          <t>Routine</t>
        </is>
      </c>
      <c r="G954" t="inlineStr">
        <is>
          <t>NONE</t>
        </is>
      </c>
      <c r="H954" t="inlineStr">
        <is>
          <t>Compliant</t>
        </is>
      </c>
      <c r="I954" s="6" t="n"/>
      <c r="J954" s="6" t="n"/>
      <c r="K954">
        <f>IF(J954="","",J954-B954)</f>
        <v/>
      </c>
      <c r="L954">
        <f>IF(H954="Compliant","N/A",IF(J954&lt;&gt;"","Closed",IF(I954&lt;DATE(2026,9,30),"OVERDUE","Open")))</f>
        <v/>
      </c>
    </row>
    <row r="955">
      <c r="A955" t="inlineStr">
        <is>
          <t>INSP-2026-0954</t>
        </is>
      </c>
      <c r="B955" s="6" t="n">
        <v>46165</v>
      </c>
      <c r="C955" t="inlineStr">
        <is>
          <t>U-ST534-01-03</t>
        </is>
      </c>
      <c r="D955" t="inlineStr">
        <is>
          <t>Sungai Tinggi</t>
        </is>
      </c>
      <c r="E955" t="inlineStr">
        <is>
          <t>daniel ong</t>
        </is>
      </c>
      <c r="F955" t="inlineStr">
        <is>
          <t>Routine</t>
        </is>
      </c>
      <c r="G955" t="inlineStr">
        <is>
          <t>NONE</t>
        </is>
      </c>
      <c r="H955" t="inlineStr">
        <is>
          <t>Compliant</t>
        </is>
      </c>
      <c r="I955" s="6" t="n"/>
      <c r="J955" s="6" t="n"/>
      <c r="K955">
        <f>IF(J955="","",J955-B955)</f>
        <v/>
      </c>
      <c r="L955">
        <f>IF(H955="Compliant","N/A",IF(J955&lt;&gt;"","Closed",IF(I955&lt;DATE(2026,9,30),"OVERDUE","Open")))</f>
        <v/>
      </c>
    </row>
    <row r="956">
      <c r="A956" t="inlineStr">
        <is>
          <t>INSP-2026-0955</t>
        </is>
      </c>
      <c r="B956" s="6" t="n">
        <v>46165</v>
      </c>
      <c r="C956" t="inlineStr">
        <is>
          <t>U-KR310-01-08</t>
        </is>
      </c>
      <c r="D956" t="inlineStr">
        <is>
          <t>Kebun Raya</t>
        </is>
      </c>
      <c r="E956" t="inlineStr">
        <is>
          <t>Benjamin Ho</t>
        </is>
      </c>
      <c r="F956" t="inlineStr">
        <is>
          <t>Routine</t>
        </is>
      </c>
      <c r="G956" t="inlineStr">
        <is>
          <t>UNAPPROVED_AA</t>
        </is>
      </c>
      <c r="H956" t="inlineStr">
        <is>
          <t>Minor Breach</t>
        </is>
      </c>
      <c r="I956" s="6" t="n">
        <v>46179</v>
      </c>
      <c r="J956" s="6" t="n">
        <v>46183</v>
      </c>
      <c r="K956">
        <f>IF(J956="","",J956-B956)</f>
        <v/>
      </c>
      <c r="L956">
        <f>IF(H956="Compliant","N/A",IF(J956&lt;&gt;"","Closed",IF(I956&lt;DATE(2026,9,30),"OVERDUE","Open")))</f>
        <v/>
      </c>
    </row>
    <row r="957">
      <c r="A957" t="inlineStr">
        <is>
          <t>INSP-2026-0956</t>
        </is>
      </c>
      <c r="B957" s="6" t="n">
        <v>46165</v>
      </c>
      <c r="C957" t="inlineStr">
        <is>
          <t>U-CD174-02-02</t>
        </is>
      </c>
      <c r="D957" t="inlineStr">
        <is>
          <t>Cendana</t>
        </is>
      </c>
      <c r="E957" t="inlineStr">
        <is>
          <t>Daniel Ong</t>
        </is>
      </c>
      <c r="F957" t="inlineStr">
        <is>
          <t>Routine</t>
        </is>
      </c>
      <c r="G957" t="inlineStr">
        <is>
          <t>HYGIENE</t>
        </is>
      </c>
      <c r="H957" t="inlineStr">
        <is>
          <t>Minor Breach</t>
        </is>
      </c>
      <c r="I957" s="6" t="n">
        <v>46179</v>
      </c>
      <c r="J957" s="6" t="n"/>
      <c r="K957">
        <f>IF(J957="","",J957-B957)</f>
        <v/>
      </c>
      <c r="L957">
        <f>IF(H957="Compliant","N/A",IF(J957&lt;&gt;"","Closed",IF(I957&lt;DATE(2026,9,30),"OVERDUE","Open")))</f>
        <v/>
      </c>
    </row>
    <row r="958">
      <c r="A958" t="inlineStr">
        <is>
          <t>INSP-2026-0957</t>
        </is>
      </c>
      <c r="B958" s="6" t="n">
        <v>46165</v>
      </c>
      <c r="C958" t="inlineStr">
        <is>
          <t>U-ST522-01-04</t>
        </is>
      </c>
      <c r="D958" t="inlineStr">
        <is>
          <t>Sungai Tinggi</t>
        </is>
      </c>
      <c r="E958" t="inlineStr">
        <is>
          <t>Ben Ho</t>
        </is>
      </c>
      <c r="F958" t="inlineStr">
        <is>
          <t>Routine</t>
        </is>
      </c>
      <c r="G958" t="inlineStr">
        <is>
          <t>NONE</t>
        </is>
      </c>
      <c r="H958" t="inlineStr">
        <is>
          <t>Compliant</t>
        </is>
      </c>
      <c r="I958" s="6" t="n"/>
      <c r="J958" s="6" t="n"/>
      <c r="K958">
        <f>IF(J958="","",J958-B958)</f>
        <v/>
      </c>
      <c r="L958">
        <f>IF(H958="Compliant","N/A",IF(J958&lt;&gt;"","Closed",IF(I958&lt;DATE(2026,9,30),"OVERDUE","Open")))</f>
        <v/>
      </c>
    </row>
    <row r="959">
      <c r="A959" t="inlineStr">
        <is>
          <t>INSP-2026-0958</t>
        </is>
      </c>
      <c r="B959" s="6" t="n">
        <v>46165</v>
      </c>
      <c r="C959" t="inlineStr">
        <is>
          <t>U-CD118-01-15</t>
        </is>
      </c>
      <c r="D959" t="inlineStr">
        <is>
          <t>Cendana</t>
        </is>
      </c>
      <c r="E959" t="inlineStr">
        <is>
          <t>Daniel Ong</t>
        </is>
      </c>
      <c r="F959" t="inlineStr">
        <is>
          <t>Routine</t>
        </is>
      </c>
      <c r="G959" t="inlineStr">
        <is>
          <t>NONE</t>
        </is>
      </c>
      <c r="H959" t="inlineStr">
        <is>
          <t>Compliant</t>
        </is>
      </c>
      <c r="I959" s="6" t="n"/>
      <c r="J959" s="6" t="n"/>
      <c r="K959">
        <f>IF(J959="","",J959-B959)</f>
        <v/>
      </c>
      <c r="L959">
        <f>IF(H959="Compliant","N/A",IF(J959&lt;&gt;"","Closed",IF(I959&lt;DATE(2026,9,30),"OVERDUE","Open")))</f>
        <v/>
      </c>
    </row>
    <row r="960">
      <c r="A960" t="inlineStr">
        <is>
          <t>INSP-2026-0959</t>
        </is>
      </c>
      <c r="B960" s="6" t="n">
        <v>46166</v>
      </c>
      <c r="C960" t="inlineStr">
        <is>
          <t>U-BV214-01-26</t>
        </is>
      </c>
      <c r="D960" t="inlineStr">
        <is>
          <t>Bayshore Vale</t>
        </is>
      </c>
      <c r="E960" t="inlineStr">
        <is>
          <t>D. Ong</t>
        </is>
      </c>
      <c r="F960" t="inlineStr">
        <is>
          <t>Complaint-driven</t>
        </is>
      </c>
      <c r="G960" t="inlineStr">
        <is>
          <t>DISPLAY_ENCROACH</t>
        </is>
      </c>
      <c r="H960" t="inlineStr">
        <is>
          <t>Minor Breach</t>
        </is>
      </c>
      <c r="I960" s="6" t="n">
        <v>46180</v>
      </c>
      <c r="J960" s="6" t="n">
        <v>46181</v>
      </c>
      <c r="K960">
        <f>IF(J960="","",J960-B960)</f>
        <v/>
      </c>
      <c r="L960">
        <f>IF(H960="Compliant","N/A",IF(J960&lt;&gt;"","Closed",IF(I960&lt;DATE(2026,9,30),"OVERDUE","Open")))</f>
        <v/>
      </c>
    </row>
    <row r="961">
      <c r="A961" t="inlineStr">
        <is>
          <t>INSP-2026-0960</t>
        </is>
      </c>
      <c r="B961" s="6" t="n">
        <v>46166</v>
      </c>
      <c r="C961" t="inlineStr">
        <is>
          <t>U-BV266-01-01</t>
        </is>
      </c>
      <c r="D961" t="inlineStr">
        <is>
          <t>Bayshore Vale</t>
        </is>
      </c>
      <c r="E961" t="inlineStr">
        <is>
          <t>Marcus Lim</t>
        </is>
      </c>
      <c r="F961" t="inlineStr">
        <is>
          <t>Routine</t>
        </is>
      </c>
      <c r="G961" t="inlineStr">
        <is>
          <t>DISPLAY_ENCROACH</t>
        </is>
      </c>
      <c r="H961" t="inlineStr">
        <is>
          <t>Minor Breach</t>
        </is>
      </c>
      <c r="I961" s="6" t="n">
        <v>46180</v>
      </c>
      <c r="J961" s="6" t="n">
        <v>46177</v>
      </c>
      <c r="K961">
        <f>IF(J961="","",J961-B961)</f>
        <v/>
      </c>
      <c r="L961">
        <f>IF(H961="Compliant","N/A",IF(J961&lt;&gt;"","Closed",IF(I961&lt;DATE(2026,9,30),"OVERDUE","Open")))</f>
        <v/>
      </c>
    </row>
    <row r="962">
      <c r="A962" t="inlineStr">
        <is>
          <t>INSP-2026-0961</t>
        </is>
      </c>
      <c r="B962" s="6" t="n">
        <v>46166</v>
      </c>
      <c r="C962" t="inlineStr">
        <is>
          <t>U-ST591-01-05</t>
        </is>
      </c>
      <c r="D962" t="inlineStr">
        <is>
          <t>Sungai Tinggi</t>
        </is>
      </c>
      <c r="E962" t="inlineStr">
        <is>
          <t>D. Ong</t>
        </is>
      </c>
      <c r="F962" t="inlineStr">
        <is>
          <t>Routine</t>
        </is>
      </c>
      <c r="G962" t="inlineStr">
        <is>
          <t>NONE</t>
        </is>
      </c>
      <c r="H962" t="inlineStr">
        <is>
          <t>Compliant</t>
        </is>
      </c>
      <c r="I962" s="6" t="n"/>
      <c r="J962" s="6" t="n"/>
      <c r="K962">
        <f>IF(J962="","",J962-B962)</f>
        <v/>
      </c>
      <c r="L962">
        <f>IF(H962="Compliant","N/A",IF(J962&lt;&gt;"","Closed",IF(I962&lt;DATE(2026,9,30),"OVERDUE","Open")))</f>
        <v/>
      </c>
    </row>
    <row r="963">
      <c r="A963" t="inlineStr">
        <is>
          <t>INSP-2026-0962</t>
        </is>
      </c>
      <c r="B963" s="6" t="n">
        <v>46166</v>
      </c>
      <c r="C963" t="inlineStr">
        <is>
          <t>U-KR356-01-08</t>
        </is>
      </c>
      <c r="D963" t="inlineStr">
        <is>
          <t>Kebun Raya</t>
        </is>
      </c>
      <c r="E963" t="inlineStr">
        <is>
          <t>Daniel O.</t>
        </is>
      </c>
      <c r="F963" t="inlineStr">
        <is>
          <t>Routine</t>
        </is>
      </c>
      <c r="G963" t="inlineStr">
        <is>
          <t>NONE</t>
        </is>
      </c>
      <c r="H963" t="inlineStr">
        <is>
          <t>Compliant</t>
        </is>
      </c>
      <c r="I963" s="6" t="n"/>
      <c r="J963" s="6" t="n"/>
      <c r="K963">
        <f>IF(J963="","",J963-B963)</f>
        <v/>
      </c>
      <c r="L963">
        <f>IF(H963="Compliant","N/A",IF(J963&lt;&gt;"","Closed",IF(I963&lt;DATE(2026,9,30),"OVERDUE","Open")))</f>
        <v/>
      </c>
    </row>
    <row r="964">
      <c r="A964" t="inlineStr">
        <is>
          <t>INSP-2026-0963</t>
        </is>
      </c>
      <c r="B964" s="6" t="n">
        <v>46167</v>
      </c>
      <c r="C964" t="inlineStr">
        <is>
          <t>U-PI675-01-03</t>
        </is>
      </c>
      <c r="D964" t="inlineStr">
        <is>
          <t>Pasir Indah</t>
        </is>
      </c>
      <c r="E964" t="inlineStr">
        <is>
          <t>D. Ong</t>
        </is>
      </c>
      <c r="F964" t="inlineStr">
        <is>
          <t>Routine</t>
        </is>
      </c>
      <c r="G964" t="inlineStr">
        <is>
          <t>NONE</t>
        </is>
      </c>
      <c r="H964" t="inlineStr">
        <is>
          <t>Compliant</t>
        </is>
      </c>
      <c r="I964" s="6" t="n"/>
      <c r="J964" s="6" t="n"/>
      <c r="K964">
        <f>IF(J964="","",J964-B964)</f>
        <v/>
      </c>
      <c r="L964">
        <f>IF(H964="Compliant","N/A",IF(J964&lt;&gt;"","Closed",IF(I964&lt;DATE(2026,9,30),"OVERDUE","Open")))</f>
        <v/>
      </c>
    </row>
    <row r="965">
      <c r="A965" t="inlineStr">
        <is>
          <t>INSP-2026-0964</t>
        </is>
      </c>
      <c r="B965" s="6" t="n">
        <v>46168</v>
      </c>
      <c r="C965" t="inlineStr">
        <is>
          <t>U-PI657-01-11</t>
        </is>
      </c>
      <c r="D965" t="inlineStr">
        <is>
          <t>Pasir Indah</t>
        </is>
      </c>
      <c r="E965" t="inlineStr">
        <is>
          <t>Daniel O.</t>
        </is>
      </c>
      <c r="F965" t="inlineStr">
        <is>
          <t>Routine</t>
        </is>
      </c>
      <c r="G965" t="inlineStr">
        <is>
          <t>NONE</t>
        </is>
      </c>
      <c r="H965" t="inlineStr">
        <is>
          <t>Compliant</t>
        </is>
      </c>
      <c r="I965" s="6" t="n"/>
      <c r="J965" s="6" t="n"/>
      <c r="K965">
        <f>IF(J965="","",J965-B965)</f>
        <v/>
      </c>
      <c r="L965">
        <f>IF(H965="Compliant","N/A",IF(J965&lt;&gt;"","Closed",IF(I965&lt;DATE(2026,9,30),"OVERDUE","Open")))</f>
        <v/>
      </c>
    </row>
    <row r="966">
      <c r="A966" t="inlineStr">
        <is>
          <t>INSP-2026-0965</t>
        </is>
      </c>
      <c r="B966" s="6" t="n">
        <v>46168</v>
      </c>
      <c r="C966" t="inlineStr">
        <is>
          <t>U-RH484-01-05</t>
        </is>
      </c>
      <c r="D966" t="inlineStr">
        <is>
          <t>Rimba Heights</t>
        </is>
      </c>
      <c r="E966" t="inlineStr">
        <is>
          <t>Daniel Ong</t>
        </is>
      </c>
      <c r="F966" t="inlineStr">
        <is>
          <t>Routine</t>
        </is>
      </c>
      <c r="G966" t="inlineStr">
        <is>
          <t>NONE</t>
        </is>
      </c>
      <c r="H966" t="inlineStr">
        <is>
          <t>Compliant</t>
        </is>
      </c>
      <c r="I966" s="6" t="n"/>
      <c r="J966" s="6" t="n"/>
      <c r="K966">
        <f>IF(J966="","",J966-B966)</f>
        <v/>
      </c>
      <c r="L966">
        <f>IF(H966="Compliant","N/A",IF(J966&lt;&gt;"","Closed",IF(I966&lt;DATE(2026,9,30),"OVERDUE","Open")))</f>
        <v/>
      </c>
    </row>
    <row r="967">
      <c r="A967" t="inlineStr">
        <is>
          <t>INSP-2026-0966</t>
        </is>
      </c>
      <c r="B967" s="6" t="n">
        <v>46168</v>
      </c>
      <c r="C967" t="inlineStr">
        <is>
          <t>U-ST593-01-07</t>
        </is>
      </c>
      <c r="D967" t="inlineStr">
        <is>
          <t>Sungai Tinggi</t>
        </is>
      </c>
      <c r="E967" t="inlineStr">
        <is>
          <t>Benjamin Ho</t>
        </is>
      </c>
      <c r="F967" t="inlineStr">
        <is>
          <t>Follow-up</t>
        </is>
      </c>
      <c r="G967" t="inlineStr">
        <is>
          <t>NONE</t>
        </is>
      </c>
      <c r="H967" t="inlineStr">
        <is>
          <t>Compliant</t>
        </is>
      </c>
      <c r="I967" s="6" t="n"/>
      <c r="J967" s="6" t="n"/>
      <c r="K967">
        <f>IF(J967="","",J967-B967)</f>
        <v/>
      </c>
      <c r="L967">
        <f>IF(H967="Compliant","N/A",IF(J967&lt;&gt;"","Closed",IF(I967&lt;DATE(2026,9,30),"OVERDUE","Open")))</f>
        <v/>
      </c>
    </row>
    <row r="968">
      <c r="A968" t="inlineStr">
        <is>
          <t>INSP-2026-0967</t>
        </is>
      </c>
      <c r="B968" s="6" t="n">
        <v>46168</v>
      </c>
      <c r="C968" t="inlineStr">
        <is>
          <t>U-BV219-01-08</t>
        </is>
      </c>
      <c r="D968" t="inlineStr">
        <is>
          <t>Bayshore Vale</t>
        </is>
      </c>
      <c r="E968" t="inlineStr">
        <is>
          <t>Daniel O.</t>
        </is>
      </c>
      <c r="F968" t="inlineStr">
        <is>
          <t>Routine</t>
        </is>
      </c>
      <c r="G968" t="inlineStr">
        <is>
          <t>NONE</t>
        </is>
      </c>
      <c r="H968" t="inlineStr">
        <is>
          <t>Compliant</t>
        </is>
      </c>
      <c r="I968" s="6" t="n"/>
      <c r="J968" s="6" t="n"/>
      <c r="K968">
        <f>IF(J968="","",J968-B968)</f>
        <v/>
      </c>
      <c r="L968">
        <f>IF(H968="Compliant","N/A",IF(J968&lt;&gt;"","Closed",IF(I968&lt;DATE(2026,9,30),"OVERDUE","Open")))</f>
        <v/>
      </c>
    </row>
    <row r="969">
      <c r="A969" t="inlineStr">
        <is>
          <t>INSP-2026-0968</t>
        </is>
      </c>
      <c r="B969" s="6" t="n">
        <v>46168</v>
      </c>
      <c r="C969" t="inlineStr">
        <is>
          <t>U-PI609-01-01</t>
        </is>
      </c>
      <c r="D969" t="inlineStr">
        <is>
          <t>Pasir Indah</t>
        </is>
      </c>
      <c r="E969" t="inlineStr">
        <is>
          <t>M. Lim</t>
        </is>
      </c>
      <c r="F969" t="inlineStr">
        <is>
          <t>Follow-up</t>
        </is>
      </c>
      <c r="G969" t="inlineStr">
        <is>
          <t>NONE</t>
        </is>
      </c>
      <c r="H969" t="inlineStr">
        <is>
          <t>Compliant</t>
        </is>
      </c>
      <c r="I969" s="6" t="n"/>
      <c r="J969" s="6" t="n"/>
      <c r="K969">
        <f>IF(J969="","",J969-B969)</f>
        <v/>
      </c>
      <c r="L969">
        <f>IF(H969="Compliant","N/A",IF(J969&lt;&gt;"","Closed",IF(I969&lt;DATE(2026,9,30),"OVERDUE","Open")))</f>
        <v/>
      </c>
    </row>
    <row r="970">
      <c r="A970" t="inlineStr">
        <is>
          <t>INSP-2026-0969</t>
        </is>
      </c>
      <c r="B970" s="6" t="n">
        <v>46168</v>
      </c>
      <c r="C970" t="inlineStr">
        <is>
          <t>U-RH420-01-03</t>
        </is>
      </c>
      <c r="D970" t="inlineStr">
        <is>
          <t>Rimba Heights</t>
        </is>
      </c>
      <c r="E970" t="inlineStr">
        <is>
          <t>B. Ho</t>
        </is>
      </c>
      <c r="F970" t="inlineStr">
        <is>
          <t>Routine</t>
        </is>
      </c>
      <c r="G970" t="inlineStr">
        <is>
          <t>NONE</t>
        </is>
      </c>
      <c r="H970" t="inlineStr">
        <is>
          <t>Compliant</t>
        </is>
      </c>
      <c r="I970" s="6" t="n"/>
      <c r="J970" s="6" t="n"/>
      <c r="K970">
        <f>IF(J970="","",J970-B970)</f>
        <v/>
      </c>
      <c r="L970">
        <f>IF(H970="Compliant","N/A",IF(J970&lt;&gt;"","Closed",IF(I970&lt;DATE(2026,9,30),"OVERDUE","Open")))</f>
        <v/>
      </c>
    </row>
    <row r="971">
      <c r="A971" t="inlineStr">
        <is>
          <t>INSP-2026-0970</t>
        </is>
      </c>
      <c r="B971" s="6" t="n">
        <v>46168</v>
      </c>
      <c r="C971" t="inlineStr">
        <is>
          <t>U-PI626-01-12</t>
        </is>
      </c>
      <c r="D971" t="inlineStr">
        <is>
          <t>Pasir Indah</t>
        </is>
      </c>
      <c r="E971" t="inlineStr">
        <is>
          <t>Marcus Lim</t>
        </is>
      </c>
      <c r="F971" t="inlineStr">
        <is>
          <t>Complaint-driven</t>
        </is>
      </c>
      <c r="G971" t="inlineStr">
        <is>
          <t>NONE</t>
        </is>
      </c>
      <c r="H971" t="inlineStr">
        <is>
          <t>Compliant</t>
        </is>
      </c>
      <c r="I971" s="6" t="n"/>
      <c r="J971" s="6" t="n"/>
      <c r="K971">
        <f>IF(J971="","",J971-B971)</f>
        <v/>
      </c>
      <c r="L971">
        <f>IF(H971="Compliant","N/A",IF(J971&lt;&gt;"","Closed",IF(I971&lt;DATE(2026,9,30),"OVERDUE","Open")))</f>
        <v/>
      </c>
    </row>
    <row r="972">
      <c r="A972" t="inlineStr">
        <is>
          <t>INSP-2026-0971</t>
        </is>
      </c>
      <c r="B972" s="6" t="n">
        <v>46168</v>
      </c>
      <c r="C972" t="inlineStr">
        <is>
          <t>U-CD136-01-05</t>
        </is>
      </c>
      <c r="D972" t="inlineStr">
        <is>
          <t>Cendana</t>
        </is>
      </c>
      <c r="E972" t="inlineStr">
        <is>
          <t>Daniel Ong</t>
        </is>
      </c>
      <c r="F972" t="inlineStr">
        <is>
          <t>Routine</t>
        </is>
      </c>
      <c r="G972" t="inlineStr">
        <is>
          <t>NONE</t>
        </is>
      </c>
      <c r="H972" t="inlineStr">
        <is>
          <t>Compliant</t>
        </is>
      </c>
      <c r="I972" s="6" t="n"/>
      <c r="J972" s="6" t="n"/>
      <c r="K972">
        <f>IF(J972="","",J972-B972)</f>
        <v/>
      </c>
      <c r="L972">
        <f>IF(H972="Compliant","N/A",IF(J972&lt;&gt;"","Closed",IF(I972&lt;DATE(2026,9,30),"OVERDUE","Open")))</f>
        <v/>
      </c>
    </row>
    <row r="973">
      <c r="A973" t="inlineStr">
        <is>
          <t>INSP-2026-0972</t>
        </is>
      </c>
      <c r="B973" s="6" t="n">
        <v>46168</v>
      </c>
      <c r="C973" t="inlineStr">
        <is>
          <t>U-KR385-01-05</t>
        </is>
      </c>
      <c r="D973" t="inlineStr">
        <is>
          <t>Kebun Raya</t>
        </is>
      </c>
      <c r="E973" t="inlineStr">
        <is>
          <t>D. Ong</t>
        </is>
      </c>
      <c r="F973" t="inlineStr">
        <is>
          <t>Routine</t>
        </is>
      </c>
      <c r="G973" t="inlineStr">
        <is>
          <t>NONE</t>
        </is>
      </c>
      <c r="H973" t="inlineStr">
        <is>
          <t>Compliant</t>
        </is>
      </c>
      <c r="I973" s="6" t="n"/>
      <c r="J973" s="6" t="n"/>
      <c r="K973">
        <f>IF(J973="","",J973-B973)</f>
        <v/>
      </c>
      <c r="L973">
        <f>IF(H973="Compliant","N/A",IF(J973&lt;&gt;"","Closed",IF(I973&lt;DATE(2026,9,30),"OVERDUE","Open")))</f>
        <v/>
      </c>
    </row>
    <row r="974">
      <c r="A974" t="inlineStr">
        <is>
          <t>INSP-2026-0973</t>
        </is>
      </c>
      <c r="B974" s="6" t="n">
        <v>46168</v>
      </c>
      <c r="C974" t="inlineStr">
        <is>
          <t>U-KR385-01-08</t>
        </is>
      </c>
      <c r="D974" t="inlineStr">
        <is>
          <t>Kebun Raya</t>
        </is>
      </c>
      <c r="E974" t="inlineStr">
        <is>
          <t>Benjamin Ho</t>
        </is>
      </c>
      <c r="F974" t="inlineStr">
        <is>
          <t>Routine</t>
        </is>
      </c>
      <c r="G974" t="inlineStr">
        <is>
          <t>NONE</t>
        </is>
      </c>
      <c r="H974" t="inlineStr">
        <is>
          <t>Compliant</t>
        </is>
      </c>
      <c r="I974" s="6" t="n"/>
      <c r="J974" s="6" t="n"/>
      <c r="K974">
        <f>IF(J974="","",J974-B974)</f>
        <v/>
      </c>
      <c r="L974">
        <f>IF(H974="Compliant","N/A",IF(J974&lt;&gt;"","Closed",IF(I974&lt;DATE(2026,9,30),"OVERDUE","Open")))</f>
        <v/>
      </c>
    </row>
    <row r="975">
      <c r="A975" t="inlineStr">
        <is>
          <t>INSP-2026-0974</t>
        </is>
      </c>
      <c r="B975" s="6" t="n">
        <v>46168</v>
      </c>
      <c r="C975" t="inlineStr">
        <is>
          <t>U-CD118-01-22</t>
        </is>
      </c>
      <c r="D975" t="inlineStr">
        <is>
          <t>Cendana</t>
        </is>
      </c>
      <c r="E975" t="inlineStr">
        <is>
          <t>M. Lim</t>
        </is>
      </c>
      <c r="F975" t="inlineStr">
        <is>
          <t>Routine</t>
        </is>
      </c>
      <c r="G975" t="inlineStr">
        <is>
          <t>UNAPPROVED_AA</t>
        </is>
      </c>
      <c r="H975" t="inlineStr">
        <is>
          <t>Minor Breach</t>
        </is>
      </c>
      <c r="I975" s="6" t="n">
        <v>46182</v>
      </c>
      <c r="J975" s="6" t="n">
        <v>46190</v>
      </c>
      <c r="K975">
        <f>IF(J975="","",J975-B975)</f>
        <v/>
      </c>
      <c r="L975">
        <f>IF(H975="Compliant","N/A",IF(J975&lt;&gt;"","Closed",IF(I975&lt;DATE(2026,9,30),"OVERDUE","Open")))</f>
        <v/>
      </c>
    </row>
    <row r="976">
      <c r="A976" t="inlineStr">
        <is>
          <t>INSP-2026-0975</t>
        </is>
      </c>
      <c r="B976" s="6" t="n">
        <v>46169</v>
      </c>
      <c r="C976" t="inlineStr">
        <is>
          <t>U-CD118-01-28</t>
        </is>
      </c>
      <c r="D976" t="inlineStr">
        <is>
          <t>Cendana</t>
        </is>
      </c>
      <c r="E976" t="inlineStr">
        <is>
          <t>Daniel Ong</t>
        </is>
      </c>
      <c r="F976" t="inlineStr">
        <is>
          <t>Routine</t>
        </is>
      </c>
      <c r="G976" t="inlineStr">
        <is>
          <t>NONE</t>
        </is>
      </c>
      <c r="H976" t="inlineStr">
        <is>
          <t>Compliant</t>
        </is>
      </c>
      <c r="I976" s="6" t="n"/>
      <c r="J976" s="6" t="n"/>
      <c r="K976">
        <f>IF(J976="","",J976-B976)</f>
        <v/>
      </c>
      <c r="L976">
        <f>IF(H976="Compliant","N/A",IF(J976&lt;&gt;"","Closed",IF(I976&lt;DATE(2026,9,30),"OVERDUE","Open")))</f>
        <v/>
      </c>
    </row>
    <row r="977">
      <c r="A977" t="inlineStr">
        <is>
          <t>INSP-2026-0976</t>
        </is>
      </c>
      <c r="B977" s="6" t="n">
        <v>46169</v>
      </c>
      <c r="C977" t="inlineStr">
        <is>
          <t>U-PI668-01-08</t>
        </is>
      </c>
      <c r="D977" t="inlineStr">
        <is>
          <t>Pasir Indah</t>
        </is>
      </c>
      <c r="E977" t="inlineStr">
        <is>
          <t>D. Ong</t>
        </is>
      </c>
      <c r="F977" t="inlineStr">
        <is>
          <t>Routine</t>
        </is>
      </c>
      <c r="G977" t="inlineStr">
        <is>
          <t>HYGIENE</t>
        </is>
      </c>
      <c r="H977" t="inlineStr">
        <is>
          <t>Minor Breach</t>
        </is>
      </c>
      <c r="I977" s="6" t="n">
        <v>46183</v>
      </c>
      <c r="J977" s="6" t="n">
        <v>46180</v>
      </c>
      <c r="K977">
        <f>IF(J977="","",J977-B977)</f>
        <v/>
      </c>
      <c r="L977">
        <f>IF(H977="Compliant","N/A",IF(J977&lt;&gt;"","Closed",IF(I977&lt;DATE(2026,9,30),"OVERDUE","Open")))</f>
        <v/>
      </c>
    </row>
    <row r="978">
      <c r="A978" t="inlineStr">
        <is>
          <t>INSP-2026-0977</t>
        </is>
      </c>
      <c r="B978" s="6" t="n">
        <v>46169</v>
      </c>
      <c r="C978" t="inlineStr">
        <is>
          <t>U-RH464-02-07</t>
        </is>
      </c>
      <c r="D978" t="inlineStr">
        <is>
          <t>Rimba Heights</t>
        </is>
      </c>
      <c r="E978" t="inlineStr">
        <is>
          <t>Daniel O.</t>
        </is>
      </c>
      <c r="F978" t="inlineStr">
        <is>
          <t>Routine</t>
        </is>
      </c>
      <c r="G978" t="inlineStr">
        <is>
          <t>NONE</t>
        </is>
      </c>
      <c r="H978" t="inlineStr">
        <is>
          <t>Compliant</t>
        </is>
      </c>
      <c r="I978" s="6" t="n"/>
      <c r="J978" s="6" t="n"/>
      <c r="K978">
        <f>IF(J978="","",J978-B978)</f>
        <v/>
      </c>
      <c r="L978">
        <f>IF(H978="Compliant","N/A",IF(J978&lt;&gt;"","Closed",IF(I978&lt;DATE(2026,9,30),"OVERDUE","Open")))</f>
        <v/>
      </c>
    </row>
    <row r="979">
      <c r="A979" t="inlineStr">
        <is>
          <t>INSP-2026-0978</t>
        </is>
      </c>
      <c r="B979" s="6" t="n">
        <v>46169</v>
      </c>
      <c r="C979" t="inlineStr">
        <is>
          <t>U-PI668-01-04</t>
        </is>
      </c>
      <c r="D979" t="inlineStr">
        <is>
          <t>Pasir Indah</t>
        </is>
      </c>
      <c r="E979" t="inlineStr">
        <is>
          <t>Daniel Ong</t>
        </is>
      </c>
      <c r="F979" t="inlineStr">
        <is>
          <t>Routine</t>
        </is>
      </c>
      <c r="G979" t="inlineStr">
        <is>
          <t>NONE</t>
        </is>
      </c>
      <c r="H979" t="inlineStr">
        <is>
          <t>Compliant</t>
        </is>
      </c>
      <c r="I979" s="6" t="n"/>
      <c r="J979" s="6" t="n"/>
      <c r="K979">
        <f>IF(J979="","",J979-B979)</f>
        <v/>
      </c>
      <c r="L979">
        <f>IF(H979="Compliant","N/A",IF(J979&lt;&gt;"","Closed",IF(I979&lt;DATE(2026,9,30),"OVERDUE","Open")))</f>
        <v/>
      </c>
    </row>
    <row r="980">
      <c r="A980" t="inlineStr">
        <is>
          <t>INSP-2026-0979</t>
        </is>
      </c>
      <c r="B980" s="6" t="n">
        <v>46169</v>
      </c>
      <c r="C980" t="inlineStr">
        <is>
          <t>U-BV279-01-08</t>
        </is>
      </c>
      <c r="D980" t="inlineStr">
        <is>
          <t>Bayshore Vale</t>
        </is>
      </c>
      <c r="E980" t="inlineStr">
        <is>
          <t>daniel ong</t>
        </is>
      </c>
      <c r="F980" t="inlineStr">
        <is>
          <t>Complaint-driven</t>
        </is>
      </c>
      <c r="G980" t="inlineStr">
        <is>
          <t>NONE</t>
        </is>
      </c>
      <c r="H980" t="inlineStr">
        <is>
          <t>Compliant</t>
        </is>
      </c>
      <c r="I980" s="6" t="n"/>
      <c r="J980" s="6" t="n"/>
      <c r="K980">
        <f>IF(J980="","",J980-B980)</f>
        <v/>
      </c>
      <c r="L980">
        <f>IF(H980="Compliant","N/A",IF(J980&lt;&gt;"","Closed",IF(I980&lt;DATE(2026,9,30),"OVERDUE","Open")))</f>
        <v/>
      </c>
    </row>
    <row r="981">
      <c r="A981" t="inlineStr">
        <is>
          <t>INSP-2026-0980</t>
        </is>
      </c>
      <c r="B981" s="6" t="n">
        <v>46169</v>
      </c>
      <c r="C981" t="inlineStr">
        <is>
          <t>U-ST564-01-03</t>
        </is>
      </c>
      <c r="D981" t="inlineStr">
        <is>
          <t>Sungai Tinggi</t>
        </is>
      </c>
      <c r="E981" t="inlineStr">
        <is>
          <t>Daniel O.</t>
        </is>
      </c>
      <c r="F981" t="inlineStr">
        <is>
          <t>Complaint-driven</t>
        </is>
      </c>
      <c r="G981" t="inlineStr">
        <is>
          <t>STRUCTURAL_DEFECT</t>
        </is>
      </c>
      <c r="H981" t="inlineStr">
        <is>
          <t>Major Breach</t>
        </is>
      </c>
      <c r="I981" s="6" t="n">
        <v>46176</v>
      </c>
      <c r="J981" s="6" t="n">
        <v>46174</v>
      </c>
      <c r="K981">
        <f>IF(J981="","",J981-B981)</f>
        <v/>
      </c>
      <c r="L981">
        <f>IF(H981="Compliant","N/A",IF(J981&lt;&gt;"","Closed",IF(I981&lt;DATE(2026,9,30),"OVERDUE","Open")))</f>
        <v/>
      </c>
    </row>
    <row r="982">
      <c r="A982" t="inlineStr">
        <is>
          <t>INSP-2026-0981</t>
        </is>
      </c>
      <c r="B982" s="6" t="n">
        <v>46170</v>
      </c>
      <c r="C982" t="inlineStr">
        <is>
          <t>U-KR318-01-01</t>
        </is>
      </c>
      <c r="D982" t="inlineStr">
        <is>
          <t>Kebun Raya</t>
        </is>
      </c>
      <c r="E982" t="inlineStr">
        <is>
          <t>D. Ong</t>
        </is>
      </c>
      <c r="F982" t="inlineStr">
        <is>
          <t>Routine</t>
        </is>
      </c>
      <c r="G982" t="inlineStr">
        <is>
          <t>UNAUTH_TRADE</t>
        </is>
      </c>
      <c r="H982" t="inlineStr">
        <is>
          <t>Major Breach</t>
        </is>
      </c>
      <c r="I982" s="6" t="n">
        <v>46177</v>
      </c>
      <c r="J982" s="6" t="n">
        <v>46174</v>
      </c>
      <c r="K982">
        <f>IF(J982="","",J982-B982)</f>
        <v/>
      </c>
      <c r="L982">
        <f>IF(H982="Compliant","N/A",IF(J982&lt;&gt;"","Closed",IF(I982&lt;DATE(2026,9,30),"OVERDUE","Open")))</f>
        <v/>
      </c>
    </row>
    <row r="983">
      <c r="A983" t="inlineStr">
        <is>
          <t>INSP-2026-0982</t>
        </is>
      </c>
      <c r="B983" s="6" t="n">
        <v>46170</v>
      </c>
      <c r="C983" t="inlineStr">
        <is>
          <t>U-KR385-01-04</t>
        </is>
      </c>
      <c r="D983" t="inlineStr">
        <is>
          <t>Kebun Raya</t>
        </is>
      </c>
      <c r="E983" t="inlineStr">
        <is>
          <t>Daniel O.</t>
        </is>
      </c>
      <c r="F983" t="inlineStr">
        <is>
          <t>Routine</t>
        </is>
      </c>
      <c r="G983" t="inlineStr">
        <is>
          <t>DISPLAY_ENCROACH</t>
        </is>
      </c>
      <c r="H983" t="inlineStr">
        <is>
          <t>Minor Breach</t>
        </is>
      </c>
      <c r="I983" s="6" t="n">
        <v>46184</v>
      </c>
      <c r="J983" s="6" t="n">
        <v>46181</v>
      </c>
      <c r="K983">
        <f>IF(J983="","",J983-B983)</f>
        <v/>
      </c>
      <c r="L983">
        <f>IF(H983="Compliant","N/A",IF(J983&lt;&gt;"","Closed",IF(I983&lt;DATE(2026,9,30),"OVERDUE","Open")))</f>
        <v/>
      </c>
    </row>
    <row r="984">
      <c r="A984" t="inlineStr">
        <is>
          <t>INSP-2026-0983</t>
        </is>
      </c>
      <c r="B984" s="6" t="n">
        <v>46170</v>
      </c>
      <c r="C984" t="inlineStr">
        <is>
          <t>U-BV214-01-31</t>
        </is>
      </c>
      <c r="D984" t="inlineStr">
        <is>
          <t>Bayshore Vale</t>
        </is>
      </c>
      <c r="E984" t="inlineStr">
        <is>
          <t>Marcus Lim</t>
        </is>
      </c>
      <c r="F984" t="inlineStr">
        <is>
          <t>Routine</t>
        </is>
      </c>
      <c r="G984" t="inlineStr">
        <is>
          <t>STRUCTURAL_DEFECT</t>
        </is>
      </c>
      <c r="H984" t="inlineStr">
        <is>
          <t>Major Breach</t>
        </is>
      </c>
      <c r="I984" s="6" t="n">
        <v>46177</v>
      </c>
      <c r="J984" s="6" t="n">
        <v>46174</v>
      </c>
      <c r="K984">
        <f>IF(J984="","",J984-B984)</f>
        <v/>
      </c>
      <c r="L984">
        <f>IF(H984="Compliant","N/A",IF(J984&lt;&gt;"","Closed",IF(I984&lt;DATE(2026,9,30),"OVERDUE","Open")))</f>
        <v/>
      </c>
    </row>
    <row r="985">
      <c r="A985" t="inlineStr">
        <is>
          <t>INSP-2026-0984</t>
        </is>
      </c>
      <c r="B985" s="6" t="n">
        <v>46170</v>
      </c>
      <c r="C985" t="inlineStr">
        <is>
          <t>U-PI667-01-11</t>
        </is>
      </c>
      <c r="D985" t="inlineStr">
        <is>
          <t>Pasir Indah</t>
        </is>
      </c>
      <c r="E985" t="inlineStr">
        <is>
          <t>daniel ong</t>
        </is>
      </c>
      <c r="F985" t="inlineStr">
        <is>
          <t>Routine</t>
        </is>
      </c>
      <c r="G985" t="inlineStr">
        <is>
          <t>UNAPPROVED_AA</t>
        </is>
      </c>
      <c r="H985" t="inlineStr">
        <is>
          <t>Minor Breach</t>
        </is>
      </c>
      <c r="I985" s="6" t="n">
        <v>46184</v>
      </c>
      <c r="J985" s="6" t="n">
        <v>46189</v>
      </c>
      <c r="K985">
        <f>IF(J985="","",J985-B985)</f>
        <v/>
      </c>
      <c r="L985">
        <f>IF(H985="Compliant","N/A",IF(J985&lt;&gt;"","Closed",IF(I985&lt;DATE(2026,9,30),"OVERDUE","Open")))</f>
        <v/>
      </c>
    </row>
    <row r="986">
      <c r="A986" t="inlineStr">
        <is>
          <t>INSP-2026-0985</t>
        </is>
      </c>
      <c r="B986" s="6" t="n">
        <v>46170</v>
      </c>
      <c r="C986" t="inlineStr">
        <is>
          <t>U-RH466-01-09</t>
        </is>
      </c>
      <c r="D986" t="inlineStr">
        <is>
          <t>Rimba Heights</t>
        </is>
      </c>
      <c r="E986" t="inlineStr">
        <is>
          <t>Benjamin Ho</t>
        </is>
      </c>
      <c r="F986" t="inlineStr">
        <is>
          <t>Routine</t>
        </is>
      </c>
      <c r="G986" t="inlineStr">
        <is>
          <t>NONE</t>
        </is>
      </c>
      <c r="H986" t="inlineStr">
        <is>
          <t>Compliant</t>
        </is>
      </c>
      <c r="I986" s="6" t="n"/>
      <c r="J986" s="6" t="n"/>
      <c r="K986">
        <f>IF(J986="","",J986-B986)</f>
        <v/>
      </c>
      <c r="L986">
        <f>IF(H986="Compliant","N/A",IF(J986&lt;&gt;"","Closed",IF(I986&lt;DATE(2026,9,30),"OVERDUE","Open")))</f>
        <v/>
      </c>
    </row>
    <row r="987">
      <c r="A987" t="inlineStr">
        <is>
          <t>INSP-2026-0986</t>
        </is>
      </c>
      <c r="B987" s="6" t="n">
        <v>46171</v>
      </c>
      <c r="C987" t="inlineStr">
        <is>
          <t>U-PI696-01-11</t>
        </is>
      </c>
      <c r="D987" t="inlineStr">
        <is>
          <t>Pasir Indah</t>
        </is>
      </c>
      <c r="E987" t="inlineStr">
        <is>
          <t>Daniel O.</t>
        </is>
      </c>
      <c r="F987" t="inlineStr">
        <is>
          <t>Routine</t>
        </is>
      </c>
      <c r="G987" t="inlineStr">
        <is>
          <t>NONE</t>
        </is>
      </c>
      <c r="H987" t="inlineStr">
        <is>
          <t>Compliant</t>
        </is>
      </c>
      <c r="I987" s="6" t="n"/>
      <c r="J987" s="6" t="n"/>
      <c r="K987">
        <f>IF(J987="","",J987-B987)</f>
        <v/>
      </c>
      <c r="L987">
        <f>IF(H987="Compliant","N/A",IF(J987&lt;&gt;"","Closed",IF(I987&lt;DATE(2026,9,30),"OVERDUE","Open")))</f>
        <v/>
      </c>
    </row>
    <row r="988">
      <c r="A988" t="inlineStr">
        <is>
          <t>INSP-2026-0987</t>
        </is>
      </c>
      <c r="B988" s="6" t="n">
        <v>46171</v>
      </c>
      <c r="C988" t="inlineStr">
        <is>
          <t>U-BV214-01-05</t>
        </is>
      </c>
      <c r="D988" t="inlineStr">
        <is>
          <t>Bayshore Vale</t>
        </is>
      </c>
      <c r="E988" t="inlineStr">
        <is>
          <t>Daniel Ong</t>
        </is>
      </c>
      <c r="F988" t="inlineStr">
        <is>
          <t>Routine</t>
        </is>
      </c>
      <c r="G988" t="inlineStr">
        <is>
          <t>NONE</t>
        </is>
      </c>
      <c r="H988" t="inlineStr">
        <is>
          <t>Compliant</t>
        </is>
      </c>
      <c r="I988" s="6" t="n"/>
      <c r="J988" s="6" t="n"/>
      <c r="K988">
        <f>IF(J988="","",J988-B988)</f>
        <v/>
      </c>
      <c r="L988">
        <f>IF(H988="Compliant","N/A",IF(J988&lt;&gt;"","Closed",IF(I988&lt;DATE(2026,9,30),"OVERDUE","Open")))</f>
        <v/>
      </c>
    </row>
    <row r="989">
      <c r="A989" t="inlineStr">
        <is>
          <t>INSP-2026-0988</t>
        </is>
      </c>
      <c r="B989" s="6" t="n">
        <v>46171</v>
      </c>
      <c r="C989" t="inlineStr">
        <is>
          <t>U-BV266-01-09</t>
        </is>
      </c>
      <c r="D989" t="inlineStr">
        <is>
          <t>Bayshore Vale</t>
        </is>
      </c>
      <c r="E989" t="inlineStr">
        <is>
          <t>M. Lim</t>
        </is>
      </c>
      <c r="F989" t="inlineStr">
        <is>
          <t>Routine</t>
        </is>
      </c>
      <c r="G989" t="inlineStr">
        <is>
          <t>HYGIENE</t>
        </is>
      </c>
      <c r="H989" t="inlineStr">
        <is>
          <t>Minor Breach</t>
        </is>
      </c>
      <c r="I989" s="6" t="n">
        <v>46185</v>
      </c>
      <c r="J989" s="6" t="n">
        <v>46188</v>
      </c>
      <c r="K989">
        <f>IF(J989="","",J989-B989)</f>
        <v/>
      </c>
      <c r="L989">
        <f>IF(H989="Compliant","N/A",IF(J989&lt;&gt;"","Closed",IF(I989&lt;DATE(2026,9,30),"OVERDUE","Open")))</f>
        <v/>
      </c>
    </row>
    <row r="990">
      <c r="A990" t="inlineStr">
        <is>
          <t>INSP-2026-0989</t>
        </is>
      </c>
      <c r="B990" s="6" t="n">
        <v>46171</v>
      </c>
      <c r="C990" t="inlineStr">
        <is>
          <t>U-CD189-01-02</t>
        </is>
      </c>
      <c r="D990" t="inlineStr">
        <is>
          <t>Cendana</t>
        </is>
      </c>
      <c r="E990" t="inlineStr">
        <is>
          <t>daniel ong</t>
        </is>
      </c>
      <c r="F990" t="inlineStr">
        <is>
          <t>Routine</t>
        </is>
      </c>
      <c r="G990" t="inlineStr">
        <is>
          <t>UNAUTH_SUBLET</t>
        </is>
      </c>
      <c r="H990" t="inlineStr">
        <is>
          <t>Major Breach</t>
        </is>
      </c>
      <c r="I990" s="6" t="n">
        <v>46178</v>
      </c>
      <c r="J990" s="6" t="n">
        <v>46178</v>
      </c>
      <c r="K990">
        <f>IF(J990="","",J990-B990)</f>
        <v/>
      </c>
      <c r="L990">
        <f>IF(H990="Compliant","N/A",IF(J990&lt;&gt;"","Closed",IF(I990&lt;DATE(2026,9,30),"OVERDUE","Open")))</f>
        <v/>
      </c>
    </row>
    <row r="991">
      <c r="A991" t="inlineStr">
        <is>
          <t>INSP-2026-0990</t>
        </is>
      </c>
      <c r="B991" s="6" t="n">
        <v>46171</v>
      </c>
      <c r="C991" t="inlineStr">
        <is>
          <t>U-ST522-01-01</t>
        </is>
      </c>
      <c r="D991" t="inlineStr">
        <is>
          <t>Sungai Tinggi</t>
        </is>
      </c>
      <c r="E991" t="inlineStr">
        <is>
          <t>D. Ong</t>
        </is>
      </c>
      <c r="F991" t="inlineStr">
        <is>
          <t>Routine</t>
        </is>
      </c>
      <c r="G991" t="inlineStr">
        <is>
          <t>NONE</t>
        </is>
      </c>
      <c r="H991" t="inlineStr">
        <is>
          <t>Compliant</t>
        </is>
      </c>
      <c r="I991" s="6" t="n"/>
      <c r="J991" s="6" t="n"/>
      <c r="K991">
        <f>IF(J991="","",J991-B991)</f>
        <v/>
      </c>
      <c r="L991">
        <f>IF(H991="Compliant","N/A",IF(J991&lt;&gt;"","Closed",IF(I991&lt;DATE(2026,9,30),"OVERDUE","Open")))</f>
        <v/>
      </c>
    </row>
    <row r="992">
      <c r="A992" t="inlineStr">
        <is>
          <t>INSP-2026-0991</t>
        </is>
      </c>
      <c r="B992" s="6" t="n">
        <v>46171</v>
      </c>
      <c r="C992" t="inlineStr">
        <is>
          <t>U-CD136-01-12</t>
        </is>
      </c>
      <c r="D992" t="inlineStr">
        <is>
          <t>Cendana</t>
        </is>
      </c>
      <c r="E992" t="inlineStr">
        <is>
          <t>Daniel Ong</t>
        </is>
      </c>
      <c r="F992" t="inlineStr">
        <is>
          <t>Complaint-driven</t>
        </is>
      </c>
      <c r="G992" t="inlineStr">
        <is>
          <t>NONE</t>
        </is>
      </c>
      <c r="H992" t="inlineStr">
        <is>
          <t>Compliant</t>
        </is>
      </c>
      <c r="I992" s="6" t="n"/>
      <c r="J992" s="6" t="n"/>
      <c r="K992">
        <f>IF(J992="","",J992-B992)</f>
        <v/>
      </c>
      <c r="L992">
        <f>IF(H992="Compliant","N/A",IF(J992&lt;&gt;"","Closed",IF(I992&lt;DATE(2026,9,30),"OVERDUE","Open")))</f>
        <v/>
      </c>
    </row>
    <row r="993">
      <c r="A993" t="inlineStr">
        <is>
          <t>INSP-2026-0992</t>
        </is>
      </c>
      <c r="B993" s="6" t="n">
        <v>46171</v>
      </c>
      <c r="C993" t="inlineStr">
        <is>
          <t>U-RH428-01-07</t>
        </is>
      </c>
      <c r="D993" t="inlineStr">
        <is>
          <t>Rimba Heights</t>
        </is>
      </c>
      <c r="E993" t="inlineStr">
        <is>
          <t>daniel ong</t>
        </is>
      </c>
      <c r="F993" t="inlineStr">
        <is>
          <t>Routine</t>
        </is>
      </c>
      <c r="G993" t="inlineStr">
        <is>
          <t>NONE</t>
        </is>
      </c>
      <c r="H993" t="inlineStr">
        <is>
          <t>Compliant</t>
        </is>
      </c>
      <c r="I993" s="6" t="n"/>
      <c r="J993" s="6" t="n"/>
      <c r="K993">
        <f>IF(J993="","",J993-B993)</f>
        <v/>
      </c>
      <c r="L993">
        <f>IF(H993="Compliant","N/A",IF(J993&lt;&gt;"","Closed",IF(I993&lt;DATE(2026,9,30),"OVERDUE","Open")))</f>
        <v/>
      </c>
    </row>
    <row r="994">
      <c r="A994" t="inlineStr">
        <is>
          <t>INSP-2026-0993</t>
        </is>
      </c>
      <c r="B994" s="6" t="n">
        <v>46172</v>
      </c>
      <c r="C994" t="inlineStr">
        <is>
          <t>U-BV290-01-02</t>
        </is>
      </c>
      <c r="D994" t="inlineStr">
        <is>
          <t>Bayshore Vale</t>
        </is>
      </c>
      <c r="E994" t="inlineStr">
        <is>
          <t>D. Ong</t>
        </is>
      </c>
      <c r="F994" t="inlineStr">
        <is>
          <t>Follow-up</t>
        </is>
      </c>
      <c r="G994" t="inlineStr">
        <is>
          <t>NONE</t>
        </is>
      </c>
      <c r="H994" t="inlineStr">
        <is>
          <t>Compliant</t>
        </is>
      </c>
      <c r="I994" s="6" t="n"/>
      <c r="J994" s="6" t="n"/>
      <c r="K994">
        <f>IF(J994="","",J994-B994)</f>
        <v/>
      </c>
      <c r="L994">
        <f>IF(H994="Compliant","N/A",IF(J994&lt;&gt;"","Closed",IF(I994&lt;DATE(2026,9,30),"OVERDUE","Open")))</f>
        <v/>
      </c>
    </row>
    <row r="995">
      <c r="A995" t="inlineStr">
        <is>
          <t>INSP-2026-0994</t>
        </is>
      </c>
      <c r="B995" s="6" t="n">
        <v>46172</v>
      </c>
      <c r="C995" t="inlineStr">
        <is>
          <t>U-RH476-01-05</t>
        </is>
      </c>
      <c r="D995" t="inlineStr">
        <is>
          <t>Rimba Heights</t>
        </is>
      </c>
      <c r="E995" t="inlineStr">
        <is>
          <t>Daniel O.</t>
        </is>
      </c>
      <c r="F995" t="inlineStr">
        <is>
          <t>Routine</t>
        </is>
      </c>
      <c r="G995" t="inlineStr">
        <is>
          <t>HYGIENE</t>
        </is>
      </c>
      <c r="H995" t="inlineStr">
        <is>
          <t>Minor Breach</t>
        </is>
      </c>
      <c r="I995" s="6" t="n">
        <v>46186</v>
      </c>
      <c r="J995" s="6" t="n">
        <v>46184</v>
      </c>
      <c r="K995">
        <f>IF(J995="","",J995-B995)</f>
        <v/>
      </c>
      <c r="L995">
        <f>IF(H995="Compliant","N/A",IF(J995&lt;&gt;"","Closed",IF(I995&lt;DATE(2026,9,30),"OVERDUE","Open")))</f>
        <v/>
      </c>
    </row>
    <row r="996">
      <c r="A996" t="inlineStr">
        <is>
          <t>INSP-2026-0995</t>
        </is>
      </c>
      <c r="B996" s="6" t="n">
        <v>46172</v>
      </c>
      <c r="C996" t="inlineStr">
        <is>
          <t>U-CD118-01-06</t>
        </is>
      </c>
      <c r="D996" t="inlineStr">
        <is>
          <t>Cendana</t>
        </is>
      </c>
      <c r="E996" t="inlineStr">
        <is>
          <t>Daniel Ong</t>
        </is>
      </c>
      <c r="F996" t="inlineStr">
        <is>
          <t>Follow-up</t>
        </is>
      </c>
      <c r="G996" t="inlineStr">
        <is>
          <t>NONE</t>
        </is>
      </c>
      <c r="H996" t="inlineStr">
        <is>
          <t>Compliant</t>
        </is>
      </c>
      <c r="I996" s="6" t="n"/>
      <c r="J996" s="6" t="n"/>
      <c r="K996">
        <f>IF(J996="","",J996-B996)</f>
        <v/>
      </c>
      <c r="L996">
        <f>IF(H996="Compliant","N/A",IF(J996&lt;&gt;"","Closed",IF(I996&lt;DATE(2026,9,30),"OVERDUE","Open")))</f>
        <v/>
      </c>
    </row>
    <row r="997">
      <c r="A997" t="inlineStr">
        <is>
          <t>INSP-2026-0996</t>
        </is>
      </c>
      <c r="B997" s="6" t="n">
        <v>46172</v>
      </c>
      <c r="C997" t="inlineStr">
        <is>
          <t>U-PI627-02-28</t>
        </is>
      </c>
      <c r="D997" t="inlineStr">
        <is>
          <t>Pasir Indah</t>
        </is>
      </c>
      <c r="E997" t="inlineStr">
        <is>
          <t>M. Lim</t>
        </is>
      </c>
      <c r="F997" t="inlineStr">
        <is>
          <t>Routine</t>
        </is>
      </c>
      <c r="G997" t="inlineStr">
        <is>
          <t>NONE</t>
        </is>
      </c>
      <c r="H997" t="inlineStr">
        <is>
          <t>Compliant</t>
        </is>
      </c>
      <c r="I997" s="6" t="n"/>
      <c r="J997" s="6" t="n"/>
      <c r="K997">
        <f>IF(J997="","",J997-B997)</f>
        <v/>
      </c>
      <c r="L997">
        <f>IF(H997="Compliant","N/A",IF(J997&lt;&gt;"","Closed",IF(I997&lt;DATE(2026,9,30),"OVERDUE","Open")))</f>
        <v/>
      </c>
    </row>
    <row r="998">
      <c r="A998" t="inlineStr">
        <is>
          <t>INSP-2026-0997</t>
        </is>
      </c>
      <c r="B998" s="6" t="n">
        <v>46172</v>
      </c>
      <c r="C998" t="inlineStr">
        <is>
          <t>U-BV205-01-10</t>
        </is>
      </c>
      <c r="D998" t="inlineStr">
        <is>
          <t>Bayshore Vale</t>
        </is>
      </c>
      <c r="E998" t="inlineStr">
        <is>
          <t>Daniel Ong</t>
        </is>
      </c>
      <c r="F998" t="inlineStr">
        <is>
          <t>Routine</t>
        </is>
      </c>
      <c r="G998" t="inlineStr">
        <is>
          <t>NONE</t>
        </is>
      </c>
      <c r="H998" t="inlineStr">
        <is>
          <t>Compliant</t>
        </is>
      </c>
      <c r="I998" s="6" t="n"/>
      <c r="J998" s="6" t="n"/>
      <c r="K998">
        <f>IF(J998="","",J998-B998)</f>
        <v/>
      </c>
      <c r="L998">
        <f>IF(H998="Compliant","N/A",IF(J998&lt;&gt;"","Closed",IF(I998&lt;DATE(2026,9,30),"OVERDUE","Open")))</f>
        <v/>
      </c>
    </row>
    <row r="999">
      <c r="A999" t="inlineStr">
        <is>
          <t>INSP-2026-0998</t>
        </is>
      </c>
      <c r="B999" s="6" t="n">
        <v>46172</v>
      </c>
      <c r="C999" t="inlineStr">
        <is>
          <t>U-RH425-01-03</t>
        </is>
      </c>
      <c r="D999" t="inlineStr">
        <is>
          <t>Rimba Heights</t>
        </is>
      </c>
      <c r="E999" t="inlineStr">
        <is>
          <t>Daniel Ong</t>
        </is>
      </c>
      <c r="F999" t="inlineStr">
        <is>
          <t>Routine</t>
        </is>
      </c>
      <c r="G999" t="inlineStr">
        <is>
          <t>NONE</t>
        </is>
      </c>
      <c r="H999" t="inlineStr">
        <is>
          <t>Compliant</t>
        </is>
      </c>
      <c r="I999" s="6" t="n"/>
      <c r="J999" s="6" t="n"/>
      <c r="K999">
        <f>IF(J999="","",J999-B999)</f>
        <v/>
      </c>
      <c r="L999">
        <f>IF(H999="Compliant","N/A",IF(J999&lt;&gt;"","Closed",IF(I999&lt;DATE(2026,9,30),"OVERDUE","Open")))</f>
        <v/>
      </c>
    </row>
    <row r="1000">
      <c r="A1000" t="inlineStr">
        <is>
          <t>INSP-2026-0999</t>
        </is>
      </c>
      <c r="B1000" s="6" t="n">
        <v>46172</v>
      </c>
      <c r="C1000" t="inlineStr">
        <is>
          <t>U-BV214-01-15</t>
        </is>
      </c>
      <c r="D1000" t="inlineStr">
        <is>
          <t>Bayshore Vale</t>
        </is>
      </c>
      <c r="E1000" t="inlineStr">
        <is>
          <t>marcus</t>
        </is>
      </c>
      <c r="F1000" t="inlineStr">
        <is>
          <t>Routine</t>
        </is>
      </c>
      <c r="G1000" t="inlineStr">
        <is>
          <t>NONE</t>
        </is>
      </c>
      <c r="H1000" t="inlineStr">
        <is>
          <t>Compliant</t>
        </is>
      </c>
      <c r="I1000" s="6" t="n"/>
      <c r="J1000" s="6" t="n"/>
      <c r="K1000">
        <f>IF(J1000="","",J1000-B1000)</f>
        <v/>
      </c>
      <c r="L1000">
        <f>IF(H1000="Compliant","N/A",IF(J1000&lt;&gt;"","Closed",IF(I1000&lt;DATE(2026,9,30),"OVERDUE","Open")))</f>
        <v/>
      </c>
    </row>
    <row r="1001">
      <c r="A1001" t="inlineStr">
        <is>
          <t>INSP-2026-1000</t>
        </is>
      </c>
      <c r="B1001" s="6" t="n">
        <v>46173</v>
      </c>
      <c r="C1001" t="inlineStr">
        <is>
          <t>U-ST566-01-05</t>
        </is>
      </c>
      <c r="D1001" t="inlineStr">
        <is>
          <t>Sungai Tinggi</t>
        </is>
      </c>
      <c r="E1001" t="inlineStr">
        <is>
          <t>Ben Ho</t>
        </is>
      </c>
      <c r="F1001" t="inlineStr">
        <is>
          <t>Routine</t>
        </is>
      </c>
      <c r="G1001" t="inlineStr">
        <is>
          <t>NONE</t>
        </is>
      </c>
      <c r="H1001" t="inlineStr">
        <is>
          <t>Compliant</t>
        </is>
      </c>
      <c r="I1001" s="6" t="n"/>
      <c r="J1001" s="6" t="n"/>
      <c r="K1001">
        <f>IF(J1001="","",J1001-B1001)</f>
        <v/>
      </c>
      <c r="L1001">
        <f>IF(H1001="Compliant","N/A",IF(J1001&lt;&gt;"","Closed",IF(I1001&lt;DATE(2026,9,30),"OVERDUE","Open")))</f>
        <v/>
      </c>
    </row>
    <row r="1002">
      <c r="A1002" t="inlineStr">
        <is>
          <t>INSP-2026-1001</t>
        </is>
      </c>
      <c r="B1002" s="6" t="n">
        <v>46173</v>
      </c>
      <c r="C1002" t="inlineStr">
        <is>
          <t>U-RH420-01-04</t>
        </is>
      </c>
      <c r="D1002" t="inlineStr">
        <is>
          <t>Rimba Heights</t>
        </is>
      </c>
      <c r="E1002" t="inlineStr">
        <is>
          <t>Ben Ho</t>
        </is>
      </c>
      <c r="F1002" t="inlineStr">
        <is>
          <t>Routine</t>
        </is>
      </c>
      <c r="G1002" t="inlineStr">
        <is>
          <t>NONE</t>
        </is>
      </c>
      <c r="H1002" t="inlineStr">
        <is>
          <t>Compliant</t>
        </is>
      </c>
      <c r="I1002" s="6" t="n"/>
      <c r="J1002" s="6" t="n"/>
      <c r="K1002">
        <f>IF(J1002="","",J1002-B1002)</f>
        <v/>
      </c>
      <c r="L1002">
        <f>IF(H1002="Compliant","N/A",IF(J1002&lt;&gt;"","Closed",IF(I1002&lt;DATE(2026,9,30),"OVERDUE","Open")))</f>
        <v/>
      </c>
    </row>
    <row r="1003">
      <c r="A1003" t="inlineStr">
        <is>
          <t>INSP-2026-1002</t>
        </is>
      </c>
      <c r="B1003" s="6" t="n">
        <v>46173</v>
      </c>
      <c r="C1003" t="inlineStr">
        <is>
          <t>U-KR323-01-02</t>
        </is>
      </c>
      <c r="D1003" t="inlineStr">
        <is>
          <t>Kebun Raya</t>
        </is>
      </c>
      <c r="E1003" t="inlineStr">
        <is>
          <t>Daniel Ong</t>
        </is>
      </c>
      <c r="F1003" t="inlineStr">
        <is>
          <t>Routine</t>
        </is>
      </c>
      <c r="G1003" t="inlineStr">
        <is>
          <t>NONE</t>
        </is>
      </c>
      <c r="H1003" t="inlineStr">
        <is>
          <t>Compliant</t>
        </is>
      </c>
      <c r="I1003" s="6" t="n"/>
      <c r="J1003" s="6" t="n"/>
      <c r="K1003">
        <f>IF(J1003="","",J1003-B1003)</f>
        <v/>
      </c>
      <c r="L1003">
        <f>IF(H1003="Compliant","N/A",IF(J1003&lt;&gt;"","Closed",IF(I1003&lt;DATE(2026,9,30),"OVERDUE","Open")))</f>
        <v/>
      </c>
    </row>
    <row r="1004">
      <c r="A1004" t="inlineStr">
        <is>
          <t>INSP-2026-1003</t>
        </is>
      </c>
      <c r="B1004" s="6" t="n">
        <v>46173</v>
      </c>
      <c r="C1004" t="inlineStr">
        <is>
          <t>U-BV273-02-06</t>
        </is>
      </c>
      <c r="D1004" t="inlineStr">
        <is>
          <t>Bayshore Vale</t>
        </is>
      </c>
      <c r="E1004" t="inlineStr">
        <is>
          <t>Marcus Lim</t>
        </is>
      </c>
      <c r="F1004" t="inlineStr">
        <is>
          <t>Routine</t>
        </is>
      </c>
      <c r="G1004" t="inlineStr">
        <is>
          <t>HYGIENE</t>
        </is>
      </c>
      <c r="H1004" t="inlineStr">
        <is>
          <t>Minor Breach</t>
        </is>
      </c>
      <c r="I1004" s="6" t="n">
        <v>46187</v>
      </c>
      <c r="J1004" s="6" t="n"/>
      <c r="K1004">
        <f>IF(J1004="","",J1004-B1004)</f>
        <v/>
      </c>
      <c r="L1004">
        <f>IF(H1004="Compliant","N/A",IF(J1004&lt;&gt;"","Closed",IF(I1004&lt;DATE(2026,9,30),"OVERDUE","Open")))</f>
        <v/>
      </c>
    </row>
    <row r="1005">
      <c r="A1005" t="inlineStr">
        <is>
          <t>INSP-2026-1004</t>
        </is>
      </c>
      <c r="B1005" s="6" t="n">
        <v>46173</v>
      </c>
      <c r="C1005" t="inlineStr">
        <is>
          <t>U-ST556-01-05</t>
        </is>
      </c>
      <c r="D1005" t="inlineStr">
        <is>
          <t>Sungai Tinggi</t>
        </is>
      </c>
      <c r="E1005" t="inlineStr">
        <is>
          <t>Daniel O.</t>
        </is>
      </c>
      <c r="F1005" t="inlineStr">
        <is>
          <t>Complaint-driven</t>
        </is>
      </c>
      <c r="G1005" t="inlineStr">
        <is>
          <t>UNAPPROVED_AA</t>
        </is>
      </c>
      <c r="H1005" t="inlineStr">
        <is>
          <t>Minor Breach</t>
        </is>
      </c>
      <c r="I1005" s="6" t="n">
        <v>46187</v>
      </c>
      <c r="J1005" s="6" t="n">
        <v>46188</v>
      </c>
      <c r="K1005">
        <f>IF(J1005="","",J1005-B1005)</f>
        <v/>
      </c>
      <c r="L1005">
        <f>IF(H1005="Compliant","N/A",IF(J1005&lt;&gt;"","Closed",IF(I1005&lt;DATE(2026,9,30),"OVERDUE","Open")))</f>
        <v/>
      </c>
    </row>
    <row r="1006">
      <c r="A1006" t="inlineStr">
        <is>
          <t>INSP-2026-1005</t>
        </is>
      </c>
      <c r="B1006" s="6" t="n">
        <v>46173</v>
      </c>
      <c r="C1006" t="inlineStr">
        <is>
          <t>U-BV297-01-02</t>
        </is>
      </c>
      <c r="D1006" t="inlineStr">
        <is>
          <t>Bayshore Vale</t>
        </is>
      </c>
      <c r="E1006" t="inlineStr">
        <is>
          <t>Marcus Lim</t>
        </is>
      </c>
      <c r="F1006" t="inlineStr">
        <is>
          <t>Routine</t>
        </is>
      </c>
      <c r="G1006" t="inlineStr">
        <is>
          <t>NONE</t>
        </is>
      </c>
      <c r="H1006" t="inlineStr">
        <is>
          <t>Compliant</t>
        </is>
      </c>
      <c r="I1006" s="6" t="n"/>
      <c r="J1006" s="6" t="n"/>
      <c r="K1006">
        <f>IF(J1006="","",J1006-B1006)</f>
        <v/>
      </c>
      <c r="L1006">
        <f>IF(H1006="Compliant","N/A",IF(J1006&lt;&gt;"","Closed",IF(I1006&lt;DATE(2026,9,30),"OVERDUE","Open")))</f>
        <v/>
      </c>
    </row>
    <row r="1007">
      <c r="A1007" t="inlineStr">
        <is>
          <t>INSP-2026-1006</t>
        </is>
      </c>
      <c r="B1007" s="6" t="n">
        <v>46173</v>
      </c>
      <c r="C1007" t="inlineStr">
        <is>
          <t>U-PI627-01-09</t>
        </is>
      </c>
      <c r="D1007" t="inlineStr">
        <is>
          <t>Pasir Indah</t>
        </is>
      </c>
      <c r="E1007" t="inlineStr">
        <is>
          <t>Marcus Lim</t>
        </is>
      </c>
      <c r="F1007" t="inlineStr">
        <is>
          <t>Complaint-driven</t>
        </is>
      </c>
      <c r="G1007" t="inlineStr">
        <is>
          <t>NONE</t>
        </is>
      </c>
      <c r="H1007" t="inlineStr">
        <is>
          <t>Compliant</t>
        </is>
      </c>
      <c r="I1007" s="6" t="n"/>
      <c r="J1007" s="6" t="n"/>
      <c r="K1007">
        <f>IF(J1007="","",J1007-B1007)</f>
        <v/>
      </c>
      <c r="L1007">
        <f>IF(H1007="Compliant","N/A",IF(J1007&lt;&gt;"","Closed",IF(I1007&lt;DATE(2026,9,30),"OVERDUE","Open")))</f>
        <v/>
      </c>
    </row>
    <row r="1008">
      <c r="A1008" t="inlineStr">
        <is>
          <t>INSP-2026-1007</t>
        </is>
      </c>
      <c r="B1008" s="6" t="n">
        <v>46173</v>
      </c>
      <c r="C1008" t="inlineStr">
        <is>
          <t>U-CD135-01-01</t>
        </is>
      </c>
      <c r="D1008" t="inlineStr">
        <is>
          <t>Cendana</t>
        </is>
      </c>
      <c r="E1008" t="inlineStr">
        <is>
          <t>Marcus Lim</t>
        </is>
      </c>
      <c r="F1008" t="inlineStr">
        <is>
          <t>Routine</t>
        </is>
      </c>
      <c r="G1008" t="inlineStr">
        <is>
          <t>NONE</t>
        </is>
      </c>
      <c r="H1008" t="inlineStr">
        <is>
          <t>Compliant</t>
        </is>
      </c>
      <c r="I1008" s="6" t="n"/>
      <c r="J1008" s="6" t="n"/>
      <c r="K1008">
        <f>IF(J1008="","",J1008-B1008)</f>
        <v/>
      </c>
      <c r="L1008">
        <f>IF(H1008="Compliant","N/A",IF(J1008&lt;&gt;"","Closed",IF(I1008&lt;DATE(2026,9,30),"OVERDUE","Open")))</f>
        <v/>
      </c>
    </row>
    <row r="1009">
      <c r="A1009" t="inlineStr">
        <is>
          <t>INSP-2026-1008</t>
        </is>
      </c>
      <c r="B1009" s="6" t="n">
        <v>46173</v>
      </c>
      <c r="C1009" t="inlineStr">
        <is>
          <t>U-RH425-01-08</t>
        </is>
      </c>
      <c r="D1009" t="inlineStr">
        <is>
          <t>Rimba Heights</t>
        </is>
      </c>
      <c r="E1009" t="inlineStr">
        <is>
          <t>Benjamin Ho</t>
        </is>
      </c>
      <c r="F1009" t="inlineStr">
        <is>
          <t>Follow-up</t>
        </is>
      </c>
      <c r="G1009" t="inlineStr">
        <is>
          <t>NONE</t>
        </is>
      </c>
      <c r="H1009" t="inlineStr">
        <is>
          <t>Compliant</t>
        </is>
      </c>
      <c r="I1009" s="6" t="n"/>
      <c r="J1009" s="6" t="n"/>
      <c r="K1009">
        <f>IF(J1009="","",J1009-B1009)</f>
        <v/>
      </c>
      <c r="L1009">
        <f>IF(H1009="Compliant","N/A",IF(J1009&lt;&gt;"","Closed",IF(I1009&lt;DATE(2026,9,30),"OVERDUE","Open")))</f>
        <v/>
      </c>
    </row>
    <row r="1010">
      <c r="A1010" t="inlineStr">
        <is>
          <t>INSP-2026-1009</t>
        </is>
      </c>
      <c r="B1010" s="6" t="n">
        <v>46173</v>
      </c>
      <c r="C1010" t="inlineStr">
        <is>
          <t>U-PI601-01-02</t>
        </is>
      </c>
      <c r="D1010" t="inlineStr">
        <is>
          <t>Pasir Indah</t>
        </is>
      </c>
      <c r="E1010" t="inlineStr">
        <is>
          <t>Daniel O.</t>
        </is>
      </c>
      <c r="F1010" t="inlineStr">
        <is>
          <t>Complaint-driven</t>
        </is>
      </c>
      <c r="G1010" t="inlineStr">
        <is>
          <t>DISPLAY_ENCROACH</t>
        </is>
      </c>
      <c r="H1010" t="inlineStr">
        <is>
          <t>Minor Breach</t>
        </is>
      </c>
      <c r="I1010" s="6" t="n">
        <v>46187</v>
      </c>
      <c r="J1010" s="6" t="n">
        <v>46190</v>
      </c>
      <c r="K1010">
        <f>IF(J1010="","",J1010-B1010)</f>
        <v/>
      </c>
      <c r="L1010">
        <f>IF(H1010="Compliant","N/A",IF(J1010&lt;&gt;"","Closed",IF(I1010&lt;DATE(2026,9,30),"OVERDUE","Open")))</f>
        <v/>
      </c>
    </row>
    <row r="1011">
      <c r="A1011" t="inlineStr">
        <is>
          <t>INSP-2026-1010</t>
        </is>
      </c>
      <c r="B1011" s="6" t="n">
        <v>46174</v>
      </c>
      <c r="C1011" t="inlineStr">
        <is>
          <t>U-RH485-01-03</t>
        </is>
      </c>
      <c r="D1011" t="inlineStr">
        <is>
          <t>Rimba Heights</t>
        </is>
      </c>
      <c r="E1011" t="inlineStr">
        <is>
          <t>Ben Ho</t>
        </is>
      </c>
      <c r="F1011" t="inlineStr">
        <is>
          <t>Routine</t>
        </is>
      </c>
      <c r="G1011" t="inlineStr">
        <is>
          <t>FIRE_SAFETY</t>
        </is>
      </c>
      <c r="H1011" t="inlineStr">
        <is>
          <t>Major Breach</t>
        </is>
      </c>
      <c r="I1011" s="6" t="n">
        <v>46181</v>
      </c>
      <c r="J1011" s="6" t="n">
        <v>46178</v>
      </c>
      <c r="K1011">
        <f>IF(J1011="","",J1011-B1011)</f>
        <v/>
      </c>
      <c r="L1011">
        <f>IF(H1011="Compliant","N/A",IF(J1011&lt;&gt;"","Closed",IF(I1011&lt;DATE(2026,9,30),"OVERDUE","Open")))</f>
        <v/>
      </c>
    </row>
    <row r="1012">
      <c r="A1012" t="inlineStr">
        <is>
          <t>INSP-2026-1011</t>
        </is>
      </c>
      <c r="B1012" s="6" t="n">
        <v>46174</v>
      </c>
      <c r="C1012" t="inlineStr">
        <is>
          <t>U-CD185-01-05</t>
        </is>
      </c>
      <c r="D1012" t="inlineStr">
        <is>
          <t>Cendana</t>
        </is>
      </c>
      <c r="E1012" t="inlineStr">
        <is>
          <t>Marcus Lim</t>
        </is>
      </c>
      <c r="F1012" t="inlineStr">
        <is>
          <t>Routine</t>
        </is>
      </c>
      <c r="G1012" t="inlineStr">
        <is>
          <t>NONE</t>
        </is>
      </c>
      <c r="H1012" t="inlineStr">
        <is>
          <t>Compliant</t>
        </is>
      </c>
      <c r="I1012" s="6" t="n"/>
      <c r="J1012" s="6" t="n"/>
      <c r="K1012">
        <f>IF(J1012="","",J1012-B1012)</f>
        <v/>
      </c>
      <c r="L1012">
        <f>IF(H1012="Compliant","N/A",IF(J1012&lt;&gt;"","Closed",IF(I1012&lt;DATE(2026,9,30),"OVERDUE","Open")))</f>
        <v/>
      </c>
    </row>
    <row r="1013">
      <c r="A1013" t="inlineStr">
        <is>
          <t>INSP-2026-1012</t>
        </is>
      </c>
      <c r="B1013" s="6" t="n">
        <v>46174</v>
      </c>
      <c r="C1013" t="inlineStr">
        <is>
          <t>U-PI693-02-12</t>
        </is>
      </c>
      <c r="D1013" t="inlineStr">
        <is>
          <t>Pasir Indah</t>
        </is>
      </c>
      <c r="E1013" t="inlineStr">
        <is>
          <t>daniel ong</t>
        </is>
      </c>
      <c r="F1013" t="inlineStr">
        <is>
          <t>Routine</t>
        </is>
      </c>
      <c r="G1013" t="inlineStr">
        <is>
          <t>UNAUTH_SUBLET</t>
        </is>
      </c>
      <c r="H1013" t="inlineStr">
        <is>
          <t>Major Breach</t>
        </is>
      </c>
      <c r="I1013" s="6" t="n">
        <v>46181</v>
      </c>
      <c r="J1013" s="6" t="n"/>
      <c r="K1013">
        <f>IF(J1013="","",J1013-B1013)</f>
        <v/>
      </c>
      <c r="L1013">
        <f>IF(H1013="Compliant","N/A",IF(J1013&lt;&gt;"","Closed",IF(I1013&lt;DATE(2026,9,30),"OVERDUE","Open")))</f>
        <v/>
      </c>
    </row>
    <row r="1014">
      <c r="A1014" t="inlineStr">
        <is>
          <t>INSP-2026-1013</t>
        </is>
      </c>
      <c r="B1014" s="6" t="n">
        <v>46174</v>
      </c>
      <c r="C1014" t="inlineStr">
        <is>
          <t>U-CD185-01-09</t>
        </is>
      </c>
      <c r="D1014" t="inlineStr">
        <is>
          <t>Cendana</t>
        </is>
      </c>
      <c r="E1014" t="inlineStr">
        <is>
          <t>D. Ong</t>
        </is>
      </c>
      <c r="F1014" t="inlineStr">
        <is>
          <t>Routine</t>
        </is>
      </c>
      <c r="G1014" t="inlineStr">
        <is>
          <t>NONE</t>
        </is>
      </c>
      <c r="H1014" t="inlineStr">
        <is>
          <t>Compliant</t>
        </is>
      </c>
      <c r="I1014" s="6" t="n"/>
      <c r="J1014" s="6" t="n"/>
      <c r="K1014">
        <f>IF(J1014="","",J1014-B1014)</f>
        <v/>
      </c>
      <c r="L1014">
        <f>IF(H1014="Compliant","N/A",IF(J1014&lt;&gt;"","Closed",IF(I1014&lt;DATE(2026,9,30),"OVERDUE","Open")))</f>
        <v/>
      </c>
    </row>
    <row r="1015">
      <c r="A1015" t="inlineStr">
        <is>
          <t>INSP-2026-1014</t>
        </is>
      </c>
      <c r="B1015" s="6" t="n">
        <v>46174</v>
      </c>
      <c r="C1015" t="inlineStr">
        <is>
          <t>U-RH450-01-07</t>
        </is>
      </c>
      <c r="D1015" t="inlineStr">
        <is>
          <t>Rimba Heights</t>
        </is>
      </c>
      <c r="E1015" t="inlineStr">
        <is>
          <t>Benjamin Ho</t>
        </is>
      </c>
      <c r="F1015" t="inlineStr">
        <is>
          <t>Routine</t>
        </is>
      </c>
      <c r="G1015" t="inlineStr">
        <is>
          <t>NONE</t>
        </is>
      </c>
      <c r="H1015" t="inlineStr">
        <is>
          <t>Compliant</t>
        </is>
      </c>
      <c r="I1015" s="6" t="n"/>
      <c r="J1015" s="6" t="n"/>
      <c r="K1015">
        <f>IF(J1015="","",J1015-B1015)</f>
        <v/>
      </c>
      <c r="L1015">
        <f>IF(H1015="Compliant","N/A",IF(J1015&lt;&gt;"","Closed",IF(I1015&lt;DATE(2026,9,30),"OVERDUE","Open")))</f>
        <v/>
      </c>
    </row>
    <row r="1016">
      <c r="A1016" t="inlineStr">
        <is>
          <t>INSP-2026-1015</t>
        </is>
      </c>
      <c r="B1016" s="6" t="n">
        <v>46174</v>
      </c>
      <c r="C1016" t="inlineStr">
        <is>
          <t>U-BV230-01-01</t>
        </is>
      </c>
      <c r="D1016" t="inlineStr">
        <is>
          <t>Bayshore Vale</t>
        </is>
      </c>
      <c r="E1016" t="inlineStr">
        <is>
          <t>Daniel O.</t>
        </is>
      </c>
      <c r="F1016" t="inlineStr">
        <is>
          <t>Routine</t>
        </is>
      </c>
      <c r="G1016" t="inlineStr">
        <is>
          <t>NONE</t>
        </is>
      </c>
      <c r="H1016" t="inlineStr">
        <is>
          <t>Compliant</t>
        </is>
      </c>
      <c r="I1016" s="6" t="n"/>
      <c r="J1016" s="6" t="n"/>
      <c r="K1016">
        <f>IF(J1016="","",J1016-B1016)</f>
        <v/>
      </c>
      <c r="L1016">
        <f>IF(H1016="Compliant","N/A",IF(J1016&lt;&gt;"","Closed",IF(I1016&lt;DATE(2026,9,30),"OVERDUE","Open")))</f>
        <v/>
      </c>
    </row>
    <row r="1017">
      <c r="A1017" t="inlineStr">
        <is>
          <t>INSP-2026-1016</t>
        </is>
      </c>
      <c r="B1017" s="6" t="n">
        <v>46174</v>
      </c>
      <c r="C1017" t="inlineStr">
        <is>
          <t>U-BV277-01-05</t>
        </is>
      </c>
      <c r="D1017" t="inlineStr">
        <is>
          <t>Bayshore Vale</t>
        </is>
      </c>
      <c r="E1017" t="inlineStr">
        <is>
          <t>Daniel Ong</t>
        </is>
      </c>
      <c r="F1017" t="inlineStr">
        <is>
          <t>Routine</t>
        </is>
      </c>
      <c r="G1017" t="inlineStr">
        <is>
          <t>NONE</t>
        </is>
      </c>
      <c r="H1017" t="inlineStr">
        <is>
          <t>Compliant</t>
        </is>
      </c>
      <c r="I1017" s="6" t="n"/>
      <c r="J1017" s="6" t="n"/>
      <c r="K1017">
        <f>IF(J1017="","",J1017-B1017)</f>
        <v/>
      </c>
      <c r="L1017">
        <f>IF(H1017="Compliant","N/A",IF(J1017&lt;&gt;"","Closed",IF(I1017&lt;DATE(2026,9,30),"OVERDUE","Open")))</f>
        <v/>
      </c>
    </row>
    <row r="1018">
      <c r="A1018" t="inlineStr">
        <is>
          <t>INSP-2026-1017</t>
        </is>
      </c>
      <c r="B1018" s="6" t="n">
        <v>46174</v>
      </c>
      <c r="C1018" t="inlineStr">
        <is>
          <t>U-PI627-01-27</t>
        </is>
      </c>
      <c r="D1018" t="inlineStr">
        <is>
          <t>Pasir Indah</t>
        </is>
      </c>
      <c r="E1018" t="inlineStr">
        <is>
          <t>marcus</t>
        </is>
      </c>
      <c r="F1018" t="inlineStr">
        <is>
          <t>Routine</t>
        </is>
      </c>
      <c r="G1018" t="inlineStr">
        <is>
          <t>NONE</t>
        </is>
      </c>
      <c r="H1018" t="inlineStr">
        <is>
          <t>Compliant</t>
        </is>
      </c>
      <c r="I1018" s="6" t="n"/>
      <c r="J1018" s="6" t="n"/>
      <c r="K1018">
        <f>IF(J1018="","",J1018-B1018)</f>
        <v/>
      </c>
      <c r="L1018">
        <f>IF(H1018="Compliant","N/A",IF(J1018&lt;&gt;"","Closed",IF(I1018&lt;DATE(2026,9,30),"OVERDUE","Open")))</f>
        <v/>
      </c>
    </row>
    <row r="1019">
      <c r="A1019" t="inlineStr">
        <is>
          <t>INSP-2026-1018</t>
        </is>
      </c>
      <c r="B1019" s="6" t="n">
        <v>46174</v>
      </c>
      <c r="C1019" t="inlineStr">
        <is>
          <t>U-BV212-01-10</t>
        </is>
      </c>
      <c r="D1019" t="inlineStr">
        <is>
          <t>Bayshore Vale</t>
        </is>
      </c>
      <c r="E1019" t="inlineStr">
        <is>
          <t>Daniel Ong</t>
        </is>
      </c>
      <c r="F1019" t="inlineStr">
        <is>
          <t>Routine</t>
        </is>
      </c>
      <c r="G1019" t="inlineStr">
        <is>
          <t>DISPLAY_ENCROACH</t>
        </is>
      </c>
      <c r="H1019" t="inlineStr">
        <is>
          <t>Minor Breach</t>
        </is>
      </c>
      <c r="I1019" s="6" t="n">
        <v>46188</v>
      </c>
      <c r="J1019" s="6" t="n">
        <v>46194</v>
      </c>
      <c r="K1019">
        <f>IF(J1019="","",J1019-B1019)</f>
        <v/>
      </c>
      <c r="L1019">
        <f>IF(H1019="Compliant","N/A",IF(J1019&lt;&gt;"","Closed",IF(I1019&lt;DATE(2026,9,30),"OVERDUE","Open")))</f>
        <v/>
      </c>
    </row>
    <row r="1020">
      <c r="A1020" t="inlineStr">
        <is>
          <t>INSP-2026-1019</t>
        </is>
      </c>
      <c r="B1020" s="6" t="n">
        <v>46174</v>
      </c>
      <c r="C1020" t="inlineStr">
        <is>
          <t>U-BV256-01-06</t>
        </is>
      </c>
      <c r="D1020" t="inlineStr">
        <is>
          <t>Bayshore Vale</t>
        </is>
      </c>
      <c r="E1020" t="inlineStr">
        <is>
          <t>Marcus Lim</t>
        </is>
      </c>
      <c r="F1020" t="inlineStr">
        <is>
          <t>Routine</t>
        </is>
      </c>
      <c r="G1020" t="inlineStr">
        <is>
          <t>NONE</t>
        </is>
      </c>
      <c r="H1020" t="inlineStr">
        <is>
          <t>Compliant</t>
        </is>
      </c>
      <c r="I1020" s="6" t="n"/>
      <c r="J1020" s="6" t="n"/>
      <c r="K1020">
        <f>IF(J1020="","",J1020-B1020)</f>
        <v/>
      </c>
      <c r="L1020">
        <f>IF(H1020="Compliant","N/A",IF(J1020&lt;&gt;"","Closed",IF(I1020&lt;DATE(2026,9,30),"OVERDUE","Open")))</f>
        <v/>
      </c>
    </row>
    <row r="1021">
      <c r="A1021" t="inlineStr">
        <is>
          <t>INSP-2026-1020</t>
        </is>
      </c>
      <c r="B1021" s="6" t="n">
        <v>46174</v>
      </c>
      <c r="C1021" t="inlineStr">
        <is>
          <t>U-KR310-01-01</t>
        </is>
      </c>
      <c r="D1021" t="inlineStr">
        <is>
          <t>Kebun Raya</t>
        </is>
      </c>
      <c r="E1021" t="inlineStr">
        <is>
          <t>Daniel O.</t>
        </is>
      </c>
      <c r="F1021" t="inlineStr">
        <is>
          <t>Routine</t>
        </is>
      </c>
      <c r="G1021" t="inlineStr">
        <is>
          <t>NONE</t>
        </is>
      </c>
      <c r="H1021" t="inlineStr">
        <is>
          <t>Compliant</t>
        </is>
      </c>
      <c r="I1021" s="6" t="n"/>
      <c r="J1021" s="6" t="n"/>
      <c r="K1021">
        <f>IF(J1021="","",J1021-B1021)</f>
        <v/>
      </c>
      <c r="L1021">
        <f>IF(H1021="Compliant","N/A",IF(J1021&lt;&gt;"","Closed",IF(I1021&lt;DATE(2026,9,30),"OVERDUE","Open")))</f>
        <v/>
      </c>
    </row>
    <row r="1022">
      <c r="A1022" t="inlineStr">
        <is>
          <t>INSP-2026-1021</t>
        </is>
      </c>
      <c r="B1022" s="6" t="n">
        <v>46174</v>
      </c>
      <c r="C1022" t="inlineStr">
        <is>
          <t>U-KR345-01-10</t>
        </is>
      </c>
      <c r="D1022" t="inlineStr">
        <is>
          <t>Kebun Raya</t>
        </is>
      </c>
      <c r="E1022" t="inlineStr">
        <is>
          <t>Daniel O.</t>
        </is>
      </c>
      <c r="F1022" t="inlineStr">
        <is>
          <t>Routine</t>
        </is>
      </c>
      <c r="G1022" t="inlineStr">
        <is>
          <t>NONE</t>
        </is>
      </c>
      <c r="H1022" t="inlineStr">
        <is>
          <t>Compliant</t>
        </is>
      </c>
      <c r="I1022" s="6" t="n"/>
      <c r="J1022" s="6" t="n"/>
      <c r="K1022">
        <f>IF(J1022="","",J1022-B1022)</f>
        <v/>
      </c>
      <c r="L1022">
        <f>IF(H1022="Compliant","N/A",IF(J1022&lt;&gt;"","Closed",IF(I1022&lt;DATE(2026,9,30),"OVERDUE","Open")))</f>
        <v/>
      </c>
    </row>
    <row r="1023">
      <c r="A1023" t="inlineStr">
        <is>
          <t>INSP-2026-1022</t>
        </is>
      </c>
      <c r="B1023" s="6" t="n">
        <v>46174</v>
      </c>
      <c r="C1023" t="inlineStr">
        <is>
          <t>U-KR385-01-01</t>
        </is>
      </c>
      <c r="D1023" t="inlineStr">
        <is>
          <t>Kebun Raya</t>
        </is>
      </c>
      <c r="E1023" t="inlineStr">
        <is>
          <t>daniel ong</t>
        </is>
      </c>
      <c r="F1023" t="inlineStr">
        <is>
          <t>Routine</t>
        </is>
      </c>
      <c r="G1023" t="inlineStr">
        <is>
          <t>NONE</t>
        </is>
      </c>
      <c r="H1023" t="inlineStr">
        <is>
          <t>Compliant</t>
        </is>
      </c>
      <c r="I1023" s="6" t="n"/>
      <c r="J1023" s="6" t="n"/>
      <c r="K1023">
        <f>IF(J1023="","",J1023-B1023)</f>
        <v/>
      </c>
      <c r="L1023">
        <f>IF(H1023="Compliant","N/A",IF(J1023&lt;&gt;"","Closed",IF(I1023&lt;DATE(2026,9,30),"OVERDUE","Open")))</f>
        <v/>
      </c>
    </row>
    <row r="1024">
      <c r="A1024" t="inlineStr">
        <is>
          <t>INSP-2026-1023</t>
        </is>
      </c>
      <c r="B1024" s="6" t="n">
        <v>46175</v>
      </c>
      <c r="C1024" t="inlineStr">
        <is>
          <t>U-KR330-02-06</t>
        </is>
      </c>
      <c r="D1024" t="inlineStr">
        <is>
          <t>Kebun Raya</t>
        </is>
      </c>
      <c r="E1024" t="inlineStr">
        <is>
          <t>Benjamin Ho</t>
        </is>
      </c>
      <c r="F1024" t="inlineStr">
        <is>
          <t>Routine</t>
        </is>
      </c>
      <c r="G1024" t="inlineStr">
        <is>
          <t>NONE</t>
        </is>
      </c>
      <c r="H1024" t="inlineStr">
        <is>
          <t>Compliant</t>
        </is>
      </c>
      <c r="I1024" s="6" t="n"/>
      <c r="J1024" s="6" t="n"/>
      <c r="K1024">
        <f>IF(J1024="","",J1024-B1024)</f>
        <v/>
      </c>
      <c r="L1024">
        <f>IF(H1024="Compliant","N/A",IF(J1024&lt;&gt;"","Closed",IF(I1024&lt;DATE(2026,9,30),"OVERDUE","Open")))</f>
        <v/>
      </c>
    </row>
    <row r="1025">
      <c r="A1025" t="inlineStr">
        <is>
          <t>INSP-2026-1024</t>
        </is>
      </c>
      <c r="B1025" s="6" t="n">
        <v>46175</v>
      </c>
      <c r="C1025" t="inlineStr">
        <is>
          <t>U-BV273-01-02</t>
        </is>
      </c>
      <c r="D1025" t="inlineStr">
        <is>
          <t>Bayshore Vale</t>
        </is>
      </c>
      <c r="E1025" t="inlineStr">
        <is>
          <t>daniel ong</t>
        </is>
      </c>
      <c r="F1025" t="inlineStr">
        <is>
          <t>Complaint-driven</t>
        </is>
      </c>
      <c r="G1025" t="inlineStr">
        <is>
          <t>NONE</t>
        </is>
      </c>
      <c r="H1025" t="inlineStr">
        <is>
          <t>Compliant</t>
        </is>
      </c>
      <c r="I1025" s="6" t="n"/>
      <c r="J1025" s="6" t="n"/>
      <c r="K1025">
        <f>IF(J1025="","",J1025-B1025)</f>
        <v/>
      </c>
      <c r="L1025">
        <f>IF(H1025="Compliant","N/A",IF(J1025&lt;&gt;"","Closed",IF(I1025&lt;DATE(2026,9,30),"OVERDUE","Open")))</f>
        <v/>
      </c>
    </row>
    <row r="1026">
      <c r="A1026" t="inlineStr">
        <is>
          <t>INSP-2026-1025</t>
        </is>
      </c>
      <c r="B1026" s="6" t="n">
        <v>46175</v>
      </c>
      <c r="C1026" t="inlineStr">
        <is>
          <t>U-BV215-01-01</t>
        </is>
      </c>
      <c r="D1026" t="inlineStr">
        <is>
          <t>Bayshore Vale</t>
        </is>
      </c>
      <c r="E1026" t="inlineStr">
        <is>
          <t>Daniel O.</t>
        </is>
      </c>
      <c r="F1026" t="inlineStr">
        <is>
          <t>Follow-up</t>
        </is>
      </c>
      <c r="G1026" t="inlineStr">
        <is>
          <t>NONE</t>
        </is>
      </c>
      <c r="H1026" t="inlineStr">
        <is>
          <t>Compliant</t>
        </is>
      </c>
      <c r="I1026" s="6" t="n"/>
      <c r="J1026" s="6" t="n"/>
      <c r="K1026">
        <f>IF(J1026="","",J1026-B1026)</f>
        <v/>
      </c>
      <c r="L1026">
        <f>IF(H1026="Compliant","N/A",IF(J1026&lt;&gt;"","Closed",IF(I1026&lt;DATE(2026,9,30),"OVERDUE","Open")))</f>
        <v/>
      </c>
    </row>
    <row r="1027">
      <c r="A1027" t="inlineStr">
        <is>
          <t>INSP-2026-1026</t>
        </is>
      </c>
      <c r="B1027" s="6" t="n">
        <v>46175</v>
      </c>
      <c r="C1027" t="inlineStr">
        <is>
          <t>U-CD109-01-13</t>
        </is>
      </c>
      <c r="D1027" t="inlineStr">
        <is>
          <t>Cendana</t>
        </is>
      </c>
      <c r="E1027" t="inlineStr">
        <is>
          <t>Marcus Lim</t>
        </is>
      </c>
      <c r="F1027" t="inlineStr">
        <is>
          <t>Routine</t>
        </is>
      </c>
      <c r="G1027" t="inlineStr">
        <is>
          <t>NONE</t>
        </is>
      </c>
      <c r="H1027" t="inlineStr">
        <is>
          <t>Compliant</t>
        </is>
      </c>
      <c r="I1027" s="6" t="n"/>
      <c r="J1027" s="6" t="n"/>
      <c r="K1027">
        <f>IF(J1027="","",J1027-B1027)</f>
        <v/>
      </c>
      <c r="L1027">
        <f>IF(H1027="Compliant","N/A",IF(J1027&lt;&gt;"","Closed",IF(I1027&lt;DATE(2026,9,30),"OVERDUE","Open")))</f>
        <v/>
      </c>
    </row>
    <row r="1028">
      <c r="A1028" t="inlineStr">
        <is>
          <t>INSP-2026-1027</t>
        </is>
      </c>
      <c r="B1028" s="6" t="n">
        <v>46175</v>
      </c>
      <c r="C1028" t="inlineStr">
        <is>
          <t>U-CD181-01-07</t>
        </is>
      </c>
      <c r="D1028" t="inlineStr">
        <is>
          <t>Cendana</t>
        </is>
      </c>
      <c r="E1028" t="inlineStr">
        <is>
          <t>Daniel Ong</t>
        </is>
      </c>
      <c r="F1028" t="inlineStr">
        <is>
          <t>Routine</t>
        </is>
      </c>
      <c r="G1028" t="inlineStr">
        <is>
          <t>NONE</t>
        </is>
      </c>
      <c r="H1028" t="inlineStr">
        <is>
          <t>Compliant</t>
        </is>
      </c>
      <c r="I1028" s="6" t="n"/>
      <c r="J1028" s="6" t="n"/>
      <c r="K1028">
        <f>IF(J1028="","",J1028-B1028)</f>
        <v/>
      </c>
      <c r="L1028">
        <f>IF(H1028="Compliant","N/A",IF(J1028&lt;&gt;"","Closed",IF(I1028&lt;DATE(2026,9,30),"OVERDUE","Open")))</f>
        <v/>
      </c>
    </row>
    <row r="1029">
      <c r="A1029" t="inlineStr">
        <is>
          <t>INSP-2026-1028</t>
        </is>
      </c>
      <c r="B1029" s="6" t="n">
        <v>46176</v>
      </c>
      <c r="C1029" t="inlineStr">
        <is>
          <t>U-BV205-01-01</t>
        </is>
      </c>
      <c r="D1029" t="inlineStr">
        <is>
          <t>Bayshore Vale</t>
        </is>
      </c>
      <c r="E1029" t="inlineStr">
        <is>
          <t>daniel ong</t>
        </is>
      </c>
      <c r="F1029" t="inlineStr">
        <is>
          <t>Routine</t>
        </is>
      </c>
      <c r="G1029" t="inlineStr">
        <is>
          <t>NONE</t>
        </is>
      </c>
      <c r="H1029" t="inlineStr">
        <is>
          <t>Compliant</t>
        </is>
      </c>
      <c r="I1029" s="6" t="n"/>
      <c r="J1029" s="6" t="n"/>
      <c r="K1029">
        <f>IF(J1029="","",J1029-B1029)</f>
        <v/>
      </c>
      <c r="L1029">
        <f>IF(H1029="Compliant","N/A",IF(J1029&lt;&gt;"","Closed",IF(I1029&lt;DATE(2026,9,30),"OVERDUE","Open")))</f>
        <v/>
      </c>
    </row>
    <row r="1030">
      <c r="A1030" t="inlineStr">
        <is>
          <t>INSP-2026-1029</t>
        </is>
      </c>
      <c r="B1030" s="6" t="n">
        <v>46176</v>
      </c>
      <c r="C1030" t="inlineStr">
        <is>
          <t>U-PI667-01-13</t>
        </is>
      </c>
      <c r="D1030" t="inlineStr">
        <is>
          <t>Pasir Indah</t>
        </is>
      </c>
      <c r="E1030" t="inlineStr">
        <is>
          <t>Marcus Lim</t>
        </is>
      </c>
      <c r="F1030" t="inlineStr">
        <is>
          <t>Routine</t>
        </is>
      </c>
      <c r="G1030" t="inlineStr">
        <is>
          <t>DISPLAY_ENCROACH</t>
        </is>
      </c>
      <c r="H1030" t="inlineStr">
        <is>
          <t>Minor Breach</t>
        </is>
      </c>
      <c r="I1030" s="6" t="n">
        <v>46190</v>
      </c>
      <c r="J1030" s="6" t="n"/>
      <c r="K1030">
        <f>IF(J1030="","",J1030-B1030)</f>
        <v/>
      </c>
      <c r="L1030">
        <f>IF(H1030="Compliant","N/A",IF(J1030&lt;&gt;"","Closed",IF(I1030&lt;DATE(2026,9,30),"OVERDUE","Open")))</f>
        <v/>
      </c>
    </row>
    <row r="1031">
      <c r="A1031" t="inlineStr">
        <is>
          <t>INSP-2026-1030</t>
        </is>
      </c>
      <c r="B1031" s="6" t="n">
        <v>46176</v>
      </c>
      <c r="C1031" t="inlineStr">
        <is>
          <t>U-KR333-02-10</t>
        </is>
      </c>
      <c r="D1031" t="inlineStr">
        <is>
          <t>Kebun Raya</t>
        </is>
      </c>
      <c r="E1031" t="inlineStr">
        <is>
          <t>Daniel O.</t>
        </is>
      </c>
      <c r="F1031" t="inlineStr">
        <is>
          <t>Complaint-driven</t>
        </is>
      </c>
      <c r="G1031" t="inlineStr">
        <is>
          <t>NONE</t>
        </is>
      </c>
      <c r="H1031" t="inlineStr">
        <is>
          <t>Compliant</t>
        </is>
      </c>
      <c r="I1031" s="6" t="n"/>
      <c r="J1031" s="6" t="n"/>
      <c r="K1031">
        <f>IF(J1031="","",J1031-B1031)</f>
        <v/>
      </c>
      <c r="L1031">
        <f>IF(H1031="Compliant","N/A",IF(J1031&lt;&gt;"","Closed",IF(I1031&lt;DATE(2026,9,30),"OVERDUE","Open")))</f>
        <v/>
      </c>
    </row>
    <row r="1032">
      <c r="A1032" t="inlineStr">
        <is>
          <t>INSP-2026-1031</t>
        </is>
      </c>
      <c r="B1032" s="6" t="n">
        <v>46176</v>
      </c>
      <c r="C1032" t="inlineStr">
        <is>
          <t>U-PI644-02-05</t>
        </is>
      </c>
      <c r="D1032" t="inlineStr">
        <is>
          <t>Pasir Indah</t>
        </is>
      </c>
      <c r="E1032" t="inlineStr">
        <is>
          <t>Marcus Lim</t>
        </is>
      </c>
      <c r="F1032" t="inlineStr">
        <is>
          <t>Follow-up</t>
        </is>
      </c>
      <c r="G1032" t="inlineStr">
        <is>
          <t>NONE</t>
        </is>
      </c>
      <c r="H1032" t="inlineStr">
        <is>
          <t>Compliant</t>
        </is>
      </c>
      <c r="I1032" s="6" t="n"/>
      <c r="J1032" s="6" t="n"/>
      <c r="K1032">
        <f>IF(J1032="","",J1032-B1032)</f>
        <v/>
      </c>
      <c r="L1032">
        <f>IF(H1032="Compliant","N/A",IF(J1032&lt;&gt;"","Closed",IF(I1032&lt;DATE(2026,9,30),"OVERDUE","Open")))</f>
        <v/>
      </c>
    </row>
    <row r="1033">
      <c r="A1033" t="inlineStr">
        <is>
          <t>INSP-2026-1032</t>
        </is>
      </c>
      <c r="B1033" s="6" t="n">
        <v>46176</v>
      </c>
      <c r="C1033" t="inlineStr">
        <is>
          <t>U-CD174-01-06</t>
        </is>
      </c>
      <c r="D1033" t="inlineStr">
        <is>
          <t>Cendana</t>
        </is>
      </c>
      <c r="E1033" t="inlineStr">
        <is>
          <t>M. Lim</t>
        </is>
      </c>
      <c r="F1033" t="inlineStr">
        <is>
          <t>Routine</t>
        </is>
      </c>
      <c r="G1033" t="inlineStr">
        <is>
          <t>NONE</t>
        </is>
      </c>
      <c r="H1033" t="inlineStr">
        <is>
          <t>Compliant</t>
        </is>
      </c>
      <c r="I1033" s="6" t="n"/>
      <c r="J1033" s="6" t="n"/>
      <c r="K1033">
        <f>IF(J1033="","",J1033-B1033)</f>
        <v/>
      </c>
      <c r="L1033">
        <f>IF(H1033="Compliant","N/A",IF(J1033&lt;&gt;"","Closed",IF(I1033&lt;DATE(2026,9,30),"OVERDUE","Open")))</f>
        <v/>
      </c>
    </row>
    <row r="1034">
      <c r="A1034" t="inlineStr">
        <is>
          <t>INSP-2026-1033</t>
        </is>
      </c>
      <c r="B1034" s="6" t="n">
        <v>46176</v>
      </c>
      <c r="C1034" t="inlineStr">
        <is>
          <t>U-ST596-02-06</t>
        </is>
      </c>
      <c r="D1034" t="inlineStr">
        <is>
          <t>Sungai Tinggi</t>
        </is>
      </c>
      <c r="E1034" t="inlineStr">
        <is>
          <t>Ben Ho</t>
        </is>
      </c>
      <c r="F1034" t="inlineStr">
        <is>
          <t>Routine</t>
        </is>
      </c>
      <c r="G1034" t="inlineStr">
        <is>
          <t>NONE</t>
        </is>
      </c>
      <c r="H1034" t="inlineStr">
        <is>
          <t>Compliant</t>
        </is>
      </c>
      <c r="I1034" s="6" t="n"/>
      <c r="J1034" s="6" t="n"/>
      <c r="K1034">
        <f>IF(J1034="","",J1034-B1034)</f>
        <v/>
      </c>
      <c r="L1034">
        <f>IF(H1034="Compliant","N/A",IF(J1034&lt;&gt;"","Closed",IF(I1034&lt;DATE(2026,9,30),"OVERDUE","Open")))</f>
        <v/>
      </c>
    </row>
    <row r="1035">
      <c r="A1035" t="inlineStr">
        <is>
          <t>INSP-2026-1034</t>
        </is>
      </c>
      <c r="B1035" s="6" t="n">
        <v>46177</v>
      </c>
      <c r="C1035" t="inlineStr">
        <is>
          <t>U-CD181-01-08</t>
        </is>
      </c>
      <c r="D1035" t="inlineStr">
        <is>
          <t>Cendana</t>
        </is>
      </c>
      <c r="E1035" t="inlineStr">
        <is>
          <t>Daniel O.</t>
        </is>
      </c>
      <c r="F1035" t="inlineStr">
        <is>
          <t>Routine</t>
        </is>
      </c>
      <c r="G1035" t="inlineStr">
        <is>
          <t>NONE</t>
        </is>
      </c>
      <c r="H1035" t="inlineStr">
        <is>
          <t>Compliant</t>
        </is>
      </c>
      <c r="I1035" s="6" t="n"/>
      <c r="J1035" s="6" t="n"/>
      <c r="K1035">
        <f>IF(J1035="","",J1035-B1035)</f>
        <v/>
      </c>
      <c r="L1035">
        <f>IF(H1035="Compliant","N/A",IF(J1035&lt;&gt;"","Closed",IF(I1035&lt;DATE(2026,9,30),"OVERDUE","Open")))</f>
        <v/>
      </c>
    </row>
    <row r="1036">
      <c r="A1036" t="inlineStr">
        <is>
          <t>INSP-2026-1035</t>
        </is>
      </c>
      <c r="B1036" s="6" t="n">
        <v>46177</v>
      </c>
      <c r="C1036" t="inlineStr">
        <is>
          <t>U-PI667-01-02</t>
        </is>
      </c>
      <c r="D1036" t="inlineStr">
        <is>
          <t>Pasir Indah</t>
        </is>
      </c>
      <c r="E1036" t="inlineStr">
        <is>
          <t>marcus</t>
        </is>
      </c>
      <c r="F1036" t="inlineStr">
        <is>
          <t>Routine</t>
        </is>
      </c>
      <c r="G1036" t="inlineStr">
        <is>
          <t>NONE</t>
        </is>
      </c>
      <c r="H1036" t="inlineStr">
        <is>
          <t>Compliant</t>
        </is>
      </c>
      <c r="I1036" s="6" t="n"/>
      <c r="J1036" s="6" t="n"/>
      <c r="K1036">
        <f>IF(J1036="","",J1036-B1036)</f>
        <v/>
      </c>
      <c r="L1036">
        <f>IF(H1036="Compliant","N/A",IF(J1036&lt;&gt;"","Closed",IF(I1036&lt;DATE(2026,9,30),"OVERDUE","Open")))</f>
        <v/>
      </c>
    </row>
    <row r="1037">
      <c r="A1037" t="inlineStr">
        <is>
          <t>INSP-2026-1036</t>
        </is>
      </c>
      <c r="B1037" s="6" t="n">
        <v>46177</v>
      </c>
      <c r="C1037" t="inlineStr">
        <is>
          <t>U-PI693-01-01</t>
        </is>
      </c>
      <c r="D1037" t="inlineStr">
        <is>
          <t>Pasir Indah</t>
        </is>
      </c>
      <c r="E1037" t="inlineStr">
        <is>
          <t>D. Ong</t>
        </is>
      </c>
      <c r="F1037" t="inlineStr">
        <is>
          <t>Routine</t>
        </is>
      </c>
      <c r="G1037" t="inlineStr">
        <is>
          <t>UNAUTH_TRADE</t>
        </is>
      </c>
      <c r="H1037" t="inlineStr">
        <is>
          <t>Major Breach</t>
        </is>
      </c>
      <c r="I1037" s="6" t="n">
        <v>46184</v>
      </c>
      <c r="J1037" s="6" t="n">
        <v>46180</v>
      </c>
      <c r="K1037">
        <f>IF(J1037="","",J1037-B1037)</f>
        <v/>
      </c>
      <c r="L1037">
        <f>IF(H1037="Compliant","N/A",IF(J1037&lt;&gt;"","Closed",IF(I1037&lt;DATE(2026,9,30),"OVERDUE","Open")))</f>
        <v/>
      </c>
    </row>
    <row r="1038">
      <c r="A1038" t="inlineStr">
        <is>
          <t>INSP-2026-1037</t>
        </is>
      </c>
      <c r="B1038" s="6" t="n">
        <v>46177</v>
      </c>
      <c r="C1038" t="inlineStr">
        <is>
          <t>U-BV229-01-03</t>
        </is>
      </c>
      <c r="D1038" t="inlineStr">
        <is>
          <t>Bayshore Vale</t>
        </is>
      </c>
      <c r="E1038" t="inlineStr">
        <is>
          <t>Marcus Lim</t>
        </is>
      </c>
      <c r="F1038" t="inlineStr">
        <is>
          <t>Routine</t>
        </is>
      </c>
      <c r="G1038" t="inlineStr">
        <is>
          <t>UNAUTH_TRADE</t>
        </is>
      </c>
      <c r="H1038" t="inlineStr">
        <is>
          <t>Major Breach</t>
        </is>
      </c>
      <c r="I1038" s="6" t="n">
        <v>46184</v>
      </c>
      <c r="J1038" s="6" t="n">
        <v>46188</v>
      </c>
      <c r="K1038">
        <f>IF(J1038="","",J1038-B1038)</f>
        <v/>
      </c>
      <c r="L1038">
        <f>IF(H1038="Compliant","N/A",IF(J1038&lt;&gt;"","Closed",IF(I1038&lt;DATE(2026,9,30),"OVERDUE","Open")))</f>
        <v/>
      </c>
    </row>
    <row r="1039">
      <c r="A1039" t="inlineStr">
        <is>
          <t>INSP-2026-1038</t>
        </is>
      </c>
      <c r="B1039" s="6" t="n">
        <v>46177</v>
      </c>
      <c r="C1039" t="inlineStr">
        <is>
          <t>U-PI642-01-05</t>
        </is>
      </c>
      <c r="D1039" t="inlineStr">
        <is>
          <t>Pasir Indah</t>
        </is>
      </c>
      <c r="E1039" t="inlineStr">
        <is>
          <t>Daniel O.</t>
        </is>
      </c>
      <c r="F1039" t="inlineStr">
        <is>
          <t>Routine</t>
        </is>
      </c>
      <c r="G1039" t="inlineStr">
        <is>
          <t>NONE</t>
        </is>
      </c>
      <c r="H1039" t="inlineStr">
        <is>
          <t>Compliant</t>
        </is>
      </c>
      <c r="I1039" s="6" t="n"/>
      <c r="J1039" s="6" t="n"/>
      <c r="K1039">
        <f>IF(J1039="","",J1039-B1039)</f>
        <v/>
      </c>
      <c r="L1039">
        <f>IF(H1039="Compliant","N/A",IF(J1039&lt;&gt;"","Closed",IF(I1039&lt;DATE(2026,9,30),"OVERDUE","Open")))</f>
        <v/>
      </c>
    </row>
    <row r="1040">
      <c r="A1040" t="inlineStr">
        <is>
          <t>INSP-2026-1039</t>
        </is>
      </c>
      <c r="B1040" s="6" t="n">
        <v>46177</v>
      </c>
      <c r="C1040" t="inlineStr">
        <is>
          <t>U-PI696-01-01</t>
        </is>
      </c>
      <c r="D1040" t="inlineStr">
        <is>
          <t>Pasir Indah</t>
        </is>
      </c>
      <c r="E1040" t="inlineStr">
        <is>
          <t>M. Lim</t>
        </is>
      </c>
      <c r="F1040" t="inlineStr">
        <is>
          <t>Follow-up</t>
        </is>
      </c>
      <c r="G1040" t="inlineStr">
        <is>
          <t>NONE</t>
        </is>
      </c>
      <c r="H1040" t="inlineStr">
        <is>
          <t>Compliant</t>
        </is>
      </c>
      <c r="I1040" s="6" t="n"/>
      <c r="J1040" s="6" t="n"/>
      <c r="K1040">
        <f>IF(J1040="","",J1040-B1040)</f>
        <v/>
      </c>
      <c r="L1040">
        <f>IF(H1040="Compliant","N/A",IF(J1040&lt;&gt;"","Closed",IF(I1040&lt;DATE(2026,9,30),"OVERDUE","Open")))</f>
        <v/>
      </c>
    </row>
    <row r="1041">
      <c r="A1041" t="inlineStr">
        <is>
          <t>INSP-2026-1040</t>
        </is>
      </c>
      <c r="B1041" s="6" t="n">
        <v>46177</v>
      </c>
      <c r="C1041" t="inlineStr">
        <is>
          <t>U-BV205-01-02</t>
        </is>
      </c>
      <c r="D1041" t="inlineStr">
        <is>
          <t>Bayshore Vale</t>
        </is>
      </c>
      <c r="E1041" t="inlineStr">
        <is>
          <t>Daniel Ong</t>
        </is>
      </c>
      <c r="F1041" t="inlineStr">
        <is>
          <t>Complaint-driven</t>
        </is>
      </c>
      <c r="G1041" t="inlineStr">
        <is>
          <t>NONE</t>
        </is>
      </c>
      <c r="H1041" t="inlineStr">
        <is>
          <t>Compliant</t>
        </is>
      </c>
      <c r="I1041" s="6" t="n"/>
      <c r="J1041" s="6" t="n"/>
      <c r="K1041">
        <f>IF(J1041="","",J1041-B1041)</f>
        <v/>
      </c>
      <c r="L1041">
        <f>IF(H1041="Compliant","N/A",IF(J1041&lt;&gt;"","Closed",IF(I1041&lt;DATE(2026,9,30),"OVERDUE","Open")))</f>
        <v/>
      </c>
    </row>
    <row r="1042">
      <c r="A1042" t="inlineStr">
        <is>
          <t>INSP-2026-1041</t>
        </is>
      </c>
      <c r="B1042" s="6" t="n">
        <v>46177</v>
      </c>
      <c r="C1042" t="inlineStr">
        <is>
          <t>U-ST596-01-07</t>
        </is>
      </c>
      <c r="D1042" t="inlineStr">
        <is>
          <t>Sungai Tinggi</t>
        </is>
      </c>
      <c r="E1042" t="inlineStr">
        <is>
          <t>Ben Ho</t>
        </is>
      </c>
      <c r="F1042" t="inlineStr">
        <is>
          <t>Routine</t>
        </is>
      </c>
      <c r="G1042" t="inlineStr">
        <is>
          <t>HYGIENE</t>
        </is>
      </c>
      <c r="H1042" t="inlineStr">
        <is>
          <t>Minor Breach</t>
        </is>
      </c>
      <c r="I1042" s="6" t="n">
        <v>46191</v>
      </c>
      <c r="J1042" s="6" t="n"/>
      <c r="K1042">
        <f>IF(J1042="","",J1042-B1042)</f>
        <v/>
      </c>
      <c r="L1042">
        <f>IF(H1042="Compliant","N/A",IF(J1042&lt;&gt;"","Closed",IF(I1042&lt;DATE(2026,9,30),"OVERDUE","Open")))</f>
        <v/>
      </c>
    </row>
    <row r="1043">
      <c r="A1043" t="inlineStr">
        <is>
          <t>INSP-2026-1042</t>
        </is>
      </c>
      <c r="B1043" s="6" t="n">
        <v>46177</v>
      </c>
      <c r="C1043" t="inlineStr">
        <is>
          <t>U-BV277-01-02</t>
        </is>
      </c>
      <c r="D1043" t="inlineStr">
        <is>
          <t>Bayshore Vale</t>
        </is>
      </c>
      <c r="E1043" t="inlineStr">
        <is>
          <t>Daniel Ong</t>
        </is>
      </c>
      <c r="F1043" t="inlineStr">
        <is>
          <t>Routine</t>
        </is>
      </c>
      <c r="G1043" t="inlineStr">
        <is>
          <t>NONE</t>
        </is>
      </c>
      <c r="H1043" t="inlineStr">
        <is>
          <t>Compliant</t>
        </is>
      </c>
      <c r="I1043" s="6" t="n"/>
      <c r="J1043" s="6" t="n"/>
      <c r="K1043">
        <f>IF(J1043="","",J1043-B1043)</f>
        <v/>
      </c>
      <c r="L1043">
        <f>IF(H1043="Compliant","N/A",IF(J1043&lt;&gt;"","Closed",IF(I1043&lt;DATE(2026,9,30),"OVERDUE","Open")))</f>
        <v/>
      </c>
    </row>
    <row r="1044">
      <c r="A1044" t="inlineStr">
        <is>
          <t>INSP-2026-1043</t>
        </is>
      </c>
      <c r="B1044" s="6" t="n">
        <v>46178</v>
      </c>
      <c r="C1044" t="inlineStr">
        <is>
          <t>U-ST506-01-08</t>
        </is>
      </c>
      <c r="D1044" t="inlineStr">
        <is>
          <t>Sungai Tinggi</t>
        </is>
      </c>
      <c r="E1044" t="inlineStr">
        <is>
          <t>D. Ong</t>
        </is>
      </c>
      <c r="F1044" t="inlineStr">
        <is>
          <t>Follow-up</t>
        </is>
      </c>
      <c r="G1044" t="inlineStr">
        <is>
          <t>NONE</t>
        </is>
      </c>
      <c r="H1044" t="inlineStr">
        <is>
          <t>Compliant</t>
        </is>
      </c>
      <c r="I1044" s="6" t="n"/>
      <c r="J1044" s="6" t="n"/>
      <c r="K1044">
        <f>IF(J1044="","",J1044-B1044)</f>
        <v/>
      </c>
      <c r="L1044">
        <f>IF(H1044="Compliant","N/A",IF(J1044&lt;&gt;"","Closed",IF(I1044&lt;DATE(2026,9,30),"OVERDUE","Open")))</f>
        <v/>
      </c>
    </row>
    <row r="1045">
      <c r="A1045" t="inlineStr">
        <is>
          <t>INSP-2026-1044</t>
        </is>
      </c>
      <c r="B1045" s="6" t="n">
        <v>46178</v>
      </c>
      <c r="C1045" t="inlineStr">
        <is>
          <t>U-KR368-01-12</t>
        </is>
      </c>
      <c r="D1045" t="inlineStr">
        <is>
          <t>Kebun Raya</t>
        </is>
      </c>
      <c r="E1045" t="inlineStr">
        <is>
          <t>Daniel O.</t>
        </is>
      </c>
      <c r="F1045" t="inlineStr">
        <is>
          <t>Complaint-driven</t>
        </is>
      </c>
      <c r="G1045" t="inlineStr">
        <is>
          <t>NONE</t>
        </is>
      </c>
      <c r="H1045" t="inlineStr">
        <is>
          <t>Compliant</t>
        </is>
      </c>
      <c r="I1045" s="6" t="n"/>
      <c r="J1045" s="6" t="n"/>
      <c r="K1045">
        <f>IF(J1045="","",J1045-B1045)</f>
        <v/>
      </c>
      <c r="L1045">
        <f>IF(H1045="Compliant","N/A",IF(J1045&lt;&gt;"","Closed",IF(I1045&lt;DATE(2026,9,30),"OVERDUE","Open")))</f>
        <v/>
      </c>
    </row>
    <row r="1046">
      <c r="A1046" t="inlineStr">
        <is>
          <t>INSP-2026-1045</t>
        </is>
      </c>
      <c r="B1046" s="6" t="n">
        <v>46178</v>
      </c>
      <c r="C1046" t="inlineStr">
        <is>
          <t>U-RH428-01-05</t>
        </is>
      </c>
      <c r="D1046" t="inlineStr">
        <is>
          <t>Rimba Heights</t>
        </is>
      </c>
      <c r="E1046" t="inlineStr">
        <is>
          <t>D. Ong</t>
        </is>
      </c>
      <c r="F1046" t="inlineStr">
        <is>
          <t>Routine</t>
        </is>
      </c>
      <c r="G1046" t="inlineStr">
        <is>
          <t>NONE</t>
        </is>
      </c>
      <c r="H1046" t="inlineStr">
        <is>
          <t>Compliant</t>
        </is>
      </c>
      <c r="I1046" s="6" t="n"/>
      <c r="J1046" s="6" t="n"/>
      <c r="K1046">
        <f>IF(J1046="","",J1046-B1046)</f>
        <v/>
      </c>
      <c r="L1046">
        <f>IF(H1046="Compliant","N/A",IF(J1046&lt;&gt;"","Closed",IF(I1046&lt;DATE(2026,9,30),"OVERDUE","Open")))</f>
        <v/>
      </c>
    </row>
    <row r="1047">
      <c r="A1047" t="inlineStr">
        <is>
          <t>INSP-2026-1046</t>
        </is>
      </c>
      <c r="B1047" s="6" t="n">
        <v>46178</v>
      </c>
      <c r="C1047" t="inlineStr">
        <is>
          <t>U-ST591-01-04</t>
        </is>
      </c>
      <c r="D1047" t="inlineStr">
        <is>
          <t>Sungai Tinggi</t>
        </is>
      </c>
      <c r="E1047" t="inlineStr">
        <is>
          <t>Daniel Ong</t>
        </is>
      </c>
      <c r="F1047" t="inlineStr">
        <is>
          <t>Complaint-driven</t>
        </is>
      </c>
      <c r="G1047" t="inlineStr">
        <is>
          <t>NONE</t>
        </is>
      </c>
      <c r="H1047" t="inlineStr">
        <is>
          <t>Compliant</t>
        </is>
      </c>
      <c r="I1047" s="6" t="n"/>
      <c r="J1047" s="6" t="n"/>
      <c r="K1047">
        <f>IF(J1047="","",J1047-B1047)</f>
        <v/>
      </c>
      <c r="L1047">
        <f>IF(H1047="Compliant","N/A",IF(J1047&lt;&gt;"","Closed",IF(I1047&lt;DATE(2026,9,30),"OVERDUE","Open")))</f>
        <v/>
      </c>
    </row>
    <row r="1048">
      <c r="A1048" t="inlineStr">
        <is>
          <t>INSP-2026-1047</t>
        </is>
      </c>
      <c r="B1048" s="6" t="n">
        <v>46178</v>
      </c>
      <c r="C1048" t="inlineStr">
        <is>
          <t>U-PI627-01-05</t>
        </is>
      </c>
      <c r="D1048" t="inlineStr">
        <is>
          <t>Pasir Indah</t>
        </is>
      </c>
      <c r="E1048" t="inlineStr">
        <is>
          <t>M. Lim</t>
        </is>
      </c>
      <c r="F1048" t="inlineStr">
        <is>
          <t>Routine</t>
        </is>
      </c>
      <c r="G1048" t="inlineStr">
        <is>
          <t>UNAPPROVED_AA</t>
        </is>
      </c>
      <c r="H1048" t="inlineStr">
        <is>
          <t>Minor Breach</t>
        </is>
      </c>
      <c r="I1048" s="6" t="n">
        <v>46192</v>
      </c>
      <c r="J1048" s="6" t="n">
        <v>46191</v>
      </c>
      <c r="K1048">
        <f>IF(J1048="","",J1048-B1048)</f>
        <v/>
      </c>
      <c r="L1048">
        <f>IF(H1048="Compliant","N/A",IF(J1048&lt;&gt;"","Closed",IF(I1048&lt;DATE(2026,9,30),"OVERDUE","Open")))</f>
        <v/>
      </c>
    </row>
    <row r="1049">
      <c r="A1049" t="inlineStr">
        <is>
          <t>INSP-2026-1048</t>
        </is>
      </c>
      <c r="B1049" s="6" t="n">
        <v>46178</v>
      </c>
      <c r="C1049" t="inlineStr">
        <is>
          <t>U-BV212-01-12</t>
        </is>
      </c>
      <c r="D1049" t="inlineStr">
        <is>
          <t>Bayshore Vale</t>
        </is>
      </c>
      <c r="E1049" t="inlineStr">
        <is>
          <t>D. Ong</t>
        </is>
      </c>
      <c r="F1049" t="inlineStr">
        <is>
          <t>Follow-up</t>
        </is>
      </c>
      <c r="G1049" t="inlineStr">
        <is>
          <t>NONE</t>
        </is>
      </c>
      <c r="H1049" t="inlineStr">
        <is>
          <t>Compliant</t>
        </is>
      </c>
      <c r="I1049" s="6" t="n"/>
      <c r="J1049" s="6" t="n"/>
      <c r="K1049">
        <f>IF(J1049="","",J1049-B1049)</f>
        <v/>
      </c>
      <c r="L1049">
        <f>IF(H1049="Compliant","N/A",IF(J1049&lt;&gt;"","Closed",IF(I1049&lt;DATE(2026,9,30),"OVERDUE","Open")))</f>
        <v/>
      </c>
    </row>
    <row r="1050">
      <c r="A1050" t="inlineStr">
        <is>
          <t>INSP-2026-1049</t>
        </is>
      </c>
      <c r="B1050" s="6" t="n">
        <v>46178</v>
      </c>
      <c r="C1050" t="inlineStr">
        <is>
          <t>U-ST518-01-08</t>
        </is>
      </c>
      <c r="D1050" t="inlineStr">
        <is>
          <t>Sungai Tinggi</t>
        </is>
      </c>
      <c r="E1050" t="inlineStr">
        <is>
          <t>daniel ong</t>
        </is>
      </c>
      <c r="F1050" t="inlineStr">
        <is>
          <t>Routine</t>
        </is>
      </c>
      <c r="G1050" t="inlineStr">
        <is>
          <t>NONE</t>
        </is>
      </c>
      <c r="H1050" t="inlineStr">
        <is>
          <t>Compliant</t>
        </is>
      </c>
      <c r="I1050" s="6" t="n"/>
      <c r="J1050" s="6" t="n"/>
      <c r="K1050">
        <f>IF(J1050="","",J1050-B1050)</f>
        <v/>
      </c>
      <c r="L1050">
        <f>IF(H1050="Compliant","N/A",IF(J1050&lt;&gt;"","Closed",IF(I1050&lt;DATE(2026,9,30),"OVERDUE","Open")))</f>
        <v/>
      </c>
    </row>
    <row r="1051">
      <c r="A1051" t="inlineStr">
        <is>
          <t>INSP-2026-1050</t>
        </is>
      </c>
      <c r="B1051" s="6" t="n">
        <v>46178</v>
      </c>
      <c r="C1051" t="inlineStr">
        <is>
          <t>U-KR368-02-01</t>
        </is>
      </c>
      <c r="D1051" t="inlineStr">
        <is>
          <t>Kebun Raya</t>
        </is>
      </c>
      <c r="E1051" t="inlineStr">
        <is>
          <t>D. Ong</t>
        </is>
      </c>
      <c r="F1051" t="inlineStr">
        <is>
          <t>Complaint-driven</t>
        </is>
      </c>
      <c r="G1051" t="inlineStr">
        <is>
          <t>DISPLAY_ENCROACH</t>
        </is>
      </c>
      <c r="H1051" t="inlineStr">
        <is>
          <t>Minor Breach</t>
        </is>
      </c>
      <c r="I1051" s="6" t="n">
        <v>46192</v>
      </c>
      <c r="J1051" s="6" t="n">
        <v>46187</v>
      </c>
      <c r="K1051">
        <f>IF(J1051="","",J1051-B1051)</f>
        <v/>
      </c>
      <c r="L1051">
        <f>IF(H1051="Compliant","N/A",IF(J1051&lt;&gt;"","Closed",IF(I1051&lt;DATE(2026,9,30),"OVERDUE","Open")))</f>
        <v/>
      </c>
    </row>
    <row r="1052">
      <c r="A1052" t="inlineStr">
        <is>
          <t>INSP-2026-1051</t>
        </is>
      </c>
      <c r="B1052" s="6" t="n">
        <v>46178</v>
      </c>
      <c r="C1052" t="inlineStr">
        <is>
          <t>U-KR385-02-09</t>
        </is>
      </c>
      <c r="D1052" t="inlineStr">
        <is>
          <t>Kebun Raya</t>
        </is>
      </c>
      <c r="E1052" t="inlineStr">
        <is>
          <t>Benjamin Ho</t>
        </is>
      </c>
      <c r="F1052" t="inlineStr">
        <is>
          <t>Routine</t>
        </is>
      </c>
      <c r="G1052" t="inlineStr">
        <is>
          <t>DISPLAY_ENCROACH</t>
        </is>
      </c>
      <c r="H1052" t="inlineStr">
        <is>
          <t>Minor Breach</t>
        </is>
      </c>
      <c r="I1052" s="6" t="n">
        <v>46192</v>
      </c>
      <c r="J1052" s="6" t="n">
        <v>46188</v>
      </c>
      <c r="K1052">
        <f>IF(J1052="","",J1052-B1052)</f>
        <v/>
      </c>
      <c r="L1052">
        <f>IF(H1052="Compliant","N/A",IF(J1052&lt;&gt;"","Closed",IF(I1052&lt;DATE(2026,9,30),"OVERDUE","Open")))</f>
        <v/>
      </c>
    </row>
    <row r="1053">
      <c r="A1053" t="inlineStr">
        <is>
          <t>INSP-2026-1052</t>
        </is>
      </c>
      <c r="B1053" s="6" t="n">
        <v>46178</v>
      </c>
      <c r="C1053" t="inlineStr">
        <is>
          <t>U-PI693-02-05</t>
        </is>
      </c>
      <c r="D1053" t="inlineStr">
        <is>
          <t>Pasir Indah</t>
        </is>
      </c>
      <c r="E1053" t="inlineStr">
        <is>
          <t>daniel ong</t>
        </is>
      </c>
      <c r="F1053" t="inlineStr">
        <is>
          <t>Routine</t>
        </is>
      </c>
      <c r="G1053" t="inlineStr">
        <is>
          <t>NONE</t>
        </is>
      </c>
      <c r="H1053" t="inlineStr">
        <is>
          <t>Compliant</t>
        </is>
      </c>
      <c r="I1053" s="6" t="n"/>
      <c r="J1053" s="6" t="n"/>
      <c r="K1053">
        <f>IF(J1053="","",J1053-B1053)</f>
        <v/>
      </c>
      <c r="L1053">
        <f>IF(H1053="Compliant","N/A",IF(J1053&lt;&gt;"","Closed",IF(I1053&lt;DATE(2026,9,30),"OVERDUE","Open")))</f>
        <v/>
      </c>
    </row>
    <row r="1054">
      <c r="A1054" t="inlineStr">
        <is>
          <t>INSP-2026-1053</t>
        </is>
      </c>
      <c r="B1054" s="6" t="n">
        <v>46179</v>
      </c>
      <c r="C1054" t="inlineStr">
        <is>
          <t>U-KR327-01-05</t>
        </is>
      </c>
      <c r="D1054" t="inlineStr">
        <is>
          <t>Kebun Raya</t>
        </is>
      </c>
      <c r="E1054" t="inlineStr">
        <is>
          <t>Benjamin Ho</t>
        </is>
      </c>
      <c r="F1054" t="inlineStr">
        <is>
          <t>Routine</t>
        </is>
      </c>
      <c r="G1054" t="inlineStr">
        <is>
          <t>NONE</t>
        </is>
      </c>
      <c r="H1054" t="inlineStr">
        <is>
          <t>Compliant</t>
        </is>
      </c>
      <c r="I1054" s="6" t="n"/>
      <c r="J1054" s="6" t="n"/>
      <c r="K1054">
        <f>IF(J1054="","",J1054-B1054)</f>
        <v/>
      </c>
      <c r="L1054">
        <f>IF(H1054="Compliant","N/A",IF(J1054&lt;&gt;"","Closed",IF(I1054&lt;DATE(2026,9,30),"OVERDUE","Open")))</f>
        <v/>
      </c>
    </row>
    <row r="1055">
      <c r="A1055" t="inlineStr">
        <is>
          <t>INSP-2026-1054</t>
        </is>
      </c>
      <c r="B1055" s="6" t="n">
        <v>46179</v>
      </c>
      <c r="C1055" t="inlineStr">
        <is>
          <t>U-BV227-01-07</t>
        </is>
      </c>
      <c r="D1055" t="inlineStr">
        <is>
          <t>Bayshore Vale</t>
        </is>
      </c>
      <c r="E1055" t="inlineStr">
        <is>
          <t>D. Ong</t>
        </is>
      </c>
      <c r="F1055" t="inlineStr">
        <is>
          <t>Complaint-driven</t>
        </is>
      </c>
      <c r="G1055" t="inlineStr">
        <is>
          <t>NONE</t>
        </is>
      </c>
      <c r="H1055" t="inlineStr">
        <is>
          <t>Compliant</t>
        </is>
      </c>
      <c r="I1055" s="6" t="n"/>
      <c r="J1055" s="6" t="n"/>
      <c r="K1055">
        <f>IF(J1055="","",J1055-B1055)</f>
        <v/>
      </c>
      <c r="L1055">
        <f>IF(H1055="Compliant","N/A",IF(J1055&lt;&gt;"","Closed",IF(I1055&lt;DATE(2026,9,30),"OVERDUE","Open")))</f>
        <v/>
      </c>
    </row>
    <row r="1056">
      <c r="A1056" t="inlineStr">
        <is>
          <t>INSP-2026-1055</t>
        </is>
      </c>
      <c r="B1056" s="6" t="n">
        <v>46179</v>
      </c>
      <c r="C1056" t="inlineStr">
        <is>
          <t>U-ST528-01-09</t>
        </is>
      </c>
      <c r="D1056" t="inlineStr">
        <is>
          <t>Sungai Tinggi</t>
        </is>
      </c>
      <c r="E1056" t="inlineStr">
        <is>
          <t>Daniel O.</t>
        </is>
      </c>
      <c r="F1056" t="inlineStr">
        <is>
          <t>Routine</t>
        </is>
      </c>
      <c r="G1056" t="inlineStr">
        <is>
          <t>NONE</t>
        </is>
      </c>
      <c r="H1056" t="inlineStr">
        <is>
          <t>Compliant</t>
        </is>
      </c>
      <c r="I1056" s="6" t="n"/>
      <c r="J1056" s="6" t="n"/>
      <c r="K1056">
        <f>IF(J1056="","",J1056-B1056)</f>
        <v/>
      </c>
      <c r="L1056">
        <f>IF(H1056="Compliant","N/A",IF(J1056&lt;&gt;"","Closed",IF(I1056&lt;DATE(2026,9,30),"OVERDUE","Open")))</f>
        <v/>
      </c>
    </row>
    <row r="1057">
      <c r="A1057" t="inlineStr">
        <is>
          <t>INSP-2026-1056</t>
        </is>
      </c>
      <c r="B1057" s="6" t="n">
        <v>46179</v>
      </c>
      <c r="C1057" t="inlineStr">
        <is>
          <t>U-KR329-01-07</t>
        </is>
      </c>
      <c r="D1057" t="inlineStr">
        <is>
          <t>Kebun Raya</t>
        </is>
      </c>
      <c r="E1057" t="inlineStr">
        <is>
          <t>D. Ong</t>
        </is>
      </c>
      <c r="F1057" t="inlineStr">
        <is>
          <t>Routine</t>
        </is>
      </c>
      <c r="G1057" t="inlineStr">
        <is>
          <t>NONE</t>
        </is>
      </c>
      <c r="H1057" t="inlineStr">
        <is>
          <t>Compliant</t>
        </is>
      </c>
      <c r="I1057" s="6" t="n"/>
      <c r="J1057" s="6" t="n"/>
      <c r="K1057">
        <f>IF(J1057="","",J1057-B1057)</f>
        <v/>
      </c>
      <c r="L1057">
        <f>IF(H1057="Compliant","N/A",IF(J1057&lt;&gt;"","Closed",IF(I1057&lt;DATE(2026,9,30),"OVERDUE","Open")))</f>
        <v/>
      </c>
    </row>
    <row r="1058">
      <c r="A1058" t="inlineStr">
        <is>
          <t>INSP-2026-1057</t>
        </is>
      </c>
      <c r="B1058" s="6" t="n">
        <v>46180</v>
      </c>
      <c r="C1058" t="inlineStr">
        <is>
          <t>U-KR368-01-14</t>
        </is>
      </c>
      <c r="D1058" t="inlineStr">
        <is>
          <t>Kebun Raya</t>
        </is>
      </c>
      <c r="E1058" t="inlineStr">
        <is>
          <t>Benjamin Ho</t>
        </is>
      </c>
      <c r="F1058" t="inlineStr">
        <is>
          <t>Complaint-driven</t>
        </is>
      </c>
      <c r="G1058" t="inlineStr">
        <is>
          <t>NONE</t>
        </is>
      </c>
      <c r="H1058" t="inlineStr">
        <is>
          <t>Compliant</t>
        </is>
      </c>
      <c r="I1058" s="6" t="n"/>
      <c r="J1058" s="6" t="n"/>
      <c r="K1058">
        <f>IF(J1058="","",J1058-B1058)</f>
        <v/>
      </c>
      <c r="L1058">
        <f>IF(H1058="Compliant","N/A",IF(J1058&lt;&gt;"","Closed",IF(I1058&lt;DATE(2026,9,30),"OVERDUE","Open")))</f>
        <v/>
      </c>
    </row>
    <row r="1059">
      <c r="A1059" t="inlineStr">
        <is>
          <t>INSP-2026-1058</t>
        </is>
      </c>
      <c r="B1059" s="6" t="n">
        <v>46180</v>
      </c>
      <c r="C1059" t="inlineStr">
        <is>
          <t>U-BV231-01-05</t>
        </is>
      </c>
      <c r="D1059" t="inlineStr">
        <is>
          <t>Bayshore Vale</t>
        </is>
      </c>
      <c r="E1059" t="inlineStr">
        <is>
          <t>marcus</t>
        </is>
      </c>
      <c r="F1059" t="inlineStr">
        <is>
          <t>Routine</t>
        </is>
      </c>
      <c r="G1059" t="inlineStr">
        <is>
          <t>DISPLAY_ENCROACH</t>
        </is>
      </c>
      <c r="H1059" t="inlineStr">
        <is>
          <t>Minor Breach</t>
        </is>
      </c>
      <c r="I1059" s="6" t="n">
        <v>46194</v>
      </c>
      <c r="J1059" s="6" t="n">
        <v>46201</v>
      </c>
      <c r="K1059">
        <f>IF(J1059="","",J1059-B1059)</f>
        <v/>
      </c>
      <c r="L1059">
        <f>IF(H1059="Compliant","N/A",IF(J1059&lt;&gt;"","Closed",IF(I1059&lt;DATE(2026,9,30),"OVERDUE","Open")))</f>
        <v/>
      </c>
    </row>
    <row r="1060">
      <c r="A1060" t="inlineStr">
        <is>
          <t>INSP-2026-1059</t>
        </is>
      </c>
      <c r="B1060" s="6" t="n">
        <v>46180</v>
      </c>
      <c r="C1060" t="inlineStr">
        <is>
          <t>U-BV231-01-03</t>
        </is>
      </c>
      <c r="D1060" t="inlineStr">
        <is>
          <t>Bayshore Vale</t>
        </is>
      </c>
      <c r="E1060" t="inlineStr">
        <is>
          <t>D. Ong</t>
        </is>
      </c>
      <c r="F1060" t="inlineStr">
        <is>
          <t>Routine</t>
        </is>
      </c>
      <c r="G1060" t="inlineStr">
        <is>
          <t>NONE</t>
        </is>
      </c>
      <c r="H1060" t="inlineStr">
        <is>
          <t>Compliant</t>
        </is>
      </c>
      <c r="I1060" s="6" t="n"/>
      <c r="J1060" s="6" t="n"/>
      <c r="K1060">
        <f>IF(J1060="","",J1060-B1060)</f>
        <v/>
      </c>
      <c r="L1060">
        <f>IF(H1060="Compliant","N/A",IF(J1060&lt;&gt;"","Closed",IF(I1060&lt;DATE(2026,9,30),"OVERDUE","Open")))</f>
        <v/>
      </c>
    </row>
    <row r="1061">
      <c r="A1061" t="inlineStr">
        <is>
          <t>INSP-2026-1060</t>
        </is>
      </c>
      <c r="B1061" s="6" t="n">
        <v>46180</v>
      </c>
      <c r="C1061" t="inlineStr">
        <is>
          <t>U-CD133-02-11</t>
        </is>
      </c>
      <c r="D1061" t="inlineStr">
        <is>
          <t>Cendana</t>
        </is>
      </c>
      <c r="E1061" t="inlineStr">
        <is>
          <t>marcus</t>
        </is>
      </c>
      <c r="F1061" t="inlineStr">
        <is>
          <t>Routine</t>
        </is>
      </c>
      <c r="G1061" t="inlineStr">
        <is>
          <t>NONE</t>
        </is>
      </c>
      <c r="H1061" t="inlineStr">
        <is>
          <t>Compliant</t>
        </is>
      </c>
      <c r="I1061" s="6" t="n"/>
      <c r="J1061" s="6" t="n"/>
      <c r="K1061">
        <f>IF(J1061="","",J1061-B1061)</f>
        <v/>
      </c>
      <c r="L1061">
        <f>IF(H1061="Compliant","N/A",IF(J1061&lt;&gt;"","Closed",IF(I1061&lt;DATE(2026,9,30),"OVERDUE","Open")))</f>
        <v/>
      </c>
    </row>
    <row r="1062">
      <c r="A1062" t="inlineStr">
        <is>
          <t>INSP-2026-1061</t>
        </is>
      </c>
      <c r="B1062" s="6" t="n">
        <v>46180</v>
      </c>
      <c r="C1062" t="inlineStr">
        <is>
          <t>U-ST512-01-22</t>
        </is>
      </c>
      <c r="D1062" t="inlineStr">
        <is>
          <t>Sungai Tinggi</t>
        </is>
      </c>
      <c r="E1062" t="inlineStr">
        <is>
          <t>Benjamin Ho</t>
        </is>
      </c>
      <c r="F1062" t="inlineStr">
        <is>
          <t>Routine</t>
        </is>
      </c>
      <c r="G1062" t="inlineStr">
        <is>
          <t>NONE</t>
        </is>
      </c>
      <c r="H1062" t="inlineStr">
        <is>
          <t>Compliant</t>
        </is>
      </c>
      <c r="I1062" s="6" t="n"/>
      <c r="J1062" s="6" t="n"/>
      <c r="K1062">
        <f>IF(J1062="","",J1062-B1062)</f>
        <v/>
      </c>
      <c r="L1062">
        <f>IF(H1062="Compliant","N/A",IF(J1062&lt;&gt;"","Closed",IF(I1062&lt;DATE(2026,9,30),"OVERDUE","Open")))</f>
        <v/>
      </c>
    </row>
    <row r="1063">
      <c r="A1063" t="inlineStr">
        <is>
          <t>INSP-2026-1062</t>
        </is>
      </c>
      <c r="B1063" s="6" t="n">
        <v>46180</v>
      </c>
      <c r="C1063" t="inlineStr">
        <is>
          <t>U-CD160-01-05</t>
        </is>
      </c>
      <c r="D1063" t="inlineStr">
        <is>
          <t>Cendana</t>
        </is>
      </c>
      <c r="E1063" t="inlineStr">
        <is>
          <t>marcus</t>
        </is>
      </c>
      <c r="F1063" t="inlineStr">
        <is>
          <t>Routine</t>
        </is>
      </c>
      <c r="G1063" t="inlineStr">
        <is>
          <t>FIRE_SAFETY</t>
        </is>
      </c>
      <c r="H1063" t="inlineStr">
        <is>
          <t>Major Breach</t>
        </is>
      </c>
      <c r="I1063" s="6" t="n">
        <v>46187</v>
      </c>
      <c r="J1063" s="6" t="n">
        <v>46186</v>
      </c>
      <c r="K1063">
        <f>IF(J1063="","",J1063-B1063)</f>
        <v/>
      </c>
      <c r="L1063">
        <f>IF(H1063="Compliant","N/A",IF(J1063&lt;&gt;"","Closed",IF(I1063&lt;DATE(2026,9,30),"OVERDUE","Open")))</f>
        <v/>
      </c>
    </row>
    <row r="1064">
      <c r="A1064" t="inlineStr">
        <is>
          <t>INSP-2026-1063</t>
        </is>
      </c>
      <c r="B1064" s="6" t="n">
        <v>46180</v>
      </c>
      <c r="C1064" t="inlineStr">
        <is>
          <t>U-ST589-01-07</t>
        </is>
      </c>
      <c r="D1064" t="inlineStr">
        <is>
          <t>Sungai Tinggi</t>
        </is>
      </c>
      <c r="E1064" t="inlineStr">
        <is>
          <t>Ben Ho</t>
        </is>
      </c>
      <c r="F1064" t="inlineStr">
        <is>
          <t>Routine</t>
        </is>
      </c>
      <c r="G1064" t="inlineStr">
        <is>
          <t>DISPLAY_ENCROACH</t>
        </is>
      </c>
      <c r="H1064" t="inlineStr">
        <is>
          <t>Minor Breach</t>
        </is>
      </c>
      <c r="I1064" s="6" t="n">
        <v>46194</v>
      </c>
      <c r="J1064" s="6" t="n">
        <v>46203</v>
      </c>
      <c r="K1064">
        <f>IF(J1064="","",J1064-B1064)</f>
        <v/>
      </c>
      <c r="L1064">
        <f>IF(H1064="Compliant","N/A",IF(J1064&lt;&gt;"","Closed",IF(I1064&lt;DATE(2026,9,30),"OVERDUE","Open")))</f>
        <v/>
      </c>
    </row>
    <row r="1065">
      <c r="A1065" t="inlineStr">
        <is>
          <t>INSP-2026-1064</t>
        </is>
      </c>
      <c r="B1065" s="6" t="n">
        <v>46180</v>
      </c>
      <c r="C1065" t="inlineStr">
        <is>
          <t>U-BV279-01-04</t>
        </is>
      </c>
      <c r="D1065" t="inlineStr">
        <is>
          <t>Bayshore Vale</t>
        </is>
      </c>
      <c r="E1065" t="inlineStr">
        <is>
          <t>M. Lim</t>
        </is>
      </c>
      <c r="F1065" t="inlineStr">
        <is>
          <t>Routine</t>
        </is>
      </c>
      <c r="G1065" t="inlineStr">
        <is>
          <t>DISPLAY_ENCROACH</t>
        </is>
      </c>
      <c r="H1065" t="inlineStr">
        <is>
          <t>Minor Breach</t>
        </is>
      </c>
      <c r="I1065" s="6" t="n">
        <v>46194</v>
      </c>
      <c r="J1065" s="6" t="n">
        <v>46189</v>
      </c>
      <c r="K1065">
        <f>IF(J1065="","",J1065-B1065)</f>
        <v/>
      </c>
      <c r="L1065">
        <f>IF(H1065="Compliant","N/A",IF(J1065&lt;&gt;"","Closed",IF(I1065&lt;DATE(2026,9,30),"OVERDUE","Open")))</f>
        <v/>
      </c>
    </row>
    <row r="1066">
      <c r="A1066" t="inlineStr">
        <is>
          <t>INSP-2026-1065</t>
        </is>
      </c>
      <c r="B1066" s="6" t="n">
        <v>46180</v>
      </c>
      <c r="C1066" t="inlineStr">
        <is>
          <t>U-KR333-02-13</t>
        </is>
      </c>
      <c r="D1066" t="inlineStr">
        <is>
          <t>Kebun Raya</t>
        </is>
      </c>
      <c r="E1066" t="inlineStr">
        <is>
          <t>D. Ong</t>
        </is>
      </c>
      <c r="F1066" t="inlineStr">
        <is>
          <t>Routine</t>
        </is>
      </c>
      <c r="G1066" t="inlineStr">
        <is>
          <t>DISPLAY_ENCROACH</t>
        </is>
      </c>
      <c r="H1066" t="inlineStr">
        <is>
          <t>Minor Breach</t>
        </is>
      </c>
      <c r="I1066" s="6" t="n">
        <v>46194</v>
      </c>
      <c r="J1066" s="6" t="n">
        <v>46202</v>
      </c>
      <c r="K1066">
        <f>IF(J1066="","",J1066-B1066)</f>
        <v/>
      </c>
      <c r="L1066">
        <f>IF(H1066="Compliant","N/A",IF(J1066&lt;&gt;"","Closed",IF(I1066&lt;DATE(2026,9,30),"OVERDUE","Open")))</f>
        <v/>
      </c>
    </row>
    <row r="1067">
      <c r="A1067" t="inlineStr">
        <is>
          <t>INSP-2026-1066</t>
        </is>
      </c>
      <c r="B1067" s="6" t="n">
        <v>46181</v>
      </c>
      <c r="C1067" t="inlineStr">
        <is>
          <t>U-ST583-01-07</t>
        </is>
      </c>
      <c r="D1067" t="inlineStr">
        <is>
          <t>Sungai Tinggi</t>
        </is>
      </c>
      <c r="E1067" t="inlineStr">
        <is>
          <t>Ben Ho</t>
        </is>
      </c>
      <c r="F1067" t="inlineStr">
        <is>
          <t>Routine</t>
        </is>
      </c>
      <c r="G1067" t="inlineStr">
        <is>
          <t>NONE</t>
        </is>
      </c>
      <c r="H1067" t="inlineStr">
        <is>
          <t>Compliant</t>
        </is>
      </c>
      <c r="I1067" s="6" t="n"/>
      <c r="J1067" s="6" t="n"/>
      <c r="K1067">
        <f>IF(J1067="","",J1067-B1067)</f>
        <v/>
      </c>
      <c r="L1067">
        <f>IF(H1067="Compliant","N/A",IF(J1067&lt;&gt;"","Closed",IF(I1067&lt;DATE(2026,9,30),"OVERDUE","Open")))</f>
        <v/>
      </c>
    </row>
    <row r="1068">
      <c r="A1068" t="inlineStr">
        <is>
          <t>INSP-2026-1067</t>
        </is>
      </c>
      <c r="B1068" s="6" t="n">
        <v>46181</v>
      </c>
      <c r="C1068" t="inlineStr">
        <is>
          <t>U-RH408-01-08</t>
        </is>
      </c>
      <c r="D1068" t="inlineStr">
        <is>
          <t>Rimba Heights</t>
        </is>
      </c>
      <c r="E1068" t="inlineStr">
        <is>
          <t>Benjamin Ho</t>
        </is>
      </c>
      <c r="F1068" t="inlineStr">
        <is>
          <t>Routine</t>
        </is>
      </c>
      <c r="G1068" t="inlineStr">
        <is>
          <t>NONE</t>
        </is>
      </c>
      <c r="H1068" t="inlineStr">
        <is>
          <t>Compliant</t>
        </is>
      </c>
      <c r="I1068" s="6" t="n"/>
      <c r="J1068" s="6" t="n"/>
      <c r="K1068">
        <f>IF(J1068="","",J1068-B1068)</f>
        <v/>
      </c>
      <c r="L1068">
        <f>IF(H1068="Compliant","N/A",IF(J1068&lt;&gt;"","Closed",IF(I1068&lt;DATE(2026,9,30),"OVERDUE","Open")))</f>
        <v/>
      </c>
    </row>
    <row r="1069">
      <c r="A1069" t="inlineStr">
        <is>
          <t>INSP-2026-1068</t>
        </is>
      </c>
      <c r="B1069" s="6" t="n">
        <v>46181</v>
      </c>
      <c r="C1069" t="inlineStr">
        <is>
          <t>U-KR323-01-02</t>
        </is>
      </c>
      <c r="D1069" t="inlineStr">
        <is>
          <t>Kebun Raya</t>
        </is>
      </c>
      <c r="E1069" t="inlineStr">
        <is>
          <t>daniel ong</t>
        </is>
      </c>
      <c r="F1069" t="inlineStr">
        <is>
          <t>Routine</t>
        </is>
      </c>
      <c r="G1069" t="inlineStr">
        <is>
          <t>DISPLAY_ENCROACH</t>
        </is>
      </c>
      <c r="H1069" t="inlineStr">
        <is>
          <t>Minor Breach</t>
        </is>
      </c>
      <c r="I1069" s="6" t="n">
        <v>46195</v>
      </c>
      <c r="J1069" s="6" t="n">
        <v>46203</v>
      </c>
      <c r="K1069">
        <f>IF(J1069="","",J1069-B1069)</f>
        <v/>
      </c>
      <c r="L1069">
        <f>IF(H1069="Compliant","N/A",IF(J1069&lt;&gt;"","Closed",IF(I1069&lt;DATE(2026,9,30),"OVERDUE","Open")))</f>
        <v/>
      </c>
    </row>
    <row r="1070">
      <c r="A1070" t="inlineStr">
        <is>
          <t>INSP-2026-1069</t>
        </is>
      </c>
      <c r="B1070" s="6" t="n">
        <v>46181</v>
      </c>
      <c r="C1070" t="inlineStr">
        <is>
          <t>U-CD152-01-02</t>
        </is>
      </c>
      <c r="D1070" t="inlineStr">
        <is>
          <t>Cendana</t>
        </is>
      </c>
      <c r="E1070" t="inlineStr">
        <is>
          <t>marcus</t>
        </is>
      </c>
      <c r="F1070" t="inlineStr">
        <is>
          <t>Routine</t>
        </is>
      </c>
      <c r="G1070" t="inlineStr">
        <is>
          <t>NONE</t>
        </is>
      </c>
      <c r="H1070" t="inlineStr">
        <is>
          <t>Compliant</t>
        </is>
      </c>
      <c r="I1070" s="6" t="n"/>
      <c r="J1070" s="6" t="n"/>
      <c r="K1070">
        <f>IF(J1070="","",J1070-B1070)</f>
        <v/>
      </c>
      <c r="L1070">
        <f>IF(H1070="Compliant","N/A",IF(J1070&lt;&gt;"","Closed",IF(I1070&lt;DATE(2026,9,30),"OVERDUE","Open")))</f>
        <v/>
      </c>
    </row>
    <row r="1071">
      <c r="A1071" t="inlineStr">
        <is>
          <t>INSP-2026-1070</t>
        </is>
      </c>
      <c r="B1071" s="6" t="n">
        <v>46181</v>
      </c>
      <c r="C1071" t="inlineStr">
        <is>
          <t>U-PI648-01-08</t>
        </is>
      </c>
      <c r="D1071" t="inlineStr">
        <is>
          <t>Pasir Indah</t>
        </is>
      </c>
      <c r="E1071" t="inlineStr">
        <is>
          <t>Daniel Ong</t>
        </is>
      </c>
      <c r="F1071" t="inlineStr">
        <is>
          <t>Routine</t>
        </is>
      </c>
      <c r="G1071" t="inlineStr">
        <is>
          <t>UNAUTH_TRADE</t>
        </is>
      </c>
      <c r="H1071" t="inlineStr">
        <is>
          <t>Major Breach</t>
        </is>
      </c>
      <c r="I1071" s="6" t="n">
        <v>46188</v>
      </c>
      <c r="J1071" s="6" t="n"/>
      <c r="K1071">
        <f>IF(J1071="","",J1071-B1071)</f>
        <v/>
      </c>
      <c r="L1071">
        <f>IF(H1071="Compliant","N/A",IF(J1071&lt;&gt;"","Closed",IF(I1071&lt;DATE(2026,9,30),"OVERDUE","Open")))</f>
        <v/>
      </c>
    </row>
    <row r="1072">
      <c r="A1072" t="inlineStr">
        <is>
          <t>INSP-2026-1071</t>
        </is>
      </c>
      <c r="B1072" s="6" t="n">
        <v>46181</v>
      </c>
      <c r="C1072" t="inlineStr">
        <is>
          <t>U-ST513-01-02</t>
        </is>
      </c>
      <c r="D1072" t="inlineStr">
        <is>
          <t>Sungai Tinggi</t>
        </is>
      </c>
      <c r="E1072" t="inlineStr">
        <is>
          <t>Daniel Ong</t>
        </is>
      </c>
      <c r="F1072" t="inlineStr">
        <is>
          <t>Routine</t>
        </is>
      </c>
      <c r="G1072" t="inlineStr">
        <is>
          <t>HYGIENE</t>
        </is>
      </c>
      <c r="H1072" t="inlineStr">
        <is>
          <t>Minor Breach</t>
        </is>
      </c>
      <c r="I1072" s="6" t="n">
        <v>46195</v>
      </c>
      <c r="J1072" s="6" t="n">
        <v>46190</v>
      </c>
      <c r="K1072">
        <f>IF(J1072="","",J1072-B1072)</f>
        <v/>
      </c>
      <c r="L1072">
        <f>IF(H1072="Compliant","N/A",IF(J1072&lt;&gt;"","Closed",IF(I1072&lt;DATE(2026,9,30),"OVERDUE","Open")))</f>
        <v/>
      </c>
    </row>
    <row r="1073">
      <c r="A1073" t="inlineStr">
        <is>
          <t>INSP-2026-1072</t>
        </is>
      </c>
      <c r="B1073" s="6" t="n">
        <v>46181</v>
      </c>
      <c r="C1073" t="inlineStr">
        <is>
          <t>U-CD131-01-09</t>
        </is>
      </c>
      <c r="D1073" t="inlineStr">
        <is>
          <t>Cendana</t>
        </is>
      </c>
      <c r="E1073" t="inlineStr">
        <is>
          <t>Daniel O.</t>
        </is>
      </c>
      <c r="F1073" t="inlineStr">
        <is>
          <t>Routine</t>
        </is>
      </c>
      <c r="G1073" t="inlineStr">
        <is>
          <t>NONE</t>
        </is>
      </c>
      <c r="H1073" t="inlineStr">
        <is>
          <t>Compliant</t>
        </is>
      </c>
      <c r="I1073" s="6" t="n"/>
      <c r="J1073" s="6" t="n"/>
      <c r="K1073">
        <f>IF(J1073="","",J1073-B1073)</f>
        <v/>
      </c>
      <c r="L1073">
        <f>IF(H1073="Compliant","N/A",IF(J1073&lt;&gt;"","Closed",IF(I1073&lt;DATE(2026,9,30),"OVERDUE","Open")))</f>
        <v/>
      </c>
    </row>
    <row r="1074">
      <c r="A1074" t="inlineStr">
        <is>
          <t>INSP-2026-1073</t>
        </is>
      </c>
      <c r="B1074" s="6" t="n">
        <v>46181</v>
      </c>
      <c r="C1074" t="inlineStr">
        <is>
          <t>U-KR362-01-08</t>
        </is>
      </c>
      <c r="D1074" t="inlineStr">
        <is>
          <t>Kebun Raya</t>
        </is>
      </c>
      <c r="E1074" t="inlineStr">
        <is>
          <t>Benjamin Ho</t>
        </is>
      </c>
      <c r="F1074" t="inlineStr">
        <is>
          <t>Complaint-driven</t>
        </is>
      </c>
      <c r="G1074" t="inlineStr">
        <is>
          <t>NONE</t>
        </is>
      </c>
      <c r="H1074" t="inlineStr">
        <is>
          <t>Compliant</t>
        </is>
      </c>
      <c r="I1074" s="6" t="n"/>
      <c r="J1074" s="6" t="n"/>
      <c r="K1074">
        <f>IF(J1074="","",J1074-B1074)</f>
        <v/>
      </c>
      <c r="L1074">
        <f>IF(H1074="Compliant","N/A",IF(J1074&lt;&gt;"","Closed",IF(I1074&lt;DATE(2026,9,30),"OVERDUE","Open")))</f>
        <v/>
      </c>
    </row>
    <row r="1075">
      <c r="A1075" t="inlineStr">
        <is>
          <t>INSP-2026-1074</t>
        </is>
      </c>
      <c r="B1075" s="6" t="n">
        <v>46182</v>
      </c>
      <c r="C1075" t="inlineStr">
        <is>
          <t>U-CD118-01-20</t>
        </is>
      </c>
      <c r="D1075" t="inlineStr">
        <is>
          <t>Cendana</t>
        </is>
      </c>
      <c r="E1075" t="inlineStr">
        <is>
          <t>Daniel O.</t>
        </is>
      </c>
      <c r="F1075" t="inlineStr">
        <is>
          <t>Routine</t>
        </is>
      </c>
      <c r="G1075" t="inlineStr">
        <is>
          <t>UNAPPROVED_AA</t>
        </is>
      </c>
      <c r="H1075" t="inlineStr">
        <is>
          <t>Minor Breach</t>
        </is>
      </c>
      <c r="I1075" s="6" t="n">
        <v>46196</v>
      </c>
      <c r="J1075" s="6" t="n"/>
      <c r="K1075">
        <f>IF(J1075="","",J1075-B1075)</f>
        <v/>
      </c>
      <c r="L1075">
        <f>IF(H1075="Compliant","N/A",IF(J1075&lt;&gt;"","Closed",IF(I1075&lt;DATE(2026,9,30),"OVERDUE","Open")))</f>
        <v/>
      </c>
    </row>
    <row r="1076">
      <c r="A1076" t="inlineStr">
        <is>
          <t>INSP-2026-1075</t>
        </is>
      </c>
      <c r="B1076" s="6" t="n">
        <v>46182</v>
      </c>
      <c r="C1076" t="inlineStr">
        <is>
          <t>U-CD181-01-06</t>
        </is>
      </c>
      <c r="D1076" t="inlineStr">
        <is>
          <t>Cendana</t>
        </is>
      </c>
      <c r="E1076" t="inlineStr">
        <is>
          <t>marcus</t>
        </is>
      </c>
      <c r="F1076" t="inlineStr">
        <is>
          <t>Routine</t>
        </is>
      </c>
      <c r="G1076" t="inlineStr">
        <is>
          <t>NONE</t>
        </is>
      </c>
      <c r="H1076" t="inlineStr">
        <is>
          <t>Compliant</t>
        </is>
      </c>
      <c r="I1076" s="6" t="n"/>
      <c r="J1076" s="6" t="n"/>
      <c r="K1076">
        <f>IF(J1076="","",J1076-B1076)</f>
        <v/>
      </c>
      <c r="L1076">
        <f>IF(H1076="Compliant","N/A",IF(J1076&lt;&gt;"","Closed",IF(I1076&lt;DATE(2026,9,30),"OVERDUE","Open")))</f>
        <v/>
      </c>
    </row>
    <row r="1077">
      <c r="A1077" t="inlineStr">
        <is>
          <t>INSP-2026-1076</t>
        </is>
      </c>
      <c r="B1077" s="6" t="n">
        <v>46182</v>
      </c>
      <c r="C1077" t="inlineStr">
        <is>
          <t>U-CD120-01-09</t>
        </is>
      </c>
      <c r="D1077" t="inlineStr">
        <is>
          <t>Cendana</t>
        </is>
      </c>
      <c r="E1077" t="inlineStr">
        <is>
          <t>M. Lim</t>
        </is>
      </c>
      <c r="F1077" t="inlineStr">
        <is>
          <t>Routine</t>
        </is>
      </c>
      <c r="G1077" t="inlineStr">
        <is>
          <t>HYGIENE</t>
        </is>
      </c>
      <c r="H1077" t="inlineStr">
        <is>
          <t>Minor Breach</t>
        </is>
      </c>
      <c r="I1077" s="6" t="n">
        <v>46196</v>
      </c>
      <c r="J1077" s="6" t="n">
        <v>46197</v>
      </c>
      <c r="K1077">
        <f>IF(J1077="","",J1077-B1077)</f>
        <v/>
      </c>
      <c r="L1077">
        <f>IF(H1077="Compliant","N/A",IF(J1077&lt;&gt;"","Closed",IF(I1077&lt;DATE(2026,9,30),"OVERDUE","Open")))</f>
        <v/>
      </c>
    </row>
    <row r="1078">
      <c r="A1078" t="inlineStr">
        <is>
          <t>INSP-2026-1077</t>
        </is>
      </c>
      <c r="B1078" s="6" t="n">
        <v>46182</v>
      </c>
      <c r="C1078" t="inlineStr">
        <is>
          <t>U-BV273-01-01</t>
        </is>
      </c>
      <c r="D1078" t="inlineStr">
        <is>
          <t>Bayshore Vale</t>
        </is>
      </c>
      <c r="E1078" t="inlineStr">
        <is>
          <t>D. Ong</t>
        </is>
      </c>
      <c r="F1078" t="inlineStr">
        <is>
          <t>Complaint-driven</t>
        </is>
      </c>
      <c r="G1078" t="inlineStr">
        <is>
          <t>NONE</t>
        </is>
      </c>
      <c r="H1078" t="inlineStr">
        <is>
          <t>Compliant</t>
        </is>
      </c>
      <c r="I1078" s="6" t="n"/>
      <c r="J1078" s="6" t="n"/>
      <c r="K1078">
        <f>IF(J1078="","",J1078-B1078)</f>
        <v/>
      </c>
      <c r="L1078">
        <f>IF(H1078="Compliant","N/A",IF(J1078&lt;&gt;"","Closed",IF(I1078&lt;DATE(2026,9,30),"OVERDUE","Open")))</f>
        <v/>
      </c>
    </row>
    <row r="1079">
      <c r="A1079" t="inlineStr">
        <is>
          <t>INSP-2026-1078</t>
        </is>
      </c>
      <c r="B1079" s="6" t="n">
        <v>46182</v>
      </c>
      <c r="C1079" t="inlineStr">
        <is>
          <t>U-BV297-01-04</t>
        </is>
      </c>
      <c r="D1079" t="inlineStr">
        <is>
          <t>Bayshore Vale</t>
        </is>
      </c>
      <c r="E1079" t="inlineStr">
        <is>
          <t>marcus</t>
        </is>
      </c>
      <c r="F1079" t="inlineStr">
        <is>
          <t>Follow-up</t>
        </is>
      </c>
      <c r="G1079" t="inlineStr">
        <is>
          <t>NONE</t>
        </is>
      </c>
      <c r="H1079" t="inlineStr">
        <is>
          <t>Compliant</t>
        </is>
      </c>
      <c r="I1079" s="6" t="n"/>
      <c r="J1079" s="6" t="n"/>
      <c r="K1079">
        <f>IF(J1079="","",J1079-B1079)</f>
        <v/>
      </c>
      <c r="L1079">
        <f>IF(H1079="Compliant","N/A",IF(J1079&lt;&gt;"","Closed",IF(I1079&lt;DATE(2026,9,30),"OVERDUE","Open")))</f>
        <v/>
      </c>
    </row>
    <row r="1080">
      <c r="A1080" t="inlineStr">
        <is>
          <t>INSP-2026-1079</t>
        </is>
      </c>
      <c r="B1080" s="6" t="n">
        <v>46182</v>
      </c>
      <c r="C1080" t="inlineStr">
        <is>
          <t>U-BV214-01-11</t>
        </is>
      </c>
      <c r="D1080" t="inlineStr">
        <is>
          <t>Bayshore Vale</t>
        </is>
      </c>
      <c r="E1080" t="inlineStr">
        <is>
          <t>D. Ong</t>
        </is>
      </c>
      <c r="F1080" t="inlineStr">
        <is>
          <t>Routine</t>
        </is>
      </c>
      <c r="G1080" t="inlineStr">
        <is>
          <t>NONE</t>
        </is>
      </c>
      <c r="H1080" t="inlineStr">
        <is>
          <t>Compliant</t>
        </is>
      </c>
      <c r="I1080" s="6" t="n"/>
      <c r="J1080" s="6" t="n"/>
      <c r="K1080">
        <f>IF(J1080="","",J1080-B1080)</f>
        <v/>
      </c>
      <c r="L1080">
        <f>IF(H1080="Compliant","N/A",IF(J1080&lt;&gt;"","Closed",IF(I1080&lt;DATE(2026,9,30),"OVERDUE","Open")))</f>
        <v/>
      </c>
    </row>
    <row r="1081">
      <c r="A1081" t="inlineStr">
        <is>
          <t>INSP-2026-1080</t>
        </is>
      </c>
      <c r="B1081" s="6" t="n">
        <v>46182</v>
      </c>
      <c r="C1081" t="inlineStr">
        <is>
          <t>U-ST545-02-06</t>
        </is>
      </c>
      <c r="D1081" t="inlineStr">
        <is>
          <t>Sungai Tinggi</t>
        </is>
      </c>
      <c r="E1081" t="inlineStr">
        <is>
          <t>Benjamin Ho</t>
        </is>
      </c>
      <c r="F1081" t="inlineStr">
        <is>
          <t>Routine</t>
        </is>
      </c>
      <c r="G1081" t="inlineStr">
        <is>
          <t>HYGIENE</t>
        </is>
      </c>
      <c r="H1081" t="inlineStr">
        <is>
          <t>Minor Breach</t>
        </is>
      </c>
      <c r="I1081" s="6" t="n">
        <v>46196</v>
      </c>
      <c r="J1081" s="6" t="n">
        <v>46203</v>
      </c>
      <c r="K1081">
        <f>IF(J1081="","",J1081-B1081)</f>
        <v/>
      </c>
      <c r="L1081">
        <f>IF(H1081="Compliant","N/A",IF(J1081&lt;&gt;"","Closed",IF(I1081&lt;DATE(2026,9,30),"OVERDUE","Open")))</f>
        <v/>
      </c>
    </row>
    <row r="1082">
      <c r="A1082" t="inlineStr">
        <is>
          <t>INSP-2026-1081</t>
        </is>
      </c>
      <c r="B1082" s="6" t="n">
        <v>46182</v>
      </c>
      <c r="C1082" t="inlineStr">
        <is>
          <t>U-CD133-02-07</t>
        </is>
      </c>
      <c r="D1082" t="inlineStr">
        <is>
          <t>Cendana</t>
        </is>
      </c>
      <c r="E1082" t="inlineStr">
        <is>
          <t>Daniel O.</t>
        </is>
      </c>
      <c r="F1082" t="inlineStr">
        <is>
          <t>Routine</t>
        </is>
      </c>
      <c r="G1082" t="inlineStr">
        <is>
          <t>DISPLAY_ENCROACH</t>
        </is>
      </c>
      <c r="H1082" t="inlineStr">
        <is>
          <t>Minor Breach</t>
        </is>
      </c>
      <c r="I1082" s="6" t="n">
        <v>46196</v>
      </c>
      <c r="J1082" s="6" t="n">
        <v>46196</v>
      </c>
      <c r="K1082">
        <f>IF(J1082="","",J1082-B1082)</f>
        <v/>
      </c>
      <c r="L1082">
        <f>IF(H1082="Compliant","N/A",IF(J1082&lt;&gt;"","Closed",IF(I1082&lt;DATE(2026,9,30),"OVERDUE","Open")))</f>
        <v/>
      </c>
    </row>
    <row r="1083">
      <c r="A1083" t="inlineStr">
        <is>
          <t>INSP-2026-1082</t>
        </is>
      </c>
      <c r="B1083" s="6" t="n">
        <v>46182</v>
      </c>
      <c r="C1083" t="inlineStr">
        <is>
          <t>U-CD129-01-08</t>
        </is>
      </c>
      <c r="D1083" t="inlineStr">
        <is>
          <t>Cendana</t>
        </is>
      </c>
      <c r="E1083" t="inlineStr">
        <is>
          <t>Daniel O.</t>
        </is>
      </c>
      <c r="F1083" t="inlineStr">
        <is>
          <t>Complaint-driven</t>
        </is>
      </c>
      <c r="G1083" t="inlineStr">
        <is>
          <t>HYGIENE</t>
        </is>
      </c>
      <c r="H1083" t="inlineStr">
        <is>
          <t>Minor Breach</t>
        </is>
      </c>
      <c r="I1083" s="6" t="n">
        <v>46196</v>
      </c>
      <c r="J1083" s="6" t="n">
        <v>46201</v>
      </c>
      <c r="K1083">
        <f>IF(J1083="","",J1083-B1083)</f>
        <v/>
      </c>
      <c r="L1083">
        <f>IF(H1083="Compliant","N/A",IF(J1083&lt;&gt;"","Closed",IF(I1083&lt;DATE(2026,9,30),"OVERDUE","Open")))</f>
        <v/>
      </c>
    </row>
    <row r="1084">
      <c r="A1084" t="inlineStr">
        <is>
          <t>INSP-2026-1083</t>
        </is>
      </c>
      <c r="B1084" s="6" t="n">
        <v>46182</v>
      </c>
      <c r="C1084" t="inlineStr">
        <is>
          <t>U-KR349-01-06</t>
        </is>
      </c>
      <c r="D1084" t="inlineStr">
        <is>
          <t>Kebun Raya</t>
        </is>
      </c>
      <c r="E1084" t="inlineStr">
        <is>
          <t>D. Ong</t>
        </is>
      </c>
      <c r="F1084" t="inlineStr">
        <is>
          <t>Routine</t>
        </is>
      </c>
      <c r="G1084" t="inlineStr">
        <is>
          <t>DISPLAY_ENCROACH</t>
        </is>
      </c>
      <c r="H1084" t="inlineStr">
        <is>
          <t>Minor Breach</t>
        </is>
      </c>
      <c r="I1084" s="6" t="n">
        <v>46196</v>
      </c>
      <c r="J1084" s="6" t="n">
        <v>46197</v>
      </c>
      <c r="K1084">
        <f>IF(J1084="","",J1084-B1084)</f>
        <v/>
      </c>
      <c r="L1084">
        <f>IF(H1084="Compliant","N/A",IF(J1084&lt;&gt;"","Closed",IF(I1084&lt;DATE(2026,9,30),"OVERDUE","Open")))</f>
        <v/>
      </c>
    </row>
    <row r="1085">
      <c r="A1085" t="inlineStr">
        <is>
          <t>INSP-2026-1084</t>
        </is>
      </c>
      <c r="B1085" s="6" t="n">
        <v>46183</v>
      </c>
      <c r="C1085" t="inlineStr">
        <is>
          <t>U-PI615-01-04</t>
        </is>
      </c>
      <c r="D1085" t="inlineStr">
        <is>
          <t>Pasir Indah</t>
        </is>
      </c>
      <c r="E1085" t="inlineStr">
        <is>
          <t>M. Lim</t>
        </is>
      </c>
      <c r="F1085" t="inlineStr">
        <is>
          <t>Follow-up</t>
        </is>
      </c>
      <c r="G1085" t="inlineStr">
        <is>
          <t>HYGIENE</t>
        </is>
      </c>
      <c r="H1085" t="inlineStr">
        <is>
          <t>Minor Breach</t>
        </is>
      </c>
      <c r="I1085" s="6" t="n">
        <v>46197</v>
      </c>
      <c r="J1085" s="6" t="n">
        <v>46206</v>
      </c>
      <c r="K1085">
        <f>IF(J1085="","",J1085-B1085)</f>
        <v/>
      </c>
      <c r="L1085">
        <f>IF(H1085="Compliant","N/A",IF(J1085&lt;&gt;"","Closed",IF(I1085&lt;DATE(2026,9,30),"OVERDUE","Open")))</f>
        <v/>
      </c>
    </row>
    <row r="1086">
      <c r="A1086" t="inlineStr">
        <is>
          <t>INSP-2026-1085</t>
        </is>
      </c>
      <c r="B1086" s="6" t="n">
        <v>46183</v>
      </c>
      <c r="C1086" t="inlineStr">
        <is>
          <t>U-BV233-02-06</t>
        </is>
      </c>
      <c r="D1086" t="inlineStr">
        <is>
          <t>Bayshore Vale</t>
        </is>
      </c>
      <c r="E1086" t="inlineStr">
        <is>
          <t>daniel ong</t>
        </is>
      </c>
      <c r="F1086" t="inlineStr">
        <is>
          <t>Routine</t>
        </is>
      </c>
      <c r="G1086" t="inlineStr">
        <is>
          <t>NONE</t>
        </is>
      </c>
      <c r="H1086" t="inlineStr">
        <is>
          <t>Compliant</t>
        </is>
      </c>
      <c r="I1086" s="6" t="n"/>
      <c r="J1086" s="6" t="n"/>
      <c r="K1086">
        <f>IF(J1086="","",J1086-B1086)</f>
        <v/>
      </c>
      <c r="L1086">
        <f>IF(H1086="Compliant","N/A",IF(J1086&lt;&gt;"","Closed",IF(I1086&lt;DATE(2026,9,30),"OVERDUE","Open")))</f>
        <v/>
      </c>
    </row>
    <row r="1087">
      <c r="A1087" t="inlineStr">
        <is>
          <t>INSP-2026-1086</t>
        </is>
      </c>
      <c r="B1087" s="6" t="n">
        <v>46183</v>
      </c>
      <c r="C1087" t="inlineStr">
        <is>
          <t>U-RH455-02-24</t>
        </is>
      </c>
      <c r="D1087" t="inlineStr">
        <is>
          <t>Rimba Heights</t>
        </is>
      </c>
      <c r="E1087" t="inlineStr">
        <is>
          <t>daniel ong</t>
        </is>
      </c>
      <c r="F1087" t="inlineStr">
        <is>
          <t>Routine</t>
        </is>
      </c>
      <c r="G1087" t="inlineStr">
        <is>
          <t>HYGIENE</t>
        </is>
      </c>
      <c r="H1087" t="inlineStr">
        <is>
          <t>Minor Breach</t>
        </is>
      </c>
      <c r="I1087" s="6" t="n">
        <v>46197</v>
      </c>
      <c r="J1087" s="6" t="n">
        <v>46203</v>
      </c>
      <c r="K1087">
        <f>IF(J1087="","",J1087-B1087)</f>
        <v/>
      </c>
      <c r="L1087">
        <f>IF(H1087="Compliant","N/A",IF(J1087&lt;&gt;"","Closed",IF(I1087&lt;DATE(2026,9,30),"OVERDUE","Open")))</f>
        <v/>
      </c>
    </row>
    <row r="1088">
      <c r="A1088" t="inlineStr">
        <is>
          <t>INSP-2026-1087</t>
        </is>
      </c>
      <c r="B1088" s="6" t="n">
        <v>46183</v>
      </c>
      <c r="C1088" t="inlineStr">
        <is>
          <t>U-RH437-01-11</t>
        </is>
      </c>
      <c r="D1088" t="inlineStr">
        <is>
          <t>Rimba Heights</t>
        </is>
      </c>
      <c r="E1088" t="inlineStr">
        <is>
          <t>D. Ong</t>
        </is>
      </c>
      <c r="F1088" t="inlineStr">
        <is>
          <t>Follow-up</t>
        </is>
      </c>
      <c r="G1088" t="inlineStr">
        <is>
          <t>NONE</t>
        </is>
      </c>
      <c r="H1088" t="inlineStr">
        <is>
          <t>Compliant</t>
        </is>
      </c>
      <c r="I1088" s="6" t="n"/>
      <c r="J1088" s="6" t="n"/>
      <c r="K1088">
        <f>IF(J1088="","",J1088-B1088)</f>
        <v/>
      </c>
      <c r="L1088">
        <f>IF(H1088="Compliant","N/A",IF(J1088&lt;&gt;"","Closed",IF(I1088&lt;DATE(2026,9,30),"OVERDUE","Open")))</f>
        <v/>
      </c>
    </row>
    <row r="1089">
      <c r="A1089" t="inlineStr">
        <is>
          <t>INSP-2026-1088</t>
        </is>
      </c>
      <c r="B1089" s="6" t="n">
        <v>46183</v>
      </c>
      <c r="C1089" t="inlineStr">
        <is>
          <t>U-BV214-01-18</t>
        </is>
      </c>
      <c r="D1089" t="inlineStr">
        <is>
          <t>Bayshore Vale</t>
        </is>
      </c>
      <c r="E1089" t="inlineStr">
        <is>
          <t>D. Ong</t>
        </is>
      </c>
      <c r="F1089" t="inlineStr">
        <is>
          <t>Complaint-driven</t>
        </is>
      </c>
      <c r="G1089" t="inlineStr">
        <is>
          <t>HYGIENE</t>
        </is>
      </c>
      <c r="H1089" t="inlineStr">
        <is>
          <t>Minor Breach</t>
        </is>
      </c>
      <c r="I1089" s="6" t="n">
        <v>46197</v>
      </c>
      <c r="J1089" s="6" t="n">
        <v>46206</v>
      </c>
      <c r="K1089">
        <f>IF(J1089="","",J1089-B1089)</f>
        <v/>
      </c>
      <c r="L1089">
        <f>IF(H1089="Compliant","N/A",IF(J1089&lt;&gt;"","Closed",IF(I1089&lt;DATE(2026,9,30),"OVERDUE","Open")))</f>
        <v/>
      </c>
    </row>
    <row r="1090">
      <c r="A1090" t="inlineStr">
        <is>
          <t>INSP-2026-1089</t>
        </is>
      </c>
      <c r="B1090" s="6" t="n">
        <v>46183</v>
      </c>
      <c r="C1090" t="inlineStr">
        <is>
          <t>U-PI651-01-05</t>
        </is>
      </c>
      <c r="D1090" t="inlineStr">
        <is>
          <t>Pasir Indah</t>
        </is>
      </c>
      <c r="E1090" t="inlineStr">
        <is>
          <t>Daniel Ong</t>
        </is>
      </c>
      <c r="F1090" t="inlineStr">
        <is>
          <t>Routine</t>
        </is>
      </c>
      <c r="G1090" t="inlineStr">
        <is>
          <t>NONE</t>
        </is>
      </c>
      <c r="H1090" t="inlineStr">
        <is>
          <t>Compliant</t>
        </is>
      </c>
      <c r="I1090" s="6" t="n"/>
      <c r="J1090" s="6" t="n"/>
      <c r="K1090">
        <f>IF(J1090="","",J1090-B1090)</f>
        <v/>
      </c>
      <c r="L1090">
        <f>IF(H1090="Compliant","N/A",IF(J1090&lt;&gt;"","Closed",IF(I1090&lt;DATE(2026,9,30),"OVERDUE","Open")))</f>
        <v/>
      </c>
    </row>
    <row r="1091">
      <c r="A1091" t="inlineStr">
        <is>
          <t>INSP-2026-1090</t>
        </is>
      </c>
      <c r="B1091" s="6" t="n">
        <v>46183</v>
      </c>
      <c r="C1091" t="inlineStr">
        <is>
          <t>U-ST534-01-06</t>
        </is>
      </c>
      <c r="D1091" t="inlineStr">
        <is>
          <t>Sungai Tinggi</t>
        </is>
      </c>
      <c r="E1091" t="inlineStr">
        <is>
          <t>Daniel Ong</t>
        </is>
      </c>
      <c r="F1091" t="inlineStr">
        <is>
          <t>Follow-up</t>
        </is>
      </c>
      <c r="G1091" t="inlineStr">
        <is>
          <t>DISPLAY_ENCROACH</t>
        </is>
      </c>
      <c r="H1091" t="inlineStr">
        <is>
          <t>Minor Breach</t>
        </is>
      </c>
      <c r="I1091" s="6" t="n">
        <v>46197</v>
      </c>
      <c r="J1091" s="6" t="n"/>
      <c r="K1091">
        <f>IF(J1091="","",J1091-B1091)</f>
        <v/>
      </c>
      <c r="L1091">
        <f>IF(H1091="Compliant","N/A",IF(J1091&lt;&gt;"","Closed",IF(I1091&lt;DATE(2026,9,30),"OVERDUE","Open")))</f>
        <v/>
      </c>
    </row>
    <row r="1092">
      <c r="A1092" t="inlineStr">
        <is>
          <t>INSP-2026-1091</t>
        </is>
      </c>
      <c r="B1092" s="6" t="n">
        <v>46183</v>
      </c>
      <c r="C1092" t="inlineStr">
        <is>
          <t>U-KR335-01-09</t>
        </is>
      </c>
      <c r="D1092" t="inlineStr">
        <is>
          <t>Kebun Raya</t>
        </is>
      </c>
      <c r="E1092" t="inlineStr">
        <is>
          <t>Benjamin Ho</t>
        </is>
      </c>
      <c r="F1092" t="inlineStr">
        <is>
          <t>Routine</t>
        </is>
      </c>
      <c r="G1092" t="inlineStr">
        <is>
          <t>NONE</t>
        </is>
      </c>
      <c r="H1092" t="inlineStr">
        <is>
          <t>Compliant</t>
        </is>
      </c>
      <c r="I1092" s="6" t="n"/>
      <c r="J1092" s="6" t="n"/>
      <c r="K1092">
        <f>IF(J1092="","",J1092-B1092)</f>
        <v/>
      </c>
      <c r="L1092">
        <f>IF(H1092="Compliant","N/A",IF(J1092&lt;&gt;"","Closed",IF(I1092&lt;DATE(2026,9,30),"OVERDUE","Open")))</f>
        <v/>
      </c>
    </row>
    <row r="1093">
      <c r="A1093" t="inlineStr">
        <is>
          <t>INSP-2026-1092</t>
        </is>
      </c>
      <c r="B1093" s="6" t="n">
        <v>46184</v>
      </c>
      <c r="C1093" t="inlineStr">
        <is>
          <t>U-CD152-01-13</t>
        </is>
      </c>
      <c r="D1093" t="inlineStr">
        <is>
          <t>Cendana</t>
        </is>
      </c>
      <c r="E1093" t="inlineStr">
        <is>
          <t>Marcus Lim</t>
        </is>
      </c>
      <c r="F1093" t="inlineStr">
        <is>
          <t>Routine</t>
        </is>
      </c>
      <c r="G1093" t="inlineStr">
        <is>
          <t>NONE</t>
        </is>
      </c>
      <c r="H1093" t="inlineStr">
        <is>
          <t>Compliant</t>
        </is>
      </c>
      <c r="I1093" s="6" t="n"/>
      <c r="J1093" s="6" t="n"/>
      <c r="K1093">
        <f>IF(J1093="","",J1093-B1093)</f>
        <v/>
      </c>
      <c r="L1093">
        <f>IF(H1093="Compliant","N/A",IF(J1093&lt;&gt;"","Closed",IF(I1093&lt;DATE(2026,9,30),"OVERDUE","Open")))</f>
        <v/>
      </c>
    </row>
    <row r="1094">
      <c r="A1094" t="inlineStr">
        <is>
          <t>INSP-2026-1093</t>
        </is>
      </c>
      <c r="B1094" s="6" t="n">
        <v>46184</v>
      </c>
      <c r="C1094" t="inlineStr">
        <is>
          <t>U-CD118-01-29</t>
        </is>
      </c>
      <c r="D1094" t="inlineStr">
        <is>
          <t>Cendana</t>
        </is>
      </c>
      <c r="E1094" t="inlineStr">
        <is>
          <t>M. Lim</t>
        </is>
      </c>
      <c r="F1094" t="inlineStr">
        <is>
          <t>Routine</t>
        </is>
      </c>
      <c r="G1094" t="inlineStr">
        <is>
          <t>NONE</t>
        </is>
      </c>
      <c r="H1094" t="inlineStr">
        <is>
          <t>Compliant</t>
        </is>
      </c>
      <c r="I1094" s="6" t="n"/>
      <c r="J1094" s="6" t="n"/>
      <c r="K1094">
        <f>IF(J1094="","",J1094-B1094)</f>
        <v/>
      </c>
      <c r="L1094">
        <f>IF(H1094="Compliant","N/A",IF(J1094&lt;&gt;"","Closed",IF(I1094&lt;DATE(2026,9,30),"OVERDUE","Open")))</f>
        <v/>
      </c>
    </row>
    <row r="1095">
      <c r="A1095" t="inlineStr">
        <is>
          <t>INSP-2026-1094</t>
        </is>
      </c>
      <c r="B1095" s="6" t="n">
        <v>46184</v>
      </c>
      <c r="C1095" t="inlineStr">
        <is>
          <t>U-PI606-01-03</t>
        </is>
      </c>
      <c r="D1095" t="inlineStr">
        <is>
          <t>Pasir Indah</t>
        </is>
      </c>
      <c r="E1095" t="inlineStr">
        <is>
          <t>M. Lim</t>
        </is>
      </c>
      <c r="F1095" t="inlineStr">
        <is>
          <t>Routine</t>
        </is>
      </c>
      <c r="G1095" t="inlineStr">
        <is>
          <t>DISPLAY_ENCROACH</t>
        </is>
      </c>
      <c r="H1095" t="inlineStr">
        <is>
          <t>Minor Breach</t>
        </is>
      </c>
      <c r="I1095" s="6" t="n">
        <v>46198</v>
      </c>
      <c r="J1095" s="6" t="n">
        <v>46206</v>
      </c>
      <c r="K1095">
        <f>IF(J1095="","",J1095-B1095)</f>
        <v/>
      </c>
      <c r="L1095">
        <f>IF(H1095="Compliant","N/A",IF(J1095&lt;&gt;"","Closed",IF(I1095&lt;DATE(2026,9,30),"OVERDUE","Open")))</f>
        <v/>
      </c>
    </row>
    <row r="1096">
      <c r="A1096" t="inlineStr">
        <is>
          <t>INSP-2026-1095</t>
        </is>
      </c>
      <c r="B1096" s="6" t="n">
        <v>46184</v>
      </c>
      <c r="C1096" t="inlineStr">
        <is>
          <t>U-BV216-01-06</t>
        </is>
      </c>
      <c r="D1096" t="inlineStr">
        <is>
          <t>Bayshore Vale</t>
        </is>
      </c>
      <c r="E1096" t="inlineStr">
        <is>
          <t>marcus</t>
        </is>
      </c>
      <c r="F1096" t="inlineStr">
        <is>
          <t>Routine</t>
        </is>
      </c>
      <c r="G1096" t="inlineStr">
        <is>
          <t>NONE</t>
        </is>
      </c>
      <c r="H1096" t="inlineStr">
        <is>
          <t>Compliant</t>
        </is>
      </c>
      <c r="I1096" s="6" t="n"/>
      <c r="J1096" s="6" t="n"/>
      <c r="K1096">
        <f>IF(J1096="","",J1096-B1096)</f>
        <v/>
      </c>
      <c r="L1096">
        <f>IF(H1096="Compliant","N/A",IF(J1096&lt;&gt;"","Closed",IF(I1096&lt;DATE(2026,9,30),"OVERDUE","Open")))</f>
        <v/>
      </c>
    </row>
    <row r="1097">
      <c r="A1097" t="inlineStr">
        <is>
          <t>INSP-2026-1096</t>
        </is>
      </c>
      <c r="B1097" s="6" t="n">
        <v>46184</v>
      </c>
      <c r="C1097" t="inlineStr">
        <is>
          <t>U-CD105-01-02</t>
        </is>
      </c>
      <c r="D1097" t="inlineStr">
        <is>
          <t>Cendana</t>
        </is>
      </c>
      <c r="E1097" t="inlineStr">
        <is>
          <t>M. Lim</t>
        </is>
      </c>
      <c r="F1097" t="inlineStr">
        <is>
          <t>Routine</t>
        </is>
      </c>
      <c r="G1097" t="inlineStr">
        <is>
          <t>NONE</t>
        </is>
      </c>
      <c r="H1097" t="inlineStr">
        <is>
          <t>Compliant</t>
        </is>
      </c>
      <c r="I1097" s="6" t="n"/>
      <c r="J1097" s="6" t="n"/>
      <c r="K1097">
        <f>IF(J1097="","",J1097-B1097)</f>
        <v/>
      </c>
      <c r="L1097">
        <f>IF(H1097="Compliant","N/A",IF(J1097&lt;&gt;"","Closed",IF(I1097&lt;DATE(2026,9,30),"OVERDUE","Open")))</f>
        <v/>
      </c>
    </row>
    <row r="1098">
      <c r="A1098" t="inlineStr">
        <is>
          <t>INSP-2026-1097</t>
        </is>
      </c>
      <c r="B1098" s="6" t="n">
        <v>46185</v>
      </c>
      <c r="C1098" t="inlineStr">
        <is>
          <t>U-CD129-01-05</t>
        </is>
      </c>
      <c r="D1098" t="inlineStr">
        <is>
          <t>Cendana</t>
        </is>
      </c>
      <c r="E1098" t="inlineStr">
        <is>
          <t>Marcus Lim</t>
        </is>
      </c>
      <c r="F1098" t="inlineStr">
        <is>
          <t>Routine</t>
        </is>
      </c>
      <c r="G1098" t="inlineStr">
        <is>
          <t>NONE</t>
        </is>
      </c>
      <c r="H1098" t="inlineStr">
        <is>
          <t>Compliant</t>
        </is>
      </c>
      <c r="I1098" s="6" t="n"/>
      <c r="J1098" s="6" t="n"/>
      <c r="K1098">
        <f>IF(J1098="","",J1098-B1098)</f>
        <v/>
      </c>
      <c r="L1098">
        <f>IF(H1098="Compliant","N/A",IF(J1098&lt;&gt;"","Closed",IF(I1098&lt;DATE(2026,9,30),"OVERDUE","Open")))</f>
        <v/>
      </c>
    </row>
    <row r="1099">
      <c r="A1099" t="inlineStr">
        <is>
          <t>INSP-2026-1098</t>
        </is>
      </c>
      <c r="B1099" s="6" t="n">
        <v>46185</v>
      </c>
      <c r="C1099" t="inlineStr">
        <is>
          <t>U-ST589-01-08</t>
        </is>
      </c>
      <c r="D1099" t="inlineStr">
        <is>
          <t>Sungai Tinggi</t>
        </is>
      </c>
      <c r="E1099" t="inlineStr">
        <is>
          <t>daniel ong</t>
        </is>
      </c>
      <c r="F1099" t="inlineStr">
        <is>
          <t>Follow-up</t>
        </is>
      </c>
      <c r="G1099" t="inlineStr">
        <is>
          <t>DISPLAY_ENCROACH</t>
        </is>
      </c>
      <c r="H1099" t="inlineStr">
        <is>
          <t>Minor Breach</t>
        </is>
      </c>
      <c r="I1099" s="6" t="n">
        <v>46199</v>
      </c>
      <c r="J1099" s="6" t="n">
        <v>46202</v>
      </c>
      <c r="K1099">
        <f>IF(J1099="","",J1099-B1099)</f>
        <v/>
      </c>
      <c r="L1099">
        <f>IF(H1099="Compliant","N/A",IF(J1099&lt;&gt;"","Closed",IF(I1099&lt;DATE(2026,9,30),"OVERDUE","Open")))</f>
        <v/>
      </c>
    </row>
    <row r="1100">
      <c r="A1100" t="inlineStr">
        <is>
          <t>INSP-2026-1099</t>
        </is>
      </c>
      <c r="B1100" s="6" t="n">
        <v>46185</v>
      </c>
      <c r="C1100" t="inlineStr">
        <is>
          <t>U-PI648-01-05</t>
        </is>
      </c>
      <c r="D1100" t="inlineStr">
        <is>
          <t>Pasir Indah</t>
        </is>
      </c>
      <c r="E1100" t="inlineStr">
        <is>
          <t>Daniel Ong</t>
        </is>
      </c>
      <c r="F1100" t="inlineStr">
        <is>
          <t>Routine</t>
        </is>
      </c>
      <c r="G1100" t="inlineStr">
        <is>
          <t>NONE</t>
        </is>
      </c>
      <c r="H1100" t="inlineStr">
        <is>
          <t>Compliant</t>
        </is>
      </c>
      <c r="I1100" s="6" t="n"/>
      <c r="J1100" s="6" t="n"/>
      <c r="K1100">
        <f>IF(J1100="","",J1100-B1100)</f>
        <v/>
      </c>
      <c r="L1100">
        <f>IF(H1100="Compliant","N/A",IF(J1100&lt;&gt;"","Closed",IF(I1100&lt;DATE(2026,9,30),"OVERDUE","Open")))</f>
        <v/>
      </c>
    </row>
    <row r="1101">
      <c r="A1101" t="inlineStr">
        <is>
          <t>INSP-2026-1100</t>
        </is>
      </c>
      <c r="B1101" s="6" t="n">
        <v>46186</v>
      </c>
      <c r="C1101" t="inlineStr">
        <is>
          <t>U-BV212-01-05</t>
        </is>
      </c>
      <c r="D1101" t="inlineStr">
        <is>
          <t>Bayshore Vale</t>
        </is>
      </c>
      <c r="E1101" t="inlineStr">
        <is>
          <t>M. Lim</t>
        </is>
      </c>
      <c r="F1101" t="inlineStr">
        <is>
          <t>Routine</t>
        </is>
      </c>
      <c r="G1101" t="inlineStr">
        <is>
          <t>NONE</t>
        </is>
      </c>
      <c r="H1101" t="inlineStr">
        <is>
          <t>Compliant</t>
        </is>
      </c>
      <c r="I1101" s="6" t="n"/>
      <c r="J1101" s="6" t="n"/>
      <c r="K1101">
        <f>IF(J1101="","",J1101-B1101)</f>
        <v/>
      </c>
      <c r="L1101">
        <f>IF(H1101="Compliant","N/A",IF(J1101&lt;&gt;"","Closed",IF(I1101&lt;DATE(2026,9,30),"OVERDUE","Open")))</f>
        <v/>
      </c>
    </row>
    <row r="1102">
      <c r="A1102" t="inlineStr">
        <is>
          <t>INSP-2026-1101</t>
        </is>
      </c>
      <c r="B1102" s="6" t="n">
        <v>46186</v>
      </c>
      <c r="C1102" t="inlineStr">
        <is>
          <t>U-CD135-02-06</t>
        </is>
      </c>
      <c r="D1102" t="inlineStr">
        <is>
          <t>Cendana</t>
        </is>
      </c>
      <c r="E1102" t="inlineStr">
        <is>
          <t>Daniel Ong</t>
        </is>
      </c>
      <c r="F1102" t="inlineStr">
        <is>
          <t>Routine</t>
        </is>
      </c>
      <c r="G1102" t="inlineStr">
        <is>
          <t>NONE</t>
        </is>
      </c>
      <c r="H1102" t="inlineStr">
        <is>
          <t>Compliant</t>
        </is>
      </c>
      <c r="I1102" s="6" t="n"/>
      <c r="J1102" s="6" t="n"/>
      <c r="K1102">
        <f>IF(J1102="","",J1102-B1102)</f>
        <v/>
      </c>
      <c r="L1102">
        <f>IF(H1102="Compliant","N/A",IF(J1102&lt;&gt;"","Closed",IF(I1102&lt;DATE(2026,9,30),"OVERDUE","Open")))</f>
        <v/>
      </c>
    </row>
    <row r="1103">
      <c r="A1103" t="inlineStr">
        <is>
          <t>INSP-2026-1102</t>
        </is>
      </c>
      <c r="B1103" s="6" t="n">
        <v>46186</v>
      </c>
      <c r="C1103" t="inlineStr">
        <is>
          <t>U-CD170-01-12</t>
        </is>
      </c>
      <c r="D1103" t="inlineStr">
        <is>
          <t>Cendana</t>
        </is>
      </c>
      <c r="E1103" t="inlineStr">
        <is>
          <t>D. Ong</t>
        </is>
      </c>
      <c r="F1103" t="inlineStr">
        <is>
          <t>Routine</t>
        </is>
      </c>
      <c r="G1103" t="inlineStr">
        <is>
          <t>NONE</t>
        </is>
      </c>
      <c r="H1103" t="inlineStr">
        <is>
          <t>Compliant</t>
        </is>
      </c>
      <c r="I1103" s="6" t="n"/>
      <c r="J1103" s="6" t="n"/>
      <c r="K1103">
        <f>IF(J1103="","",J1103-B1103)</f>
        <v/>
      </c>
      <c r="L1103">
        <f>IF(H1103="Compliant","N/A",IF(J1103&lt;&gt;"","Closed",IF(I1103&lt;DATE(2026,9,30),"OVERDUE","Open")))</f>
        <v/>
      </c>
    </row>
    <row r="1104">
      <c r="A1104" t="inlineStr">
        <is>
          <t>INSP-2026-1103</t>
        </is>
      </c>
      <c r="B1104" s="6" t="n">
        <v>46187</v>
      </c>
      <c r="C1104" t="inlineStr">
        <is>
          <t>U-CD109-01-10</t>
        </is>
      </c>
      <c r="D1104" t="inlineStr">
        <is>
          <t>Cendana</t>
        </is>
      </c>
      <c r="E1104" t="inlineStr">
        <is>
          <t>Daniel O.</t>
        </is>
      </c>
      <c r="F1104" t="inlineStr">
        <is>
          <t>Follow-up</t>
        </is>
      </c>
      <c r="G1104" t="inlineStr">
        <is>
          <t>NONE</t>
        </is>
      </c>
      <c r="H1104" t="inlineStr">
        <is>
          <t>Compliant</t>
        </is>
      </c>
      <c r="I1104" s="6" t="n"/>
      <c r="J1104" s="6" t="n"/>
      <c r="K1104">
        <f>IF(J1104="","",J1104-B1104)</f>
        <v/>
      </c>
      <c r="L1104">
        <f>IF(H1104="Compliant","N/A",IF(J1104&lt;&gt;"","Closed",IF(I1104&lt;DATE(2026,9,30),"OVERDUE","Open")))</f>
        <v/>
      </c>
    </row>
    <row r="1105">
      <c r="A1105" t="inlineStr">
        <is>
          <t>INSP-2026-1104</t>
        </is>
      </c>
      <c r="B1105" s="6" t="n">
        <v>46187</v>
      </c>
      <c r="C1105" t="inlineStr">
        <is>
          <t>U-CD160-01-10</t>
        </is>
      </c>
      <c r="D1105" t="inlineStr">
        <is>
          <t>Cendana</t>
        </is>
      </c>
      <c r="E1105" t="inlineStr">
        <is>
          <t>daniel ong</t>
        </is>
      </c>
      <c r="F1105" t="inlineStr">
        <is>
          <t>Routine</t>
        </is>
      </c>
      <c r="G1105" t="inlineStr">
        <is>
          <t>NONE</t>
        </is>
      </c>
      <c r="H1105" t="inlineStr">
        <is>
          <t>Compliant</t>
        </is>
      </c>
      <c r="I1105" s="6" t="n"/>
      <c r="J1105" s="6" t="n"/>
      <c r="K1105">
        <f>IF(J1105="","",J1105-B1105)</f>
        <v/>
      </c>
      <c r="L1105">
        <f>IF(H1105="Compliant","N/A",IF(J1105&lt;&gt;"","Closed",IF(I1105&lt;DATE(2026,9,30),"OVERDUE","Open")))</f>
        <v/>
      </c>
    </row>
    <row r="1106">
      <c r="A1106" t="inlineStr">
        <is>
          <t>INSP-2026-1105</t>
        </is>
      </c>
      <c r="B1106" s="6" t="n">
        <v>46187</v>
      </c>
      <c r="C1106" t="inlineStr">
        <is>
          <t>U-BV214-01-17</t>
        </is>
      </c>
      <c r="D1106" t="inlineStr">
        <is>
          <t>Bayshore Vale</t>
        </is>
      </c>
      <c r="E1106" t="inlineStr">
        <is>
          <t>marcus</t>
        </is>
      </c>
      <c r="F1106" t="inlineStr">
        <is>
          <t>Routine</t>
        </is>
      </c>
      <c r="G1106" t="inlineStr">
        <is>
          <t>NONE</t>
        </is>
      </c>
      <c r="H1106" t="inlineStr">
        <is>
          <t>Compliant</t>
        </is>
      </c>
      <c r="I1106" s="6" t="n"/>
      <c r="J1106" s="6" t="n"/>
      <c r="K1106">
        <f>IF(J1106="","",J1106-B1106)</f>
        <v/>
      </c>
      <c r="L1106">
        <f>IF(H1106="Compliant","N/A",IF(J1106&lt;&gt;"","Closed",IF(I1106&lt;DATE(2026,9,30),"OVERDUE","Open")))</f>
        <v/>
      </c>
    </row>
    <row r="1107">
      <c r="A1107" t="inlineStr">
        <is>
          <t>INSP-2026-1106</t>
        </is>
      </c>
      <c r="B1107" s="6" t="n">
        <v>46187</v>
      </c>
      <c r="C1107" t="inlineStr">
        <is>
          <t>U-PI648-01-01</t>
        </is>
      </c>
      <c r="D1107" t="inlineStr">
        <is>
          <t>Pasir Indah</t>
        </is>
      </c>
      <c r="E1107" t="inlineStr">
        <is>
          <t>Marcus Lim</t>
        </is>
      </c>
      <c r="F1107" t="inlineStr">
        <is>
          <t>Complaint-driven</t>
        </is>
      </c>
      <c r="G1107" t="inlineStr">
        <is>
          <t>HYGIENE</t>
        </is>
      </c>
      <c r="H1107" t="inlineStr">
        <is>
          <t>Minor Breach</t>
        </is>
      </c>
      <c r="I1107" s="6" t="n">
        <v>46201</v>
      </c>
      <c r="J1107" s="6" t="n">
        <v>46197</v>
      </c>
      <c r="K1107">
        <f>IF(J1107="","",J1107-B1107)</f>
        <v/>
      </c>
      <c r="L1107">
        <f>IF(H1107="Compliant","N/A",IF(J1107&lt;&gt;"","Closed",IF(I1107&lt;DATE(2026,9,30),"OVERDUE","Open")))</f>
        <v/>
      </c>
    </row>
    <row r="1108">
      <c r="A1108" t="inlineStr">
        <is>
          <t>INSP-2026-1107</t>
        </is>
      </c>
      <c r="B1108" s="6" t="n">
        <v>46187</v>
      </c>
      <c r="C1108" t="inlineStr">
        <is>
          <t>U-CD135-01-08</t>
        </is>
      </c>
      <c r="D1108" t="inlineStr">
        <is>
          <t>Cendana</t>
        </is>
      </c>
      <c r="E1108" t="inlineStr">
        <is>
          <t>Marcus Lim</t>
        </is>
      </c>
      <c r="F1108" t="inlineStr">
        <is>
          <t>Follow-up</t>
        </is>
      </c>
      <c r="G1108" t="inlineStr">
        <is>
          <t>NONE</t>
        </is>
      </c>
      <c r="H1108" t="inlineStr">
        <is>
          <t>Compliant</t>
        </is>
      </c>
      <c r="I1108" s="6" t="n"/>
      <c r="J1108" s="6" t="n"/>
      <c r="K1108">
        <f>IF(J1108="","",J1108-B1108)</f>
        <v/>
      </c>
      <c r="L1108">
        <f>IF(H1108="Compliant","N/A",IF(J1108&lt;&gt;"","Closed",IF(I1108&lt;DATE(2026,9,30),"OVERDUE","Open")))</f>
        <v/>
      </c>
    </row>
    <row r="1109">
      <c r="A1109" t="inlineStr">
        <is>
          <t>INSP-2026-1108</t>
        </is>
      </c>
      <c r="B1109" s="6" t="n">
        <v>46187</v>
      </c>
      <c r="C1109" t="inlineStr">
        <is>
          <t>U-BV271-01-03</t>
        </is>
      </c>
      <c r="D1109" t="inlineStr">
        <is>
          <t>Bayshore Vale</t>
        </is>
      </c>
      <c r="E1109" t="inlineStr">
        <is>
          <t>Daniel O.</t>
        </is>
      </c>
      <c r="F1109" t="inlineStr">
        <is>
          <t>Complaint-driven</t>
        </is>
      </c>
      <c r="G1109" t="inlineStr">
        <is>
          <t>NONE</t>
        </is>
      </c>
      <c r="H1109" t="inlineStr">
        <is>
          <t>Compliant</t>
        </is>
      </c>
      <c r="I1109" s="6" t="n"/>
      <c r="J1109" s="6" t="n"/>
      <c r="K1109">
        <f>IF(J1109="","",J1109-B1109)</f>
        <v/>
      </c>
      <c r="L1109">
        <f>IF(H1109="Compliant","N/A",IF(J1109&lt;&gt;"","Closed",IF(I1109&lt;DATE(2026,9,30),"OVERDUE","Open")))</f>
        <v/>
      </c>
    </row>
    <row r="1110">
      <c r="A1110" t="inlineStr">
        <is>
          <t>INSP-2026-1109</t>
        </is>
      </c>
      <c r="B1110" s="6" t="n">
        <v>46187</v>
      </c>
      <c r="C1110" t="inlineStr">
        <is>
          <t>U-ST556-02-07</t>
        </is>
      </c>
      <c r="D1110" t="inlineStr">
        <is>
          <t>Sungai Tinggi</t>
        </is>
      </c>
      <c r="E1110" t="inlineStr">
        <is>
          <t>D. Ong</t>
        </is>
      </c>
      <c r="F1110" t="inlineStr">
        <is>
          <t>Follow-up</t>
        </is>
      </c>
      <c r="G1110" t="inlineStr">
        <is>
          <t>NONE</t>
        </is>
      </c>
      <c r="H1110" t="inlineStr">
        <is>
          <t>Compliant</t>
        </is>
      </c>
      <c r="I1110" s="6" t="n"/>
      <c r="J1110" s="6" t="n"/>
      <c r="K1110">
        <f>IF(J1110="","",J1110-B1110)</f>
        <v/>
      </c>
      <c r="L1110">
        <f>IF(H1110="Compliant","N/A",IF(J1110&lt;&gt;"","Closed",IF(I1110&lt;DATE(2026,9,30),"OVERDUE","Open")))</f>
        <v/>
      </c>
    </row>
    <row r="1111">
      <c r="A1111" t="inlineStr">
        <is>
          <t>INSP-2026-1110</t>
        </is>
      </c>
      <c r="B1111" s="6" t="n">
        <v>46187</v>
      </c>
      <c r="C1111" t="inlineStr">
        <is>
          <t>U-RH484-01-03</t>
        </is>
      </c>
      <c r="D1111" t="inlineStr">
        <is>
          <t>Rimba Heights</t>
        </is>
      </c>
      <c r="E1111" t="inlineStr">
        <is>
          <t>Benjamin Ho</t>
        </is>
      </c>
      <c r="F1111" t="inlineStr">
        <is>
          <t>Routine</t>
        </is>
      </c>
      <c r="G1111" t="inlineStr">
        <is>
          <t>UNAUTH_SUBLET</t>
        </is>
      </c>
      <c r="H1111" t="inlineStr">
        <is>
          <t>Major Breach</t>
        </is>
      </c>
      <c r="I1111" s="6" t="n">
        <v>46194</v>
      </c>
      <c r="J1111" s="6" t="n">
        <v>46204</v>
      </c>
      <c r="K1111">
        <f>IF(J1111="","",J1111-B1111)</f>
        <v/>
      </c>
      <c r="L1111">
        <f>IF(H1111="Compliant","N/A",IF(J1111&lt;&gt;"","Closed",IF(I1111&lt;DATE(2026,9,30),"OVERDUE","Open")))</f>
        <v/>
      </c>
    </row>
    <row r="1112">
      <c r="A1112" t="inlineStr">
        <is>
          <t>INSP-2026-1111</t>
        </is>
      </c>
      <c r="B1112" s="6" t="n">
        <v>46187</v>
      </c>
      <c r="C1112" t="inlineStr">
        <is>
          <t>U-RH471-01-03</t>
        </is>
      </c>
      <c r="D1112" t="inlineStr">
        <is>
          <t>Rimba Heights</t>
        </is>
      </c>
      <c r="E1112" t="inlineStr">
        <is>
          <t>Daniel Ong</t>
        </is>
      </c>
      <c r="F1112" t="inlineStr">
        <is>
          <t>Complaint-driven</t>
        </is>
      </c>
      <c r="G1112" t="inlineStr">
        <is>
          <t>NONE</t>
        </is>
      </c>
      <c r="H1112" t="inlineStr">
        <is>
          <t>Compliant</t>
        </is>
      </c>
      <c r="I1112" s="6" t="n"/>
      <c r="J1112" s="6" t="n"/>
      <c r="K1112">
        <f>IF(J1112="","",J1112-B1112)</f>
        <v/>
      </c>
      <c r="L1112">
        <f>IF(H1112="Compliant","N/A",IF(J1112&lt;&gt;"","Closed",IF(I1112&lt;DATE(2026,9,30),"OVERDUE","Open")))</f>
        <v/>
      </c>
    </row>
    <row r="1113">
      <c r="A1113" t="inlineStr">
        <is>
          <t>INSP-2026-1112</t>
        </is>
      </c>
      <c r="B1113" s="6" t="n">
        <v>46188</v>
      </c>
      <c r="C1113" t="inlineStr">
        <is>
          <t>U-ST564-01-12</t>
        </is>
      </c>
      <c r="D1113" t="inlineStr">
        <is>
          <t>Sungai Tinggi</t>
        </is>
      </c>
      <c r="E1113" t="inlineStr">
        <is>
          <t>B. Ho</t>
        </is>
      </c>
      <c r="F1113" t="inlineStr">
        <is>
          <t>Routine</t>
        </is>
      </c>
      <c r="G1113" t="inlineStr">
        <is>
          <t>NONE</t>
        </is>
      </c>
      <c r="H1113" t="inlineStr">
        <is>
          <t>Compliant</t>
        </is>
      </c>
      <c r="I1113" s="6" t="n"/>
      <c r="J1113" s="6" t="n"/>
      <c r="K1113">
        <f>IF(J1113="","",J1113-B1113)</f>
        <v/>
      </c>
      <c r="L1113">
        <f>IF(H1113="Compliant","N/A",IF(J1113&lt;&gt;"","Closed",IF(I1113&lt;DATE(2026,9,30),"OVERDUE","Open")))</f>
        <v/>
      </c>
    </row>
    <row r="1114">
      <c r="A1114" t="inlineStr">
        <is>
          <t>INSP-2026-1113</t>
        </is>
      </c>
      <c r="B1114" s="6" t="n">
        <v>46188</v>
      </c>
      <c r="C1114" t="inlineStr">
        <is>
          <t>U-PI625-01-05</t>
        </is>
      </c>
      <c r="D1114" t="inlineStr">
        <is>
          <t>Pasir Indah</t>
        </is>
      </c>
      <c r="E1114" t="inlineStr">
        <is>
          <t>D. Ong</t>
        </is>
      </c>
      <c r="F1114" t="inlineStr">
        <is>
          <t>Routine</t>
        </is>
      </c>
      <c r="G1114" t="inlineStr">
        <is>
          <t>NONE</t>
        </is>
      </c>
      <c r="H1114" t="inlineStr">
        <is>
          <t>Compliant</t>
        </is>
      </c>
      <c r="I1114" s="6" t="n"/>
      <c r="J1114" s="6" t="n"/>
      <c r="K1114">
        <f>IF(J1114="","",J1114-B1114)</f>
        <v/>
      </c>
      <c r="L1114">
        <f>IF(H1114="Compliant","N/A",IF(J1114&lt;&gt;"","Closed",IF(I1114&lt;DATE(2026,9,30),"OVERDUE","Open")))</f>
        <v/>
      </c>
    </row>
    <row r="1115">
      <c r="A1115" t="inlineStr">
        <is>
          <t>INSP-2026-1114</t>
        </is>
      </c>
      <c r="B1115" s="6" t="n">
        <v>46188</v>
      </c>
      <c r="C1115" t="inlineStr">
        <is>
          <t>U-BV214-01-27</t>
        </is>
      </c>
      <c r="D1115" t="inlineStr">
        <is>
          <t>Bayshore Vale</t>
        </is>
      </c>
      <c r="E1115" t="inlineStr">
        <is>
          <t>daniel ong</t>
        </is>
      </c>
      <c r="F1115" t="inlineStr">
        <is>
          <t>Routine</t>
        </is>
      </c>
      <c r="G1115" t="inlineStr">
        <is>
          <t>DISPLAY_ENCROACH</t>
        </is>
      </c>
      <c r="H1115" t="inlineStr">
        <is>
          <t>Minor Breach</t>
        </is>
      </c>
      <c r="I1115" s="6" t="n">
        <v>46202</v>
      </c>
      <c r="J1115" s="6" t="n">
        <v>46211</v>
      </c>
      <c r="K1115">
        <f>IF(J1115="","",J1115-B1115)</f>
        <v/>
      </c>
      <c r="L1115">
        <f>IF(H1115="Compliant","N/A",IF(J1115&lt;&gt;"","Closed",IF(I1115&lt;DATE(2026,9,30),"OVERDUE","Open")))</f>
        <v/>
      </c>
    </row>
    <row r="1116">
      <c r="A1116" t="inlineStr">
        <is>
          <t>INSP-2026-1115</t>
        </is>
      </c>
      <c r="B1116" s="6" t="n">
        <v>46188</v>
      </c>
      <c r="C1116" t="inlineStr">
        <is>
          <t>U-PI644-01-07</t>
        </is>
      </c>
      <c r="D1116" t="inlineStr">
        <is>
          <t>Pasir Indah</t>
        </is>
      </c>
      <c r="E1116" t="inlineStr">
        <is>
          <t>daniel ong</t>
        </is>
      </c>
      <c r="F1116" t="inlineStr">
        <is>
          <t>Routine</t>
        </is>
      </c>
      <c r="G1116" t="inlineStr">
        <is>
          <t>NONE</t>
        </is>
      </c>
      <c r="H1116" t="inlineStr">
        <is>
          <t>Compliant</t>
        </is>
      </c>
      <c r="I1116" s="6" t="n"/>
      <c r="J1116" s="6" t="n"/>
      <c r="K1116">
        <f>IF(J1116="","",J1116-B1116)</f>
        <v/>
      </c>
      <c r="L1116">
        <f>IF(H1116="Compliant","N/A",IF(J1116&lt;&gt;"","Closed",IF(I1116&lt;DATE(2026,9,30),"OVERDUE","Open")))</f>
        <v/>
      </c>
    </row>
    <row r="1117">
      <c r="A1117" t="inlineStr">
        <is>
          <t>INSP-2026-1116</t>
        </is>
      </c>
      <c r="B1117" s="6" t="n">
        <v>46188</v>
      </c>
      <c r="C1117" t="inlineStr">
        <is>
          <t>U-KR371-01-08</t>
        </is>
      </c>
      <c r="D1117" t="inlineStr">
        <is>
          <t>Kebun Raya</t>
        </is>
      </c>
      <c r="E1117" t="inlineStr">
        <is>
          <t>Daniel O.</t>
        </is>
      </c>
      <c r="F1117" t="inlineStr">
        <is>
          <t>Routine</t>
        </is>
      </c>
      <c r="G1117" t="inlineStr">
        <is>
          <t>NONE</t>
        </is>
      </c>
      <c r="H1117" t="inlineStr">
        <is>
          <t>Compliant</t>
        </is>
      </c>
      <c r="I1117" s="6" t="n"/>
      <c r="J1117" s="6" t="n"/>
      <c r="K1117">
        <f>IF(J1117="","",J1117-B1117)</f>
        <v/>
      </c>
      <c r="L1117">
        <f>IF(H1117="Compliant","N/A",IF(J1117&lt;&gt;"","Closed",IF(I1117&lt;DATE(2026,9,30),"OVERDUE","Open")))</f>
        <v/>
      </c>
    </row>
    <row r="1118">
      <c r="A1118" t="inlineStr">
        <is>
          <t>INSP-2026-1117</t>
        </is>
      </c>
      <c r="B1118" s="6" t="n">
        <v>46188</v>
      </c>
      <c r="C1118" t="inlineStr">
        <is>
          <t>U-KR305-01-23</t>
        </is>
      </c>
      <c r="D1118" t="inlineStr">
        <is>
          <t>Kebun Raya</t>
        </is>
      </c>
      <c r="E1118" t="inlineStr">
        <is>
          <t>daniel ong</t>
        </is>
      </c>
      <c r="F1118" t="inlineStr">
        <is>
          <t>Routine</t>
        </is>
      </c>
      <c r="G1118" t="inlineStr">
        <is>
          <t>UNAUTH_TRADE</t>
        </is>
      </c>
      <c r="H1118" t="inlineStr">
        <is>
          <t>Major Breach</t>
        </is>
      </c>
      <c r="I1118" s="6" t="n">
        <v>46195</v>
      </c>
      <c r="J1118" s="6" t="n">
        <v>46203</v>
      </c>
      <c r="K1118">
        <f>IF(J1118="","",J1118-B1118)</f>
        <v/>
      </c>
      <c r="L1118">
        <f>IF(H1118="Compliant","N/A",IF(J1118&lt;&gt;"","Closed",IF(I1118&lt;DATE(2026,9,30),"OVERDUE","Open")))</f>
        <v/>
      </c>
    </row>
    <row r="1119">
      <c r="A1119" t="inlineStr">
        <is>
          <t>INSP-2026-1118</t>
        </is>
      </c>
      <c r="B1119" s="6" t="n">
        <v>46188</v>
      </c>
      <c r="C1119" t="inlineStr">
        <is>
          <t>U-ST512-01-24</t>
        </is>
      </c>
      <c r="D1119" t="inlineStr">
        <is>
          <t>Sungai Tinggi</t>
        </is>
      </c>
      <c r="E1119" t="inlineStr">
        <is>
          <t>Daniel Ong</t>
        </is>
      </c>
      <c r="F1119" t="inlineStr">
        <is>
          <t>Follow-up</t>
        </is>
      </c>
      <c r="G1119" t="inlineStr">
        <is>
          <t>NONE</t>
        </is>
      </c>
      <c r="H1119" t="inlineStr">
        <is>
          <t>Compliant</t>
        </is>
      </c>
      <c r="I1119" s="6" t="n"/>
      <c r="J1119" s="6" t="n"/>
      <c r="K1119">
        <f>IF(J1119="","",J1119-B1119)</f>
        <v/>
      </c>
      <c r="L1119">
        <f>IF(H1119="Compliant","N/A",IF(J1119&lt;&gt;"","Closed",IF(I1119&lt;DATE(2026,9,30),"OVERDUE","Open")))</f>
        <v/>
      </c>
    </row>
    <row r="1120">
      <c r="A1120" t="inlineStr">
        <is>
          <t>INSP-2026-1119</t>
        </is>
      </c>
      <c r="B1120" s="6" t="n">
        <v>46189</v>
      </c>
      <c r="C1120" t="inlineStr">
        <is>
          <t>U-RH455-01-20</t>
        </is>
      </c>
      <c r="D1120" t="inlineStr">
        <is>
          <t>Rimba Heights</t>
        </is>
      </c>
      <c r="E1120" t="inlineStr">
        <is>
          <t>daniel ong</t>
        </is>
      </c>
      <c r="F1120" t="inlineStr">
        <is>
          <t>Complaint-driven</t>
        </is>
      </c>
      <c r="G1120" t="inlineStr">
        <is>
          <t>UNAUTH_SUBLET</t>
        </is>
      </c>
      <c r="H1120" t="inlineStr">
        <is>
          <t>Major Breach</t>
        </is>
      </c>
      <c r="I1120" s="6" t="n">
        <v>46203</v>
      </c>
      <c r="J1120" s="6" t="n"/>
      <c r="K1120">
        <f>IF(J1120="","",J1120-B1120)</f>
        <v/>
      </c>
      <c r="L1120">
        <f>IF(H1120="Compliant","N/A",IF(J1120&lt;&gt;"","Closed",IF(I1120&lt;DATE(2026,9,30),"OVERDUE","Open")))</f>
        <v/>
      </c>
    </row>
    <row r="1121">
      <c r="A1121" t="inlineStr">
        <is>
          <t>INSP-2026-1120</t>
        </is>
      </c>
      <c r="B1121" s="6" t="n">
        <v>46189</v>
      </c>
      <c r="C1121" t="inlineStr">
        <is>
          <t>U-PI609-01-05</t>
        </is>
      </c>
      <c r="D1121" t="inlineStr">
        <is>
          <t>Pasir Indah</t>
        </is>
      </c>
      <c r="E1121" t="inlineStr">
        <is>
          <t>marcus</t>
        </is>
      </c>
      <c r="F1121" t="inlineStr">
        <is>
          <t>Routine</t>
        </is>
      </c>
      <c r="G1121" t="inlineStr">
        <is>
          <t>FIRE_SAFETY</t>
        </is>
      </c>
      <c r="H1121" t="inlineStr">
        <is>
          <t>Major Breach</t>
        </is>
      </c>
      <c r="I1121" s="6" t="n">
        <v>46196</v>
      </c>
      <c r="J1121" s="6" t="n">
        <v>46205</v>
      </c>
      <c r="K1121">
        <f>IF(J1121="","",J1121-B1121)</f>
        <v/>
      </c>
      <c r="L1121">
        <f>IF(H1121="Compliant","N/A",IF(J1121&lt;&gt;"","Closed",IF(I1121&lt;DATE(2026,9,30),"OVERDUE","Open")))</f>
        <v/>
      </c>
    </row>
    <row r="1122">
      <c r="A1122" t="inlineStr">
        <is>
          <t>INSP-2026-1121</t>
        </is>
      </c>
      <c r="B1122" s="6" t="n">
        <v>46189</v>
      </c>
      <c r="C1122" t="inlineStr">
        <is>
          <t>U-PI615-01-06</t>
        </is>
      </c>
      <c r="D1122" t="inlineStr">
        <is>
          <t>Pasir Indah</t>
        </is>
      </c>
      <c r="E1122" t="inlineStr">
        <is>
          <t>marcus</t>
        </is>
      </c>
      <c r="F1122" t="inlineStr">
        <is>
          <t>Routine</t>
        </is>
      </c>
      <c r="G1122" t="inlineStr">
        <is>
          <t>NONE</t>
        </is>
      </c>
      <c r="H1122" t="inlineStr">
        <is>
          <t>Compliant</t>
        </is>
      </c>
      <c r="I1122" s="6" t="n"/>
      <c r="J1122" s="6" t="n"/>
      <c r="K1122">
        <f>IF(J1122="","",J1122-B1122)</f>
        <v/>
      </c>
      <c r="L1122">
        <f>IF(H1122="Compliant","N/A",IF(J1122&lt;&gt;"","Closed",IF(I1122&lt;DATE(2026,9,30),"OVERDUE","Open")))</f>
        <v/>
      </c>
    </row>
    <row r="1123">
      <c r="A1123" t="inlineStr">
        <is>
          <t>INSP-2026-1122</t>
        </is>
      </c>
      <c r="B1123" s="6" t="n">
        <v>46189</v>
      </c>
      <c r="C1123" t="inlineStr">
        <is>
          <t>U-KR371-01-06</t>
        </is>
      </c>
      <c r="D1123" t="inlineStr">
        <is>
          <t>Kebun Raya</t>
        </is>
      </c>
      <c r="E1123" t="inlineStr">
        <is>
          <t>Benjamin Ho</t>
        </is>
      </c>
      <c r="F1123" t="inlineStr">
        <is>
          <t>Routine</t>
        </is>
      </c>
      <c r="G1123" t="inlineStr">
        <is>
          <t>NONE</t>
        </is>
      </c>
      <c r="H1123" t="inlineStr">
        <is>
          <t>Compliant</t>
        </is>
      </c>
      <c r="I1123" s="6" t="n"/>
      <c r="J1123" s="6" t="n"/>
      <c r="K1123">
        <f>IF(J1123="","",J1123-B1123)</f>
        <v/>
      </c>
      <c r="L1123">
        <f>IF(H1123="Compliant","N/A",IF(J1123&lt;&gt;"","Closed",IF(I1123&lt;DATE(2026,9,30),"OVERDUE","Open")))</f>
        <v/>
      </c>
    </row>
    <row r="1124">
      <c r="A1124" t="inlineStr">
        <is>
          <t>INSP-2026-1123</t>
        </is>
      </c>
      <c r="B1124" s="6" t="n">
        <v>46189</v>
      </c>
      <c r="C1124" t="inlineStr">
        <is>
          <t>U-RH450-01-02</t>
        </is>
      </c>
      <c r="D1124" t="inlineStr">
        <is>
          <t>Rimba Heights</t>
        </is>
      </c>
      <c r="E1124" t="inlineStr">
        <is>
          <t>D. Ong</t>
        </is>
      </c>
      <c r="F1124" t="inlineStr">
        <is>
          <t>Routine</t>
        </is>
      </c>
      <c r="G1124" t="inlineStr">
        <is>
          <t>NONE</t>
        </is>
      </c>
      <c r="H1124" t="inlineStr">
        <is>
          <t>Compliant</t>
        </is>
      </c>
      <c r="I1124" s="6" t="n"/>
      <c r="J1124" s="6" t="n"/>
      <c r="K1124">
        <f>IF(J1124="","",J1124-B1124)</f>
        <v/>
      </c>
      <c r="L1124">
        <f>IF(H1124="Compliant","N/A",IF(J1124&lt;&gt;"","Closed",IF(I1124&lt;DATE(2026,9,30),"OVERDUE","Open")))</f>
        <v/>
      </c>
    </row>
    <row r="1125">
      <c r="A1125" t="inlineStr">
        <is>
          <t>INSP-2026-1124</t>
        </is>
      </c>
      <c r="B1125" s="6" t="n">
        <v>46189</v>
      </c>
      <c r="C1125" t="inlineStr">
        <is>
          <t>U-PI626-01-04</t>
        </is>
      </c>
      <c r="D1125" t="inlineStr">
        <is>
          <t>Pasir Indah</t>
        </is>
      </c>
      <c r="E1125" t="inlineStr">
        <is>
          <t>Marcus Lim</t>
        </is>
      </c>
      <c r="F1125" t="inlineStr">
        <is>
          <t>Routine</t>
        </is>
      </c>
      <c r="G1125" t="inlineStr">
        <is>
          <t>NONE</t>
        </is>
      </c>
      <c r="H1125" t="inlineStr">
        <is>
          <t>Compliant</t>
        </is>
      </c>
      <c r="I1125" s="6" t="n"/>
      <c r="J1125" s="6" t="n"/>
      <c r="K1125">
        <f>IF(J1125="","",J1125-B1125)</f>
        <v/>
      </c>
      <c r="L1125">
        <f>IF(H1125="Compliant","N/A",IF(J1125&lt;&gt;"","Closed",IF(I1125&lt;DATE(2026,9,30),"OVERDUE","Open")))</f>
        <v/>
      </c>
    </row>
    <row r="1126">
      <c r="A1126" t="inlineStr">
        <is>
          <t>INSP-2026-1125</t>
        </is>
      </c>
      <c r="B1126" s="6" t="n">
        <v>46189</v>
      </c>
      <c r="C1126" t="inlineStr">
        <is>
          <t>U-RH476-01-03</t>
        </is>
      </c>
      <c r="D1126" t="inlineStr">
        <is>
          <t>Rimba Heights</t>
        </is>
      </c>
      <c r="E1126" t="inlineStr">
        <is>
          <t>B. Ho</t>
        </is>
      </c>
      <c r="F1126" t="inlineStr">
        <is>
          <t>Routine</t>
        </is>
      </c>
      <c r="G1126" t="inlineStr">
        <is>
          <t>NONE</t>
        </is>
      </c>
      <c r="H1126" t="inlineStr">
        <is>
          <t>Compliant</t>
        </is>
      </c>
      <c r="I1126" s="6" t="n"/>
      <c r="J1126" s="6" t="n"/>
      <c r="K1126">
        <f>IF(J1126="","",J1126-B1126)</f>
        <v/>
      </c>
      <c r="L1126">
        <f>IF(H1126="Compliant","N/A",IF(J1126&lt;&gt;"","Closed",IF(I1126&lt;DATE(2026,9,30),"OVERDUE","Open")))</f>
        <v/>
      </c>
    </row>
    <row r="1127">
      <c r="A1127" t="inlineStr">
        <is>
          <t>INSP-2026-1126</t>
        </is>
      </c>
      <c r="B1127" s="6" t="n">
        <v>46189</v>
      </c>
      <c r="C1127" t="inlineStr">
        <is>
          <t>U-CD160-01-13</t>
        </is>
      </c>
      <c r="D1127" t="inlineStr">
        <is>
          <t>Cendana</t>
        </is>
      </c>
      <c r="E1127" t="inlineStr">
        <is>
          <t>marcus</t>
        </is>
      </c>
      <c r="F1127" t="inlineStr">
        <is>
          <t>Routine</t>
        </is>
      </c>
      <c r="G1127" t="inlineStr">
        <is>
          <t>UNAPPROVED_AA</t>
        </is>
      </c>
      <c r="H1127" t="inlineStr">
        <is>
          <t>Minor Breach</t>
        </is>
      </c>
      <c r="I1127" s="6" t="n">
        <v>46203</v>
      </c>
      <c r="J1127" s="6" t="n">
        <v>46207</v>
      </c>
      <c r="K1127">
        <f>IF(J1127="","",J1127-B1127)</f>
        <v/>
      </c>
      <c r="L1127">
        <f>IF(H1127="Compliant","N/A",IF(J1127&lt;&gt;"","Closed",IF(I1127&lt;DATE(2026,9,30),"OVERDUE","Open")))</f>
        <v/>
      </c>
    </row>
    <row r="1128">
      <c r="A1128" t="inlineStr">
        <is>
          <t>INSP-2026-1127</t>
        </is>
      </c>
      <c r="B1128" s="6" t="n">
        <v>46190</v>
      </c>
      <c r="C1128" t="inlineStr">
        <is>
          <t>U-RH482-01-07</t>
        </is>
      </c>
      <c r="D1128" t="inlineStr">
        <is>
          <t>Rimba Heights</t>
        </is>
      </c>
      <c r="E1128" t="inlineStr">
        <is>
          <t>Benjamin Ho</t>
        </is>
      </c>
      <c r="F1128" t="inlineStr">
        <is>
          <t>Routine</t>
        </is>
      </c>
      <c r="G1128" t="inlineStr">
        <is>
          <t>NONE</t>
        </is>
      </c>
      <c r="H1128" t="inlineStr">
        <is>
          <t>Compliant</t>
        </is>
      </c>
      <c r="I1128" s="6" t="n"/>
      <c r="J1128" s="6" t="n"/>
      <c r="K1128">
        <f>IF(J1128="","",J1128-B1128)</f>
        <v/>
      </c>
      <c r="L1128">
        <f>IF(H1128="Compliant","N/A",IF(J1128&lt;&gt;"","Closed",IF(I1128&lt;DATE(2026,9,30),"OVERDUE","Open")))</f>
        <v/>
      </c>
    </row>
    <row r="1129">
      <c r="A1129" t="inlineStr">
        <is>
          <t>INSP-2026-1128</t>
        </is>
      </c>
      <c r="B1129" s="6" t="n">
        <v>46190</v>
      </c>
      <c r="C1129" t="inlineStr">
        <is>
          <t>U-CD152-01-11</t>
        </is>
      </c>
      <c r="D1129" t="inlineStr">
        <is>
          <t>Cendana</t>
        </is>
      </c>
      <c r="E1129" t="inlineStr">
        <is>
          <t>M. Lim</t>
        </is>
      </c>
      <c r="F1129" t="inlineStr">
        <is>
          <t>Routine</t>
        </is>
      </c>
      <c r="G1129" t="inlineStr">
        <is>
          <t>HYGIENE</t>
        </is>
      </c>
      <c r="H1129" t="inlineStr">
        <is>
          <t>Minor Breach</t>
        </is>
      </c>
      <c r="I1129" s="6" t="n">
        <v>46204</v>
      </c>
      <c r="J1129" s="6" t="n">
        <v>46201</v>
      </c>
      <c r="K1129">
        <f>IF(J1129="","",J1129-B1129)</f>
        <v/>
      </c>
      <c r="L1129">
        <f>IF(H1129="Compliant","N/A",IF(J1129&lt;&gt;"","Closed",IF(I1129&lt;DATE(2026,9,30),"OVERDUE","Open")))</f>
        <v/>
      </c>
    </row>
    <row r="1130">
      <c r="A1130" t="inlineStr">
        <is>
          <t>INSP-2026-1129</t>
        </is>
      </c>
      <c r="B1130" s="6" t="n">
        <v>46190</v>
      </c>
      <c r="C1130" t="inlineStr">
        <is>
          <t>U-CD194-01-04</t>
        </is>
      </c>
      <c r="D1130" t="inlineStr">
        <is>
          <t>Cendana</t>
        </is>
      </c>
      <c r="E1130" t="inlineStr">
        <is>
          <t>Daniel O.</t>
        </is>
      </c>
      <c r="F1130" t="inlineStr">
        <is>
          <t>Routine</t>
        </is>
      </c>
      <c r="G1130" t="inlineStr">
        <is>
          <t>NONE</t>
        </is>
      </c>
      <c r="H1130" t="inlineStr">
        <is>
          <t>Compliant</t>
        </is>
      </c>
      <c r="I1130" s="6" t="n"/>
      <c r="J1130" s="6" t="n"/>
      <c r="K1130">
        <f>IF(J1130="","",J1130-B1130)</f>
        <v/>
      </c>
      <c r="L1130">
        <f>IF(H1130="Compliant","N/A",IF(J1130&lt;&gt;"","Closed",IF(I1130&lt;DATE(2026,9,30),"OVERDUE","Open")))</f>
        <v/>
      </c>
    </row>
    <row r="1131">
      <c r="A1131" t="inlineStr">
        <is>
          <t>INSP-2026-1130</t>
        </is>
      </c>
      <c r="B1131" s="6" t="n">
        <v>46190</v>
      </c>
      <c r="C1131" t="inlineStr">
        <is>
          <t>U-KR358-01-01</t>
        </is>
      </c>
      <c r="D1131" t="inlineStr">
        <is>
          <t>Kebun Raya</t>
        </is>
      </c>
      <c r="E1131" t="inlineStr">
        <is>
          <t>Daniel O.</t>
        </is>
      </c>
      <c r="F1131" t="inlineStr">
        <is>
          <t>Follow-up</t>
        </is>
      </c>
      <c r="G1131" t="inlineStr">
        <is>
          <t>NONE</t>
        </is>
      </c>
      <c r="H1131" t="inlineStr">
        <is>
          <t>Compliant</t>
        </is>
      </c>
      <c r="I1131" s="6" t="n"/>
      <c r="J1131" s="6" t="n"/>
      <c r="K1131">
        <f>IF(J1131="","",J1131-B1131)</f>
        <v/>
      </c>
      <c r="L1131">
        <f>IF(H1131="Compliant","N/A",IF(J1131&lt;&gt;"","Closed",IF(I1131&lt;DATE(2026,9,30),"OVERDUE","Open")))</f>
        <v/>
      </c>
    </row>
    <row r="1132">
      <c r="A1132" t="inlineStr">
        <is>
          <t>INSP-2026-1131</t>
        </is>
      </c>
      <c r="B1132" s="6" t="n">
        <v>46190</v>
      </c>
      <c r="C1132" t="inlineStr">
        <is>
          <t>U-BV266-01-03</t>
        </is>
      </c>
      <c r="D1132" t="inlineStr">
        <is>
          <t>Bayshore Vale</t>
        </is>
      </c>
      <c r="E1132" t="inlineStr">
        <is>
          <t>daniel ong</t>
        </is>
      </c>
      <c r="F1132" t="inlineStr">
        <is>
          <t>Routine</t>
        </is>
      </c>
      <c r="G1132" t="inlineStr">
        <is>
          <t>DISPLAY_ENCROACH</t>
        </is>
      </c>
      <c r="H1132" t="inlineStr">
        <is>
          <t>Minor Breach</t>
        </is>
      </c>
      <c r="I1132" s="6" t="n">
        <v>46204</v>
      </c>
      <c r="J1132" s="6" t="n">
        <v>46214</v>
      </c>
      <c r="K1132">
        <f>IF(J1132="","",J1132-B1132)</f>
        <v/>
      </c>
      <c r="L1132">
        <f>IF(H1132="Compliant","N/A",IF(J1132&lt;&gt;"","Closed",IF(I1132&lt;DATE(2026,9,30),"OVERDUE","Open")))</f>
        <v/>
      </c>
    </row>
    <row r="1133">
      <c r="A1133" t="inlineStr">
        <is>
          <t>INSP-2026-1132</t>
        </is>
      </c>
      <c r="B1133" s="6" t="n">
        <v>46190</v>
      </c>
      <c r="C1133" t="inlineStr">
        <is>
          <t>U-PI646-01-03</t>
        </is>
      </c>
      <c r="D1133" t="inlineStr">
        <is>
          <t>Pasir Indah</t>
        </is>
      </c>
      <c r="E1133" t="inlineStr">
        <is>
          <t>Marcus Lim</t>
        </is>
      </c>
      <c r="F1133" t="inlineStr">
        <is>
          <t>Routine</t>
        </is>
      </c>
      <c r="G1133" t="inlineStr">
        <is>
          <t>NONE</t>
        </is>
      </c>
      <c r="H1133" t="inlineStr">
        <is>
          <t>Compliant</t>
        </is>
      </c>
      <c r="I1133" s="6" t="n"/>
      <c r="J1133" s="6" t="n"/>
      <c r="K1133">
        <f>IF(J1133="","",J1133-B1133)</f>
        <v/>
      </c>
      <c r="L1133">
        <f>IF(H1133="Compliant","N/A",IF(J1133&lt;&gt;"","Closed",IF(I1133&lt;DATE(2026,9,30),"OVERDUE","Open")))</f>
        <v/>
      </c>
    </row>
    <row r="1134">
      <c r="A1134" t="inlineStr">
        <is>
          <t>INSP-2026-1133</t>
        </is>
      </c>
      <c r="B1134" s="6" t="n">
        <v>46191</v>
      </c>
      <c r="C1134" t="inlineStr">
        <is>
          <t>U-CD109-01-01</t>
        </is>
      </c>
      <c r="D1134" t="inlineStr">
        <is>
          <t>Cendana</t>
        </is>
      </c>
      <c r="E1134" t="inlineStr">
        <is>
          <t>Marcus Lim</t>
        </is>
      </c>
      <c r="F1134" t="inlineStr">
        <is>
          <t>Routine</t>
        </is>
      </c>
      <c r="G1134" t="inlineStr">
        <is>
          <t>NONE</t>
        </is>
      </c>
      <c r="H1134" t="inlineStr">
        <is>
          <t>Compliant</t>
        </is>
      </c>
      <c r="I1134" s="6" t="n"/>
      <c r="J1134" s="6" t="n"/>
      <c r="K1134">
        <f>IF(J1134="","",J1134-B1134)</f>
        <v/>
      </c>
      <c r="L1134">
        <f>IF(H1134="Compliant","N/A",IF(J1134&lt;&gt;"","Closed",IF(I1134&lt;DATE(2026,9,30),"OVERDUE","Open")))</f>
        <v/>
      </c>
    </row>
    <row r="1135">
      <c r="A1135" t="inlineStr">
        <is>
          <t>INSP-2026-1134</t>
        </is>
      </c>
      <c r="B1135" s="6" t="n">
        <v>46191</v>
      </c>
      <c r="C1135" t="inlineStr">
        <is>
          <t>U-BV216-01-03</t>
        </is>
      </c>
      <c r="D1135" t="inlineStr">
        <is>
          <t>Bayshore Vale</t>
        </is>
      </c>
      <c r="E1135" t="inlineStr">
        <is>
          <t>D. Ong</t>
        </is>
      </c>
      <c r="F1135" t="inlineStr">
        <is>
          <t>Routine</t>
        </is>
      </c>
      <c r="G1135" t="inlineStr">
        <is>
          <t>NONE</t>
        </is>
      </c>
      <c r="H1135" t="inlineStr">
        <is>
          <t>Compliant</t>
        </is>
      </c>
      <c r="I1135" s="6" t="n"/>
      <c r="J1135" s="6" t="n"/>
      <c r="K1135">
        <f>IF(J1135="","",J1135-B1135)</f>
        <v/>
      </c>
      <c r="L1135">
        <f>IF(H1135="Compliant","N/A",IF(J1135&lt;&gt;"","Closed",IF(I1135&lt;DATE(2026,9,30),"OVERDUE","Open")))</f>
        <v/>
      </c>
    </row>
    <row r="1136">
      <c r="A1136" t="inlineStr">
        <is>
          <t>INSP-2026-1135</t>
        </is>
      </c>
      <c r="B1136" s="6" t="n">
        <v>46191</v>
      </c>
      <c r="C1136" t="inlineStr">
        <is>
          <t>U-PI648-01-11</t>
        </is>
      </c>
      <c r="D1136" t="inlineStr">
        <is>
          <t>Pasir Indah</t>
        </is>
      </c>
      <c r="E1136" t="inlineStr">
        <is>
          <t>D. Ong</t>
        </is>
      </c>
      <c r="F1136" t="inlineStr">
        <is>
          <t>Routine</t>
        </is>
      </c>
      <c r="G1136" t="inlineStr">
        <is>
          <t>NONE</t>
        </is>
      </c>
      <c r="H1136" t="inlineStr">
        <is>
          <t>Compliant</t>
        </is>
      </c>
      <c r="I1136" s="6" t="n"/>
      <c r="J1136" s="6" t="n"/>
      <c r="K1136">
        <f>IF(J1136="","",J1136-B1136)</f>
        <v/>
      </c>
      <c r="L1136">
        <f>IF(H1136="Compliant","N/A",IF(J1136&lt;&gt;"","Closed",IF(I1136&lt;DATE(2026,9,30),"OVERDUE","Open")))</f>
        <v/>
      </c>
    </row>
    <row r="1137">
      <c r="A1137" t="inlineStr">
        <is>
          <t>INSP-2026-1136</t>
        </is>
      </c>
      <c r="B1137" s="6" t="n">
        <v>46191</v>
      </c>
      <c r="C1137" t="inlineStr">
        <is>
          <t>U-RH455-01-25</t>
        </is>
      </c>
      <c r="D1137" t="inlineStr">
        <is>
          <t>Rimba Heights</t>
        </is>
      </c>
      <c r="E1137" t="inlineStr">
        <is>
          <t>D. Ong</t>
        </is>
      </c>
      <c r="F1137" t="inlineStr">
        <is>
          <t>Routine</t>
        </is>
      </c>
      <c r="G1137" t="inlineStr">
        <is>
          <t>NONE</t>
        </is>
      </c>
      <c r="H1137" t="inlineStr">
        <is>
          <t>Compliant</t>
        </is>
      </c>
      <c r="I1137" s="6" t="n"/>
      <c r="J1137" s="6" t="n"/>
      <c r="K1137">
        <f>IF(J1137="","",J1137-B1137)</f>
        <v/>
      </c>
      <c r="L1137">
        <f>IF(H1137="Compliant","N/A",IF(J1137&lt;&gt;"","Closed",IF(I1137&lt;DATE(2026,9,30),"OVERDUE","Open")))</f>
        <v/>
      </c>
    </row>
    <row r="1138">
      <c r="A1138" t="inlineStr">
        <is>
          <t>INSP-2026-1137</t>
        </is>
      </c>
      <c r="B1138" s="6" t="n">
        <v>46191</v>
      </c>
      <c r="C1138" t="inlineStr">
        <is>
          <t>U-ST506-01-07</t>
        </is>
      </c>
      <c r="D1138" t="inlineStr">
        <is>
          <t>Sungai Tinggi</t>
        </is>
      </c>
      <c r="E1138" t="inlineStr">
        <is>
          <t>Ben Ho</t>
        </is>
      </c>
      <c r="F1138" t="inlineStr">
        <is>
          <t>Routine</t>
        </is>
      </c>
      <c r="G1138" t="inlineStr">
        <is>
          <t>NONE</t>
        </is>
      </c>
      <c r="H1138" t="inlineStr">
        <is>
          <t>Compliant</t>
        </is>
      </c>
      <c r="I1138" s="6" t="n"/>
      <c r="J1138" s="6" t="n"/>
      <c r="K1138">
        <f>IF(J1138="","",J1138-B1138)</f>
        <v/>
      </c>
      <c r="L1138">
        <f>IF(H1138="Compliant","N/A",IF(J1138&lt;&gt;"","Closed",IF(I1138&lt;DATE(2026,9,30),"OVERDUE","Open")))</f>
        <v/>
      </c>
    </row>
    <row r="1139">
      <c r="A1139" t="inlineStr">
        <is>
          <t>INSP-2026-1138</t>
        </is>
      </c>
      <c r="B1139" s="6" t="n">
        <v>46191</v>
      </c>
      <c r="C1139" t="inlineStr">
        <is>
          <t>U-ST590-01-09</t>
        </is>
      </c>
      <c r="D1139" t="inlineStr">
        <is>
          <t>Sungai Tinggi</t>
        </is>
      </c>
      <c r="E1139" t="inlineStr">
        <is>
          <t>D. Ong</t>
        </is>
      </c>
      <c r="F1139" t="inlineStr">
        <is>
          <t>Routine</t>
        </is>
      </c>
      <c r="G1139" t="inlineStr">
        <is>
          <t>NONE</t>
        </is>
      </c>
      <c r="H1139" t="inlineStr">
        <is>
          <t>Compliant</t>
        </is>
      </c>
      <c r="I1139" s="6" t="n"/>
      <c r="J1139" s="6" t="n"/>
      <c r="K1139">
        <f>IF(J1139="","",J1139-B1139)</f>
        <v/>
      </c>
      <c r="L1139">
        <f>IF(H1139="Compliant","N/A",IF(J1139&lt;&gt;"","Closed",IF(I1139&lt;DATE(2026,9,30),"OVERDUE","Open")))</f>
        <v/>
      </c>
    </row>
    <row r="1140">
      <c r="A1140" t="inlineStr">
        <is>
          <t>INSP-2026-1139</t>
        </is>
      </c>
      <c r="B1140" s="6" t="n">
        <v>46191</v>
      </c>
      <c r="C1140" t="inlineStr">
        <is>
          <t>U-BV279-01-06</t>
        </is>
      </c>
      <c r="D1140" t="inlineStr">
        <is>
          <t>Bayshore Vale</t>
        </is>
      </c>
      <c r="E1140" t="inlineStr">
        <is>
          <t>M. Lim</t>
        </is>
      </c>
      <c r="F1140" t="inlineStr">
        <is>
          <t>Routine</t>
        </is>
      </c>
      <c r="G1140" t="inlineStr">
        <is>
          <t>NONE</t>
        </is>
      </c>
      <c r="H1140" t="inlineStr">
        <is>
          <t>Compliant</t>
        </is>
      </c>
      <c r="I1140" s="6" t="n"/>
      <c r="J1140" s="6" t="n"/>
      <c r="K1140">
        <f>IF(J1140="","",J1140-B1140)</f>
        <v/>
      </c>
      <c r="L1140">
        <f>IF(H1140="Compliant","N/A",IF(J1140&lt;&gt;"","Closed",IF(I1140&lt;DATE(2026,9,30),"OVERDUE","Open")))</f>
        <v/>
      </c>
    </row>
    <row r="1141">
      <c r="A1141" t="inlineStr">
        <is>
          <t>INSP-2026-1140</t>
        </is>
      </c>
      <c r="B1141" s="6" t="n">
        <v>46192</v>
      </c>
      <c r="C1141" t="inlineStr">
        <is>
          <t>U-CD118-01-30</t>
        </is>
      </c>
      <c r="D1141" t="inlineStr">
        <is>
          <t>Cendana</t>
        </is>
      </c>
      <c r="E1141" t="inlineStr">
        <is>
          <t>M. Lim</t>
        </is>
      </c>
      <c r="F1141" t="inlineStr">
        <is>
          <t>Complaint-driven</t>
        </is>
      </c>
      <c r="G1141" t="inlineStr">
        <is>
          <t>NONE</t>
        </is>
      </c>
      <c r="H1141" t="inlineStr">
        <is>
          <t>Compliant</t>
        </is>
      </c>
      <c r="I1141" s="6" t="n"/>
      <c r="J1141" s="6" t="n"/>
      <c r="K1141">
        <f>IF(J1141="","",J1141-B1141)</f>
        <v/>
      </c>
      <c r="L1141">
        <f>IF(H1141="Compliant","N/A",IF(J1141&lt;&gt;"","Closed",IF(I1141&lt;DATE(2026,9,30),"OVERDUE","Open")))</f>
        <v/>
      </c>
    </row>
    <row r="1142">
      <c r="A1142" t="inlineStr">
        <is>
          <t>INSP-2026-1141</t>
        </is>
      </c>
      <c r="B1142" s="6" t="n">
        <v>46192</v>
      </c>
      <c r="C1142" t="inlineStr">
        <is>
          <t>U-CD136-01-07</t>
        </is>
      </c>
      <c r="D1142" t="inlineStr">
        <is>
          <t>Cendana</t>
        </is>
      </c>
      <c r="E1142" t="inlineStr">
        <is>
          <t>Daniel Ong</t>
        </is>
      </c>
      <c r="F1142" t="inlineStr">
        <is>
          <t>Complaint-driven</t>
        </is>
      </c>
      <c r="G1142" t="inlineStr">
        <is>
          <t>NONE</t>
        </is>
      </c>
      <c r="H1142" t="inlineStr">
        <is>
          <t>Compliant</t>
        </is>
      </c>
      <c r="I1142" s="6" t="n"/>
      <c r="J1142" s="6" t="n"/>
      <c r="K1142">
        <f>IF(J1142="","",J1142-B1142)</f>
        <v/>
      </c>
      <c r="L1142">
        <f>IF(H1142="Compliant","N/A",IF(J1142&lt;&gt;"","Closed",IF(I1142&lt;DATE(2026,9,30),"OVERDUE","Open")))</f>
        <v/>
      </c>
    </row>
    <row r="1143">
      <c r="A1143" t="inlineStr">
        <is>
          <t>INSP-2026-1142</t>
        </is>
      </c>
      <c r="B1143" s="6" t="n">
        <v>46192</v>
      </c>
      <c r="C1143" t="inlineStr">
        <is>
          <t>U-CD189-01-05</t>
        </is>
      </c>
      <c r="D1143" t="inlineStr">
        <is>
          <t>Cendana</t>
        </is>
      </c>
      <c r="E1143" t="inlineStr">
        <is>
          <t>D. Ong</t>
        </is>
      </c>
      <c r="F1143" t="inlineStr">
        <is>
          <t>Follow-up</t>
        </is>
      </c>
      <c r="G1143" t="inlineStr">
        <is>
          <t>NONE</t>
        </is>
      </c>
      <c r="H1143" t="inlineStr">
        <is>
          <t>Compliant</t>
        </is>
      </c>
      <c r="I1143" s="6" t="n"/>
      <c r="J1143" s="6" t="n"/>
      <c r="K1143">
        <f>IF(J1143="","",J1143-B1143)</f>
        <v/>
      </c>
      <c r="L1143">
        <f>IF(H1143="Compliant","N/A",IF(J1143&lt;&gt;"","Closed",IF(I1143&lt;DATE(2026,9,30),"OVERDUE","Open")))</f>
        <v/>
      </c>
    </row>
    <row r="1144">
      <c r="A1144" t="inlineStr">
        <is>
          <t>INSP-2026-1143</t>
        </is>
      </c>
      <c r="B1144" s="6" t="n">
        <v>46192</v>
      </c>
      <c r="C1144" t="inlineStr">
        <is>
          <t>U-PI644-02-06</t>
        </is>
      </c>
      <c r="D1144" t="inlineStr">
        <is>
          <t>Pasir Indah</t>
        </is>
      </c>
      <c r="E1144" t="inlineStr">
        <is>
          <t>M. Lim</t>
        </is>
      </c>
      <c r="F1144" t="inlineStr">
        <is>
          <t>Routine</t>
        </is>
      </c>
      <c r="G1144" t="inlineStr">
        <is>
          <t>NONE</t>
        </is>
      </c>
      <c r="H1144" t="inlineStr">
        <is>
          <t>Compliant</t>
        </is>
      </c>
      <c r="I1144" s="6" t="n"/>
      <c r="J1144" s="6" t="n"/>
      <c r="K1144">
        <f>IF(J1144="","",J1144-B1144)</f>
        <v/>
      </c>
      <c r="L1144">
        <f>IF(H1144="Compliant","N/A",IF(J1144&lt;&gt;"","Closed",IF(I1144&lt;DATE(2026,9,30),"OVERDUE","Open")))</f>
        <v/>
      </c>
    </row>
    <row r="1145">
      <c r="A1145" t="inlineStr">
        <is>
          <t>INSP-2026-1144</t>
        </is>
      </c>
      <c r="B1145" s="6" t="n">
        <v>46192</v>
      </c>
      <c r="C1145" t="inlineStr">
        <is>
          <t>U-KR362-02-01</t>
        </is>
      </c>
      <c r="D1145" t="inlineStr">
        <is>
          <t>Kebun Raya</t>
        </is>
      </c>
      <c r="E1145" t="inlineStr">
        <is>
          <t>daniel ong</t>
        </is>
      </c>
      <c r="F1145" t="inlineStr">
        <is>
          <t>Complaint-driven</t>
        </is>
      </c>
      <c r="G1145" t="inlineStr">
        <is>
          <t>NONE</t>
        </is>
      </c>
      <c r="H1145" t="inlineStr">
        <is>
          <t>Compliant</t>
        </is>
      </c>
      <c r="I1145" s="6" t="n"/>
      <c r="J1145" s="6" t="n"/>
      <c r="K1145">
        <f>IF(J1145="","",J1145-B1145)</f>
        <v/>
      </c>
      <c r="L1145">
        <f>IF(H1145="Compliant","N/A",IF(J1145&lt;&gt;"","Closed",IF(I1145&lt;DATE(2026,9,30),"OVERDUE","Open")))</f>
        <v/>
      </c>
    </row>
    <row r="1146">
      <c r="A1146" t="inlineStr">
        <is>
          <t>INSP-2026-1145</t>
        </is>
      </c>
      <c r="B1146" s="6" t="n">
        <v>46192</v>
      </c>
      <c r="C1146" t="inlineStr">
        <is>
          <t>U-CD133-01-06</t>
        </is>
      </c>
      <c r="D1146" t="inlineStr">
        <is>
          <t>Cendana</t>
        </is>
      </c>
      <c r="E1146" t="inlineStr">
        <is>
          <t>D. Ong</t>
        </is>
      </c>
      <c r="F1146" t="inlineStr">
        <is>
          <t>Routine</t>
        </is>
      </c>
      <c r="G1146" t="inlineStr">
        <is>
          <t>NONE</t>
        </is>
      </c>
      <c r="H1146" t="inlineStr">
        <is>
          <t>Compliant</t>
        </is>
      </c>
      <c r="I1146" s="6" t="n"/>
      <c r="J1146" s="6" t="n"/>
      <c r="K1146">
        <f>IF(J1146="","",J1146-B1146)</f>
        <v/>
      </c>
      <c r="L1146">
        <f>IF(H1146="Compliant","N/A",IF(J1146&lt;&gt;"","Closed",IF(I1146&lt;DATE(2026,9,30),"OVERDUE","Open")))</f>
        <v/>
      </c>
    </row>
    <row r="1147">
      <c r="A1147" t="inlineStr">
        <is>
          <t>INSP-2026-1146</t>
        </is>
      </c>
      <c r="B1147" s="6" t="n">
        <v>46193</v>
      </c>
      <c r="C1147" t="inlineStr">
        <is>
          <t>U-ST528-01-07</t>
        </is>
      </c>
      <c r="D1147" t="inlineStr">
        <is>
          <t>Sungai Tinggi</t>
        </is>
      </c>
      <c r="E1147" t="inlineStr">
        <is>
          <t>Daniel Ong</t>
        </is>
      </c>
      <c r="F1147" t="inlineStr">
        <is>
          <t>Routine</t>
        </is>
      </c>
      <c r="G1147" t="inlineStr">
        <is>
          <t>DISPLAY_ENCROACH</t>
        </is>
      </c>
      <c r="H1147" t="inlineStr">
        <is>
          <t>Minor Breach</t>
        </is>
      </c>
      <c r="I1147" s="6" t="n">
        <v>46207</v>
      </c>
      <c r="J1147" s="6" t="n">
        <v>46211</v>
      </c>
      <c r="K1147">
        <f>IF(J1147="","",J1147-B1147)</f>
        <v/>
      </c>
      <c r="L1147">
        <f>IF(H1147="Compliant","N/A",IF(J1147&lt;&gt;"","Closed",IF(I1147&lt;DATE(2026,9,30),"OVERDUE","Open")))</f>
        <v/>
      </c>
    </row>
    <row r="1148">
      <c r="A1148" t="inlineStr">
        <is>
          <t>INSP-2026-1147</t>
        </is>
      </c>
      <c r="B1148" s="6" t="n">
        <v>46193</v>
      </c>
      <c r="C1148" t="inlineStr">
        <is>
          <t>U-BV214-01-26</t>
        </is>
      </c>
      <c r="D1148" t="inlineStr">
        <is>
          <t>Bayshore Vale</t>
        </is>
      </c>
      <c r="E1148" t="inlineStr">
        <is>
          <t>daniel ong</t>
        </is>
      </c>
      <c r="F1148" t="inlineStr">
        <is>
          <t>Routine</t>
        </is>
      </c>
      <c r="G1148" t="inlineStr">
        <is>
          <t>NONE</t>
        </is>
      </c>
      <c r="H1148" t="inlineStr">
        <is>
          <t>Compliant</t>
        </is>
      </c>
      <c r="I1148" s="6" t="n"/>
      <c r="J1148" s="6" t="n"/>
      <c r="K1148">
        <f>IF(J1148="","",J1148-B1148)</f>
        <v/>
      </c>
      <c r="L1148">
        <f>IF(H1148="Compliant","N/A",IF(J1148&lt;&gt;"","Closed",IF(I1148&lt;DATE(2026,9,30),"OVERDUE","Open")))</f>
        <v/>
      </c>
    </row>
    <row r="1149">
      <c r="A1149" t="inlineStr">
        <is>
          <t>INSP-2026-1148</t>
        </is>
      </c>
      <c r="B1149" s="6" t="n">
        <v>46193</v>
      </c>
      <c r="C1149" t="inlineStr">
        <is>
          <t>U-PI693-02-12</t>
        </is>
      </c>
      <c r="D1149" t="inlineStr">
        <is>
          <t>Pasir Indah</t>
        </is>
      </c>
      <c r="E1149" t="inlineStr">
        <is>
          <t>marcus</t>
        </is>
      </c>
      <c r="F1149" t="inlineStr">
        <is>
          <t>Routine</t>
        </is>
      </c>
      <c r="G1149" t="inlineStr">
        <is>
          <t>NONE</t>
        </is>
      </c>
      <c r="H1149" t="inlineStr">
        <is>
          <t>Compliant</t>
        </is>
      </c>
      <c r="I1149" s="6" t="n"/>
      <c r="J1149" s="6" t="n"/>
      <c r="K1149">
        <f>IF(J1149="","",J1149-B1149)</f>
        <v/>
      </c>
      <c r="L1149">
        <f>IF(H1149="Compliant","N/A",IF(J1149&lt;&gt;"","Closed",IF(I1149&lt;DATE(2026,9,30),"OVERDUE","Open")))</f>
        <v/>
      </c>
    </row>
    <row r="1150">
      <c r="A1150" t="inlineStr">
        <is>
          <t>INSP-2026-1149</t>
        </is>
      </c>
      <c r="B1150" s="6" t="n">
        <v>46193</v>
      </c>
      <c r="C1150" t="inlineStr">
        <is>
          <t>U-BV277-01-04</t>
        </is>
      </c>
      <c r="D1150" t="inlineStr">
        <is>
          <t>Bayshore Vale</t>
        </is>
      </c>
      <c r="E1150" t="inlineStr">
        <is>
          <t>daniel ong</t>
        </is>
      </c>
      <c r="F1150" t="inlineStr">
        <is>
          <t>Complaint-driven</t>
        </is>
      </c>
      <c r="G1150" t="inlineStr">
        <is>
          <t>NONE</t>
        </is>
      </c>
      <c r="H1150" t="inlineStr">
        <is>
          <t>Compliant</t>
        </is>
      </c>
      <c r="I1150" s="6" t="n"/>
      <c r="J1150" s="6" t="n"/>
      <c r="K1150">
        <f>IF(J1150="","",J1150-B1150)</f>
        <v/>
      </c>
      <c r="L1150">
        <f>IF(H1150="Compliant","N/A",IF(J1150&lt;&gt;"","Closed",IF(I1150&lt;DATE(2026,9,30),"OVERDUE","Open")))</f>
        <v/>
      </c>
    </row>
    <row r="1151">
      <c r="A1151" t="inlineStr">
        <is>
          <t>INSP-2026-1150</t>
        </is>
      </c>
      <c r="B1151" s="6" t="n">
        <v>46193</v>
      </c>
      <c r="C1151" t="inlineStr">
        <is>
          <t>U-KR305-01-16</t>
        </is>
      </c>
      <c r="D1151" t="inlineStr">
        <is>
          <t>Kebun Raya</t>
        </is>
      </c>
      <c r="E1151" t="inlineStr">
        <is>
          <t>Daniel Ong</t>
        </is>
      </c>
      <c r="F1151" t="inlineStr">
        <is>
          <t>Routine</t>
        </is>
      </c>
      <c r="G1151" t="inlineStr">
        <is>
          <t>HYGIENE</t>
        </is>
      </c>
      <c r="H1151" t="inlineStr">
        <is>
          <t>Minor Breach</t>
        </is>
      </c>
      <c r="I1151" s="6" t="n">
        <v>46207</v>
      </c>
      <c r="J1151" s="6" t="n"/>
      <c r="K1151">
        <f>IF(J1151="","",J1151-B1151)</f>
        <v/>
      </c>
      <c r="L1151">
        <f>IF(H1151="Compliant","N/A",IF(J1151&lt;&gt;"","Closed",IF(I1151&lt;DATE(2026,9,30),"OVERDUE","Open")))</f>
        <v/>
      </c>
    </row>
    <row r="1152">
      <c r="A1152" t="inlineStr">
        <is>
          <t>INSP-2026-1151</t>
        </is>
      </c>
      <c r="B1152" s="6" t="n">
        <v>46193</v>
      </c>
      <c r="C1152" t="inlineStr">
        <is>
          <t>U-KR372-01-08</t>
        </is>
      </c>
      <c r="D1152" t="inlineStr">
        <is>
          <t>Kebun Raya</t>
        </is>
      </c>
      <c r="E1152" t="inlineStr">
        <is>
          <t>Daniel Ong</t>
        </is>
      </c>
      <c r="F1152" t="inlineStr">
        <is>
          <t>Follow-up</t>
        </is>
      </c>
      <c r="G1152" t="inlineStr">
        <is>
          <t>STRUCTURAL_DEFECT</t>
        </is>
      </c>
      <c r="H1152" t="inlineStr">
        <is>
          <t>Major Breach</t>
        </is>
      </c>
      <c r="I1152" s="6" t="n">
        <v>46200</v>
      </c>
      <c r="J1152" s="6" t="n">
        <v>46206</v>
      </c>
      <c r="K1152">
        <f>IF(J1152="","",J1152-B1152)</f>
        <v/>
      </c>
      <c r="L1152">
        <f>IF(H1152="Compliant","N/A",IF(J1152&lt;&gt;"","Closed",IF(I1152&lt;DATE(2026,9,30),"OVERDUE","Open")))</f>
        <v/>
      </c>
    </row>
    <row r="1153">
      <c r="A1153" t="inlineStr">
        <is>
          <t>INSP-2026-1152</t>
        </is>
      </c>
      <c r="B1153" s="6" t="n">
        <v>46193</v>
      </c>
      <c r="C1153" t="inlineStr">
        <is>
          <t>U-ST501-01-05</t>
        </is>
      </c>
      <c r="D1153" t="inlineStr">
        <is>
          <t>Sungai Tinggi</t>
        </is>
      </c>
      <c r="E1153" t="inlineStr">
        <is>
          <t>B. Ho</t>
        </is>
      </c>
      <c r="F1153" t="inlineStr">
        <is>
          <t>Follow-up</t>
        </is>
      </c>
      <c r="G1153" t="inlineStr">
        <is>
          <t>NONE</t>
        </is>
      </c>
      <c r="H1153" t="inlineStr">
        <is>
          <t>Compliant</t>
        </is>
      </c>
      <c r="I1153" s="6" t="n"/>
      <c r="J1153" s="6" t="n"/>
      <c r="K1153">
        <f>IF(J1153="","",J1153-B1153)</f>
        <v/>
      </c>
      <c r="L1153">
        <f>IF(H1153="Compliant","N/A",IF(J1153&lt;&gt;"","Closed",IF(I1153&lt;DATE(2026,9,30),"OVERDUE","Open")))</f>
        <v/>
      </c>
    </row>
    <row r="1154">
      <c r="A1154" t="inlineStr">
        <is>
          <t>INSP-2026-1153</t>
        </is>
      </c>
      <c r="B1154" s="6" t="n">
        <v>46193</v>
      </c>
      <c r="C1154" t="inlineStr">
        <is>
          <t>U-KR327-01-02</t>
        </is>
      </c>
      <c r="D1154" t="inlineStr">
        <is>
          <t>Kebun Raya</t>
        </is>
      </c>
      <c r="E1154" t="inlineStr">
        <is>
          <t>B. Ho</t>
        </is>
      </c>
      <c r="F1154" t="inlineStr">
        <is>
          <t>Routine</t>
        </is>
      </c>
      <c r="G1154" t="inlineStr">
        <is>
          <t>NONE</t>
        </is>
      </c>
      <c r="H1154" t="inlineStr">
        <is>
          <t>Compliant</t>
        </is>
      </c>
      <c r="I1154" s="6" t="n"/>
      <c r="J1154" s="6" t="n"/>
      <c r="K1154">
        <f>IF(J1154="","",J1154-B1154)</f>
        <v/>
      </c>
      <c r="L1154">
        <f>IF(H1154="Compliant","N/A",IF(J1154&lt;&gt;"","Closed",IF(I1154&lt;DATE(2026,9,30),"OVERDUE","Open")))</f>
        <v/>
      </c>
    </row>
    <row r="1155">
      <c r="A1155" t="inlineStr">
        <is>
          <t>INSP-2026-1154</t>
        </is>
      </c>
      <c r="B1155" s="6" t="n">
        <v>46193</v>
      </c>
      <c r="C1155" t="inlineStr">
        <is>
          <t>U-CD136-01-12</t>
        </is>
      </c>
      <c r="D1155" t="inlineStr">
        <is>
          <t>Cendana</t>
        </is>
      </c>
      <c r="E1155" t="inlineStr">
        <is>
          <t>Daniel O.</t>
        </is>
      </c>
      <c r="F1155" t="inlineStr">
        <is>
          <t>Routine</t>
        </is>
      </c>
      <c r="G1155" t="inlineStr">
        <is>
          <t>NONE</t>
        </is>
      </c>
      <c r="H1155" t="inlineStr">
        <is>
          <t>Compliant</t>
        </is>
      </c>
      <c r="I1155" s="6" t="n"/>
      <c r="J1155" s="6" t="n"/>
      <c r="K1155">
        <f>IF(J1155="","",J1155-B1155)</f>
        <v/>
      </c>
      <c r="L1155">
        <f>IF(H1155="Compliant","N/A",IF(J1155&lt;&gt;"","Closed",IF(I1155&lt;DATE(2026,9,30),"OVERDUE","Open")))</f>
        <v/>
      </c>
    </row>
    <row r="1156">
      <c r="A1156" t="inlineStr">
        <is>
          <t>INSP-2026-1155</t>
        </is>
      </c>
      <c r="B1156" s="6" t="n">
        <v>46194</v>
      </c>
      <c r="C1156" t="inlineStr">
        <is>
          <t>U-RH484-01-04</t>
        </is>
      </c>
      <c r="D1156" t="inlineStr">
        <is>
          <t>Rimba Heights</t>
        </is>
      </c>
      <c r="E1156" t="inlineStr">
        <is>
          <t>D. Ong</t>
        </is>
      </c>
      <c r="F1156" t="inlineStr">
        <is>
          <t>Complaint-driven</t>
        </is>
      </c>
      <c r="G1156" t="inlineStr">
        <is>
          <t>NONE</t>
        </is>
      </c>
      <c r="H1156" t="inlineStr">
        <is>
          <t>Compliant</t>
        </is>
      </c>
      <c r="I1156" s="6" t="n"/>
      <c r="J1156" s="6" t="n"/>
      <c r="K1156">
        <f>IF(J1156="","",J1156-B1156)</f>
        <v/>
      </c>
      <c r="L1156">
        <f>IF(H1156="Compliant","N/A",IF(J1156&lt;&gt;"","Closed",IF(I1156&lt;DATE(2026,9,30),"OVERDUE","Open")))</f>
        <v/>
      </c>
    </row>
    <row r="1157">
      <c r="A1157" t="inlineStr">
        <is>
          <t>INSP-2026-1156</t>
        </is>
      </c>
      <c r="B1157" s="6" t="n">
        <v>46194</v>
      </c>
      <c r="C1157" t="inlineStr">
        <is>
          <t>U-RH491-01-07</t>
        </is>
      </c>
      <c r="D1157" t="inlineStr">
        <is>
          <t>Rimba Heights</t>
        </is>
      </c>
      <c r="E1157" t="inlineStr">
        <is>
          <t>B. Ho</t>
        </is>
      </c>
      <c r="F1157" t="inlineStr">
        <is>
          <t>Routine</t>
        </is>
      </c>
      <c r="G1157" t="inlineStr">
        <is>
          <t>DISPLAY_ENCROACH</t>
        </is>
      </c>
      <c r="H1157" t="inlineStr">
        <is>
          <t>Minor Breach</t>
        </is>
      </c>
      <c r="I1157" s="6" t="n">
        <v>46208</v>
      </c>
      <c r="J1157" s="6" t="n">
        <v>46218</v>
      </c>
      <c r="K1157">
        <f>IF(J1157="","",J1157-B1157)</f>
        <v/>
      </c>
      <c r="L1157">
        <f>IF(H1157="Compliant","N/A",IF(J1157&lt;&gt;"","Closed",IF(I1157&lt;DATE(2026,9,30),"OVERDUE","Open")))</f>
        <v/>
      </c>
    </row>
    <row r="1158">
      <c r="A1158" t="inlineStr">
        <is>
          <t>INSP-2026-1157</t>
        </is>
      </c>
      <c r="B1158" s="6" t="n">
        <v>46195</v>
      </c>
      <c r="C1158" t="inlineStr">
        <is>
          <t>U-KR372-01-05</t>
        </is>
      </c>
      <c r="D1158" t="inlineStr">
        <is>
          <t>Kebun Raya</t>
        </is>
      </c>
      <c r="E1158" t="inlineStr">
        <is>
          <t>Benjamin Ho</t>
        </is>
      </c>
      <c r="F1158" t="inlineStr">
        <is>
          <t>Routine</t>
        </is>
      </c>
      <c r="G1158" t="inlineStr">
        <is>
          <t>DISPLAY_ENCROACH</t>
        </is>
      </c>
      <c r="H1158" t="inlineStr">
        <is>
          <t>Minor Breach</t>
        </is>
      </c>
      <c r="I1158" s="6" t="n">
        <v>46209</v>
      </c>
      <c r="J1158" s="6" t="n">
        <v>46205</v>
      </c>
      <c r="K1158">
        <f>IF(J1158="","",J1158-B1158)</f>
        <v/>
      </c>
      <c r="L1158">
        <f>IF(H1158="Compliant","N/A",IF(J1158&lt;&gt;"","Closed",IF(I1158&lt;DATE(2026,9,30),"OVERDUE","Open")))</f>
        <v/>
      </c>
    </row>
    <row r="1159">
      <c r="A1159" t="inlineStr">
        <is>
          <t>INSP-2026-1158</t>
        </is>
      </c>
      <c r="B1159" s="6" t="n">
        <v>46195</v>
      </c>
      <c r="C1159" t="inlineStr">
        <is>
          <t>U-PI627-01-12</t>
        </is>
      </c>
      <c r="D1159" t="inlineStr">
        <is>
          <t>Pasir Indah</t>
        </is>
      </c>
      <c r="E1159" t="inlineStr">
        <is>
          <t>Daniel O.</t>
        </is>
      </c>
      <c r="F1159" t="inlineStr">
        <is>
          <t>Routine</t>
        </is>
      </c>
      <c r="G1159" t="inlineStr">
        <is>
          <t>NONE</t>
        </is>
      </c>
      <c r="H1159" t="inlineStr">
        <is>
          <t>Compliant</t>
        </is>
      </c>
      <c r="I1159" s="6" t="n"/>
      <c r="J1159" s="6" t="n"/>
      <c r="K1159">
        <f>IF(J1159="","",J1159-B1159)</f>
        <v/>
      </c>
      <c r="L1159">
        <f>IF(H1159="Compliant","N/A",IF(J1159&lt;&gt;"","Closed",IF(I1159&lt;DATE(2026,9,30),"OVERDUE","Open")))</f>
        <v/>
      </c>
    </row>
    <row r="1160">
      <c r="A1160" t="inlineStr">
        <is>
          <t>INSP-2026-1159</t>
        </is>
      </c>
      <c r="B1160" s="6" t="n">
        <v>46195</v>
      </c>
      <c r="C1160" t="inlineStr">
        <is>
          <t>U-BV215-01-12</t>
        </is>
      </c>
      <c r="D1160" t="inlineStr">
        <is>
          <t>Bayshore Vale</t>
        </is>
      </c>
      <c r="E1160" t="inlineStr">
        <is>
          <t>marcus</t>
        </is>
      </c>
      <c r="F1160" t="inlineStr">
        <is>
          <t>Routine</t>
        </is>
      </c>
      <c r="G1160" t="inlineStr">
        <is>
          <t>HYGIENE</t>
        </is>
      </c>
      <c r="H1160" t="inlineStr">
        <is>
          <t>Minor Breach</t>
        </is>
      </c>
      <c r="I1160" s="6" t="n">
        <v>46209</v>
      </c>
      <c r="J1160" s="6" t="n">
        <v>46217</v>
      </c>
      <c r="K1160">
        <f>IF(J1160="","",J1160-B1160)</f>
        <v/>
      </c>
      <c r="L1160">
        <f>IF(H1160="Compliant","N/A",IF(J1160&lt;&gt;"","Closed",IF(I1160&lt;DATE(2026,9,30),"OVERDUE","Open")))</f>
        <v/>
      </c>
    </row>
    <row r="1161">
      <c r="A1161" t="inlineStr">
        <is>
          <t>INSP-2026-1160</t>
        </is>
      </c>
      <c r="B1161" s="6" t="n">
        <v>46195</v>
      </c>
      <c r="C1161" t="inlineStr">
        <is>
          <t>U-ST507-01-05</t>
        </is>
      </c>
      <c r="D1161" t="inlineStr">
        <is>
          <t>Sungai Tinggi</t>
        </is>
      </c>
      <c r="E1161" t="inlineStr">
        <is>
          <t>D. Ong</t>
        </is>
      </c>
      <c r="F1161" t="inlineStr">
        <is>
          <t>Follow-up</t>
        </is>
      </c>
      <c r="G1161" t="inlineStr">
        <is>
          <t>NONE</t>
        </is>
      </c>
      <c r="H1161" t="inlineStr">
        <is>
          <t>Compliant</t>
        </is>
      </c>
      <c r="I1161" s="6" t="n"/>
      <c r="J1161" s="6" t="n"/>
      <c r="K1161">
        <f>IF(J1161="","",J1161-B1161)</f>
        <v/>
      </c>
      <c r="L1161">
        <f>IF(H1161="Compliant","N/A",IF(J1161&lt;&gt;"","Closed",IF(I1161&lt;DATE(2026,9,30),"OVERDUE","Open")))</f>
        <v/>
      </c>
    </row>
    <row r="1162">
      <c r="A1162" t="inlineStr">
        <is>
          <t>INSP-2026-1161</t>
        </is>
      </c>
      <c r="B1162" s="6" t="n">
        <v>46196</v>
      </c>
      <c r="C1162" t="inlineStr">
        <is>
          <t>U-RH466-01-06</t>
        </is>
      </c>
      <c r="D1162" t="inlineStr">
        <is>
          <t>Rimba Heights</t>
        </is>
      </c>
      <c r="E1162" t="inlineStr">
        <is>
          <t>Ben Ho</t>
        </is>
      </c>
      <c r="F1162" t="inlineStr">
        <is>
          <t>Follow-up</t>
        </is>
      </c>
      <c r="G1162" t="inlineStr">
        <is>
          <t>DISPLAY_ENCROACH</t>
        </is>
      </c>
      <c r="H1162" t="inlineStr">
        <is>
          <t>Minor Breach</t>
        </is>
      </c>
      <c r="I1162" s="6" t="n">
        <v>46210</v>
      </c>
      <c r="J1162" s="6" t="n">
        <v>46212</v>
      </c>
      <c r="K1162">
        <f>IF(J1162="","",J1162-B1162)</f>
        <v/>
      </c>
      <c r="L1162">
        <f>IF(H1162="Compliant","N/A",IF(J1162&lt;&gt;"","Closed",IF(I1162&lt;DATE(2026,9,30),"OVERDUE","Open")))</f>
        <v/>
      </c>
    </row>
    <row r="1163">
      <c r="A1163" t="inlineStr">
        <is>
          <t>INSP-2026-1162</t>
        </is>
      </c>
      <c r="B1163" s="6" t="n">
        <v>46196</v>
      </c>
      <c r="C1163" t="inlineStr">
        <is>
          <t>U-KR305-01-16</t>
        </is>
      </c>
      <c r="D1163" t="inlineStr">
        <is>
          <t>Kebun Raya</t>
        </is>
      </c>
      <c r="E1163" t="inlineStr">
        <is>
          <t>Daniel Ong</t>
        </is>
      </c>
      <c r="F1163" t="inlineStr">
        <is>
          <t>Routine</t>
        </is>
      </c>
      <c r="G1163" t="inlineStr">
        <is>
          <t>NONE</t>
        </is>
      </c>
      <c r="H1163" t="inlineStr">
        <is>
          <t>Compliant</t>
        </is>
      </c>
      <c r="I1163" s="6" t="n"/>
      <c r="J1163" s="6" t="n"/>
      <c r="K1163">
        <f>IF(J1163="","",J1163-B1163)</f>
        <v/>
      </c>
      <c r="L1163">
        <f>IF(H1163="Compliant","N/A",IF(J1163&lt;&gt;"","Closed",IF(I1163&lt;DATE(2026,9,30),"OVERDUE","Open")))</f>
        <v/>
      </c>
    </row>
    <row r="1164">
      <c r="A1164" t="inlineStr">
        <is>
          <t>INSP-2026-1163</t>
        </is>
      </c>
      <c r="B1164" s="6" t="n">
        <v>46196</v>
      </c>
      <c r="C1164" t="inlineStr">
        <is>
          <t>U-ST512-01-01</t>
        </is>
      </c>
      <c r="D1164" t="inlineStr">
        <is>
          <t>Sungai Tinggi</t>
        </is>
      </c>
      <c r="E1164" t="inlineStr">
        <is>
          <t>D. Ong</t>
        </is>
      </c>
      <c r="F1164" t="inlineStr">
        <is>
          <t>Complaint-driven</t>
        </is>
      </c>
      <c r="G1164" t="inlineStr">
        <is>
          <t>NONE</t>
        </is>
      </c>
      <c r="H1164" t="inlineStr">
        <is>
          <t>Compliant</t>
        </is>
      </c>
      <c r="I1164" s="6" t="n"/>
      <c r="J1164" s="6" t="n"/>
      <c r="K1164">
        <f>IF(J1164="","",J1164-B1164)</f>
        <v/>
      </c>
      <c r="L1164">
        <f>IF(H1164="Compliant","N/A",IF(J1164&lt;&gt;"","Closed",IF(I1164&lt;DATE(2026,9,30),"OVERDUE","Open")))</f>
        <v/>
      </c>
    </row>
    <row r="1165">
      <c r="A1165" t="inlineStr">
        <is>
          <t>INSP-2026-1164</t>
        </is>
      </c>
      <c r="B1165" s="6" t="n">
        <v>46196</v>
      </c>
      <c r="C1165" t="inlineStr">
        <is>
          <t>U-CD142-01-05</t>
        </is>
      </c>
      <c r="D1165" t="inlineStr">
        <is>
          <t>Cendana</t>
        </is>
      </c>
      <c r="E1165" t="inlineStr">
        <is>
          <t>Daniel Ong</t>
        </is>
      </c>
      <c r="F1165" t="inlineStr">
        <is>
          <t>Routine</t>
        </is>
      </c>
      <c r="G1165" t="inlineStr">
        <is>
          <t>NONE</t>
        </is>
      </c>
      <c r="H1165" t="inlineStr">
        <is>
          <t>Compliant</t>
        </is>
      </c>
      <c r="I1165" s="6" t="n"/>
      <c r="J1165" s="6" t="n"/>
      <c r="K1165">
        <f>IF(J1165="","",J1165-B1165)</f>
        <v/>
      </c>
      <c r="L1165">
        <f>IF(H1165="Compliant","N/A",IF(J1165&lt;&gt;"","Closed",IF(I1165&lt;DATE(2026,9,30),"OVERDUE","Open")))</f>
        <v/>
      </c>
    </row>
    <row r="1166">
      <c r="A1166" t="inlineStr">
        <is>
          <t>INSP-2026-1165</t>
        </is>
      </c>
      <c r="B1166" s="6" t="n">
        <v>46196</v>
      </c>
      <c r="C1166" t="inlineStr">
        <is>
          <t>U-RH491-01-06</t>
        </is>
      </c>
      <c r="D1166" t="inlineStr">
        <is>
          <t>Rimba Heights</t>
        </is>
      </c>
      <c r="E1166" t="inlineStr">
        <is>
          <t>Benjamin Ho</t>
        </is>
      </c>
      <c r="F1166" t="inlineStr">
        <is>
          <t>Routine</t>
        </is>
      </c>
      <c r="G1166" t="inlineStr">
        <is>
          <t>DISPLAY_ENCROACH</t>
        </is>
      </c>
      <c r="H1166" t="inlineStr">
        <is>
          <t>Minor Breach</t>
        </is>
      </c>
      <c r="I1166" s="6" t="n">
        <v>46210</v>
      </c>
      <c r="J1166" s="6" t="n"/>
      <c r="K1166">
        <f>IF(J1166="","",J1166-B1166)</f>
        <v/>
      </c>
      <c r="L1166">
        <f>IF(H1166="Compliant","N/A",IF(J1166&lt;&gt;"","Closed",IF(I1166&lt;DATE(2026,9,30),"OVERDUE","Open")))</f>
        <v/>
      </c>
    </row>
    <row r="1167">
      <c r="A1167" t="inlineStr">
        <is>
          <t>INSP-2026-1166</t>
        </is>
      </c>
      <c r="B1167" s="6" t="n">
        <v>46197</v>
      </c>
      <c r="C1167" t="inlineStr">
        <is>
          <t>U-KR329-01-10</t>
        </is>
      </c>
      <c r="D1167" t="inlineStr">
        <is>
          <t>Kebun Raya</t>
        </is>
      </c>
      <c r="E1167" t="inlineStr">
        <is>
          <t>daniel ong</t>
        </is>
      </c>
      <c r="F1167" t="inlineStr">
        <is>
          <t>Complaint-driven</t>
        </is>
      </c>
      <c r="G1167" t="inlineStr">
        <is>
          <t>NONE</t>
        </is>
      </c>
      <c r="H1167" t="inlineStr">
        <is>
          <t>Compliant</t>
        </is>
      </c>
      <c r="I1167" s="6" t="n"/>
      <c r="J1167" s="6" t="n"/>
      <c r="K1167">
        <f>IF(J1167="","",J1167-B1167)</f>
        <v/>
      </c>
      <c r="L1167">
        <f>IF(H1167="Compliant","N/A",IF(J1167&lt;&gt;"","Closed",IF(I1167&lt;DATE(2026,9,30),"OVERDUE","Open")))</f>
        <v/>
      </c>
    </row>
    <row r="1168">
      <c r="A1168" t="inlineStr">
        <is>
          <t>INSP-2026-1167</t>
        </is>
      </c>
      <c r="B1168" s="6" t="n">
        <v>46197</v>
      </c>
      <c r="C1168" t="inlineStr">
        <is>
          <t>U-PI678-02-05</t>
        </is>
      </c>
      <c r="D1168" t="inlineStr">
        <is>
          <t>Pasir Indah</t>
        </is>
      </c>
      <c r="E1168" t="inlineStr">
        <is>
          <t>Daniel Ong</t>
        </is>
      </c>
      <c r="F1168" t="inlineStr">
        <is>
          <t>Routine</t>
        </is>
      </c>
      <c r="G1168" t="inlineStr">
        <is>
          <t>NONE</t>
        </is>
      </c>
      <c r="H1168" t="inlineStr">
        <is>
          <t>Compliant</t>
        </is>
      </c>
      <c r="I1168" s="6" t="n"/>
      <c r="J1168" s="6" t="n"/>
      <c r="K1168">
        <f>IF(J1168="","",J1168-B1168)</f>
        <v/>
      </c>
      <c r="L1168">
        <f>IF(H1168="Compliant","N/A",IF(J1168&lt;&gt;"","Closed",IF(I1168&lt;DATE(2026,9,30),"OVERDUE","Open")))</f>
        <v/>
      </c>
    </row>
    <row r="1169">
      <c r="A1169" t="inlineStr">
        <is>
          <t>INSP-2026-1168</t>
        </is>
      </c>
      <c r="B1169" s="6" t="n">
        <v>46197</v>
      </c>
      <c r="C1169" t="inlineStr">
        <is>
          <t>U-CD170-01-01</t>
        </is>
      </c>
      <c r="D1169" t="inlineStr">
        <is>
          <t>Cendana</t>
        </is>
      </c>
      <c r="E1169" t="inlineStr">
        <is>
          <t>M. Lim</t>
        </is>
      </c>
      <c r="F1169" t="inlineStr">
        <is>
          <t>Routine</t>
        </is>
      </c>
      <c r="G1169" t="inlineStr">
        <is>
          <t>NONE</t>
        </is>
      </c>
      <c r="H1169" t="inlineStr">
        <is>
          <t>Compliant</t>
        </is>
      </c>
      <c r="I1169" s="6" t="n"/>
      <c r="J1169" s="6" t="n"/>
      <c r="K1169">
        <f>IF(J1169="","",J1169-B1169)</f>
        <v/>
      </c>
      <c r="L1169">
        <f>IF(H1169="Compliant","N/A",IF(J1169&lt;&gt;"","Closed",IF(I1169&lt;DATE(2026,9,30),"OVERDUE","Open")))</f>
        <v/>
      </c>
    </row>
    <row r="1170">
      <c r="A1170" t="inlineStr">
        <is>
          <t>INSP-2026-1169</t>
        </is>
      </c>
      <c r="B1170" s="6" t="n">
        <v>46197</v>
      </c>
      <c r="C1170" t="inlineStr">
        <is>
          <t>U-KR349-01-01</t>
        </is>
      </c>
      <c r="D1170" t="inlineStr">
        <is>
          <t>Kebun Raya</t>
        </is>
      </c>
      <c r="E1170" t="inlineStr">
        <is>
          <t>B. Ho</t>
        </is>
      </c>
      <c r="F1170" t="inlineStr">
        <is>
          <t>Routine</t>
        </is>
      </c>
      <c r="G1170" t="inlineStr">
        <is>
          <t>NONE</t>
        </is>
      </c>
      <c r="H1170" t="inlineStr">
        <is>
          <t>Compliant</t>
        </is>
      </c>
      <c r="I1170" s="6" t="n"/>
      <c r="J1170" s="6" t="n"/>
      <c r="K1170">
        <f>IF(J1170="","",J1170-B1170)</f>
        <v/>
      </c>
      <c r="L1170">
        <f>IF(H1170="Compliant","N/A",IF(J1170&lt;&gt;"","Closed",IF(I1170&lt;DATE(2026,9,30),"OVERDUE","Open")))</f>
        <v/>
      </c>
    </row>
    <row r="1171">
      <c r="A1171" t="inlineStr">
        <is>
          <t>INSP-2026-1170</t>
        </is>
      </c>
      <c r="B1171" s="6" t="n">
        <v>46197</v>
      </c>
      <c r="C1171" t="inlineStr">
        <is>
          <t>U-BV266-01-12</t>
        </is>
      </c>
      <c r="D1171" t="inlineStr">
        <is>
          <t>Bayshore Vale</t>
        </is>
      </c>
      <c r="E1171" t="inlineStr">
        <is>
          <t>Marcus Lim</t>
        </is>
      </c>
      <c r="F1171" t="inlineStr">
        <is>
          <t>Routine</t>
        </is>
      </c>
      <c r="G1171" t="inlineStr">
        <is>
          <t>NONE</t>
        </is>
      </c>
      <c r="H1171" t="inlineStr">
        <is>
          <t>Compliant</t>
        </is>
      </c>
      <c r="I1171" s="6" t="n"/>
      <c r="J1171" s="6" t="n"/>
      <c r="K1171">
        <f>IF(J1171="","",J1171-B1171)</f>
        <v/>
      </c>
      <c r="L1171">
        <f>IF(H1171="Compliant","N/A",IF(J1171&lt;&gt;"","Closed",IF(I1171&lt;DATE(2026,9,30),"OVERDUE","Open")))</f>
        <v/>
      </c>
    </row>
    <row r="1172">
      <c r="A1172" t="inlineStr">
        <is>
          <t>INSP-2026-1171</t>
        </is>
      </c>
      <c r="B1172" s="6" t="n">
        <v>46197</v>
      </c>
      <c r="C1172" t="inlineStr">
        <is>
          <t>U-KR305-01-28</t>
        </is>
      </c>
      <c r="D1172" t="inlineStr">
        <is>
          <t>Kebun Raya</t>
        </is>
      </c>
      <c r="E1172" t="inlineStr">
        <is>
          <t>Daniel O.</t>
        </is>
      </c>
      <c r="F1172" t="inlineStr">
        <is>
          <t>Routine</t>
        </is>
      </c>
      <c r="G1172" t="inlineStr">
        <is>
          <t>NONE</t>
        </is>
      </c>
      <c r="H1172" t="inlineStr">
        <is>
          <t>Compliant</t>
        </is>
      </c>
      <c r="I1172" s="6" t="n"/>
      <c r="J1172" s="6" t="n"/>
      <c r="K1172">
        <f>IF(J1172="","",J1172-B1172)</f>
        <v/>
      </c>
      <c r="L1172">
        <f>IF(H1172="Compliant","N/A",IF(J1172&lt;&gt;"","Closed",IF(I1172&lt;DATE(2026,9,30),"OVERDUE","Open")))</f>
        <v/>
      </c>
    </row>
    <row r="1173">
      <c r="A1173" t="inlineStr">
        <is>
          <t>INSP-2026-1172</t>
        </is>
      </c>
      <c r="B1173" s="6" t="n">
        <v>46197</v>
      </c>
      <c r="C1173" t="inlineStr">
        <is>
          <t>U-KR335-01-08</t>
        </is>
      </c>
      <c r="D1173" t="inlineStr">
        <is>
          <t>Kebun Raya</t>
        </is>
      </c>
      <c r="E1173" t="inlineStr">
        <is>
          <t>D. Ong</t>
        </is>
      </c>
      <c r="F1173" t="inlineStr">
        <is>
          <t>Follow-up</t>
        </is>
      </c>
      <c r="G1173" t="inlineStr">
        <is>
          <t>HYGIENE</t>
        </is>
      </c>
      <c r="H1173" t="inlineStr">
        <is>
          <t>Minor Breach</t>
        </is>
      </c>
      <c r="I1173" s="6" t="n">
        <v>46211</v>
      </c>
      <c r="J1173" s="6" t="n">
        <v>46207</v>
      </c>
      <c r="K1173">
        <f>IF(J1173="","",J1173-B1173)</f>
        <v/>
      </c>
      <c r="L1173">
        <f>IF(H1173="Compliant","N/A",IF(J1173&lt;&gt;"","Closed",IF(I1173&lt;DATE(2026,9,30),"OVERDUE","Open")))</f>
        <v/>
      </c>
    </row>
    <row r="1174">
      <c r="A1174" t="inlineStr">
        <is>
          <t>INSP-2026-1173</t>
        </is>
      </c>
      <c r="B1174" s="6" t="n">
        <v>46197</v>
      </c>
      <c r="C1174" t="inlineStr">
        <is>
          <t>U-KR359-01-07</t>
        </is>
      </c>
      <c r="D1174" t="inlineStr">
        <is>
          <t>Kebun Raya</t>
        </is>
      </c>
      <c r="E1174" t="inlineStr">
        <is>
          <t>B. Ho</t>
        </is>
      </c>
      <c r="F1174" t="inlineStr">
        <is>
          <t>Routine</t>
        </is>
      </c>
      <c r="G1174" t="inlineStr">
        <is>
          <t>NONE</t>
        </is>
      </c>
      <c r="H1174" t="inlineStr">
        <is>
          <t>Compliant</t>
        </is>
      </c>
      <c r="I1174" s="6" t="n"/>
      <c r="J1174" s="6" t="n"/>
      <c r="K1174">
        <f>IF(J1174="","",J1174-B1174)</f>
        <v/>
      </c>
      <c r="L1174">
        <f>IF(H1174="Compliant","N/A",IF(J1174&lt;&gt;"","Closed",IF(I1174&lt;DATE(2026,9,30),"OVERDUE","Open")))</f>
        <v/>
      </c>
    </row>
    <row r="1175">
      <c r="A1175" t="inlineStr">
        <is>
          <t>INSP-2026-1174</t>
        </is>
      </c>
      <c r="B1175" s="6" t="n">
        <v>46197</v>
      </c>
      <c r="C1175" t="inlineStr">
        <is>
          <t>U-PI627-01-20</t>
        </is>
      </c>
      <c r="D1175" t="inlineStr">
        <is>
          <t>Pasir Indah</t>
        </is>
      </c>
      <c r="E1175" t="inlineStr">
        <is>
          <t>Daniel Ong</t>
        </is>
      </c>
      <c r="F1175" t="inlineStr">
        <is>
          <t>Routine</t>
        </is>
      </c>
      <c r="G1175" t="inlineStr">
        <is>
          <t>NONE</t>
        </is>
      </c>
      <c r="H1175" t="inlineStr">
        <is>
          <t>Compliant</t>
        </is>
      </c>
      <c r="I1175" s="6" t="n"/>
      <c r="J1175" s="6" t="n"/>
      <c r="K1175">
        <f>IF(J1175="","",J1175-B1175)</f>
        <v/>
      </c>
      <c r="L1175">
        <f>IF(H1175="Compliant","N/A",IF(J1175&lt;&gt;"","Closed",IF(I1175&lt;DATE(2026,9,30),"OVERDUE","Open")))</f>
        <v/>
      </c>
    </row>
    <row r="1176">
      <c r="A1176" t="inlineStr">
        <is>
          <t>INSP-2026-1175</t>
        </is>
      </c>
      <c r="B1176" s="6" t="n">
        <v>46197</v>
      </c>
      <c r="C1176" t="inlineStr">
        <is>
          <t>U-CD152-02-14</t>
        </is>
      </c>
      <c r="D1176" t="inlineStr">
        <is>
          <t>Cendana</t>
        </is>
      </c>
      <c r="E1176" t="inlineStr">
        <is>
          <t>Marcus Lim</t>
        </is>
      </c>
      <c r="F1176" t="inlineStr">
        <is>
          <t>Complaint-driven</t>
        </is>
      </c>
      <c r="G1176" t="inlineStr">
        <is>
          <t>NONE</t>
        </is>
      </c>
      <c r="H1176" t="inlineStr">
        <is>
          <t>Compliant</t>
        </is>
      </c>
      <c r="I1176" s="6" t="n"/>
      <c r="J1176" s="6" t="n"/>
      <c r="K1176">
        <f>IF(J1176="","",J1176-B1176)</f>
        <v/>
      </c>
      <c r="L1176">
        <f>IF(H1176="Compliant","N/A",IF(J1176&lt;&gt;"","Closed",IF(I1176&lt;DATE(2026,9,30),"OVERDUE","Open")))</f>
        <v/>
      </c>
    </row>
    <row r="1177">
      <c r="A1177" t="inlineStr">
        <is>
          <t>INSP-2026-1176</t>
        </is>
      </c>
      <c r="B1177" s="6" t="n">
        <v>46197</v>
      </c>
      <c r="C1177" t="inlineStr">
        <is>
          <t>U-ST506-02-09</t>
        </is>
      </c>
      <c r="D1177" t="inlineStr">
        <is>
          <t>Sungai Tinggi</t>
        </is>
      </c>
      <c r="E1177" t="inlineStr">
        <is>
          <t>daniel ong</t>
        </is>
      </c>
      <c r="F1177" t="inlineStr">
        <is>
          <t>Routine</t>
        </is>
      </c>
      <c r="G1177" t="inlineStr">
        <is>
          <t>NONE</t>
        </is>
      </c>
      <c r="H1177" t="inlineStr">
        <is>
          <t>Compliant</t>
        </is>
      </c>
      <c r="I1177" s="6" t="n"/>
      <c r="J1177" s="6" t="n"/>
      <c r="K1177">
        <f>IF(J1177="","",J1177-B1177)</f>
        <v/>
      </c>
      <c r="L1177">
        <f>IF(H1177="Compliant","N/A",IF(J1177&lt;&gt;"","Closed",IF(I1177&lt;DATE(2026,9,30),"OVERDUE","Open")))</f>
        <v/>
      </c>
    </row>
    <row r="1178">
      <c r="A1178" t="inlineStr">
        <is>
          <t>INSP-2026-1177</t>
        </is>
      </c>
      <c r="B1178" s="6" t="n">
        <v>46197</v>
      </c>
      <c r="C1178" t="inlineStr">
        <is>
          <t>U-CD165-02-01</t>
        </is>
      </c>
      <c r="D1178" t="inlineStr">
        <is>
          <t>Cendana</t>
        </is>
      </c>
      <c r="E1178" t="inlineStr">
        <is>
          <t>daniel ong</t>
        </is>
      </c>
      <c r="F1178" t="inlineStr">
        <is>
          <t>Routine</t>
        </is>
      </c>
      <c r="G1178" t="inlineStr">
        <is>
          <t>UNAUTH_TRADE</t>
        </is>
      </c>
      <c r="H1178" t="inlineStr">
        <is>
          <t>Major Breach</t>
        </is>
      </c>
      <c r="I1178" s="6" t="n">
        <v>46204</v>
      </c>
      <c r="J1178" s="6" t="n">
        <v>46214</v>
      </c>
      <c r="K1178">
        <f>IF(J1178="","",J1178-B1178)</f>
        <v/>
      </c>
      <c r="L1178">
        <f>IF(H1178="Compliant","N/A",IF(J1178&lt;&gt;"","Closed",IF(I1178&lt;DATE(2026,9,30),"OVERDUE","Open")))</f>
        <v/>
      </c>
    </row>
    <row r="1179">
      <c r="A1179" t="inlineStr">
        <is>
          <t>INSP-2026-1178</t>
        </is>
      </c>
      <c r="B1179" s="6" t="n">
        <v>46198</v>
      </c>
      <c r="C1179" t="inlineStr">
        <is>
          <t>U-KR341-01-10</t>
        </is>
      </c>
      <c r="D1179" t="inlineStr">
        <is>
          <t>Kebun Raya</t>
        </is>
      </c>
      <c r="E1179" t="inlineStr">
        <is>
          <t>daniel ong</t>
        </is>
      </c>
      <c r="F1179" t="inlineStr">
        <is>
          <t>Routine</t>
        </is>
      </c>
      <c r="G1179" t="inlineStr">
        <is>
          <t>NONE</t>
        </is>
      </c>
      <c r="H1179" t="inlineStr">
        <is>
          <t>Compliant</t>
        </is>
      </c>
      <c r="I1179" s="6" t="n"/>
      <c r="J1179" s="6" t="n"/>
      <c r="K1179">
        <f>IF(J1179="","",J1179-B1179)</f>
        <v/>
      </c>
      <c r="L1179">
        <f>IF(H1179="Compliant","N/A",IF(J1179&lt;&gt;"","Closed",IF(I1179&lt;DATE(2026,9,30),"OVERDUE","Open")))</f>
        <v/>
      </c>
    </row>
    <row r="1180">
      <c r="A1180" t="inlineStr">
        <is>
          <t>INSP-2026-1179</t>
        </is>
      </c>
      <c r="B1180" s="6" t="n">
        <v>46198</v>
      </c>
      <c r="C1180" t="inlineStr">
        <is>
          <t>U-ST507-01-01</t>
        </is>
      </c>
      <c r="D1180" t="inlineStr">
        <is>
          <t>Sungai Tinggi</t>
        </is>
      </c>
      <c r="E1180" t="inlineStr">
        <is>
          <t>B. Ho</t>
        </is>
      </c>
      <c r="F1180" t="inlineStr">
        <is>
          <t>Follow-up</t>
        </is>
      </c>
      <c r="G1180" t="inlineStr">
        <is>
          <t>HYGIENE</t>
        </is>
      </c>
      <c r="H1180" t="inlineStr">
        <is>
          <t>Minor Breach</t>
        </is>
      </c>
      <c r="I1180" s="6" t="n">
        <v>46212</v>
      </c>
      <c r="J1180" s="6" t="n">
        <v>46207</v>
      </c>
      <c r="K1180">
        <f>IF(J1180="","",J1180-B1180)</f>
        <v/>
      </c>
      <c r="L1180">
        <f>IF(H1180="Compliant","N/A",IF(J1180&lt;&gt;"","Closed",IF(I1180&lt;DATE(2026,9,30),"OVERDUE","Open")))</f>
        <v/>
      </c>
    </row>
    <row r="1181">
      <c r="A1181" t="inlineStr">
        <is>
          <t>INSP-2026-1180</t>
        </is>
      </c>
      <c r="B1181" s="6" t="n">
        <v>46198</v>
      </c>
      <c r="C1181" t="inlineStr">
        <is>
          <t>U-PI696-02-06</t>
        </is>
      </c>
      <c r="D1181" t="inlineStr">
        <is>
          <t>Pasir Indah</t>
        </is>
      </c>
      <c r="E1181" t="inlineStr">
        <is>
          <t>marcus</t>
        </is>
      </c>
      <c r="F1181" t="inlineStr">
        <is>
          <t>Follow-up</t>
        </is>
      </c>
      <c r="G1181" t="inlineStr">
        <is>
          <t>NONE</t>
        </is>
      </c>
      <c r="H1181" t="inlineStr">
        <is>
          <t>Compliant</t>
        </is>
      </c>
      <c r="I1181" s="6" t="n"/>
      <c r="J1181" s="6" t="n"/>
      <c r="K1181">
        <f>IF(J1181="","",J1181-B1181)</f>
        <v/>
      </c>
      <c r="L1181">
        <f>IF(H1181="Compliant","N/A",IF(J1181&lt;&gt;"","Closed",IF(I1181&lt;DATE(2026,9,30),"OVERDUE","Open")))</f>
        <v/>
      </c>
    </row>
    <row r="1182">
      <c r="A1182" t="inlineStr">
        <is>
          <t>INSP-2026-1181</t>
        </is>
      </c>
      <c r="B1182" s="6" t="n">
        <v>46198</v>
      </c>
      <c r="C1182" t="inlineStr">
        <is>
          <t>U-BV212-02-06</t>
        </is>
      </c>
      <c r="D1182" t="inlineStr">
        <is>
          <t>Bayshore Vale</t>
        </is>
      </c>
      <c r="E1182" t="inlineStr">
        <is>
          <t>D. Ong</t>
        </is>
      </c>
      <c r="F1182" t="inlineStr">
        <is>
          <t>Routine</t>
        </is>
      </c>
      <c r="G1182" t="inlineStr">
        <is>
          <t>NONE</t>
        </is>
      </c>
      <c r="H1182" t="inlineStr">
        <is>
          <t>Compliant</t>
        </is>
      </c>
      <c r="I1182" s="6" t="n"/>
      <c r="J1182" s="6" t="n"/>
      <c r="K1182">
        <f>IF(J1182="","",J1182-B1182)</f>
        <v/>
      </c>
      <c r="L1182">
        <f>IF(H1182="Compliant","N/A",IF(J1182&lt;&gt;"","Closed",IF(I1182&lt;DATE(2026,9,30),"OVERDUE","Open")))</f>
        <v/>
      </c>
    </row>
    <row r="1183">
      <c r="A1183" t="inlineStr">
        <is>
          <t>INSP-2026-1182</t>
        </is>
      </c>
      <c r="B1183" s="6" t="n">
        <v>46198</v>
      </c>
      <c r="C1183" t="inlineStr">
        <is>
          <t>U-ST535-01-06</t>
        </is>
      </c>
      <c r="D1183" t="inlineStr">
        <is>
          <t>Sungai Tinggi</t>
        </is>
      </c>
      <c r="E1183" t="inlineStr">
        <is>
          <t>Daniel Ong</t>
        </is>
      </c>
      <c r="F1183" t="inlineStr">
        <is>
          <t>Routine</t>
        </is>
      </c>
      <c r="G1183" t="inlineStr">
        <is>
          <t>HYGIENE</t>
        </is>
      </c>
      <c r="H1183" t="inlineStr">
        <is>
          <t>Minor Breach</t>
        </is>
      </c>
      <c r="I1183" s="6" t="n">
        <v>46212</v>
      </c>
      <c r="J1183" s="6" t="n">
        <v>46208</v>
      </c>
      <c r="K1183">
        <f>IF(J1183="","",J1183-B1183)</f>
        <v/>
      </c>
      <c r="L1183">
        <f>IF(H1183="Compliant","N/A",IF(J1183&lt;&gt;"","Closed",IF(I1183&lt;DATE(2026,9,30),"OVERDUE","Open")))</f>
        <v/>
      </c>
    </row>
    <row r="1184">
      <c r="A1184" t="inlineStr">
        <is>
          <t>INSP-2026-1183</t>
        </is>
      </c>
      <c r="B1184" s="6" t="n">
        <v>46198</v>
      </c>
      <c r="C1184" t="inlineStr">
        <is>
          <t>U-ST545-01-02</t>
        </is>
      </c>
      <c r="D1184" t="inlineStr">
        <is>
          <t>Sungai Tinggi</t>
        </is>
      </c>
      <c r="E1184" t="inlineStr">
        <is>
          <t>Benjamin Ho</t>
        </is>
      </c>
      <c r="F1184" t="inlineStr">
        <is>
          <t>Routine</t>
        </is>
      </c>
      <c r="G1184" t="inlineStr">
        <is>
          <t>NONE</t>
        </is>
      </c>
      <c r="H1184" t="inlineStr">
        <is>
          <t>Compliant</t>
        </is>
      </c>
      <c r="I1184" s="6" t="n"/>
      <c r="J1184" s="6" t="n"/>
      <c r="K1184">
        <f>IF(J1184="","",J1184-B1184)</f>
        <v/>
      </c>
      <c r="L1184">
        <f>IF(H1184="Compliant","N/A",IF(J1184&lt;&gt;"","Closed",IF(I1184&lt;DATE(2026,9,30),"OVERDUE","Open")))</f>
        <v/>
      </c>
    </row>
    <row r="1185">
      <c r="A1185" t="inlineStr">
        <is>
          <t>INSP-2026-1184</t>
        </is>
      </c>
      <c r="B1185" s="6" t="n">
        <v>46198</v>
      </c>
      <c r="C1185" t="inlineStr">
        <is>
          <t>U-CD181-01-03</t>
        </is>
      </c>
      <c r="D1185" t="inlineStr">
        <is>
          <t>Cendana</t>
        </is>
      </c>
      <c r="E1185" t="inlineStr">
        <is>
          <t>marcus</t>
        </is>
      </c>
      <c r="F1185" t="inlineStr">
        <is>
          <t>Routine</t>
        </is>
      </c>
      <c r="G1185" t="inlineStr">
        <is>
          <t>NONE</t>
        </is>
      </c>
      <c r="H1185" t="inlineStr">
        <is>
          <t>Compliant</t>
        </is>
      </c>
      <c r="I1185" s="6" t="n"/>
      <c r="J1185" s="6" t="n"/>
      <c r="K1185">
        <f>IF(J1185="","",J1185-B1185)</f>
        <v/>
      </c>
      <c r="L1185">
        <f>IF(H1185="Compliant","N/A",IF(J1185&lt;&gt;"","Closed",IF(I1185&lt;DATE(2026,9,30),"OVERDUE","Open")))</f>
        <v/>
      </c>
    </row>
    <row r="1186">
      <c r="A1186" t="inlineStr">
        <is>
          <t>INSP-2026-1185</t>
        </is>
      </c>
      <c r="B1186" s="6" t="n">
        <v>46198</v>
      </c>
      <c r="C1186" t="inlineStr">
        <is>
          <t>U-RH486-01-02</t>
        </is>
      </c>
      <c r="D1186" t="inlineStr">
        <is>
          <t>Rimba Heights</t>
        </is>
      </c>
      <c r="E1186" t="inlineStr">
        <is>
          <t>Ben Ho</t>
        </is>
      </c>
      <c r="F1186" t="inlineStr">
        <is>
          <t>Routine</t>
        </is>
      </c>
      <c r="G1186" t="inlineStr">
        <is>
          <t>NONE</t>
        </is>
      </c>
      <c r="H1186" t="inlineStr">
        <is>
          <t>Compliant</t>
        </is>
      </c>
      <c r="I1186" s="6" t="n"/>
      <c r="J1186" s="6" t="n"/>
      <c r="K1186">
        <f>IF(J1186="","",J1186-B1186)</f>
        <v/>
      </c>
      <c r="L1186">
        <f>IF(H1186="Compliant","N/A",IF(J1186&lt;&gt;"","Closed",IF(I1186&lt;DATE(2026,9,30),"OVERDUE","Open")))</f>
        <v/>
      </c>
    </row>
    <row r="1187">
      <c r="A1187" t="inlineStr">
        <is>
          <t>INSP-2026-1186</t>
        </is>
      </c>
      <c r="B1187" s="6" t="n">
        <v>46198</v>
      </c>
      <c r="C1187" t="inlineStr">
        <is>
          <t>U-RH407-01-04</t>
        </is>
      </c>
      <c r="D1187" t="inlineStr">
        <is>
          <t>Rimba Heights</t>
        </is>
      </c>
      <c r="E1187" t="inlineStr">
        <is>
          <t>Ben Ho</t>
        </is>
      </c>
      <c r="F1187" t="inlineStr">
        <is>
          <t>Routine</t>
        </is>
      </c>
      <c r="G1187" t="inlineStr">
        <is>
          <t>NONE</t>
        </is>
      </c>
      <c r="H1187" t="inlineStr">
        <is>
          <t>Compliant</t>
        </is>
      </c>
      <c r="I1187" s="6" t="n"/>
      <c r="J1187" s="6" t="n"/>
      <c r="K1187">
        <f>IF(J1187="","",J1187-B1187)</f>
        <v/>
      </c>
      <c r="L1187">
        <f>IF(H1187="Compliant","N/A",IF(J1187&lt;&gt;"","Closed",IF(I1187&lt;DATE(2026,9,30),"OVERDUE","Open")))</f>
        <v/>
      </c>
    </row>
    <row r="1188">
      <c r="A1188" t="inlineStr">
        <is>
          <t>INSP-2026-1187</t>
        </is>
      </c>
      <c r="B1188" s="6" t="n">
        <v>46198</v>
      </c>
      <c r="C1188" t="inlineStr">
        <is>
          <t>U-RH473-01-07</t>
        </is>
      </c>
      <c r="D1188" t="inlineStr">
        <is>
          <t>Rimba Heights</t>
        </is>
      </c>
      <c r="E1188" t="inlineStr">
        <is>
          <t>B. Ho</t>
        </is>
      </c>
      <c r="F1188" t="inlineStr">
        <is>
          <t>Follow-up</t>
        </is>
      </c>
      <c r="G1188" t="inlineStr">
        <is>
          <t>NONE</t>
        </is>
      </c>
      <c r="H1188" t="inlineStr">
        <is>
          <t>Compliant</t>
        </is>
      </c>
      <c r="I1188" s="6" t="n"/>
      <c r="J1188" s="6" t="n"/>
      <c r="K1188">
        <f>IF(J1188="","",J1188-B1188)</f>
        <v/>
      </c>
      <c r="L1188">
        <f>IF(H1188="Compliant","N/A",IF(J1188&lt;&gt;"","Closed",IF(I1188&lt;DATE(2026,9,30),"OVERDUE","Open")))</f>
        <v/>
      </c>
    </row>
    <row r="1189">
      <c r="A1189" t="inlineStr">
        <is>
          <t>INSP-2026-1188</t>
        </is>
      </c>
      <c r="B1189" s="6" t="n">
        <v>46198</v>
      </c>
      <c r="C1189" t="inlineStr">
        <is>
          <t>U-PI696-01-02</t>
        </is>
      </c>
      <c r="D1189" t="inlineStr">
        <is>
          <t>Pasir Indah</t>
        </is>
      </c>
      <c r="E1189" t="inlineStr">
        <is>
          <t>Daniel O.</t>
        </is>
      </c>
      <c r="F1189" t="inlineStr">
        <is>
          <t>Routine</t>
        </is>
      </c>
      <c r="G1189" t="inlineStr">
        <is>
          <t>NONE</t>
        </is>
      </c>
      <c r="H1189" t="inlineStr">
        <is>
          <t>Compliant</t>
        </is>
      </c>
      <c r="I1189" s="6" t="n"/>
      <c r="J1189" s="6" t="n"/>
      <c r="K1189">
        <f>IF(J1189="","",J1189-B1189)</f>
        <v/>
      </c>
      <c r="L1189">
        <f>IF(H1189="Compliant","N/A",IF(J1189&lt;&gt;"","Closed",IF(I1189&lt;DATE(2026,9,30),"OVERDUE","Open")))</f>
        <v/>
      </c>
    </row>
    <row r="1190">
      <c r="A1190" t="inlineStr">
        <is>
          <t>INSP-2026-1189</t>
        </is>
      </c>
      <c r="B1190" s="6" t="n">
        <v>46199</v>
      </c>
      <c r="C1190" t="inlineStr">
        <is>
          <t>U-ST591-01-04</t>
        </is>
      </c>
      <c r="D1190" t="inlineStr">
        <is>
          <t>Sungai Tinggi</t>
        </is>
      </c>
      <c r="E1190" t="inlineStr">
        <is>
          <t>B. Ho</t>
        </is>
      </c>
      <c r="F1190" t="inlineStr">
        <is>
          <t>Follow-up</t>
        </is>
      </c>
      <c r="G1190" t="inlineStr">
        <is>
          <t>DISPLAY_ENCROACH</t>
        </is>
      </c>
      <c r="H1190" t="inlineStr">
        <is>
          <t>Minor Breach</t>
        </is>
      </c>
      <c r="I1190" s="6" t="n">
        <v>46213</v>
      </c>
      <c r="J1190" s="6" t="n">
        <v>46209</v>
      </c>
      <c r="K1190">
        <f>IF(J1190="","",J1190-B1190)</f>
        <v/>
      </c>
      <c r="L1190">
        <f>IF(H1190="Compliant","N/A",IF(J1190&lt;&gt;"","Closed",IF(I1190&lt;DATE(2026,9,30),"OVERDUE","Open")))</f>
        <v/>
      </c>
    </row>
    <row r="1191">
      <c r="A1191" t="inlineStr">
        <is>
          <t>INSP-2026-1190</t>
        </is>
      </c>
      <c r="B1191" s="6" t="n">
        <v>46199</v>
      </c>
      <c r="C1191" t="inlineStr">
        <is>
          <t>U-CD105-01-05</t>
        </is>
      </c>
      <c r="D1191" t="inlineStr">
        <is>
          <t>Cendana</t>
        </is>
      </c>
      <c r="E1191" t="inlineStr">
        <is>
          <t>Daniel Ong</t>
        </is>
      </c>
      <c r="F1191" t="inlineStr">
        <is>
          <t>Routine</t>
        </is>
      </c>
      <c r="G1191" t="inlineStr">
        <is>
          <t>NONE</t>
        </is>
      </c>
      <c r="H1191" t="inlineStr">
        <is>
          <t>Compliant</t>
        </is>
      </c>
      <c r="I1191" s="6" t="n"/>
      <c r="J1191" s="6" t="n"/>
      <c r="K1191">
        <f>IF(J1191="","",J1191-B1191)</f>
        <v/>
      </c>
      <c r="L1191">
        <f>IF(H1191="Compliant","N/A",IF(J1191&lt;&gt;"","Closed",IF(I1191&lt;DATE(2026,9,30),"OVERDUE","Open")))</f>
        <v/>
      </c>
    </row>
    <row r="1192">
      <c r="A1192" t="inlineStr">
        <is>
          <t>INSP-2026-1191</t>
        </is>
      </c>
      <c r="B1192" s="6" t="n">
        <v>46199</v>
      </c>
      <c r="C1192" t="inlineStr">
        <is>
          <t>U-RH455-01-03</t>
        </is>
      </c>
      <c r="D1192" t="inlineStr">
        <is>
          <t>Rimba Heights</t>
        </is>
      </c>
      <c r="E1192" t="inlineStr">
        <is>
          <t>Benjamin Ho</t>
        </is>
      </c>
      <c r="F1192" t="inlineStr">
        <is>
          <t>Routine</t>
        </is>
      </c>
      <c r="G1192" t="inlineStr">
        <is>
          <t>FIRE_SAFETY</t>
        </is>
      </c>
      <c r="H1192" t="inlineStr">
        <is>
          <t>Major Breach</t>
        </is>
      </c>
      <c r="I1192" s="6" t="n">
        <v>46206</v>
      </c>
      <c r="J1192" s="6" t="n">
        <v>46214</v>
      </c>
      <c r="K1192">
        <f>IF(J1192="","",J1192-B1192)</f>
        <v/>
      </c>
      <c r="L1192">
        <f>IF(H1192="Compliant","N/A",IF(J1192&lt;&gt;"","Closed",IF(I1192&lt;DATE(2026,9,30),"OVERDUE","Open")))</f>
        <v/>
      </c>
    </row>
    <row r="1193">
      <c r="A1193" t="inlineStr">
        <is>
          <t>INSP-2026-1192</t>
        </is>
      </c>
      <c r="B1193" s="6" t="n">
        <v>46199</v>
      </c>
      <c r="C1193" t="inlineStr">
        <is>
          <t>U-BV214-01-22</t>
        </is>
      </c>
      <c r="D1193" t="inlineStr">
        <is>
          <t>Bayshore Vale</t>
        </is>
      </c>
      <c r="E1193" t="inlineStr">
        <is>
          <t>M. Lim</t>
        </is>
      </c>
      <c r="F1193" t="inlineStr">
        <is>
          <t>Routine</t>
        </is>
      </c>
      <c r="G1193" t="inlineStr">
        <is>
          <t>NONE</t>
        </is>
      </c>
      <c r="H1193" t="inlineStr">
        <is>
          <t>Compliant</t>
        </is>
      </c>
      <c r="I1193" s="6" t="n"/>
      <c r="J1193" s="6" t="n"/>
      <c r="K1193">
        <f>IF(J1193="","",J1193-B1193)</f>
        <v/>
      </c>
      <c r="L1193">
        <f>IF(H1193="Compliant","N/A",IF(J1193&lt;&gt;"","Closed",IF(I1193&lt;DATE(2026,9,30),"OVERDUE","Open")))</f>
        <v/>
      </c>
    </row>
    <row r="1194">
      <c r="A1194" t="inlineStr">
        <is>
          <t>INSP-2026-1193</t>
        </is>
      </c>
      <c r="B1194" s="6" t="n">
        <v>46199</v>
      </c>
      <c r="C1194" t="inlineStr">
        <is>
          <t>U-RH455-01-29</t>
        </is>
      </c>
      <c r="D1194" t="inlineStr">
        <is>
          <t>Rimba Heights</t>
        </is>
      </c>
      <c r="E1194" t="inlineStr">
        <is>
          <t>daniel ong</t>
        </is>
      </c>
      <c r="F1194" t="inlineStr">
        <is>
          <t>Complaint-driven</t>
        </is>
      </c>
      <c r="G1194" t="inlineStr">
        <is>
          <t>NONE</t>
        </is>
      </c>
      <c r="H1194" t="inlineStr">
        <is>
          <t>Compliant</t>
        </is>
      </c>
      <c r="I1194" s="6" t="n"/>
      <c r="J1194" s="6" t="n"/>
      <c r="K1194">
        <f>IF(J1194="","",J1194-B1194)</f>
        <v/>
      </c>
      <c r="L1194">
        <f>IF(H1194="Compliant","N/A",IF(J1194&lt;&gt;"","Closed",IF(I1194&lt;DATE(2026,9,30),"OVERDUE","Open")))</f>
        <v/>
      </c>
    </row>
    <row r="1195">
      <c r="A1195" t="inlineStr">
        <is>
          <t>INSP-2026-1194</t>
        </is>
      </c>
      <c r="B1195" s="6" t="n">
        <v>46199</v>
      </c>
      <c r="C1195" t="inlineStr">
        <is>
          <t>U-CD194-01-02</t>
        </is>
      </c>
      <c r="D1195" t="inlineStr">
        <is>
          <t>Cendana</t>
        </is>
      </c>
      <c r="E1195" t="inlineStr">
        <is>
          <t>Marcus Lim</t>
        </is>
      </c>
      <c r="F1195" t="inlineStr">
        <is>
          <t>Routine</t>
        </is>
      </c>
      <c r="G1195" t="inlineStr">
        <is>
          <t>STRUCTURAL_DEFECT</t>
        </is>
      </c>
      <c r="H1195" t="inlineStr">
        <is>
          <t>Major Breach</t>
        </is>
      </c>
      <c r="I1195" s="6" t="n">
        <v>46206</v>
      </c>
      <c r="J1195" s="6" t="n">
        <v>46216</v>
      </c>
      <c r="K1195">
        <f>IF(J1195="","",J1195-B1195)</f>
        <v/>
      </c>
      <c r="L1195">
        <f>IF(H1195="Compliant","N/A",IF(J1195&lt;&gt;"","Closed",IF(I1195&lt;DATE(2026,9,30),"OVERDUE","Open")))</f>
        <v/>
      </c>
    </row>
    <row r="1196">
      <c r="A1196" t="inlineStr">
        <is>
          <t>INSP-2026-1195</t>
        </is>
      </c>
      <c r="B1196" s="6" t="n">
        <v>46199</v>
      </c>
      <c r="C1196" t="inlineStr">
        <is>
          <t>U-BV229-01-10</t>
        </is>
      </c>
      <c r="D1196" t="inlineStr">
        <is>
          <t>Bayshore Vale</t>
        </is>
      </c>
      <c r="E1196" t="inlineStr">
        <is>
          <t>M. Lim</t>
        </is>
      </c>
      <c r="F1196" t="inlineStr">
        <is>
          <t>Complaint-driven</t>
        </is>
      </c>
      <c r="G1196" t="inlineStr">
        <is>
          <t>NONE</t>
        </is>
      </c>
      <c r="H1196" t="inlineStr">
        <is>
          <t>Compliant</t>
        </is>
      </c>
      <c r="I1196" s="6" t="n"/>
      <c r="J1196" s="6" t="n"/>
      <c r="K1196">
        <f>IF(J1196="","",J1196-B1196)</f>
        <v/>
      </c>
      <c r="L1196">
        <f>IF(H1196="Compliant","N/A",IF(J1196&lt;&gt;"","Closed",IF(I1196&lt;DATE(2026,9,30),"OVERDUE","Open")))</f>
        <v/>
      </c>
    </row>
    <row r="1197">
      <c r="A1197" t="inlineStr">
        <is>
          <t>INSP-2026-1196</t>
        </is>
      </c>
      <c r="B1197" s="6" t="n">
        <v>46199</v>
      </c>
      <c r="C1197" t="inlineStr">
        <is>
          <t>U-CD174-01-06</t>
        </is>
      </c>
      <c r="D1197" t="inlineStr">
        <is>
          <t>Cendana</t>
        </is>
      </c>
      <c r="E1197" t="inlineStr">
        <is>
          <t>Daniel Ong</t>
        </is>
      </c>
      <c r="F1197" t="inlineStr">
        <is>
          <t>Routine</t>
        </is>
      </c>
      <c r="G1197" t="inlineStr">
        <is>
          <t>DISPLAY_ENCROACH</t>
        </is>
      </c>
      <c r="H1197" t="inlineStr">
        <is>
          <t>Minor Breach</t>
        </is>
      </c>
      <c r="I1197" s="6" t="n">
        <v>46213</v>
      </c>
      <c r="J1197" s="6" t="n">
        <v>46208</v>
      </c>
      <c r="K1197">
        <f>IF(J1197="","",J1197-B1197)</f>
        <v/>
      </c>
      <c r="L1197">
        <f>IF(H1197="Compliant","N/A",IF(J1197&lt;&gt;"","Closed",IF(I1197&lt;DATE(2026,9,30),"OVERDUE","Open")))</f>
        <v/>
      </c>
    </row>
    <row r="1198">
      <c r="A1198" t="inlineStr">
        <is>
          <t>INSP-2026-1197</t>
        </is>
      </c>
      <c r="B1198" s="6" t="n">
        <v>46199</v>
      </c>
      <c r="C1198" t="inlineStr">
        <is>
          <t>U-ST522-01-05</t>
        </is>
      </c>
      <c r="D1198" t="inlineStr">
        <is>
          <t>Sungai Tinggi</t>
        </is>
      </c>
      <c r="E1198" t="inlineStr">
        <is>
          <t>Daniel O.</t>
        </is>
      </c>
      <c r="F1198" t="inlineStr">
        <is>
          <t>Routine</t>
        </is>
      </c>
      <c r="G1198" t="inlineStr">
        <is>
          <t>NONE</t>
        </is>
      </c>
      <c r="H1198" t="inlineStr">
        <is>
          <t>Compliant</t>
        </is>
      </c>
      <c r="I1198" s="6" t="n"/>
      <c r="J1198" s="6" t="n"/>
      <c r="K1198">
        <f>IF(J1198="","",J1198-B1198)</f>
        <v/>
      </c>
      <c r="L1198">
        <f>IF(H1198="Compliant","N/A",IF(J1198&lt;&gt;"","Closed",IF(I1198&lt;DATE(2026,9,30),"OVERDUE","Open")))</f>
        <v/>
      </c>
    </row>
    <row r="1199">
      <c r="A1199" t="inlineStr">
        <is>
          <t>INSP-2026-1198</t>
        </is>
      </c>
      <c r="B1199" s="6" t="n">
        <v>46199</v>
      </c>
      <c r="C1199" t="inlineStr">
        <is>
          <t>U-CD160-01-06</t>
        </is>
      </c>
      <c r="D1199" t="inlineStr">
        <is>
          <t>Cendana</t>
        </is>
      </c>
      <c r="E1199" t="inlineStr">
        <is>
          <t>Marcus Lim</t>
        </is>
      </c>
      <c r="F1199" t="inlineStr">
        <is>
          <t>Follow-up</t>
        </is>
      </c>
      <c r="G1199" t="inlineStr">
        <is>
          <t>NONE</t>
        </is>
      </c>
      <c r="H1199" t="inlineStr">
        <is>
          <t>Compliant</t>
        </is>
      </c>
      <c r="I1199" s="6" t="n"/>
      <c r="J1199" s="6" t="n"/>
      <c r="K1199">
        <f>IF(J1199="","",J1199-B1199)</f>
        <v/>
      </c>
      <c r="L1199">
        <f>IF(H1199="Compliant","N/A",IF(J1199&lt;&gt;"","Closed",IF(I1199&lt;DATE(2026,9,30),"OVERDUE","Open")))</f>
        <v/>
      </c>
    </row>
    <row r="1200">
      <c r="A1200" t="inlineStr">
        <is>
          <t>INSP-2026-1199</t>
        </is>
      </c>
      <c r="B1200" s="6" t="n">
        <v>46200</v>
      </c>
      <c r="C1200" t="inlineStr">
        <is>
          <t>U-RH450-02-06</t>
        </is>
      </c>
      <c r="D1200" t="inlineStr">
        <is>
          <t>Rimba Heights</t>
        </is>
      </c>
      <c r="E1200" t="inlineStr">
        <is>
          <t>daniel ong</t>
        </is>
      </c>
      <c r="F1200" t="inlineStr">
        <is>
          <t>Follow-up</t>
        </is>
      </c>
      <c r="G1200" t="inlineStr">
        <is>
          <t>NONE</t>
        </is>
      </c>
      <c r="H1200" t="inlineStr">
        <is>
          <t>Compliant</t>
        </is>
      </c>
      <c r="I1200" s="6" t="n"/>
      <c r="J1200" s="6" t="n"/>
      <c r="K1200">
        <f>IF(J1200="","",J1200-B1200)</f>
        <v/>
      </c>
      <c r="L1200">
        <f>IF(H1200="Compliant","N/A",IF(J1200&lt;&gt;"","Closed",IF(I1200&lt;DATE(2026,9,30),"OVERDUE","Open")))</f>
        <v/>
      </c>
    </row>
    <row r="1201">
      <c r="A1201" t="inlineStr">
        <is>
          <t>INSP-2026-1200</t>
        </is>
      </c>
      <c r="B1201" s="6" t="n">
        <v>46200</v>
      </c>
      <c r="C1201" t="inlineStr">
        <is>
          <t>U-RH464-01-04</t>
        </is>
      </c>
      <c r="D1201" t="inlineStr">
        <is>
          <t>Rimba Heights</t>
        </is>
      </c>
      <c r="E1201" t="inlineStr">
        <is>
          <t>D. Ong</t>
        </is>
      </c>
      <c r="F1201" t="inlineStr">
        <is>
          <t>Complaint-driven</t>
        </is>
      </c>
      <c r="G1201" t="inlineStr">
        <is>
          <t>NONE</t>
        </is>
      </c>
      <c r="H1201" t="inlineStr">
        <is>
          <t>Compliant</t>
        </is>
      </c>
      <c r="I1201" s="6" t="n"/>
      <c r="J1201" s="6" t="n"/>
      <c r="K1201">
        <f>IF(J1201="","",J1201-B1201)</f>
        <v/>
      </c>
      <c r="L1201">
        <f>IF(H1201="Compliant","N/A",IF(J1201&lt;&gt;"","Closed",IF(I1201&lt;DATE(2026,9,30),"OVERDUE","Open")))</f>
        <v/>
      </c>
    </row>
    <row r="1202">
      <c r="A1202" t="inlineStr">
        <is>
          <t>INSP-2026-1201</t>
        </is>
      </c>
      <c r="B1202" s="6" t="n">
        <v>46200</v>
      </c>
      <c r="C1202" t="inlineStr">
        <is>
          <t>U-BV212-01-12</t>
        </is>
      </c>
      <c r="D1202" t="inlineStr">
        <is>
          <t>Bayshore Vale</t>
        </is>
      </c>
      <c r="E1202" t="inlineStr">
        <is>
          <t>M. Lim</t>
        </is>
      </c>
      <c r="F1202" t="inlineStr">
        <is>
          <t>Routine</t>
        </is>
      </c>
      <c r="G1202" t="inlineStr">
        <is>
          <t>NONE</t>
        </is>
      </c>
      <c r="H1202" t="inlineStr">
        <is>
          <t>Compliant</t>
        </is>
      </c>
      <c r="I1202" s="6" t="n"/>
      <c r="J1202" s="6" t="n"/>
      <c r="K1202">
        <f>IF(J1202="","",J1202-B1202)</f>
        <v/>
      </c>
      <c r="L1202">
        <f>IF(H1202="Compliant","N/A",IF(J1202&lt;&gt;"","Closed",IF(I1202&lt;DATE(2026,9,30),"OVERDUE","Open")))</f>
        <v/>
      </c>
    </row>
    <row r="1203">
      <c r="A1203" t="inlineStr">
        <is>
          <t>INSP-2026-1202</t>
        </is>
      </c>
      <c r="B1203" s="6" t="n">
        <v>46200</v>
      </c>
      <c r="C1203" t="inlineStr">
        <is>
          <t>U-RH455-01-29</t>
        </is>
      </c>
      <c r="D1203" t="inlineStr">
        <is>
          <t>Rimba Heights</t>
        </is>
      </c>
      <c r="E1203" t="inlineStr">
        <is>
          <t>daniel ong</t>
        </is>
      </c>
      <c r="F1203" t="inlineStr">
        <is>
          <t>Routine</t>
        </is>
      </c>
      <c r="G1203" t="inlineStr">
        <is>
          <t>NONE</t>
        </is>
      </c>
      <c r="H1203" t="inlineStr">
        <is>
          <t>Compliant</t>
        </is>
      </c>
      <c r="I1203" s="6" t="n"/>
      <c r="J1203" s="6" t="n"/>
      <c r="K1203">
        <f>IF(J1203="","",J1203-B1203)</f>
        <v/>
      </c>
      <c r="L1203">
        <f>IF(H1203="Compliant","N/A",IF(J1203&lt;&gt;"","Closed",IF(I1203&lt;DATE(2026,9,30),"OVERDUE","Open")))</f>
        <v/>
      </c>
    </row>
    <row r="1204">
      <c r="A1204" t="inlineStr">
        <is>
          <t>INSP-2026-1203</t>
        </is>
      </c>
      <c r="B1204" s="6" t="n">
        <v>46200</v>
      </c>
      <c r="C1204" t="inlineStr">
        <is>
          <t>U-ST506-01-02</t>
        </is>
      </c>
      <c r="D1204" t="inlineStr">
        <is>
          <t>Sungai Tinggi</t>
        </is>
      </c>
      <c r="E1204" t="inlineStr">
        <is>
          <t>B. Ho</t>
        </is>
      </c>
      <c r="F1204" t="inlineStr">
        <is>
          <t>Complaint-driven</t>
        </is>
      </c>
      <c r="G1204" t="inlineStr">
        <is>
          <t>HYGIENE</t>
        </is>
      </c>
      <c r="H1204" t="inlineStr">
        <is>
          <t>Minor Breach</t>
        </is>
      </c>
      <c r="I1204" s="6" t="n">
        <v>46214</v>
      </c>
      <c r="J1204" s="6" t="n">
        <v>46215</v>
      </c>
      <c r="K1204">
        <f>IF(J1204="","",J1204-B1204)</f>
        <v/>
      </c>
      <c r="L1204">
        <f>IF(H1204="Compliant","N/A",IF(J1204&lt;&gt;"","Closed",IF(I1204&lt;DATE(2026,9,30),"OVERDUE","Open")))</f>
        <v/>
      </c>
    </row>
    <row r="1205">
      <c r="A1205" t="inlineStr">
        <is>
          <t>INSP-2026-1204</t>
        </is>
      </c>
      <c r="B1205" s="6" t="n">
        <v>46200</v>
      </c>
      <c r="C1205" t="inlineStr">
        <is>
          <t>U-PI627-01-26</t>
        </is>
      </c>
      <c r="D1205" t="inlineStr">
        <is>
          <t>Pasir Indah</t>
        </is>
      </c>
      <c r="E1205" t="inlineStr">
        <is>
          <t>Marcus Lim</t>
        </is>
      </c>
      <c r="F1205" t="inlineStr">
        <is>
          <t>Routine</t>
        </is>
      </c>
      <c r="G1205" t="inlineStr">
        <is>
          <t>NONE</t>
        </is>
      </c>
      <c r="H1205" t="inlineStr">
        <is>
          <t>Compliant</t>
        </is>
      </c>
      <c r="I1205" s="6" t="n"/>
      <c r="J1205" s="6" t="n"/>
      <c r="K1205">
        <f>IF(J1205="","",J1205-B1205)</f>
        <v/>
      </c>
      <c r="L1205">
        <f>IF(H1205="Compliant","N/A",IF(J1205&lt;&gt;"","Closed",IF(I1205&lt;DATE(2026,9,30),"OVERDUE","Open")))</f>
        <v/>
      </c>
    </row>
    <row r="1206">
      <c r="A1206" t="inlineStr">
        <is>
          <t>INSP-2026-1205</t>
        </is>
      </c>
      <c r="B1206" s="6" t="n">
        <v>46200</v>
      </c>
      <c r="C1206" t="inlineStr">
        <is>
          <t>U-KR385-01-01</t>
        </is>
      </c>
      <c r="D1206" t="inlineStr">
        <is>
          <t>Kebun Raya</t>
        </is>
      </c>
      <c r="E1206" t="inlineStr">
        <is>
          <t>Ben Ho</t>
        </is>
      </c>
      <c r="F1206" t="inlineStr">
        <is>
          <t>Follow-up</t>
        </is>
      </c>
      <c r="G1206" t="inlineStr">
        <is>
          <t>NONE</t>
        </is>
      </c>
      <c r="H1206" t="inlineStr">
        <is>
          <t>Compliant</t>
        </is>
      </c>
      <c r="I1206" s="6" t="n"/>
      <c r="J1206" s="6" t="n"/>
      <c r="K1206">
        <f>IF(J1206="","",J1206-B1206)</f>
        <v/>
      </c>
      <c r="L1206">
        <f>IF(H1206="Compliant","N/A",IF(J1206&lt;&gt;"","Closed",IF(I1206&lt;DATE(2026,9,30),"OVERDUE","Open")))</f>
        <v/>
      </c>
    </row>
    <row r="1207">
      <c r="A1207" t="inlineStr">
        <is>
          <t>INSP-2026-1206</t>
        </is>
      </c>
      <c r="B1207" s="6" t="n">
        <v>46201</v>
      </c>
      <c r="C1207" t="inlineStr">
        <is>
          <t>U-KR335-01-11</t>
        </is>
      </c>
      <c r="D1207" t="inlineStr">
        <is>
          <t>Kebun Raya</t>
        </is>
      </c>
      <c r="E1207" t="inlineStr">
        <is>
          <t>Ben Ho</t>
        </is>
      </c>
      <c r="F1207" t="inlineStr">
        <is>
          <t>Routine</t>
        </is>
      </c>
      <c r="G1207" t="inlineStr">
        <is>
          <t>NONE</t>
        </is>
      </c>
      <c r="H1207" t="inlineStr">
        <is>
          <t>Compliant</t>
        </is>
      </c>
      <c r="I1207" s="6" t="n"/>
      <c r="J1207" s="6" t="n"/>
      <c r="K1207">
        <f>IF(J1207="","",J1207-B1207)</f>
        <v/>
      </c>
      <c r="L1207">
        <f>IF(H1207="Compliant","N/A",IF(J1207&lt;&gt;"","Closed",IF(I1207&lt;DATE(2026,9,30),"OVERDUE","Open")))</f>
        <v/>
      </c>
    </row>
    <row r="1208">
      <c r="A1208" t="inlineStr">
        <is>
          <t>INSP-2026-1207</t>
        </is>
      </c>
      <c r="B1208" s="6" t="n">
        <v>46201</v>
      </c>
      <c r="C1208" t="inlineStr">
        <is>
          <t>U-RH464-01-02</t>
        </is>
      </c>
      <c r="D1208" t="inlineStr">
        <is>
          <t>Rimba Heights</t>
        </is>
      </c>
      <c r="E1208" t="inlineStr">
        <is>
          <t>daniel ong</t>
        </is>
      </c>
      <c r="F1208" t="inlineStr">
        <is>
          <t>Routine</t>
        </is>
      </c>
      <c r="G1208" t="inlineStr">
        <is>
          <t>NONE</t>
        </is>
      </c>
      <c r="H1208" t="inlineStr">
        <is>
          <t>Compliant</t>
        </is>
      </c>
      <c r="I1208" s="6" t="n"/>
      <c r="J1208" s="6" t="n"/>
      <c r="K1208">
        <f>IF(J1208="","",J1208-B1208)</f>
        <v/>
      </c>
      <c r="L1208">
        <f>IF(H1208="Compliant","N/A",IF(J1208&lt;&gt;"","Closed",IF(I1208&lt;DATE(2026,9,30),"OVERDUE","Open")))</f>
        <v/>
      </c>
    </row>
    <row r="1209">
      <c r="A1209" t="inlineStr">
        <is>
          <t>INSP-2026-1208</t>
        </is>
      </c>
      <c r="B1209" s="6" t="n">
        <v>46201</v>
      </c>
      <c r="C1209" t="inlineStr">
        <is>
          <t>U-PI667-01-09</t>
        </is>
      </c>
      <c r="D1209" t="inlineStr">
        <is>
          <t>Pasir Indah</t>
        </is>
      </c>
      <c r="E1209" t="inlineStr">
        <is>
          <t>Daniel O.</t>
        </is>
      </c>
      <c r="F1209" t="inlineStr">
        <is>
          <t>Complaint-driven</t>
        </is>
      </c>
      <c r="G1209" t="inlineStr">
        <is>
          <t>NONE</t>
        </is>
      </c>
      <c r="H1209" t="inlineStr">
        <is>
          <t>Compliant</t>
        </is>
      </c>
      <c r="I1209" s="6" t="n"/>
      <c r="J1209" s="6" t="n"/>
      <c r="K1209">
        <f>IF(J1209="","",J1209-B1209)</f>
        <v/>
      </c>
      <c r="L1209">
        <f>IF(H1209="Compliant","N/A",IF(J1209&lt;&gt;"","Closed",IF(I1209&lt;DATE(2026,9,30),"OVERDUE","Open")))</f>
        <v/>
      </c>
    </row>
    <row r="1210">
      <c r="A1210" t="inlineStr">
        <is>
          <t>INSP-2026-1209</t>
        </is>
      </c>
      <c r="B1210" s="6" t="n">
        <v>46201</v>
      </c>
      <c r="C1210" t="inlineStr">
        <is>
          <t>U-ST596-01-02</t>
        </is>
      </c>
      <c r="D1210" t="inlineStr">
        <is>
          <t>Sungai Tinggi</t>
        </is>
      </c>
      <c r="E1210" t="inlineStr">
        <is>
          <t>D. Ong</t>
        </is>
      </c>
      <c r="F1210" t="inlineStr">
        <is>
          <t>Routine</t>
        </is>
      </c>
      <c r="G1210" t="inlineStr">
        <is>
          <t>DISPLAY_ENCROACH</t>
        </is>
      </c>
      <c r="H1210" t="inlineStr">
        <is>
          <t>Minor Breach</t>
        </is>
      </c>
      <c r="I1210" s="6" t="n">
        <v>46215</v>
      </c>
      <c r="J1210" s="6" t="n">
        <v>46218</v>
      </c>
      <c r="K1210">
        <f>IF(J1210="","",J1210-B1210)</f>
        <v/>
      </c>
      <c r="L1210">
        <f>IF(H1210="Compliant","N/A",IF(J1210&lt;&gt;"","Closed",IF(I1210&lt;DATE(2026,9,30),"OVERDUE","Open")))</f>
        <v/>
      </c>
    </row>
    <row r="1211">
      <c r="A1211" t="inlineStr">
        <is>
          <t>INSP-2026-1210</t>
        </is>
      </c>
      <c r="B1211" s="6" t="n">
        <v>46201</v>
      </c>
      <c r="C1211" t="inlineStr">
        <is>
          <t>U-RH466-01-07</t>
        </is>
      </c>
      <c r="D1211" t="inlineStr">
        <is>
          <t>Rimba Heights</t>
        </is>
      </c>
      <c r="E1211" t="inlineStr">
        <is>
          <t>Ben Ho</t>
        </is>
      </c>
      <c r="F1211" t="inlineStr">
        <is>
          <t>Complaint-driven</t>
        </is>
      </c>
      <c r="G1211" t="inlineStr">
        <is>
          <t>NONE</t>
        </is>
      </c>
      <c r="H1211" t="inlineStr">
        <is>
          <t>Compliant</t>
        </is>
      </c>
      <c r="I1211" s="6" t="n"/>
      <c r="J1211" s="6" t="n"/>
      <c r="K1211">
        <f>IF(J1211="","",J1211-B1211)</f>
        <v/>
      </c>
      <c r="L1211">
        <f>IF(H1211="Compliant","N/A",IF(J1211&lt;&gt;"","Closed",IF(I1211&lt;DATE(2026,9,30),"OVERDUE","Open")))</f>
        <v/>
      </c>
    </row>
    <row r="1212">
      <c r="A1212" t="inlineStr">
        <is>
          <t>INSP-2026-1211</t>
        </is>
      </c>
      <c r="B1212" s="6" t="n">
        <v>46202</v>
      </c>
      <c r="C1212" t="inlineStr">
        <is>
          <t>U-BV237-01-08</t>
        </is>
      </c>
      <c r="D1212" t="inlineStr">
        <is>
          <t>Bayshore Vale</t>
        </is>
      </c>
      <c r="E1212" t="inlineStr">
        <is>
          <t>M. Lim</t>
        </is>
      </c>
      <c r="F1212" t="inlineStr">
        <is>
          <t>Complaint-driven</t>
        </is>
      </c>
      <c r="G1212" t="inlineStr">
        <is>
          <t>DISPLAY_ENCROACH</t>
        </is>
      </c>
      <c r="H1212" t="inlineStr">
        <is>
          <t>Minor Breach</t>
        </is>
      </c>
      <c r="I1212" s="6" t="n">
        <v>46216</v>
      </c>
      <c r="J1212" s="6" t="n">
        <v>46224</v>
      </c>
      <c r="K1212">
        <f>IF(J1212="","",J1212-B1212)</f>
        <v/>
      </c>
      <c r="L1212">
        <f>IF(H1212="Compliant","N/A",IF(J1212&lt;&gt;"","Closed",IF(I1212&lt;DATE(2026,9,30),"OVERDUE","Open")))</f>
        <v/>
      </c>
    </row>
    <row r="1213">
      <c r="A1213" t="inlineStr">
        <is>
          <t>INSP-2026-1212</t>
        </is>
      </c>
      <c r="B1213" s="6" t="n">
        <v>46202</v>
      </c>
      <c r="C1213" t="inlineStr">
        <is>
          <t>U-PI626-01-12</t>
        </is>
      </c>
      <c r="D1213" t="inlineStr">
        <is>
          <t>Pasir Indah</t>
        </is>
      </c>
      <c r="E1213" t="inlineStr">
        <is>
          <t>Daniel O.</t>
        </is>
      </c>
      <c r="F1213" t="inlineStr">
        <is>
          <t>Complaint-driven</t>
        </is>
      </c>
      <c r="G1213" t="inlineStr">
        <is>
          <t>UNAPPROVED_AA</t>
        </is>
      </c>
      <c r="H1213" t="inlineStr">
        <is>
          <t>Minor Breach</t>
        </is>
      </c>
      <c r="I1213" s="6" t="n">
        <v>46216</v>
      </c>
      <c r="J1213" s="6" t="n">
        <v>46216</v>
      </c>
      <c r="K1213">
        <f>IF(J1213="","",J1213-B1213)</f>
        <v/>
      </c>
      <c r="L1213">
        <f>IF(H1213="Compliant","N/A",IF(J1213&lt;&gt;"","Closed",IF(I1213&lt;DATE(2026,9,30),"OVERDUE","Open")))</f>
        <v/>
      </c>
    </row>
    <row r="1214">
      <c r="A1214" t="inlineStr">
        <is>
          <t>INSP-2026-1213</t>
        </is>
      </c>
      <c r="B1214" s="6" t="n">
        <v>46202</v>
      </c>
      <c r="C1214" t="inlineStr">
        <is>
          <t>U-BV214-01-13</t>
        </is>
      </c>
      <c r="D1214" t="inlineStr">
        <is>
          <t>Bayshore Vale</t>
        </is>
      </c>
      <c r="E1214" t="inlineStr">
        <is>
          <t>marcus</t>
        </is>
      </c>
      <c r="F1214" t="inlineStr">
        <is>
          <t>Routine</t>
        </is>
      </c>
      <c r="G1214" t="inlineStr">
        <is>
          <t>NONE</t>
        </is>
      </c>
      <c r="H1214" t="inlineStr">
        <is>
          <t>Compliant</t>
        </is>
      </c>
      <c r="I1214" s="6" t="n"/>
      <c r="J1214" s="6" t="n"/>
      <c r="K1214">
        <f>IF(J1214="","",J1214-B1214)</f>
        <v/>
      </c>
      <c r="L1214">
        <f>IF(H1214="Compliant","N/A",IF(J1214&lt;&gt;"","Closed",IF(I1214&lt;DATE(2026,9,30),"OVERDUE","Open")))</f>
        <v/>
      </c>
    </row>
    <row r="1215">
      <c r="A1215" t="inlineStr">
        <is>
          <t>INSP-2026-1214</t>
        </is>
      </c>
      <c r="B1215" s="6" t="n">
        <v>46202</v>
      </c>
      <c r="C1215" t="inlineStr">
        <is>
          <t>U-CD189-02-01</t>
        </is>
      </c>
      <c r="D1215" t="inlineStr">
        <is>
          <t>Cendana</t>
        </is>
      </c>
      <c r="E1215" t="inlineStr">
        <is>
          <t>Marcus Lim</t>
        </is>
      </c>
      <c r="F1215" t="inlineStr">
        <is>
          <t>Follow-up</t>
        </is>
      </c>
      <c r="G1215" t="inlineStr">
        <is>
          <t>NONE</t>
        </is>
      </c>
      <c r="H1215" t="inlineStr">
        <is>
          <t>Compliant</t>
        </is>
      </c>
      <c r="I1215" s="6" t="n"/>
      <c r="J1215" s="6" t="n"/>
      <c r="K1215">
        <f>IF(J1215="","",J1215-B1215)</f>
        <v/>
      </c>
      <c r="L1215">
        <f>IF(H1215="Compliant","N/A",IF(J1215&lt;&gt;"","Closed",IF(I1215&lt;DATE(2026,9,30),"OVERDUE","Open")))</f>
        <v/>
      </c>
    </row>
    <row r="1216">
      <c r="A1216" t="inlineStr">
        <is>
          <t>INSP-2026-1215</t>
        </is>
      </c>
      <c r="B1216" s="6" t="n">
        <v>46202</v>
      </c>
      <c r="C1216" t="inlineStr">
        <is>
          <t>U-ST528-02-01</t>
        </is>
      </c>
      <c r="D1216" t="inlineStr">
        <is>
          <t>Sungai Tinggi</t>
        </is>
      </c>
      <c r="E1216" t="inlineStr">
        <is>
          <t>D. Ong</t>
        </is>
      </c>
      <c r="F1216" t="inlineStr">
        <is>
          <t>Routine</t>
        </is>
      </c>
      <c r="G1216" t="inlineStr">
        <is>
          <t>NONE</t>
        </is>
      </c>
      <c r="H1216" t="inlineStr">
        <is>
          <t>Compliant</t>
        </is>
      </c>
      <c r="I1216" s="6" t="n"/>
      <c r="J1216" s="6" t="n"/>
      <c r="K1216">
        <f>IF(J1216="","",J1216-B1216)</f>
        <v/>
      </c>
      <c r="L1216">
        <f>IF(H1216="Compliant","N/A",IF(J1216&lt;&gt;"","Closed",IF(I1216&lt;DATE(2026,9,30),"OVERDUE","Open")))</f>
        <v/>
      </c>
    </row>
    <row r="1217">
      <c r="A1217" t="inlineStr">
        <is>
          <t>INSP-2026-1216</t>
        </is>
      </c>
      <c r="B1217" s="6" t="n">
        <v>46203</v>
      </c>
      <c r="C1217" t="inlineStr">
        <is>
          <t>U-ST564-02-07</t>
        </is>
      </c>
      <c r="D1217" t="inlineStr">
        <is>
          <t>Sungai Tinggi</t>
        </is>
      </c>
      <c r="E1217" t="inlineStr">
        <is>
          <t>daniel ong</t>
        </is>
      </c>
      <c r="F1217" t="inlineStr">
        <is>
          <t>Routine</t>
        </is>
      </c>
      <c r="G1217" t="inlineStr">
        <is>
          <t>NONE</t>
        </is>
      </c>
      <c r="H1217" t="inlineStr">
        <is>
          <t>Compliant</t>
        </is>
      </c>
      <c r="I1217" s="6" t="n"/>
      <c r="J1217" s="6" t="n"/>
      <c r="K1217">
        <f>IF(J1217="","",J1217-B1217)</f>
        <v/>
      </c>
      <c r="L1217">
        <f>IF(H1217="Compliant","N/A",IF(J1217&lt;&gt;"","Closed",IF(I1217&lt;DATE(2026,9,30),"OVERDUE","Open")))</f>
        <v/>
      </c>
    </row>
    <row r="1218">
      <c r="A1218" t="inlineStr">
        <is>
          <t>INSP-2026-1217</t>
        </is>
      </c>
      <c r="B1218" s="6" t="n">
        <v>46203</v>
      </c>
      <c r="C1218" t="inlineStr">
        <is>
          <t>U-CD109-01-03</t>
        </is>
      </c>
      <c r="D1218" t="inlineStr">
        <is>
          <t>Cendana</t>
        </is>
      </c>
      <c r="E1218" t="inlineStr">
        <is>
          <t>Marcus Lim</t>
        </is>
      </c>
      <c r="F1218" t="inlineStr">
        <is>
          <t>Follow-up</t>
        </is>
      </c>
      <c r="G1218" t="inlineStr">
        <is>
          <t>NONE</t>
        </is>
      </c>
      <c r="H1218" t="inlineStr">
        <is>
          <t>Compliant</t>
        </is>
      </c>
      <c r="I1218" s="6" t="n"/>
      <c r="J1218" s="6" t="n"/>
      <c r="K1218">
        <f>IF(J1218="","",J1218-B1218)</f>
        <v/>
      </c>
      <c r="L1218">
        <f>IF(H1218="Compliant","N/A",IF(J1218&lt;&gt;"","Closed",IF(I1218&lt;DATE(2026,9,30),"OVERDUE","Open")))</f>
        <v/>
      </c>
    </row>
    <row r="1219">
      <c r="A1219" t="inlineStr">
        <is>
          <t>INSP-2026-1218</t>
        </is>
      </c>
      <c r="B1219" s="6" t="n">
        <v>46203</v>
      </c>
      <c r="C1219" t="inlineStr">
        <is>
          <t>U-ST583-01-04</t>
        </is>
      </c>
      <c r="D1219" t="inlineStr">
        <is>
          <t>Sungai Tinggi</t>
        </is>
      </c>
      <c r="E1219" t="inlineStr">
        <is>
          <t>D. Ong</t>
        </is>
      </c>
      <c r="F1219" t="inlineStr">
        <is>
          <t>Routine</t>
        </is>
      </c>
      <c r="G1219" t="inlineStr">
        <is>
          <t>NONE</t>
        </is>
      </c>
      <c r="H1219" t="inlineStr">
        <is>
          <t>Compliant</t>
        </is>
      </c>
      <c r="I1219" s="6" t="n"/>
      <c r="J1219" s="6" t="n"/>
      <c r="K1219">
        <f>IF(J1219="","",J1219-B1219)</f>
        <v/>
      </c>
      <c r="L1219">
        <f>IF(H1219="Compliant","N/A",IF(J1219&lt;&gt;"","Closed",IF(I1219&lt;DATE(2026,9,30),"OVERDUE","Open")))</f>
        <v/>
      </c>
    </row>
    <row r="1220">
      <c r="A1220" t="inlineStr">
        <is>
          <t>INSP-2026-1219</t>
        </is>
      </c>
      <c r="B1220" s="6" t="n">
        <v>46203</v>
      </c>
      <c r="C1220" t="inlineStr">
        <is>
          <t>U-BV266-01-06</t>
        </is>
      </c>
      <c r="D1220" t="inlineStr">
        <is>
          <t>Bayshore Vale</t>
        </is>
      </c>
      <c r="E1220" t="inlineStr">
        <is>
          <t>M. Lim</t>
        </is>
      </c>
      <c r="F1220" t="inlineStr">
        <is>
          <t>Routine</t>
        </is>
      </c>
      <c r="G1220" t="inlineStr">
        <is>
          <t>NONE</t>
        </is>
      </c>
      <c r="H1220" t="inlineStr">
        <is>
          <t>Compliant</t>
        </is>
      </c>
      <c r="I1220" s="6" t="n"/>
      <c r="J1220" s="6" t="n"/>
      <c r="K1220">
        <f>IF(J1220="","",J1220-B1220)</f>
        <v/>
      </c>
      <c r="L1220">
        <f>IF(H1220="Compliant","N/A",IF(J1220&lt;&gt;"","Closed",IF(I1220&lt;DATE(2026,9,30),"OVERDUE","Open")))</f>
        <v/>
      </c>
    </row>
    <row r="1221">
      <c r="A1221" t="inlineStr">
        <is>
          <t>INSP-2026-1220</t>
        </is>
      </c>
      <c r="B1221" s="6" t="n">
        <v>46203</v>
      </c>
      <c r="C1221" t="inlineStr">
        <is>
          <t>U-RH476-01-01</t>
        </is>
      </c>
      <c r="D1221" t="inlineStr">
        <is>
          <t>Rimba Heights</t>
        </is>
      </c>
      <c r="E1221" t="inlineStr">
        <is>
          <t>Ben Ho</t>
        </is>
      </c>
      <c r="F1221" t="inlineStr">
        <is>
          <t>Routine</t>
        </is>
      </c>
      <c r="G1221" t="inlineStr">
        <is>
          <t>HYGIENE</t>
        </is>
      </c>
      <c r="H1221" t="inlineStr">
        <is>
          <t>Minor Breach</t>
        </is>
      </c>
      <c r="I1221" s="6" t="n">
        <v>46217</v>
      </c>
      <c r="J1221" s="6" t="n">
        <v>46222</v>
      </c>
      <c r="K1221">
        <f>IF(J1221="","",J1221-B1221)</f>
        <v/>
      </c>
      <c r="L1221">
        <f>IF(H1221="Compliant","N/A",IF(J1221&lt;&gt;"","Closed",IF(I1221&lt;DATE(2026,9,30),"OVERDUE","Open")))</f>
        <v/>
      </c>
    </row>
    <row r="1222">
      <c r="A1222" t="inlineStr">
        <is>
          <t>INSP-2026-1221</t>
        </is>
      </c>
      <c r="B1222" s="6" t="n">
        <v>46203</v>
      </c>
      <c r="C1222" t="inlineStr">
        <is>
          <t>U-PI627-01-30</t>
        </is>
      </c>
      <c r="D1222" t="inlineStr">
        <is>
          <t>Pasir Indah</t>
        </is>
      </c>
      <c r="E1222" t="inlineStr">
        <is>
          <t>M. Lim</t>
        </is>
      </c>
      <c r="F1222" t="inlineStr">
        <is>
          <t>Complaint-driven</t>
        </is>
      </c>
      <c r="G1222" t="inlineStr">
        <is>
          <t>NONE</t>
        </is>
      </c>
      <c r="H1222" t="inlineStr">
        <is>
          <t>Compliant</t>
        </is>
      </c>
      <c r="I1222" s="6" t="n"/>
      <c r="J1222" s="6" t="n"/>
      <c r="K1222">
        <f>IF(J1222="","",J1222-B1222)</f>
        <v/>
      </c>
      <c r="L1222">
        <f>IF(H1222="Compliant","N/A",IF(J1222&lt;&gt;"","Closed",IF(I1222&lt;DATE(2026,9,30),"OVERDUE","Open")))</f>
        <v/>
      </c>
    </row>
    <row r="1223">
      <c r="A1223" t="inlineStr">
        <is>
          <t>INSP-2026-1222</t>
        </is>
      </c>
      <c r="B1223" s="6" t="n">
        <v>46203</v>
      </c>
      <c r="C1223" t="inlineStr">
        <is>
          <t>U-RH460-01-13</t>
        </is>
      </c>
      <c r="D1223" t="inlineStr">
        <is>
          <t>Rimba Heights</t>
        </is>
      </c>
      <c r="E1223" t="inlineStr">
        <is>
          <t>daniel ong</t>
        </is>
      </c>
      <c r="F1223" t="inlineStr">
        <is>
          <t>Routine</t>
        </is>
      </c>
      <c r="G1223" t="inlineStr">
        <is>
          <t>HYGIENE</t>
        </is>
      </c>
      <c r="H1223" t="inlineStr">
        <is>
          <t>Minor Breach</t>
        </is>
      </c>
      <c r="I1223" s="6" t="n">
        <v>46217</v>
      </c>
      <c r="J1223" s="6" t="n">
        <v>46214</v>
      </c>
      <c r="K1223">
        <f>IF(J1223="","",J1223-B1223)</f>
        <v/>
      </c>
      <c r="L1223">
        <f>IF(H1223="Compliant","N/A",IF(J1223&lt;&gt;"","Closed",IF(I1223&lt;DATE(2026,9,30),"OVERDUE","Open")))</f>
        <v/>
      </c>
    </row>
    <row r="1224">
      <c r="A1224" t="inlineStr">
        <is>
          <t>INSP-2026-1223</t>
        </is>
      </c>
      <c r="B1224" s="6" t="n">
        <v>46203</v>
      </c>
      <c r="C1224" t="inlineStr">
        <is>
          <t>U-PI615-01-03</t>
        </is>
      </c>
      <c r="D1224" t="inlineStr">
        <is>
          <t>Pasir Indah</t>
        </is>
      </c>
      <c r="E1224" t="inlineStr">
        <is>
          <t>Daniel Ong</t>
        </is>
      </c>
      <c r="F1224" t="inlineStr">
        <is>
          <t>Routine</t>
        </is>
      </c>
      <c r="G1224" t="inlineStr">
        <is>
          <t>NONE</t>
        </is>
      </c>
      <c r="H1224" t="inlineStr">
        <is>
          <t>Compliant</t>
        </is>
      </c>
      <c r="I1224" s="6" t="n"/>
      <c r="J1224" s="6" t="n"/>
      <c r="K1224">
        <f>IF(J1224="","",J1224-B1224)</f>
        <v/>
      </c>
      <c r="L1224">
        <f>IF(H1224="Compliant","N/A",IF(J1224&lt;&gt;"","Closed",IF(I1224&lt;DATE(2026,9,30),"OVERDUE","Open")))</f>
        <v/>
      </c>
    </row>
    <row r="1225">
      <c r="A1225" t="inlineStr">
        <is>
          <t>INSP-2026-1224</t>
        </is>
      </c>
      <c r="B1225" s="6" t="n">
        <v>46204</v>
      </c>
      <c r="C1225" t="inlineStr">
        <is>
          <t>U-PI615-01-08</t>
        </is>
      </c>
      <c r="D1225" t="inlineStr">
        <is>
          <t>Pasir Indah</t>
        </is>
      </c>
      <c r="E1225" t="inlineStr">
        <is>
          <t>D. Ong</t>
        </is>
      </c>
      <c r="F1225" t="inlineStr">
        <is>
          <t>Routine</t>
        </is>
      </c>
      <c r="G1225" t="inlineStr">
        <is>
          <t>NONE</t>
        </is>
      </c>
      <c r="H1225" t="inlineStr">
        <is>
          <t>Compliant</t>
        </is>
      </c>
      <c r="I1225" s="6" t="n"/>
      <c r="J1225" s="6" t="n"/>
      <c r="K1225">
        <f>IF(J1225="","",J1225-B1225)</f>
        <v/>
      </c>
      <c r="L1225">
        <f>IF(H1225="Compliant","N/A",IF(J1225&lt;&gt;"","Closed",IF(I1225&lt;DATE(2026,9,30),"OVERDUE","Open")))</f>
        <v/>
      </c>
    </row>
    <row r="1226">
      <c r="A1226" t="inlineStr">
        <is>
          <t>INSP-2026-1225</t>
        </is>
      </c>
      <c r="B1226" s="6" t="n">
        <v>46204</v>
      </c>
      <c r="C1226" t="inlineStr">
        <is>
          <t>U-BV271-01-03</t>
        </is>
      </c>
      <c r="D1226" t="inlineStr">
        <is>
          <t>Bayshore Vale</t>
        </is>
      </c>
      <c r="E1226" t="inlineStr">
        <is>
          <t>Daniel Ong</t>
        </is>
      </c>
      <c r="F1226" t="inlineStr">
        <is>
          <t>Routine</t>
        </is>
      </c>
      <c r="G1226" t="inlineStr">
        <is>
          <t>NONE</t>
        </is>
      </c>
      <c r="H1226" t="inlineStr">
        <is>
          <t>Compliant</t>
        </is>
      </c>
      <c r="I1226" s="6" t="n"/>
      <c r="J1226" s="6" t="n"/>
      <c r="K1226">
        <f>IF(J1226="","",J1226-B1226)</f>
        <v/>
      </c>
      <c r="L1226">
        <f>IF(H1226="Compliant","N/A",IF(J1226&lt;&gt;"","Closed",IF(I1226&lt;DATE(2026,9,30),"OVERDUE","Open")))</f>
        <v/>
      </c>
    </row>
    <row r="1227">
      <c r="A1227" t="inlineStr">
        <is>
          <t>INSP-2026-1226</t>
        </is>
      </c>
      <c r="B1227" s="6" t="n">
        <v>46204</v>
      </c>
      <c r="C1227" t="inlineStr">
        <is>
          <t>U-ST544-01-05</t>
        </is>
      </c>
      <c r="D1227" t="inlineStr">
        <is>
          <t>Sungai Tinggi</t>
        </is>
      </c>
      <c r="E1227" t="inlineStr">
        <is>
          <t>D. Ong</t>
        </is>
      </c>
      <c r="F1227" t="inlineStr">
        <is>
          <t>Routine</t>
        </is>
      </c>
      <c r="G1227" t="inlineStr">
        <is>
          <t>NONE</t>
        </is>
      </c>
      <c r="H1227" t="inlineStr">
        <is>
          <t>Compliant</t>
        </is>
      </c>
      <c r="I1227" s="6" t="n"/>
      <c r="J1227" s="6" t="n"/>
      <c r="K1227">
        <f>IF(J1227="","",J1227-B1227)</f>
        <v/>
      </c>
      <c r="L1227">
        <f>IF(H1227="Compliant","N/A",IF(J1227&lt;&gt;"","Closed",IF(I1227&lt;DATE(2026,9,30),"OVERDUE","Open")))</f>
        <v/>
      </c>
    </row>
    <row r="1228">
      <c r="A1228" t="inlineStr">
        <is>
          <t>INSP-2026-1227</t>
        </is>
      </c>
      <c r="B1228" s="6" t="n">
        <v>46204</v>
      </c>
      <c r="C1228" t="inlineStr">
        <is>
          <t>U-PI667-01-12</t>
        </is>
      </c>
      <c r="D1228" t="inlineStr">
        <is>
          <t>Pasir Indah</t>
        </is>
      </c>
      <c r="E1228" t="inlineStr">
        <is>
          <t>marcus</t>
        </is>
      </c>
      <c r="F1228" t="inlineStr">
        <is>
          <t>Follow-up</t>
        </is>
      </c>
      <c r="G1228" t="inlineStr">
        <is>
          <t>DISPLAY_ENCROACH</t>
        </is>
      </c>
      <c r="H1228" t="inlineStr">
        <is>
          <t>Minor Breach</t>
        </is>
      </c>
      <c r="I1228" s="6" t="n">
        <v>46218</v>
      </c>
      <c r="J1228" s="6" t="n">
        <v>46224</v>
      </c>
      <c r="K1228">
        <f>IF(J1228="","",J1228-B1228)</f>
        <v/>
      </c>
      <c r="L1228">
        <f>IF(H1228="Compliant","N/A",IF(J1228&lt;&gt;"","Closed",IF(I1228&lt;DATE(2026,9,30),"OVERDUE","Open")))</f>
        <v/>
      </c>
    </row>
    <row r="1229">
      <c r="A1229" t="inlineStr">
        <is>
          <t>INSP-2026-1228</t>
        </is>
      </c>
      <c r="B1229" s="6" t="n">
        <v>46204</v>
      </c>
      <c r="C1229" t="inlineStr">
        <is>
          <t>U-RH484-01-06</t>
        </is>
      </c>
      <c r="D1229" t="inlineStr">
        <is>
          <t>Rimba Heights</t>
        </is>
      </c>
      <c r="E1229" t="inlineStr">
        <is>
          <t>D. Ong</t>
        </is>
      </c>
      <c r="F1229" t="inlineStr">
        <is>
          <t>Routine</t>
        </is>
      </c>
      <c r="G1229" t="inlineStr">
        <is>
          <t>NONE</t>
        </is>
      </c>
      <c r="H1229" t="inlineStr">
        <is>
          <t>Compliant</t>
        </is>
      </c>
      <c r="I1229" s="6" t="n"/>
      <c r="J1229" s="6" t="n"/>
      <c r="K1229">
        <f>IF(J1229="","",J1229-B1229)</f>
        <v/>
      </c>
      <c r="L1229">
        <f>IF(H1229="Compliant","N/A",IF(J1229&lt;&gt;"","Closed",IF(I1229&lt;DATE(2026,9,30),"OVERDUE","Open")))</f>
        <v/>
      </c>
    </row>
    <row r="1230">
      <c r="A1230" t="inlineStr">
        <is>
          <t>INSP-2026-1229</t>
        </is>
      </c>
      <c r="B1230" s="6" t="n">
        <v>46205</v>
      </c>
      <c r="C1230" t="inlineStr">
        <is>
          <t>U-BV290-01-02</t>
        </is>
      </c>
      <c r="D1230" t="inlineStr">
        <is>
          <t>Bayshore Vale</t>
        </is>
      </c>
      <c r="E1230" t="inlineStr">
        <is>
          <t>marcus</t>
        </is>
      </c>
      <c r="F1230" t="inlineStr">
        <is>
          <t>Follow-up</t>
        </is>
      </c>
      <c r="G1230" t="inlineStr">
        <is>
          <t>NONE</t>
        </is>
      </c>
      <c r="H1230" t="inlineStr">
        <is>
          <t>Compliant</t>
        </is>
      </c>
      <c r="I1230" s="6" t="n"/>
      <c r="J1230" s="6" t="n"/>
      <c r="K1230">
        <f>IF(J1230="","",J1230-B1230)</f>
        <v/>
      </c>
      <c r="L1230">
        <f>IF(H1230="Compliant","N/A",IF(J1230&lt;&gt;"","Closed",IF(I1230&lt;DATE(2026,9,30),"OVERDUE","Open")))</f>
        <v/>
      </c>
    </row>
    <row r="1231">
      <c r="A1231" t="inlineStr">
        <is>
          <t>INSP-2026-1230</t>
        </is>
      </c>
      <c r="B1231" s="6" t="n">
        <v>46205</v>
      </c>
      <c r="C1231" t="inlineStr">
        <is>
          <t>U-PI651-01-06</t>
        </is>
      </c>
      <c r="D1231" t="inlineStr">
        <is>
          <t>Pasir Indah</t>
        </is>
      </c>
      <c r="E1231" t="inlineStr">
        <is>
          <t>Daniel Ong</t>
        </is>
      </c>
      <c r="F1231" t="inlineStr">
        <is>
          <t>Routine</t>
        </is>
      </c>
      <c r="G1231" t="inlineStr">
        <is>
          <t>NONE</t>
        </is>
      </c>
      <c r="H1231" t="inlineStr">
        <is>
          <t>Compliant</t>
        </is>
      </c>
      <c r="I1231" s="6" t="n"/>
      <c r="J1231" s="6" t="n"/>
      <c r="K1231">
        <f>IF(J1231="","",J1231-B1231)</f>
        <v/>
      </c>
      <c r="L1231">
        <f>IF(H1231="Compliant","N/A",IF(J1231&lt;&gt;"","Closed",IF(I1231&lt;DATE(2026,9,30),"OVERDUE","Open")))</f>
        <v/>
      </c>
    </row>
    <row r="1232">
      <c r="A1232" t="inlineStr">
        <is>
          <t>INSP-2026-1231</t>
        </is>
      </c>
      <c r="B1232" s="6" t="n">
        <v>46205</v>
      </c>
      <c r="C1232" t="inlineStr">
        <is>
          <t>U-BV230-01-03</t>
        </is>
      </c>
      <c r="D1232" t="inlineStr">
        <is>
          <t>Bayshore Vale</t>
        </is>
      </c>
      <c r="E1232" t="inlineStr">
        <is>
          <t>Daniel O.</t>
        </is>
      </c>
      <c r="F1232" t="inlineStr">
        <is>
          <t>Follow-up</t>
        </is>
      </c>
      <c r="G1232" t="inlineStr">
        <is>
          <t>DISPLAY_ENCROACH</t>
        </is>
      </c>
      <c r="H1232" t="inlineStr">
        <is>
          <t>Minor Breach</t>
        </is>
      </c>
      <c r="I1232" s="6" t="n">
        <v>46219</v>
      </c>
      <c r="J1232" s="6" t="n">
        <v>46214</v>
      </c>
      <c r="K1232">
        <f>IF(J1232="","",J1232-B1232)</f>
        <v/>
      </c>
      <c r="L1232">
        <f>IF(H1232="Compliant","N/A",IF(J1232&lt;&gt;"","Closed",IF(I1232&lt;DATE(2026,9,30),"OVERDUE","Open")))</f>
        <v/>
      </c>
    </row>
    <row r="1233">
      <c r="A1233" t="inlineStr">
        <is>
          <t>INSP-2026-1232</t>
        </is>
      </c>
      <c r="B1233" s="6" t="n">
        <v>46205</v>
      </c>
      <c r="C1233" t="inlineStr">
        <is>
          <t>U-BV214-02-34</t>
        </is>
      </c>
      <c r="D1233" t="inlineStr">
        <is>
          <t>Bayshore Vale</t>
        </is>
      </c>
      <c r="E1233" t="inlineStr">
        <is>
          <t>Marcus Lim</t>
        </is>
      </c>
      <c r="F1233" t="inlineStr">
        <is>
          <t>Routine</t>
        </is>
      </c>
      <c r="G1233" t="inlineStr">
        <is>
          <t>NONE</t>
        </is>
      </c>
      <c r="H1233" t="inlineStr">
        <is>
          <t>Compliant</t>
        </is>
      </c>
      <c r="I1233" s="6" t="n"/>
      <c r="J1233" s="6" t="n"/>
      <c r="K1233">
        <f>IF(J1233="","",J1233-B1233)</f>
        <v/>
      </c>
      <c r="L1233">
        <f>IF(H1233="Compliant","N/A",IF(J1233&lt;&gt;"","Closed",IF(I1233&lt;DATE(2026,9,30),"OVERDUE","Open")))</f>
        <v/>
      </c>
    </row>
    <row r="1234">
      <c r="A1234" t="inlineStr">
        <is>
          <t>INSP-2026-1233</t>
        </is>
      </c>
      <c r="B1234" s="6" t="n">
        <v>46206</v>
      </c>
      <c r="C1234" t="inlineStr">
        <is>
          <t>U-ST512-01-07</t>
        </is>
      </c>
      <c r="D1234" t="inlineStr">
        <is>
          <t>Sungai Tinggi</t>
        </is>
      </c>
      <c r="E1234" t="inlineStr">
        <is>
          <t>Benjamin Ho</t>
        </is>
      </c>
      <c r="F1234" t="inlineStr">
        <is>
          <t>Complaint-driven</t>
        </is>
      </c>
      <c r="G1234" t="inlineStr">
        <is>
          <t>DISPLAY_ENCROACH</t>
        </is>
      </c>
      <c r="H1234" t="inlineStr">
        <is>
          <t>Minor Breach</t>
        </is>
      </c>
      <c r="I1234" s="6" t="n">
        <v>46220</v>
      </c>
      <c r="J1234" s="6" t="n"/>
      <c r="K1234">
        <f>IF(J1234="","",J1234-B1234)</f>
        <v/>
      </c>
      <c r="L1234">
        <f>IF(H1234="Compliant","N/A",IF(J1234&lt;&gt;"","Closed",IF(I1234&lt;DATE(2026,9,30),"OVERDUE","Open")))</f>
        <v/>
      </c>
    </row>
    <row r="1235">
      <c r="A1235" t="inlineStr">
        <is>
          <t>INSP-2026-1234</t>
        </is>
      </c>
      <c r="B1235" s="6" t="n">
        <v>46206</v>
      </c>
      <c r="C1235" t="inlineStr">
        <is>
          <t>U-ST593-01-07</t>
        </is>
      </c>
      <c r="D1235" t="inlineStr">
        <is>
          <t>Sungai Tinggi</t>
        </is>
      </c>
      <c r="E1235" t="inlineStr">
        <is>
          <t>Benjamin Ho</t>
        </is>
      </c>
      <c r="F1235" t="inlineStr">
        <is>
          <t>Routine</t>
        </is>
      </c>
      <c r="G1235" t="inlineStr">
        <is>
          <t>NONE</t>
        </is>
      </c>
      <c r="H1235" t="inlineStr">
        <is>
          <t>Compliant</t>
        </is>
      </c>
      <c r="I1235" s="6" t="n"/>
      <c r="J1235" s="6" t="n"/>
      <c r="K1235">
        <f>IF(J1235="","",J1235-B1235)</f>
        <v/>
      </c>
      <c r="L1235">
        <f>IF(H1235="Compliant","N/A",IF(J1235&lt;&gt;"","Closed",IF(I1235&lt;DATE(2026,9,30),"OVERDUE","Open")))</f>
        <v/>
      </c>
    </row>
    <row r="1236">
      <c r="A1236" t="inlineStr">
        <is>
          <t>INSP-2026-1235</t>
        </is>
      </c>
      <c r="B1236" s="6" t="n">
        <v>46206</v>
      </c>
      <c r="C1236" t="inlineStr">
        <is>
          <t>U-BV256-01-01</t>
        </is>
      </c>
      <c r="D1236" t="inlineStr">
        <is>
          <t>Bayshore Vale</t>
        </is>
      </c>
      <c r="E1236" t="inlineStr">
        <is>
          <t>daniel ong</t>
        </is>
      </c>
      <c r="F1236" t="inlineStr">
        <is>
          <t>Complaint-driven</t>
        </is>
      </c>
      <c r="G1236" t="inlineStr">
        <is>
          <t>NONE</t>
        </is>
      </c>
      <c r="H1236" t="inlineStr">
        <is>
          <t>Compliant</t>
        </is>
      </c>
      <c r="I1236" s="6" t="n"/>
      <c r="J1236" s="6" t="n"/>
      <c r="K1236">
        <f>IF(J1236="","",J1236-B1236)</f>
        <v/>
      </c>
      <c r="L1236">
        <f>IF(H1236="Compliant","N/A",IF(J1236&lt;&gt;"","Closed",IF(I1236&lt;DATE(2026,9,30),"OVERDUE","Open")))</f>
        <v/>
      </c>
    </row>
    <row r="1237">
      <c r="A1237" t="inlineStr">
        <is>
          <t>INSP-2026-1236</t>
        </is>
      </c>
      <c r="B1237" s="6" t="n">
        <v>46206</v>
      </c>
      <c r="C1237" t="inlineStr">
        <is>
          <t>U-KR341-01-12</t>
        </is>
      </c>
      <c r="D1237" t="inlineStr">
        <is>
          <t>Kebun Raya</t>
        </is>
      </c>
      <c r="E1237" t="inlineStr">
        <is>
          <t>Daniel Ong</t>
        </is>
      </c>
      <c r="F1237" t="inlineStr">
        <is>
          <t>Routine</t>
        </is>
      </c>
      <c r="G1237" t="inlineStr">
        <is>
          <t>NONE</t>
        </is>
      </c>
      <c r="H1237" t="inlineStr">
        <is>
          <t>Compliant</t>
        </is>
      </c>
      <c r="I1237" s="6" t="n"/>
      <c r="J1237" s="6" t="n"/>
      <c r="K1237">
        <f>IF(J1237="","",J1237-B1237)</f>
        <v/>
      </c>
      <c r="L1237">
        <f>IF(H1237="Compliant","N/A",IF(J1237&lt;&gt;"","Closed",IF(I1237&lt;DATE(2026,9,30),"OVERDUE","Open")))</f>
        <v/>
      </c>
    </row>
    <row r="1238">
      <c r="A1238" t="inlineStr">
        <is>
          <t>INSP-2026-1237</t>
        </is>
      </c>
      <c r="B1238" s="6" t="n">
        <v>46206</v>
      </c>
      <c r="C1238" t="inlineStr">
        <is>
          <t>U-RH438-02-05</t>
        </is>
      </c>
      <c r="D1238" t="inlineStr">
        <is>
          <t>Rimba Heights</t>
        </is>
      </c>
      <c r="E1238" t="inlineStr">
        <is>
          <t>B. Ho</t>
        </is>
      </c>
      <c r="F1238" t="inlineStr">
        <is>
          <t>Follow-up</t>
        </is>
      </c>
      <c r="G1238" t="inlineStr">
        <is>
          <t>HYGIENE</t>
        </is>
      </c>
      <c r="H1238" t="inlineStr">
        <is>
          <t>Minor Breach</t>
        </is>
      </c>
      <c r="I1238" s="6" t="n">
        <v>46220</v>
      </c>
      <c r="J1238" s="6" t="n">
        <v>46219</v>
      </c>
      <c r="K1238">
        <f>IF(J1238="","",J1238-B1238)</f>
        <v/>
      </c>
      <c r="L1238">
        <f>IF(H1238="Compliant","N/A",IF(J1238&lt;&gt;"","Closed",IF(I1238&lt;DATE(2026,9,30),"OVERDUE","Open")))</f>
        <v/>
      </c>
    </row>
    <row r="1239">
      <c r="A1239" t="inlineStr">
        <is>
          <t>INSP-2026-1238</t>
        </is>
      </c>
      <c r="B1239" s="6" t="n">
        <v>46206</v>
      </c>
      <c r="C1239" t="inlineStr">
        <is>
          <t>U-PI670-01-04</t>
        </is>
      </c>
      <c r="D1239" t="inlineStr">
        <is>
          <t>Pasir Indah</t>
        </is>
      </c>
      <c r="E1239" t="inlineStr">
        <is>
          <t>D. Ong</t>
        </is>
      </c>
      <c r="F1239" t="inlineStr">
        <is>
          <t>Follow-up</t>
        </is>
      </c>
      <c r="G1239" t="inlineStr">
        <is>
          <t>NONE</t>
        </is>
      </c>
      <c r="H1239" t="inlineStr">
        <is>
          <t>Compliant</t>
        </is>
      </c>
      <c r="I1239" s="6" t="n"/>
      <c r="J1239" s="6" t="n"/>
      <c r="K1239">
        <f>IF(J1239="","",J1239-B1239)</f>
        <v/>
      </c>
      <c r="L1239">
        <f>IF(H1239="Compliant","N/A",IF(J1239&lt;&gt;"","Closed",IF(I1239&lt;DATE(2026,9,30),"OVERDUE","Open")))</f>
        <v/>
      </c>
    </row>
    <row r="1240">
      <c r="A1240" t="inlineStr">
        <is>
          <t>INSP-2026-1239</t>
        </is>
      </c>
      <c r="B1240" s="6" t="n">
        <v>46206</v>
      </c>
      <c r="C1240" t="inlineStr">
        <is>
          <t>U-CD152-01-10</t>
        </is>
      </c>
      <c r="D1240" t="inlineStr">
        <is>
          <t>Cendana</t>
        </is>
      </c>
      <c r="E1240" t="inlineStr">
        <is>
          <t>Daniel O.</t>
        </is>
      </c>
      <c r="F1240" t="inlineStr">
        <is>
          <t>Routine</t>
        </is>
      </c>
      <c r="G1240" t="inlineStr">
        <is>
          <t>DISPLAY_ENCROACH</t>
        </is>
      </c>
      <c r="H1240" t="inlineStr">
        <is>
          <t>Minor Breach</t>
        </is>
      </c>
      <c r="I1240" s="6" t="n">
        <v>46220</v>
      </c>
      <c r="J1240" s="6" t="n">
        <v>46228</v>
      </c>
      <c r="K1240">
        <f>IF(J1240="","",J1240-B1240)</f>
        <v/>
      </c>
      <c r="L1240">
        <f>IF(H1240="Compliant","N/A",IF(J1240&lt;&gt;"","Closed",IF(I1240&lt;DATE(2026,9,30),"OVERDUE","Open")))</f>
        <v/>
      </c>
    </row>
    <row r="1241">
      <c r="A1241" t="inlineStr">
        <is>
          <t>INSP-2026-1240</t>
        </is>
      </c>
      <c r="B1241" s="6" t="n">
        <v>46206</v>
      </c>
      <c r="C1241" t="inlineStr">
        <is>
          <t>U-KR386-01-02</t>
        </is>
      </c>
      <c r="D1241" t="inlineStr">
        <is>
          <t>Kebun Raya</t>
        </is>
      </c>
      <c r="E1241" t="inlineStr">
        <is>
          <t>Benjamin Ho</t>
        </is>
      </c>
      <c r="F1241" t="inlineStr">
        <is>
          <t>Routine</t>
        </is>
      </c>
      <c r="G1241" t="inlineStr">
        <is>
          <t>NONE</t>
        </is>
      </c>
      <c r="H1241" t="inlineStr">
        <is>
          <t>Compliant</t>
        </is>
      </c>
      <c r="I1241" s="6" t="n"/>
      <c r="J1241" s="6" t="n"/>
      <c r="K1241">
        <f>IF(J1241="","",J1241-B1241)</f>
        <v/>
      </c>
      <c r="L1241">
        <f>IF(H1241="Compliant","N/A",IF(J1241&lt;&gt;"","Closed",IF(I1241&lt;DATE(2026,9,30),"OVERDUE","Open")))</f>
        <v/>
      </c>
    </row>
    <row r="1242">
      <c r="A1242" t="inlineStr">
        <is>
          <t>INSP-2026-1241</t>
        </is>
      </c>
      <c r="B1242" s="6" t="n">
        <v>46206</v>
      </c>
      <c r="C1242" t="inlineStr">
        <is>
          <t>U-BV219-01-02</t>
        </is>
      </c>
      <c r="D1242" t="inlineStr">
        <is>
          <t>Bayshore Vale</t>
        </is>
      </c>
      <c r="E1242" t="inlineStr">
        <is>
          <t>marcus</t>
        </is>
      </c>
      <c r="F1242" t="inlineStr">
        <is>
          <t>Routine</t>
        </is>
      </c>
      <c r="G1242" t="inlineStr">
        <is>
          <t>UNAPPROVED_AA</t>
        </is>
      </c>
      <c r="H1242" t="inlineStr">
        <is>
          <t>Minor Breach</t>
        </is>
      </c>
      <c r="I1242" s="6" t="n">
        <v>46220</v>
      </c>
      <c r="J1242" s="6" t="n">
        <v>46230</v>
      </c>
      <c r="K1242">
        <f>IF(J1242="","",J1242-B1242)</f>
        <v/>
      </c>
      <c r="L1242">
        <f>IF(H1242="Compliant","N/A",IF(J1242&lt;&gt;"","Closed",IF(I1242&lt;DATE(2026,9,30),"OVERDUE","Open")))</f>
        <v/>
      </c>
    </row>
    <row r="1243">
      <c r="A1243" t="inlineStr">
        <is>
          <t>INSP-2026-1242</t>
        </is>
      </c>
      <c r="B1243" s="6" t="n">
        <v>46206</v>
      </c>
      <c r="C1243" t="inlineStr">
        <is>
          <t>U-KR368-01-13</t>
        </is>
      </c>
      <c r="D1243" t="inlineStr">
        <is>
          <t>Kebun Raya</t>
        </is>
      </c>
      <c r="E1243" t="inlineStr">
        <is>
          <t>Ben Ho</t>
        </is>
      </c>
      <c r="F1243" t="inlineStr">
        <is>
          <t>Routine</t>
        </is>
      </c>
      <c r="G1243" t="inlineStr">
        <is>
          <t>NONE</t>
        </is>
      </c>
      <c r="H1243" t="inlineStr">
        <is>
          <t>Compliant</t>
        </is>
      </c>
      <c r="I1243" s="6" t="n"/>
      <c r="J1243" s="6" t="n"/>
      <c r="K1243">
        <f>IF(J1243="","",J1243-B1243)</f>
        <v/>
      </c>
      <c r="L1243">
        <f>IF(H1243="Compliant","N/A",IF(J1243&lt;&gt;"","Closed",IF(I1243&lt;DATE(2026,9,30),"OVERDUE","Open")))</f>
        <v/>
      </c>
    </row>
    <row r="1244">
      <c r="A1244" t="inlineStr">
        <is>
          <t>INSP-2026-1243</t>
        </is>
      </c>
      <c r="B1244" s="6" t="n">
        <v>46207</v>
      </c>
      <c r="C1244" t="inlineStr">
        <is>
          <t>U-KR369-01-01</t>
        </is>
      </c>
      <c r="D1244" t="inlineStr">
        <is>
          <t>Kebun Raya</t>
        </is>
      </c>
      <c r="E1244" t="inlineStr">
        <is>
          <t>B. Ho</t>
        </is>
      </c>
      <c r="F1244" t="inlineStr">
        <is>
          <t>Routine</t>
        </is>
      </c>
      <c r="G1244" t="inlineStr">
        <is>
          <t>NONE</t>
        </is>
      </c>
      <c r="H1244" t="inlineStr">
        <is>
          <t>Compliant</t>
        </is>
      </c>
      <c r="I1244" s="6" t="n"/>
      <c r="J1244" s="6" t="n"/>
      <c r="K1244">
        <f>IF(J1244="","",J1244-B1244)</f>
        <v/>
      </c>
      <c r="L1244">
        <f>IF(H1244="Compliant","N/A",IF(J1244&lt;&gt;"","Closed",IF(I1244&lt;DATE(2026,9,30),"OVERDUE","Open")))</f>
        <v/>
      </c>
    </row>
    <row r="1245">
      <c r="A1245" t="inlineStr">
        <is>
          <t>INSP-2026-1244</t>
        </is>
      </c>
      <c r="B1245" s="6" t="n">
        <v>46207</v>
      </c>
      <c r="C1245" t="inlineStr">
        <is>
          <t>U-CD118-01-24</t>
        </is>
      </c>
      <c r="D1245" t="inlineStr">
        <is>
          <t>Cendana</t>
        </is>
      </c>
      <c r="E1245" t="inlineStr">
        <is>
          <t>D. Ong</t>
        </is>
      </c>
      <c r="F1245" t="inlineStr">
        <is>
          <t>Routine</t>
        </is>
      </c>
      <c r="G1245" t="inlineStr">
        <is>
          <t>HYGIENE</t>
        </is>
      </c>
      <c r="H1245" t="inlineStr">
        <is>
          <t>Minor Breach</t>
        </is>
      </c>
      <c r="I1245" s="6" t="n">
        <v>46221</v>
      </c>
      <c r="J1245" s="6" t="n">
        <v>46223</v>
      </c>
      <c r="K1245">
        <f>IF(J1245="","",J1245-B1245)</f>
        <v/>
      </c>
      <c r="L1245">
        <f>IF(H1245="Compliant","N/A",IF(J1245&lt;&gt;"","Closed",IF(I1245&lt;DATE(2026,9,30),"OVERDUE","Open")))</f>
        <v/>
      </c>
    </row>
    <row r="1246">
      <c r="A1246" t="inlineStr">
        <is>
          <t>INSP-2026-1245</t>
        </is>
      </c>
      <c r="B1246" s="6" t="n">
        <v>46207</v>
      </c>
      <c r="C1246" t="inlineStr">
        <is>
          <t>U-PI634-01-05</t>
        </is>
      </c>
      <c r="D1246" t="inlineStr">
        <is>
          <t>Pasir Indah</t>
        </is>
      </c>
      <c r="E1246" t="inlineStr">
        <is>
          <t>Marcus Lim</t>
        </is>
      </c>
      <c r="F1246" t="inlineStr">
        <is>
          <t>Routine</t>
        </is>
      </c>
      <c r="G1246" t="inlineStr">
        <is>
          <t>NONE</t>
        </is>
      </c>
      <c r="H1246" t="inlineStr">
        <is>
          <t>Compliant</t>
        </is>
      </c>
      <c r="I1246" s="6" t="n"/>
      <c r="J1246" s="6" t="n"/>
      <c r="K1246">
        <f>IF(J1246="","",J1246-B1246)</f>
        <v/>
      </c>
      <c r="L1246">
        <f>IF(H1246="Compliant","N/A",IF(J1246&lt;&gt;"","Closed",IF(I1246&lt;DATE(2026,9,30),"OVERDUE","Open")))</f>
        <v/>
      </c>
    </row>
    <row r="1247">
      <c r="A1247" t="inlineStr">
        <is>
          <t>INSP-2026-1246</t>
        </is>
      </c>
      <c r="B1247" s="6" t="n">
        <v>46207</v>
      </c>
      <c r="C1247" t="inlineStr">
        <is>
          <t>U-RH407-01-07</t>
        </is>
      </c>
      <c r="D1247" t="inlineStr">
        <is>
          <t>Rimba Heights</t>
        </is>
      </c>
      <c r="E1247" t="inlineStr">
        <is>
          <t>Daniel O.</t>
        </is>
      </c>
      <c r="F1247" t="inlineStr">
        <is>
          <t>Routine</t>
        </is>
      </c>
      <c r="G1247" t="inlineStr">
        <is>
          <t>NONE</t>
        </is>
      </c>
      <c r="H1247" t="inlineStr">
        <is>
          <t>Compliant</t>
        </is>
      </c>
      <c r="I1247" s="6" t="n"/>
      <c r="J1247" s="6" t="n"/>
      <c r="K1247">
        <f>IF(J1247="","",J1247-B1247)</f>
        <v/>
      </c>
      <c r="L1247">
        <f>IF(H1247="Compliant","N/A",IF(J1247&lt;&gt;"","Closed",IF(I1247&lt;DATE(2026,9,30),"OVERDUE","Open")))</f>
        <v/>
      </c>
    </row>
    <row r="1248">
      <c r="A1248" t="inlineStr">
        <is>
          <t>INSP-2026-1247</t>
        </is>
      </c>
      <c r="B1248" s="6" t="n">
        <v>46207</v>
      </c>
      <c r="C1248" t="inlineStr">
        <is>
          <t>U-KR349-01-05</t>
        </is>
      </c>
      <c r="D1248" t="inlineStr">
        <is>
          <t>Kebun Raya</t>
        </is>
      </c>
      <c r="E1248" t="inlineStr">
        <is>
          <t>D. Ong</t>
        </is>
      </c>
      <c r="F1248" t="inlineStr">
        <is>
          <t>Routine</t>
        </is>
      </c>
      <c r="G1248" t="inlineStr">
        <is>
          <t>FIRE_SAFETY</t>
        </is>
      </c>
      <c r="H1248" t="inlineStr">
        <is>
          <t>Major Breach</t>
        </is>
      </c>
      <c r="I1248" s="6" t="n">
        <v>46214</v>
      </c>
      <c r="J1248" s="6" t="n">
        <v>46216</v>
      </c>
      <c r="K1248">
        <f>IF(J1248="","",J1248-B1248)</f>
        <v/>
      </c>
      <c r="L1248">
        <f>IF(H1248="Compliant","N/A",IF(J1248&lt;&gt;"","Closed",IF(I1248&lt;DATE(2026,9,30),"OVERDUE","Open")))</f>
        <v/>
      </c>
    </row>
    <row r="1249">
      <c r="A1249" t="inlineStr">
        <is>
          <t>INSP-2026-1248</t>
        </is>
      </c>
      <c r="B1249" s="6" t="n">
        <v>46207</v>
      </c>
      <c r="C1249" t="inlineStr">
        <is>
          <t>U-PI684-01-08</t>
        </is>
      </c>
      <c r="D1249" t="inlineStr">
        <is>
          <t>Pasir Indah</t>
        </is>
      </c>
      <c r="E1249" t="inlineStr">
        <is>
          <t>D. Ong</t>
        </is>
      </c>
      <c r="F1249" t="inlineStr">
        <is>
          <t>Routine</t>
        </is>
      </c>
      <c r="G1249" t="inlineStr">
        <is>
          <t>DISPLAY_ENCROACH</t>
        </is>
      </c>
      <c r="H1249" t="inlineStr">
        <is>
          <t>Minor Breach</t>
        </is>
      </c>
      <c r="I1249" s="6" t="n">
        <v>46221</v>
      </c>
      <c r="J1249" s="6" t="n">
        <v>46231</v>
      </c>
      <c r="K1249">
        <f>IF(J1249="","",J1249-B1249)</f>
        <v/>
      </c>
      <c r="L1249">
        <f>IF(H1249="Compliant","N/A",IF(J1249&lt;&gt;"","Closed",IF(I1249&lt;DATE(2026,9,30),"OVERDUE","Open")))</f>
        <v/>
      </c>
    </row>
    <row r="1250">
      <c r="A1250" t="inlineStr">
        <is>
          <t>INSP-2026-1249</t>
        </is>
      </c>
      <c r="B1250" s="6" t="n">
        <v>46207</v>
      </c>
      <c r="C1250" t="inlineStr">
        <is>
          <t>U-CD120-01-10</t>
        </is>
      </c>
      <c r="D1250" t="inlineStr">
        <is>
          <t>Cendana</t>
        </is>
      </c>
      <c r="E1250" t="inlineStr">
        <is>
          <t>daniel ong</t>
        </is>
      </c>
      <c r="F1250" t="inlineStr">
        <is>
          <t>Routine</t>
        </is>
      </c>
      <c r="G1250" t="inlineStr">
        <is>
          <t>NONE</t>
        </is>
      </c>
      <c r="H1250" t="inlineStr">
        <is>
          <t>Compliant</t>
        </is>
      </c>
      <c r="I1250" s="6" t="n"/>
      <c r="J1250" s="6" t="n"/>
      <c r="K1250">
        <f>IF(J1250="","",J1250-B1250)</f>
        <v/>
      </c>
      <c r="L1250">
        <f>IF(H1250="Compliant","N/A",IF(J1250&lt;&gt;"","Closed",IF(I1250&lt;DATE(2026,9,30),"OVERDUE","Open")))</f>
        <v/>
      </c>
    </row>
    <row r="1251">
      <c r="A1251" t="inlineStr">
        <is>
          <t>INSP-2026-1250</t>
        </is>
      </c>
      <c r="B1251" s="6" t="n">
        <v>46207</v>
      </c>
      <c r="C1251" t="inlineStr">
        <is>
          <t>U-BV271-01-07</t>
        </is>
      </c>
      <c r="D1251" t="inlineStr">
        <is>
          <t>Bayshore Vale</t>
        </is>
      </c>
      <c r="E1251" t="inlineStr">
        <is>
          <t>daniel ong</t>
        </is>
      </c>
      <c r="F1251" t="inlineStr">
        <is>
          <t>Routine</t>
        </is>
      </c>
      <c r="G1251" t="inlineStr">
        <is>
          <t>NONE</t>
        </is>
      </c>
      <c r="H1251" t="inlineStr">
        <is>
          <t>Compliant</t>
        </is>
      </c>
      <c r="I1251" s="6" t="n"/>
      <c r="J1251" s="6" t="n"/>
      <c r="K1251">
        <f>IF(J1251="","",J1251-B1251)</f>
        <v/>
      </c>
      <c r="L1251">
        <f>IF(H1251="Compliant","N/A",IF(J1251&lt;&gt;"","Closed",IF(I1251&lt;DATE(2026,9,30),"OVERDUE","Open")))</f>
        <v/>
      </c>
    </row>
    <row r="1252">
      <c r="A1252" t="inlineStr">
        <is>
          <t>INSP-2026-1251</t>
        </is>
      </c>
      <c r="B1252" s="6" t="n">
        <v>46207</v>
      </c>
      <c r="C1252" t="inlineStr">
        <is>
          <t>U-CD185-01-03</t>
        </is>
      </c>
      <c r="D1252" t="inlineStr">
        <is>
          <t>Cendana</t>
        </is>
      </c>
      <c r="E1252" t="inlineStr">
        <is>
          <t>marcus</t>
        </is>
      </c>
      <c r="F1252" t="inlineStr">
        <is>
          <t>Routine</t>
        </is>
      </c>
      <c r="G1252" t="inlineStr">
        <is>
          <t>NONE</t>
        </is>
      </c>
      <c r="H1252" t="inlineStr">
        <is>
          <t>Compliant</t>
        </is>
      </c>
      <c r="I1252" s="6" t="n"/>
      <c r="J1252" s="6" t="n"/>
      <c r="K1252">
        <f>IF(J1252="","",J1252-B1252)</f>
        <v/>
      </c>
      <c r="L1252">
        <f>IF(H1252="Compliant","N/A",IF(J1252&lt;&gt;"","Closed",IF(I1252&lt;DATE(2026,9,30),"OVERDUE","Open")))</f>
        <v/>
      </c>
    </row>
    <row r="1253">
      <c r="A1253" t="inlineStr">
        <is>
          <t>INSP-2026-1252</t>
        </is>
      </c>
      <c r="B1253" s="6" t="n">
        <v>46208</v>
      </c>
      <c r="C1253" t="inlineStr">
        <is>
          <t>U-KR368-01-04</t>
        </is>
      </c>
      <c r="D1253" t="inlineStr">
        <is>
          <t>Kebun Raya</t>
        </is>
      </c>
      <c r="E1253" t="inlineStr">
        <is>
          <t>Benjamin Ho</t>
        </is>
      </c>
      <c r="F1253" t="inlineStr">
        <is>
          <t>Routine</t>
        </is>
      </c>
      <c r="G1253" t="inlineStr">
        <is>
          <t>NONE</t>
        </is>
      </c>
      <c r="H1253" t="inlineStr">
        <is>
          <t>Compliant</t>
        </is>
      </c>
      <c r="I1253" s="6" t="n"/>
      <c r="J1253" s="6" t="n"/>
      <c r="K1253">
        <f>IF(J1253="","",J1253-B1253)</f>
        <v/>
      </c>
      <c r="L1253">
        <f>IF(H1253="Compliant","N/A",IF(J1253&lt;&gt;"","Closed",IF(I1253&lt;DATE(2026,9,30),"OVERDUE","Open")))</f>
        <v/>
      </c>
    </row>
    <row r="1254">
      <c r="A1254" t="inlineStr">
        <is>
          <t>INSP-2026-1253</t>
        </is>
      </c>
      <c r="B1254" s="6" t="n">
        <v>46208</v>
      </c>
      <c r="C1254" t="inlineStr">
        <is>
          <t>U-CD143-01-05</t>
        </is>
      </c>
      <c r="D1254" t="inlineStr">
        <is>
          <t>Cendana</t>
        </is>
      </c>
      <c r="E1254" t="inlineStr">
        <is>
          <t>D. Ong</t>
        </is>
      </c>
      <c r="F1254" t="inlineStr">
        <is>
          <t>Routine</t>
        </is>
      </c>
      <c r="G1254" t="inlineStr">
        <is>
          <t>NONE</t>
        </is>
      </c>
      <c r="H1254" t="inlineStr">
        <is>
          <t>Compliant</t>
        </is>
      </c>
      <c r="I1254" s="6" t="n"/>
      <c r="J1254" s="6" t="n"/>
      <c r="K1254">
        <f>IF(J1254="","",J1254-B1254)</f>
        <v/>
      </c>
      <c r="L1254">
        <f>IF(H1254="Compliant","N/A",IF(J1254&lt;&gt;"","Closed",IF(I1254&lt;DATE(2026,9,30),"OVERDUE","Open")))</f>
        <v/>
      </c>
    </row>
    <row r="1255">
      <c r="A1255" t="inlineStr">
        <is>
          <t>INSP-2026-1254</t>
        </is>
      </c>
      <c r="B1255" s="6" t="n">
        <v>46208</v>
      </c>
      <c r="C1255" t="inlineStr">
        <is>
          <t>U-BV237-02-04</t>
        </is>
      </c>
      <c r="D1255" t="inlineStr">
        <is>
          <t>Bayshore Vale</t>
        </is>
      </c>
      <c r="E1255" t="inlineStr">
        <is>
          <t>marcus</t>
        </is>
      </c>
      <c r="F1255" t="inlineStr">
        <is>
          <t>Follow-up</t>
        </is>
      </c>
      <c r="G1255" t="inlineStr">
        <is>
          <t>UNAPPROVED_AA</t>
        </is>
      </c>
      <c r="H1255" t="inlineStr">
        <is>
          <t>Minor Breach</t>
        </is>
      </c>
      <c r="I1255" s="6" t="n">
        <v>46222</v>
      </c>
      <c r="J1255" s="6" t="n">
        <v>46232</v>
      </c>
      <c r="K1255">
        <f>IF(J1255="","",J1255-B1255)</f>
        <v/>
      </c>
      <c r="L1255">
        <f>IF(H1255="Compliant","N/A",IF(J1255&lt;&gt;"","Closed",IF(I1255&lt;DATE(2026,9,30),"OVERDUE","Open")))</f>
        <v/>
      </c>
    </row>
    <row r="1256">
      <c r="A1256" t="inlineStr">
        <is>
          <t>INSP-2026-1255</t>
        </is>
      </c>
      <c r="B1256" s="6" t="n">
        <v>46208</v>
      </c>
      <c r="C1256" t="inlineStr">
        <is>
          <t>U-RH455-01-11</t>
        </is>
      </c>
      <c r="D1256" t="inlineStr">
        <is>
          <t>Rimba Heights</t>
        </is>
      </c>
      <c r="E1256" t="inlineStr">
        <is>
          <t>D. Ong</t>
        </is>
      </c>
      <c r="F1256" t="inlineStr">
        <is>
          <t>Routine</t>
        </is>
      </c>
      <c r="G1256" t="inlineStr">
        <is>
          <t>NONE</t>
        </is>
      </c>
      <c r="H1256" t="inlineStr">
        <is>
          <t>Compliant</t>
        </is>
      </c>
      <c r="I1256" s="6" t="n"/>
      <c r="J1256" s="6" t="n"/>
      <c r="K1256">
        <f>IF(J1256="","",J1256-B1256)</f>
        <v/>
      </c>
      <c r="L1256">
        <f>IF(H1256="Compliant","N/A",IF(J1256&lt;&gt;"","Closed",IF(I1256&lt;DATE(2026,9,30),"OVERDUE","Open")))</f>
        <v/>
      </c>
    </row>
    <row r="1257">
      <c r="A1257" t="inlineStr">
        <is>
          <t>INSP-2026-1256</t>
        </is>
      </c>
      <c r="B1257" s="6" t="n">
        <v>46208</v>
      </c>
      <c r="C1257" t="inlineStr">
        <is>
          <t>U-ST566-01-08</t>
        </is>
      </c>
      <c r="D1257" t="inlineStr">
        <is>
          <t>Sungai Tinggi</t>
        </is>
      </c>
      <c r="E1257" t="inlineStr">
        <is>
          <t>D. Ong</t>
        </is>
      </c>
      <c r="F1257" t="inlineStr">
        <is>
          <t>Routine</t>
        </is>
      </c>
      <c r="G1257" t="inlineStr">
        <is>
          <t>NONE</t>
        </is>
      </c>
      <c r="H1257" t="inlineStr">
        <is>
          <t>Compliant</t>
        </is>
      </c>
      <c r="I1257" s="6" t="n"/>
      <c r="J1257" s="6" t="n"/>
      <c r="K1257">
        <f>IF(J1257="","",J1257-B1257)</f>
        <v/>
      </c>
      <c r="L1257">
        <f>IF(H1257="Compliant","N/A",IF(J1257&lt;&gt;"","Closed",IF(I1257&lt;DATE(2026,9,30),"OVERDUE","Open")))</f>
        <v/>
      </c>
    </row>
    <row r="1258">
      <c r="A1258" t="inlineStr">
        <is>
          <t>INSP-2026-1257</t>
        </is>
      </c>
      <c r="B1258" s="6" t="n">
        <v>46209</v>
      </c>
      <c r="C1258" t="inlineStr">
        <is>
          <t>U-PI644-01-09</t>
        </is>
      </c>
      <c r="D1258" t="inlineStr">
        <is>
          <t>Pasir Indah</t>
        </is>
      </c>
      <c r="E1258" t="inlineStr">
        <is>
          <t>D. Ong</t>
        </is>
      </c>
      <c r="F1258" t="inlineStr">
        <is>
          <t>Routine</t>
        </is>
      </c>
      <c r="G1258" t="inlineStr">
        <is>
          <t>NONE</t>
        </is>
      </c>
      <c r="H1258" t="inlineStr">
        <is>
          <t>Compliant</t>
        </is>
      </c>
      <c r="I1258" s="6" t="n"/>
      <c r="J1258" s="6" t="n"/>
      <c r="K1258">
        <f>IF(J1258="","",J1258-B1258)</f>
        <v/>
      </c>
      <c r="L1258">
        <f>IF(H1258="Compliant","N/A",IF(J1258&lt;&gt;"","Closed",IF(I1258&lt;DATE(2026,9,30),"OVERDUE","Open")))</f>
        <v/>
      </c>
    </row>
    <row r="1259">
      <c r="A1259" t="inlineStr">
        <is>
          <t>INSP-2026-1258</t>
        </is>
      </c>
      <c r="B1259" s="6" t="n">
        <v>46209</v>
      </c>
      <c r="C1259" t="inlineStr">
        <is>
          <t>U-RH441-01-01</t>
        </is>
      </c>
      <c r="D1259" t="inlineStr">
        <is>
          <t>Rimba Heights</t>
        </is>
      </c>
      <c r="E1259" t="inlineStr">
        <is>
          <t>D. Ong</t>
        </is>
      </c>
      <c r="F1259" t="inlineStr">
        <is>
          <t>Routine</t>
        </is>
      </c>
      <c r="G1259" t="inlineStr">
        <is>
          <t>NONE</t>
        </is>
      </c>
      <c r="H1259" t="inlineStr">
        <is>
          <t>Compliant</t>
        </is>
      </c>
      <c r="I1259" s="6" t="n"/>
      <c r="J1259" s="6" t="n"/>
      <c r="K1259">
        <f>IF(J1259="","",J1259-B1259)</f>
        <v/>
      </c>
      <c r="L1259">
        <f>IF(H1259="Compliant","N/A",IF(J1259&lt;&gt;"","Closed",IF(I1259&lt;DATE(2026,9,30),"OVERDUE","Open")))</f>
        <v/>
      </c>
    </row>
    <row r="1260">
      <c r="A1260" t="inlineStr">
        <is>
          <t>INSP-2026-1259</t>
        </is>
      </c>
      <c r="B1260" s="6" t="n">
        <v>46209</v>
      </c>
      <c r="C1260" t="inlineStr">
        <is>
          <t>U-CD109-01-05</t>
        </is>
      </c>
      <c r="D1260" t="inlineStr">
        <is>
          <t>Cendana</t>
        </is>
      </c>
      <c r="E1260" t="inlineStr">
        <is>
          <t>Daniel Ong</t>
        </is>
      </c>
      <c r="F1260" t="inlineStr">
        <is>
          <t>Routine</t>
        </is>
      </c>
      <c r="G1260" t="inlineStr">
        <is>
          <t>NONE</t>
        </is>
      </c>
      <c r="H1260" t="inlineStr">
        <is>
          <t>Compliant</t>
        </is>
      </c>
      <c r="I1260" s="6" t="n"/>
      <c r="J1260" s="6" t="n"/>
      <c r="K1260">
        <f>IF(J1260="","",J1260-B1260)</f>
        <v/>
      </c>
      <c r="L1260">
        <f>IF(H1260="Compliant","N/A",IF(J1260&lt;&gt;"","Closed",IF(I1260&lt;DATE(2026,9,30),"OVERDUE","Open")))</f>
        <v/>
      </c>
    </row>
    <row r="1261">
      <c r="A1261" t="inlineStr">
        <is>
          <t>INSP-2026-1260</t>
        </is>
      </c>
      <c r="B1261" s="6" t="n">
        <v>46209</v>
      </c>
      <c r="C1261" t="inlineStr">
        <is>
          <t>U-CD120-01-01</t>
        </is>
      </c>
      <c r="D1261" t="inlineStr">
        <is>
          <t>Cendana</t>
        </is>
      </c>
      <c r="E1261" t="inlineStr">
        <is>
          <t>D. Ong</t>
        </is>
      </c>
      <c r="F1261" t="inlineStr">
        <is>
          <t>Routine</t>
        </is>
      </c>
      <c r="G1261" t="inlineStr">
        <is>
          <t>UNAUTH_SUBLET</t>
        </is>
      </c>
      <c r="H1261" t="inlineStr">
        <is>
          <t>Major Breach</t>
        </is>
      </c>
      <c r="I1261" s="6" t="n">
        <v>46216</v>
      </c>
      <c r="J1261" s="6" t="n">
        <v>46222</v>
      </c>
      <c r="K1261">
        <f>IF(J1261="","",J1261-B1261)</f>
        <v/>
      </c>
      <c r="L1261">
        <f>IF(H1261="Compliant","N/A",IF(J1261&lt;&gt;"","Closed",IF(I1261&lt;DATE(2026,9,30),"OVERDUE","Open")))</f>
        <v/>
      </c>
    </row>
    <row r="1262">
      <c r="A1262" t="inlineStr">
        <is>
          <t>INSP-2026-1261</t>
        </is>
      </c>
      <c r="B1262" s="6" t="n">
        <v>46209</v>
      </c>
      <c r="C1262" t="inlineStr">
        <is>
          <t>U-CD185-01-06</t>
        </is>
      </c>
      <c r="D1262" t="inlineStr">
        <is>
          <t>Cendana</t>
        </is>
      </c>
      <c r="E1262" t="inlineStr">
        <is>
          <t>marcus</t>
        </is>
      </c>
      <c r="F1262" t="inlineStr">
        <is>
          <t>Routine</t>
        </is>
      </c>
      <c r="G1262" t="inlineStr">
        <is>
          <t>NONE</t>
        </is>
      </c>
      <c r="H1262" t="inlineStr">
        <is>
          <t>Compliant</t>
        </is>
      </c>
      <c r="I1262" s="6" t="n"/>
      <c r="J1262" s="6" t="n"/>
      <c r="K1262">
        <f>IF(J1262="","",J1262-B1262)</f>
        <v/>
      </c>
      <c r="L1262">
        <f>IF(H1262="Compliant","N/A",IF(J1262&lt;&gt;"","Closed",IF(I1262&lt;DATE(2026,9,30),"OVERDUE","Open")))</f>
        <v/>
      </c>
    </row>
    <row r="1263">
      <c r="A1263" t="inlineStr">
        <is>
          <t>INSP-2026-1262</t>
        </is>
      </c>
      <c r="B1263" s="6" t="n">
        <v>46209</v>
      </c>
      <c r="C1263" t="inlineStr">
        <is>
          <t>U-ST535-01-05</t>
        </is>
      </c>
      <c r="D1263" t="inlineStr">
        <is>
          <t>Sungai Tinggi</t>
        </is>
      </c>
      <c r="E1263" t="inlineStr">
        <is>
          <t>D. Ong</t>
        </is>
      </c>
      <c r="F1263" t="inlineStr">
        <is>
          <t>Routine</t>
        </is>
      </c>
      <c r="G1263" t="inlineStr">
        <is>
          <t>NONE</t>
        </is>
      </c>
      <c r="H1263" t="inlineStr">
        <is>
          <t>Compliant</t>
        </is>
      </c>
      <c r="I1263" s="6" t="n"/>
      <c r="J1263" s="6" t="n"/>
      <c r="K1263">
        <f>IF(J1263="","",J1263-B1263)</f>
        <v/>
      </c>
      <c r="L1263">
        <f>IF(H1263="Compliant","N/A",IF(J1263&lt;&gt;"","Closed",IF(I1263&lt;DATE(2026,9,30),"OVERDUE","Open")))</f>
        <v/>
      </c>
    </row>
    <row r="1264">
      <c r="A1264" t="inlineStr">
        <is>
          <t>INSP-2026-1263</t>
        </is>
      </c>
      <c r="B1264" s="6" t="n">
        <v>46209</v>
      </c>
      <c r="C1264" t="inlineStr">
        <is>
          <t>U-KR341-01-03</t>
        </is>
      </c>
      <c r="D1264" t="inlineStr">
        <is>
          <t>Kebun Raya</t>
        </is>
      </c>
      <c r="E1264" t="inlineStr">
        <is>
          <t>Benjamin Ho</t>
        </is>
      </c>
      <c r="F1264" t="inlineStr">
        <is>
          <t>Routine</t>
        </is>
      </c>
      <c r="G1264" t="inlineStr">
        <is>
          <t>NONE</t>
        </is>
      </c>
      <c r="H1264" t="inlineStr">
        <is>
          <t>Compliant</t>
        </is>
      </c>
      <c r="I1264" s="6" t="n"/>
      <c r="J1264" s="6" t="n"/>
      <c r="K1264">
        <f>IF(J1264="","",J1264-B1264)</f>
        <v/>
      </c>
      <c r="L1264">
        <f>IF(H1264="Compliant","N/A",IF(J1264&lt;&gt;"","Closed",IF(I1264&lt;DATE(2026,9,30),"OVERDUE","Open")))</f>
        <v/>
      </c>
    </row>
    <row r="1265">
      <c r="A1265" t="inlineStr">
        <is>
          <t>INSP-2026-1264</t>
        </is>
      </c>
      <c r="B1265" s="6" t="n">
        <v>46209</v>
      </c>
      <c r="C1265" t="inlineStr">
        <is>
          <t>U-RH484-01-10</t>
        </is>
      </c>
      <c r="D1265" t="inlineStr">
        <is>
          <t>Rimba Heights</t>
        </is>
      </c>
      <c r="E1265" t="inlineStr">
        <is>
          <t>B. Ho</t>
        </is>
      </c>
      <c r="F1265" t="inlineStr">
        <is>
          <t>Routine</t>
        </is>
      </c>
      <c r="G1265" t="inlineStr">
        <is>
          <t>NONE</t>
        </is>
      </c>
      <c r="H1265" t="inlineStr">
        <is>
          <t>Compliant</t>
        </is>
      </c>
      <c r="I1265" s="6" t="n"/>
      <c r="J1265" s="6" t="n"/>
      <c r="K1265">
        <f>IF(J1265="","",J1265-B1265)</f>
        <v/>
      </c>
      <c r="L1265">
        <f>IF(H1265="Compliant","N/A",IF(J1265&lt;&gt;"","Closed",IF(I1265&lt;DATE(2026,9,30),"OVERDUE","Open")))</f>
        <v/>
      </c>
    </row>
    <row r="1266">
      <c r="A1266" t="inlineStr">
        <is>
          <t>INSP-2026-1265</t>
        </is>
      </c>
      <c r="B1266" s="6" t="n">
        <v>46209</v>
      </c>
      <c r="C1266" t="inlineStr">
        <is>
          <t>U-CD118-01-02</t>
        </is>
      </c>
      <c r="D1266" t="inlineStr">
        <is>
          <t>Cendana</t>
        </is>
      </c>
      <c r="E1266" t="inlineStr">
        <is>
          <t>Marcus Lim</t>
        </is>
      </c>
      <c r="F1266" t="inlineStr">
        <is>
          <t>Routine</t>
        </is>
      </c>
      <c r="G1266" t="inlineStr">
        <is>
          <t>NONE</t>
        </is>
      </c>
      <c r="H1266" t="inlineStr">
        <is>
          <t>Compliant</t>
        </is>
      </c>
      <c r="I1266" s="6" t="n"/>
      <c r="J1266" s="6" t="n"/>
      <c r="K1266">
        <f>IF(J1266="","",J1266-B1266)</f>
        <v/>
      </c>
      <c r="L1266">
        <f>IF(H1266="Compliant","N/A",IF(J1266&lt;&gt;"","Closed",IF(I1266&lt;DATE(2026,9,30),"OVERDUE","Open")))</f>
        <v/>
      </c>
    </row>
    <row r="1267">
      <c r="A1267" t="inlineStr">
        <is>
          <t>INSP-2026-1266</t>
        </is>
      </c>
      <c r="B1267" s="6" t="n">
        <v>46210</v>
      </c>
      <c r="C1267" t="inlineStr">
        <is>
          <t>U-PI648-01-06</t>
        </is>
      </c>
      <c r="D1267" t="inlineStr">
        <is>
          <t>Pasir Indah</t>
        </is>
      </c>
      <c r="E1267" t="inlineStr">
        <is>
          <t>Daniel O.</t>
        </is>
      </c>
      <c r="F1267" t="inlineStr">
        <is>
          <t>Routine</t>
        </is>
      </c>
      <c r="G1267" t="inlineStr">
        <is>
          <t>NONE</t>
        </is>
      </c>
      <c r="H1267" t="inlineStr">
        <is>
          <t>Compliant</t>
        </is>
      </c>
      <c r="I1267" s="6" t="n"/>
      <c r="J1267" s="6" t="n"/>
      <c r="K1267">
        <f>IF(J1267="","",J1267-B1267)</f>
        <v/>
      </c>
      <c r="L1267">
        <f>IF(H1267="Compliant","N/A",IF(J1267&lt;&gt;"","Closed",IF(I1267&lt;DATE(2026,9,30),"OVERDUE","Open")))</f>
        <v/>
      </c>
    </row>
    <row r="1268">
      <c r="A1268" t="inlineStr">
        <is>
          <t>INSP-2026-1267</t>
        </is>
      </c>
      <c r="B1268" s="6" t="n">
        <v>46210</v>
      </c>
      <c r="C1268" t="inlineStr">
        <is>
          <t>U-ST513-01-02</t>
        </is>
      </c>
      <c r="D1268" t="inlineStr">
        <is>
          <t>Sungai Tinggi</t>
        </is>
      </c>
      <c r="E1268" t="inlineStr">
        <is>
          <t>D. Ong</t>
        </is>
      </c>
      <c r="F1268" t="inlineStr">
        <is>
          <t>Complaint-driven</t>
        </is>
      </c>
      <c r="G1268" t="inlineStr">
        <is>
          <t>NONE</t>
        </is>
      </c>
      <c r="H1268" t="inlineStr">
        <is>
          <t>Compliant</t>
        </is>
      </c>
      <c r="I1268" s="6" t="n"/>
      <c r="J1268" s="6" t="n"/>
      <c r="K1268">
        <f>IF(J1268="","",J1268-B1268)</f>
        <v/>
      </c>
      <c r="L1268">
        <f>IF(H1268="Compliant","N/A",IF(J1268&lt;&gt;"","Closed",IF(I1268&lt;DATE(2026,9,30),"OVERDUE","Open")))</f>
        <v/>
      </c>
    </row>
    <row r="1269">
      <c r="A1269" t="inlineStr">
        <is>
          <t>INSP-2026-1268</t>
        </is>
      </c>
      <c r="B1269" s="6" t="n">
        <v>46210</v>
      </c>
      <c r="C1269" t="inlineStr">
        <is>
          <t>U-CD160-01-09</t>
        </is>
      </c>
      <c r="D1269" t="inlineStr">
        <is>
          <t>Cendana</t>
        </is>
      </c>
      <c r="E1269" t="inlineStr">
        <is>
          <t>D. Ong</t>
        </is>
      </c>
      <c r="F1269" t="inlineStr">
        <is>
          <t>Routine</t>
        </is>
      </c>
      <c r="G1269" t="inlineStr">
        <is>
          <t>NONE</t>
        </is>
      </c>
      <c r="H1269" t="inlineStr">
        <is>
          <t>Compliant</t>
        </is>
      </c>
      <c r="I1269" s="6" t="n"/>
      <c r="J1269" s="6" t="n"/>
      <c r="K1269">
        <f>IF(J1269="","",J1269-B1269)</f>
        <v/>
      </c>
      <c r="L1269">
        <f>IF(H1269="Compliant","N/A",IF(J1269&lt;&gt;"","Closed",IF(I1269&lt;DATE(2026,9,30),"OVERDUE","Open")))</f>
        <v/>
      </c>
    </row>
    <row r="1270">
      <c r="A1270" t="inlineStr">
        <is>
          <t>INSP-2026-1269</t>
        </is>
      </c>
      <c r="B1270" s="6" t="n">
        <v>46210</v>
      </c>
      <c r="C1270" t="inlineStr">
        <is>
          <t>U-BV266-01-04</t>
        </is>
      </c>
      <c r="D1270" t="inlineStr">
        <is>
          <t>Bayshore Vale</t>
        </is>
      </c>
      <c r="E1270" t="inlineStr">
        <is>
          <t>M. Lim</t>
        </is>
      </c>
      <c r="F1270" t="inlineStr">
        <is>
          <t>Routine</t>
        </is>
      </c>
      <c r="G1270" t="inlineStr">
        <is>
          <t>NONE</t>
        </is>
      </c>
      <c r="H1270" t="inlineStr">
        <is>
          <t>Compliant</t>
        </is>
      </c>
      <c r="I1270" s="6" t="n"/>
      <c r="J1270" s="6" t="n"/>
      <c r="K1270">
        <f>IF(J1270="","",J1270-B1270)</f>
        <v/>
      </c>
      <c r="L1270">
        <f>IF(H1270="Compliant","N/A",IF(J1270&lt;&gt;"","Closed",IF(I1270&lt;DATE(2026,9,30),"OVERDUE","Open")))</f>
        <v/>
      </c>
    </row>
    <row r="1271">
      <c r="A1271" t="inlineStr">
        <is>
          <t>INSP-2026-1270</t>
        </is>
      </c>
      <c r="B1271" s="6" t="n">
        <v>46211</v>
      </c>
      <c r="C1271" t="inlineStr">
        <is>
          <t>U-RH476-01-04</t>
        </is>
      </c>
      <c r="D1271" t="inlineStr">
        <is>
          <t>Rimba Heights</t>
        </is>
      </c>
      <c r="E1271" t="inlineStr">
        <is>
          <t>Benjamin Ho</t>
        </is>
      </c>
      <c r="F1271" t="inlineStr">
        <is>
          <t>Follow-up</t>
        </is>
      </c>
      <c r="G1271" t="inlineStr">
        <is>
          <t>DISPLAY_ENCROACH</t>
        </is>
      </c>
      <c r="H1271" t="inlineStr">
        <is>
          <t>Minor Breach</t>
        </is>
      </c>
      <c r="I1271" s="6" t="n">
        <v>46225</v>
      </c>
      <c r="J1271" s="6" t="n">
        <v>46223</v>
      </c>
      <c r="K1271">
        <f>IF(J1271="","",J1271-B1271)</f>
        <v/>
      </c>
      <c r="L1271">
        <f>IF(H1271="Compliant","N/A",IF(J1271&lt;&gt;"","Closed",IF(I1271&lt;DATE(2026,9,30),"OVERDUE","Open")))</f>
        <v/>
      </c>
    </row>
    <row r="1272">
      <c r="A1272" t="inlineStr">
        <is>
          <t>INSP-2026-1271</t>
        </is>
      </c>
      <c r="B1272" s="6" t="n">
        <v>46211</v>
      </c>
      <c r="C1272" t="inlineStr">
        <is>
          <t>U-KR362-01-04</t>
        </is>
      </c>
      <c r="D1272" t="inlineStr">
        <is>
          <t>Kebun Raya</t>
        </is>
      </c>
      <c r="E1272" t="inlineStr">
        <is>
          <t>Ben Ho</t>
        </is>
      </c>
      <c r="F1272" t="inlineStr">
        <is>
          <t>Routine</t>
        </is>
      </c>
      <c r="G1272" t="inlineStr">
        <is>
          <t>NONE</t>
        </is>
      </c>
      <c r="H1272" t="inlineStr">
        <is>
          <t>Compliant</t>
        </is>
      </c>
      <c r="I1272" s="6" t="n"/>
      <c r="J1272" s="6" t="n"/>
      <c r="K1272">
        <f>IF(J1272="","",J1272-B1272)</f>
        <v/>
      </c>
      <c r="L1272">
        <f>IF(H1272="Compliant","N/A",IF(J1272&lt;&gt;"","Closed",IF(I1272&lt;DATE(2026,9,30),"OVERDUE","Open")))</f>
        <v/>
      </c>
    </row>
    <row r="1273">
      <c r="A1273" t="inlineStr">
        <is>
          <t>INSP-2026-1272</t>
        </is>
      </c>
      <c r="B1273" s="6" t="n">
        <v>46211</v>
      </c>
      <c r="C1273" t="inlineStr">
        <is>
          <t>U-RH437-01-05</t>
        </is>
      </c>
      <c r="D1273" t="inlineStr">
        <is>
          <t>Rimba Heights</t>
        </is>
      </c>
      <c r="E1273" t="inlineStr">
        <is>
          <t>daniel ong</t>
        </is>
      </c>
      <c r="F1273" t="inlineStr">
        <is>
          <t>Routine</t>
        </is>
      </c>
      <c r="G1273" t="inlineStr">
        <is>
          <t>UNAUTH_TRADE</t>
        </is>
      </c>
      <c r="H1273" t="inlineStr">
        <is>
          <t>Major Breach</t>
        </is>
      </c>
      <c r="I1273" s="6" t="n">
        <v>46218</v>
      </c>
      <c r="J1273" s="6" t="n">
        <v>46226</v>
      </c>
      <c r="K1273">
        <f>IF(J1273="","",J1273-B1273)</f>
        <v/>
      </c>
      <c r="L1273">
        <f>IF(H1273="Compliant","N/A",IF(J1273&lt;&gt;"","Closed",IF(I1273&lt;DATE(2026,9,30),"OVERDUE","Open")))</f>
        <v/>
      </c>
    </row>
    <row r="1274">
      <c r="A1274" t="inlineStr">
        <is>
          <t>INSP-2026-1273</t>
        </is>
      </c>
      <c r="B1274" s="6" t="n">
        <v>46211</v>
      </c>
      <c r="C1274" t="inlineStr">
        <is>
          <t>U-RH450-01-04</t>
        </is>
      </c>
      <c r="D1274" t="inlineStr">
        <is>
          <t>Rimba Heights</t>
        </is>
      </c>
      <c r="E1274" t="inlineStr">
        <is>
          <t>D. Ong</t>
        </is>
      </c>
      <c r="F1274" t="inlineStr">
        <is>
          <t>Routine</t>
        </is>
      </c>
      <c r="G1274" t="inlineStr">
        <is>
          <t>NONE</t>
        </is>
      </c>
      <c r="H1274" t="inlineStr">
        <is>
          <t>Compliant</t>
        </is>
      </c>
      <c r="I1274" s="6" t="n"/>
      <c r="J1274" s="6" t="n"/>
      <c r="K1274">
        <f>IF(J1274="","",J1274-B1274)</f>
        <v/>
      </c>
      <c r="L1274">
        <f>IF(H1274="Compliant","N/A",IF(J1274&lt;&gt;"","Closed",IF(I1274&lt;DATE(2026,9,30),"OVERDUE","Open")))</f>
        <v/>
      </c>
    </row>
    <row r="1275">
      <c r="A1275" t="inlineStr">
        <is>
          <t>INSP-2026-1274</t>
        </is>
      </c>
      <c r="B1275" s="6" t="n">
        <v>46211</v>
      </c>
      <c r="C1275" t="inlineStr">
        <is>
          <t>U-CD142-01-02</t>
        </is>
      </c>
      <c r="D1275" t="inlineStr">
        <is>
          <t>Cendana</t>
        </is>
      </c>
      <c r="E1275" t="inlineStr">
        <is>
          <t>marcus</t>
        </is>
      </c>
      <c r="F1275" t="inlineStr">
        <is>
          <t>Routine</t>
        </is>
      </c>
      <c r="G1275" t="inlineStr">
        <is>
          <t>NONE</t>
        </is>
      </c>
      <c r="H1275" t="inlineStr">
        <is>
          <t>Compliant</t>
        </is>
      </c>
      <c r="I1275" s="6" t="n"/>
      <c r="J1275" s="6" t="n"/>
      <c r="K1275">
        <f>IF(J1275="","",J1275-B1275)</f>
        <v/>
      </c>
      <c r="L1275">
        <f>IF(H1275="Compliant","N/A",IF(J1275&lt;&gt;"","Closed",IF(I1275&lt;DATE(2026,9,30),"OVERDUE","Open")))</f>
        <v/>
      </c>
    </row>
    <row r="1276">
      <c r="A1276" t="inlineStr">
        <is>
          <t>INSP-2026-1275</t>
        </is>
      </c>
      <c r="B1276" s="6" t="n">
        <v>46211</v>
      </c>
      <c r="C1276" t="inlineStr">
        <is>
          <t>U-KR333-01-03</t>
        </is>
      </c>
      <c r="D1276" t="inlineStr">
        <is>
          <t>Kebun Raya</t>
        </is>
      </c>
      <c r="E1276" t="inlineStr">
        <is>
          <t>Daniel O.</t>
        </is>
      </c>
      <c r="F1276" t="inlineStr">
        <is>
          <t>Routine</t>
        </is>
      </c>
      <c r="G1276" t="inlineStr">
        <is>
          <t>NONE</t>
        </is>
      </c>
      <c r="H1276" t="inlineStr">
        <is>
          <t>Compliant</t>
        </is>
      </c>
      <c r="I1276" s="6" t="n"/>
      <c r="J1276" s="6" t="n"/>
      <c r="K1276">
        <f>IF(J1276="","",J1276-B1276)</f>
        <v/>
      </c>
      <c r="L1276">
        <f>IF(H1276="Compliant","N/A",IF(J1276&lt;&gt;"","Closed",IF(I1276&lt;DATE(2026,9,30),"OVERDUE","Open")))</f>
        <v/>
      </c>
    </row>
    <row r="1277">
      <c r="A1277" t="inlineStr">
        <is>
          <t>INSP-2026-1276</t>
        </is>
      </c>
      <c r="B1277" s="6" t="n">
        <v>46211</v>
      </c>
      <c r="C1277" t="inlineStr">
        <is>
          <t>U-CD173-01-07</t>
        </is>
      </c>
      <c r="D1277" t="inlineStr">
        <is>
          <t>Cendana</t>
        </is>
      </c>
      <c r="E1277" t="inlineStr">
        <is>
          <t>Daniel O.</t>
        </is>
      </c>
      <c r="F1277" t="inlineStr">
        <is>
          <t>Routine</t>
        </is>
      </c>
      <c r="G1277" t="inlineStr">
        <is>
          <t>NONE</t>
        </is>
      </c>
      <c r="H1277" t="inlineStr">
        <is>
          <t>Compliant</t>
        </is>
      </c>
      <c r="I1277" s="6" t="n"/>
      <c r="J1277" s="6" t="n"/>
      <c r="K1277">
        <f>IF(J1277="","",J1277-B1277)</f>
        <v/>
      </c>
      <c r="L1277">
        <f>IF(H1277="Compliant","N/A",IF(J1277&lt;&gt;"","Closed",IF(I1277&lt;DATE(2026,9,30),"OVERDUE","Open")))</f>
        <v/>
      </c>
    </row>
    <row r="1278">
      <c r="A1278" t="inlineStr">
        <is>
          <t>INSP-2026-1277</t>
        </is>
      </c>
      <c r="B1278" s="6" t="n">
        <v>46212</v>
      </c>
      <c r="C1278" t="inlineStr">
        <is>
          <t>U-CD173-01-09</t>
        </is>
      </c>
      <c r="D1278" t="inlineStr">
        <is>
          <t>Cendana</t>
        </is>
      </c>
      <c r="E1278" t="inlineStr">
        <is>
          <t>marcus</t>
        </is>
      </c>
      <c r="F1278" t="inlineStr">
        <is>
          <t>Complaint-driven</t>
        </is>
      </c>
      <c r="G1278" t="inlineStr">
        <is>
          <t>FIRE_SAFETY</t>
        </is>
      </c>
      <c r="H1278" t="inlineStr">
        <is>
          <t>Major Breach</t>
        </is>
      </c>
      <c r="I1278" s="6" t="n">
        <v>46219</v>
      </c>
      <c r="J1278" s="6" t="n">
        <v>46214</v>
      </c>
      <c r="K1278">
        <f>IF(J1278="","",J1278-B1278)</f>
        <v/>
      </c>
      <c r="L1278">
        <f>IF(H1278="Compliant","N/A",IF(J1278&lt;&gt;"","Closed",IF(I1278&lt;DATE(2026,9,30),"OVERDUE","Open")))</f>
        <v/>
      </c>
    </row>
    <row r="1279">
      <c r="A1279" t="inlineStr">
        <is>
          <t>INSP-2026-1278</t>
        </is>
      </c>
      <c r="B1279" s="6" t="n">
        <v>46212</v>
      </c>
      <c r="C1279" t="inlineStr">
        <is>
          <t>U-BV229-01-10</t>
        </is>
      </c>
      <c r="D1279" t="inlineStr">
        <is>
          <t>Bayshore Vale</t>
        </is>
      </c>
      <c r="E1279" t="inlineStr">
        <is>
          <t>daniel ong</t>
        </is>
      </c>
      <c r="F1279" t="inlineStr">
        <is>
          <t>Routine</t>
        </is>
      </c>
      <c r="G1279" t="inlineStr">
        <is>
          <t>UNAUTH_SUBLET</t>
        </is>
      </c>
      <c r="H1279" t="inlineStr">
        <is>
          <t>Major Breach</t>
        </is>
      </c>
      <c r="I1279" s="6" t="n">
        <v>46219</v>
      </c>
      <c r="J1279" s="6" t="n">
        <v>46215</v>
      </c>
      <c r="K1279">
        <f>IF(J1279="","",J1279-B1279)</f>
        <v/>
      </c>
      <c r="L1279">
        <f>IF(H1279="Compliant","N/A",IF(J1279&lt;&gt;"","Closed",IF(I1279&lt;DATE(2026,9,30),"OVERDUE","Open")))</f>
        <v/>
      </c>
    </row>
    <row r="1280">
      <c r="A1280" t="inlineStr">
        <is>
          <t>INSP-2026-1279</t>
        </is>
      </c>
      <c r="B1280" s="6" t="n">
        <v>46212</v>
      </c>
      <c r="C1280" t="inlineStr">
        <is>
          <t>U-KR305-01-27</t>
        </is>
      </c>
      <c r="D1280" t="inlineStr">
        <is>
          <t>Kebun Raya</t>
        </is>
      </c>
      <c r="E1280" t="inlineStr">
        <is>
          <t>D. Ong</t>
        </is>
      </c>
      <c r="F1280" t="inlineStr">
        <is>
          <t>Follow-up</t>
        </is>
      </c>
      <c r="G1280" t="inlineStr">
        <is>
          <t>NONE</t>
        </is>
      </c>
      <c r="H1280" t="inlineStr">
        <is>
          <t>Compliant</t>
        </is>
      </c>
      <c r="I1280" s="6" t="n"/>
      <c r="J1280" s="6" t="n"/>
      <c r="K1280">
        <f>IF(J1280="","",J1280-B1280)</f>
        <v/>
      </c>
      <c r="L1280">
        <f>IF(H1280="Compliant","N/A",IF(J1280&lt;&gt;"","Closed",IF(I1280&lt;DATE(2026,9,30),"OVERDUE","Open")))</f>
        <v/>
      </c>
    </row>
    <row r="1281">
      <c r="A1281" t="inlineStr">
        <is>
          <t>INSP-2026-1280</t>
        </is>
      </c>
      <c r="B1281" s="6" t="n">
        <v>46212</v>
      </c>
      <c r="C1281" t="inlineStr">
        <is>
          <t>U-KR318-02-04</t>
        </is>
      </c>
      <c r="D1281" t="inlineStr">
        <is>
          <t>Kebun Raya</t>
        </is>
      </c>
      <c r="E1281" t="inlineStr">
        <is>
          <t>B. Ho</t>
        </is>
      </c>
      <c r="F1281" t="inlineStr">
        <is>
          <t>Routine</t>
        </is>
      </c>
      <c r="G1281" t="inlineStr">
        <is>
          <t>NONE</t>
        </is>
      </c>
      <c r="H1281" t="inlineStr">
        <is>
          <t>Compliant</t>
        </is>
      </c>
      <c r="I1281" s="6" t="n"/>
      <c r="J1281" s="6" t="n"/>
      <c r="K1281">
        <f>IF(J1281="","",J1281-B1281)</f>
        <v/>
      </c>
      <c r="L1281">
        <f>IF(H1281="Compliant","N/A",IF(J1281&lt;&gt;"","Closed",IF(I1281&lt;DATE(2026,9,30),"OVERDUE","Open")))</f>
        <v/>
      </c>
    </row>
    <row r="1282">
      <c r="A1282" t="inlineStr">
        <is>
          <t>INSP-2026-1281</t>
        </is>
      </c>
      <c r="B1282" s="6" t="n">
        <v>46213</v>
      </c>
      <c r="C1282" t="inlineStr">
        <is>
          <t>U-BV215-01-11</t>
        </is>
      </c>
      <c r="D1282" t="inlineStr">
        <is>
          <t>Bayshore Vale</t>
        </is>
      </c>
      <c r="E1282" t="inlineStr">
        <is>
          <t>daniel ong</t>
        </is>
      </c>
      <c r="F1282" t="inlineStr">
        <is>
          <t>Routine</t>
        </is>
      </c>
      <c r="G1282" t="inlineStr">
        <is>
          <t>NONE</t>
        </is>
      </c>
      <c r="H1282" t="inlineStr">
        <is>
          <t>Compliant</t>
        </is>
      </c>
      <c r="I1282" s="6" t="n"/>
      <c r="J1282" s="6" t="n"/>
      <c r="K1282">
        <f>IF(J1282="","",J1282-B1282)</f>
        <v/>
      </c>
      <c r="L1282">
        <f>IF(H1282="Compliant","N/A",IF(J1282&lt;&gt;"","Closed",IF(I1282&lt;DATE(2026,9,30),"OVERDUE","Open")))</f>
        <v/>
      </c>
    </row>
    <row r="1283">
      <c r="A1283" t="inlineStr">
        <is>
          <t>INSP-2026-1282</t>
        </is>
      </c>
      <c r="B1283" s="6" t="n">
        <v>46213</v>
      </c>
      <c r="C1283" t="inlineStr">
        <is>
          <t>U-BV214-02-34</t>
        </is>
      </c>
      <c r="D1283" t="inlineStr">
        <is>
          <t>Bayshore Vale</t>
        </is>
      </c>
      <c r="E1283" t="inlineStr">
        <is>
          <t>D. Ong</t>
        </is>
      </c>
      <c r="F1283" t="inlineStr">
        <is>
          <t>Routine</t>
        </is>
      </c>
      <c r="G1283" t="inlineStr">
        <is>
          <t>NONE</t>
        </is>
      </c>
      <c r="H1283" t="inlineStr">
        <is>
          <t>Compliant</t>
        </is>
      </c>
      <c r="I1283" s="6" t="n"/>
      <c r="J1283" s="6" t="n"/>
      <c r="K1283">
        <f>IF(J1283="","",J1283-B1283)</f>
        <v/>
      </c>
      <c r="L1283">
        <f>IF(H1283="Compliant","N/A",IF(J1283&lt;&gt;"","Closed",IF(I1283&lt;DATE(2026,9,30),"OVERDUE","Open")))</f>
        <v/>
      </c>
    </row>
    <row r="1284">
      <c r="A1284" t="inlineStr">
        <is>
          <t>INSP-2026-1283</t>
        </is>
      </c>
      <c r="B1284" s="6" t="n">
        <v>46214</v>
      </c>
      <c r="C1284" t="inlineStr">
        <is>
          <t>U-RH455-01-22</t>
        </is>
      </c>
      <c r="D1284" t="inlineStr">
        <is>
          <t>Rimba Heights</t>
        </is>
      </c>
      <c r="E1284" t="inlineStr">
        <is>
          <t>Ben Ho</t>
        </is>
      </c>
      <c r="F1284" t="inlineStr">
        <is>
          <t>Routine</t>
        </is>
      </c>
      <c r="G1284" t="inlineStr">
        <is>
          <t>DISPLAY_ENCROACH</t>
        </is>
      </c>
      <c r="H1284" t="inlineStr">
        <is>
          <t>Minor Breach</t>
        </is>
      </c>
      <c r="I1284" s="6" t="n">
        <v>46228</v>
      </c>
      <c r="J1284" s="6" t="n">
        <v>46230</v>
      </c>
      <c r="K1284">
        <f>IF(J1284="","",J1284-B1284)</f>
        <v/>
      </c>
      <c r="L1284">
        <f>IF(H1284="Compliant","N/A",IF(J1284&lt;&gt;"","Closed",IF(I1284&lt;DATE(2026,9,30),"OVERDUE","Open")))</f>
        <v/>
      </c>
    </row>
    <row r="1285">
      <c r="A1285" t="inlineStr">
        <is>
          <t>INSP-2026-1284</t>
        </is>
      </c>
      <c r="B1285" s="6" t="n">
        <v>46214</v>
      </c>
      <c r="C1285" t="inlineStr">
        <is>
          <t>U-KR305-01-08</t>
        </is>
      </c>
      <c r="D1285" t="inlineStr">
        <is>
          <t>Kebun Raya</t>
        </is>
      </c>
      <c r="E1285" t="inlineStr">
        <is>
          <t>Ben Ho</t>
        </is>
      </c>
      <c r="F1285" t="inlineStr">
        <is>
          <t>Complaint-driven</t>
        </is>
      </c>
      <c r="G1285" t="inlineStr">
        <is>
          <t>NONE</t>
        </is>
      </c>
      <c r="H1285" t="inlineStr">
        <is>
          <t>Compliant</t>
        </is>
      </c>
      <c r="I1285" s="6" t="n"/>
      <c r="J1285" s="6" t="n"/>
      <c r="K1285">
        <f>IF(J1285="","",J1285-B1285)</f>
        <v/>
      </c>
      <c r="L1285">
        <f>IF(H1285="Compliant","N/A",IF(J1285&lt;&gt;"","Closed",IF(I1285&lt;DATE(2026,9,30),"OVERDUE","Open")))</f>
        <v/>
      </c>
    </row>
    <row r="1286">
      <c r="A1286" t="inlineStr">
        <is>
          <t>INSP-2026-1285</t>
        </is>
      </c>
      <c r="B1286" s="6" t="n">
        <v>46214</v>
      </c>
      <c r="C1286" t="inlineStr">
        <is>
          <t>U-RH401-01-10</t>
        </is>
      </c>
      <c r="D1286" t="inlineStr">
        <is>
          <t>Rimba Heights</t>
        </is>
      </c>
      <c r="E1286" t="inlineStr">
        <is>
          <t>Benjamin Ho</t>
        </is>
      </c>
      <c r="F1286" t="inlineStr">
        <is>
          <t>Routine</t>
        </is>
      </c>
      <c r="G1286" t="inlineStr">
        <is>
          <t>NONE</t>
        </is>
      </c>
      <c r="H1286" t="inlineStr">
        <is>
          <t>Compliant</t>
        </is>
      </c>
      <c r="I1286" s="6" t="n"/>
      <c r="J1286" s="6" t="n"/>
      <c r="K1286">
        <f>IF(J1286="","",J1286-B1286)</f>
        <v/>
      </c>
      <c r="L1286">
        <f>IF(H1286="Compliant","N/A",IF(J1286&lt;&gt;"","Closed",IF(I1286&lt;DATE(2026,9,30),"OVERDUE","Open")))</f>
        <v/>
      </c>
    </row>
    <row r="1287">
      <c r="A1287" t="inlineStr">
        <is>
          <t>INSP-2026-1286</t>
        </is>
      </c>
      <c r="B1287" s="6" t="n">
        <v>46214</v>
      </c>
      <c r="C1287" t="inlineStr">
        <is>
          <t>U-PI627-02-18</t>
        </is>
      </c>
      <c r="D1287" t="inlineStr">
        <is>
          <t>Pasir Indah</t>
        </is>
      </c>
      <c r="E1287" t="inlineStr">
        <is>
          <t>Daniel Ong</t>
        </is>
      </c>
      <c r="F1287" t="inlineStr">
        <is>
          <t>Complaint-driven</t>
        </is>
      </c>
      <c r="G1287" t="inlineStr">
        <is>
          <t>UNAUTH_TRADE</t>
        </is>
      </c>
      <c r="H1287" t="inlineStr">
        <is>
          <t>Major Breach</t>
        </is>
      </c>
      <c r="I1287" s="6" t="n">
        <v>46221</v>
      </c>
      <c r="J1287" s="6" t="n">
        <v>46227</v>
      </c>
      <c r="K1287">
        <f>IF(J1287="","",J1287-B1287)</f>
        <v/>
      </c>
      <c r="L1287">
        <f>IF(H1287="Compliant","N/A",IF(J1287&lt;&gt;"","Closed",IF(I1287&lt;DATE(2026,9,30),"OVERDUE","Open")))</f>
        <v/>
      </c>
    </row>
    <row r="1288">
      <c r="A1288" t="inlineStr">
        <is>
          <t>INSP-2026-1287</t>
        </is>
      </c>
      <c r="B1288" s="6" t="n">
        <v>46214</v>
      </c>
      <c r="C1288" t="inlineStr">
        <is>
          <t>U-BV231-01-04</t>
        </is>
      </c>
      <c r="D1288" t="inlineStr">
        <is>
          <t>Bayshore Vale</t>
        </is>
      </c>
      <c r="E1288" t="inlineStr">
        <is>
          <t>Daniel Ong</t>
        </is>
      </c>
      <c r="F1288" t="inlineStr">
        <is>
          <t>Routine</t>
        </is>
      </c>
      <c r="G1288" t="inlineStr">
        <is>
          <t>NONE</t>
        </is>
      </c>
      <c r="H1288" t="inlineStr">
        <is>
          <t>Compliant</t>
        </is>
      </c>
      <c r="I1288" s="6" t="n"/>
      <c r="J1288" s="6" t="n"/>
      <c r="K1288">
        <f>IF(J1288="","",J1288-B1288)</f>
        <v/>
      </c>
      <c r="L1288">
        <f>IF(H1288="Compliant","N/A",IF(J1288&lt;&gt;"","Closed",IF(I1288&lt;DATE(2026,9,30),"OVERDUE","Open")))</f>
        <v/>
      </c>
    </row>
    <row r="1289">
      <c r="A1289" t="inlineStr">
        <is>
          <t>INSP-2026-1288</t>
        </is>
      </c>
      <c r="B1289" s="6" t="n">
        <v>46214</v>
      </c>
      <c r="C1289" t="inlineStr">
        <is>
          <t>U-ST512-01-21</t>
        </is>
      </c>
      <c r="D1289" t="inlineStr">
        <is>
          <t>Sungai Tinggi</t>
        </is>
      </c>
      <c r="E1289" t="inlineStr">
        <is>
          <t>Benjamin Ho</t>
        </is>
      </c>
      <c r="F1289" t="inlineStr">
        <is>
          <t>Routine</t>
        </is>
      </c>
      <c r="G1289" t="inlineStr">
        <is>
          <t>NONE</t>
        </is>
      </c>
      <c r="H1289" t="inlineStr">
        <is>
          <t>Compliant</t>
        </is>
      </c>
      <c r="I1289" s="6" t="n"/>
      <c r="J1289" s="6" t="n"/>
      <c r="K1289">
        <f>IF(J1289="","",J1289-B1289)</f>
        <v/>
      </c>
      <c r="L1289">
        <f>IF(H1289="Compliant","N/A",IF(J1289&lt;&gt;"","Closed",IF(I1289&lt;DATE(2026,9,30),"OVERDUE","Open")))</f>
        <v/>
      </c>
    </row>
    <row r="1290">
      <c r="A1290" t="inlineStr">
        <is>
          <t>INSP-2026-1289</t>
        </is>
      </c>
      <c r="B1290" s="6" t="n">
        <v>46214</v>
      </c>
      <c r="C1290" t="inlineStr">
        <is>
          <t>U-PI696-01-02</t>
        </is>
      </c>
      <c r="D1290" t="inlineStr">
        <is>
          <t>Pasir Indah</t>
        </is>
      </c>
      <c r="E1290" t="inlineStr">
        <is>
          <t>Marcus Lim</t>
        </is>
      </c>
      <c r="F1290" t="inlineStr">
        <is>
          <t>Follow-up</t>
        </is>
      </c>
      <c r="G1290" t="inlineStr">
        <is>
          <t>HYGIENE</t>
        </is>
      </c>
      <c r="H1290" t="inlineStr">
        <is>
          <t>Minor Breach</t>
        </is>
      </c>
      <c r="I1290" s="6" t="n">
        <v>46228</v>
      </c>
      <c r="J1290" s="6" t="n">
        <v>46228</v>
      </c>
      <c r="K1290">
        <f>IF(J1290="","",J1290-B1290)</f>
        <v/>
      </c>
      <c r="L1290">
        <f>IF(H1290="Compliant","N/A",IF(J1290&lt;&gt;"","Closed",IF(I1290&lt;DATE(2026,9,30),"OVERDUE","Open")))</f>
        <v/>
      </c>
    </row>
    <row r="1291">
      <c r="A1291" t="inlineStr">
        <is>
          <t>INSP-2026-1290</t>
        </is>
      </c>
      <c r="B1291" s="6" t="n">
        <v>46214</v>
      </c>
      <c r="C1291" t="inlineStr">
        <is>
          <t>U-PI668-01-09</t>
        </is>
      </c>
      <c r="D1291" t="inlineStr">
        <is>
          <t>Pasir Indah</t>
        </is>
      </c>
      <c r="E1291" t="inlineStr">
        <is>
          <t>Marcus Lim</t>
        </is>
      </c>
      <c r="F1291" t="inlineStr">
        <is>
          <t>Routine</t>
        </is>
      </c>
      <c r="G1291" t="inlineStr">
        <is>
          <t>NONE</t>
        </is>
      </c>
      <c r="H1291" t="inlineStr">
        <is>
          <t>Compliant</t>
        </is>
      </c>
      <c r="I1291" s="6" t="n"/>
      <c r="J1291" s="6" t="n"/>
      <c r="K1291">
        <f>IF(J1291="","",J1291-B1291)</f>
        <v/>
      </c>
      <c r="L1291">
        <f>IF(H1291="Compliant","N/A",IF(J1291&lt;&gt;"","Closed",IF(I1291&lt;DATE(2026,9,30),"OVERDUE","Open")))</f>
        <v/>
      </c>
    </row>
    <row r="1292">
      <c r="A1292" t="inlineStr">
        <is>
          <t>INSP-2026-1291</t>
        </is>
      </c>
      <c r="B1292" s="6" t="n">
        <v>46215</v>
      </c>
      <c r="C1292" t="inlineStr">
        <is>
          <t>U-KR335-01-07</t>
        </is>
      </c>
      <c r="D1292" t="inlineStr">
        <is>
          <t>Kebun Raya</t>
        </is>
      </c>
      <c r="E1292" t="inlineStr">
        <is>
          <t>Daniel Ong</t>
        </is>
      </c>
      <c r="F1292" t="inlineStr">
        <is>
          <t>Routine</t>
        </is>
      </c>
      <c r="G1292" t="inlineStr">
        <is>
          <t>NONE</t>
        </is>
      </c>
      <c r="H1292" t="inlineStr">
        <is>
          <t>Compliant</t>
        </is>
      </c>
      <c r="I1292" s="6" t="n"/>
      <c r="J1292" s="6" t="n"/>
      <c r="K1292">
        <f>IF(J1292="","",J1292-B1292)</f>
        <v/>
      </c>
      <c r="L1292">
        <f>IF(H1292="Compliant","N/A",IF(J1292&lt;&gt;"","Closed",IF(I1292&lt;DATE(2026,9,30),"OVERDUE","Open")))</f>
        <v/>
      </c>
    </row>
    <row r="1293">
      <c r="A1293" t="inlineStr">
        <is>
          <t>INSP-2026-1292</t>
        </is>
      </c>
      <c r="B1293" s="6" t="n">
        <v>46215</v>
      </c>
      <c r="C1293" t="inlineStr">
        <is>
          <t>U-BV290-01-10</t>
        </is>
      </c>
      <c r="D1293" t="inlineStr">
        <is>
          <t>Bayshore Vale</t>
        </is>
      </c>
      <c r="E1293" t="inlineStr">
        <is>
          <t>daniel ong</t>
        </is>
      </c>
      <c r="F1293" t="inlineStr">
        <is>
          <t>Follow-up</t>
        </is>
      </c>
      <c r="G1293" t="inlineStr">
        <is>
          <t>NONE</t>
        </is>
      </c>
      <c r="H1293" t="inlineStr">
        <is>
          <t>Compliant</t>
        </is>
      </c>
      <c r="I1293" s="6" t="n"/>
      <c r="J1293" s="6" t="n"/>
      <c r="K1293">
        <f>IF(J1293="","",J1293-B1293)</f>
        <v/>
      </c>
      <c r="L1293">
        <f>IF(H1293="Compliant","N/A",IF(J1293&lt;&gt;"","Closed",IF(I1293&lt;DATE(2026,9,30),"OVERDUE","Open")))</f>
        <v/>
      </c>
    </row>
    <row r="1294">
      <c r="A1294" t="inlineStr">
        <is>
          <t>INSP-2026-1293</t>
        </is>
      </c>
      <c r="B1294" s="6" t="n">
        <v>46215</v>
      </c>
      <c r="C1294" t="inlineStr">
        <is>
          <t>U-RH437-01-10</t>
        </is>
      </c>
      <c r="D1294" t="inlineStr">
        <is>
          <t>Rimba Heights</t>
        </is>
      </c>
      <c r="E1294" t="inlineStr">
        <is>
          <t>Benjamin Ho</t>
        </is>
      </c>
      <c r="F1294" t="inlineStr">
        <is>
          <t>Routine</t>
        </is>
      </c>
      <c r="G1294" t="inlineStr">
        <is>
          <t>NONE</t>
        </is>
      </c>
      <c r="H1294" t="inlineStr">
        <is>
          <t>Compliant</t>
        </is>
      </c>
      <c r="I1294" s="6" t="n"/>
      <c r="J1294" s="6" t="n"/>
      <c r="K1294">
        <f>IF(J1294="","",J1294-B1294)</f>
        <v/>
      </c>
      <c r="L1294">
        <f>IF(H1294="Compliant","N/A",IF(J1294&lt;&gt;"","Closed",IF(I1294&lt;DATE(2026,9,30),"OVERDUE","Open")))</f>
        <v/>
      </c>
    </row>
    <row r="1295">
      <c r="A1295" t="inlineStr">
        <is>
          <t>INSP-2026-1294</t>
        </is>
      </c>
      <c r="B1295" s="6" t="n">
        <v>46215</v>
      </c>
      <c r="C1295" t="inlineStr">
        <is>
          <t>U-RH456-01-01</t>
        </is>
      </c>
      <c r="D1295" t="inlineStr">
        <is>
          <t>Rimba Heights</t>
        </is>
      </c>
      <c r="E1295" t="inlineStr">
        <is>
          <t>B. Ho</t>
        </is>
      </c>
      <c r="F1295" t="inlineStr">
        <is>
          <t>Routine</t>
        </is>
      </c>
      <c r="G1295" t="inlineStr">
        <is>
          <t>UNAPPROVED_AA</t>
        </is>
      </c>
      <c r="H1295" t="inlineStr">
        <is>
          <t>Minor Breach</t>
        </is>
      </c>
      <c r="I1295" s="6" t="n">
        <v>46229</v>
      </c>
      <c r="J1295" s="6" t="n">
        <v>46236</v>
      </c>
      <c r="K1295">
        <f>IF(J1295="","",J1295-B1295)</f>
        <v/>
      </c>
      <c r="L1295">
        <f>IF(H1295="Compliant","N/A",IF(J1295&lt;&gt;"","Closed",IF(I1295&lt;DATE(2026,9,30),"OVERDUE","Open")))</f>
        <v/>
      </c>
    </row>
    <row r="1296">
      <c r="A1296" t="inlineStr">
        <is>
          <t>INSP-2026-1295</t>
        </is>
      </c>
      <c r="B1296" s="6" t="n">
        <v>46215</v>
      </c>
      <c r="C1296" t="inlineStr">
        <is>
          <t>U-CD174-01-10</t>
        </is>
      </c>
      <c r="D1296" t="inlineStr">
        <is>
          <t>Cendana</t>
        </is>
      </c>
      <c r="E1296" t="inlineStr">
        <is>
          <t>Daniel O.</t>
        </is>
      </c>
      <c r="F1296" t="inlineStr">
        <is>
          <t>Routine</t>
        </is>
      </c>
      <c r="G1296" t="inlineStr">
        <is>
          <t>NONE</t>
        </is>
      </c>
      <c r="H1296" t="inlineStr">
        <is>
          <t>Compliant</t>
        </is>
      </c>
      <c r="I1296" s="6" t="n"/>
      <c r="J1296" s="6" t="n"/>
      <c r="K1296">
        <f>IF(J1296="","",J1296-B1296)</f>
        <v/>
      </c>
      <c r="L1296">
        <f>IF(H1296="Compliant","N/A",IF(J1296&lt;&gt;"","Closed",IF(I1296&lt;DATE(2026,9,30),"OVERDUE","Open")))</f>
        <v/>
      </c>
    </row>
    <row r="1297">
      <c r="A1297" t="inlineStr">
        <is>
          <t>INSP-2026-1296</t>
        </is>
      </c>
      <c r="B1297" s="6" t="n">
        <v>46215</v>
      </c>
      <c r="C1297" t="inlineStr">
        <is>
          <t>U-PI627-01-06</t>
        </is>
      </c>
      <c r="D1297" t="inlineStr">
        <is>
          <t>Pasir Indah</t>
        </is>
      </c>
      <c r="E1297" t="inlineStr">
        <is>
          <t>marcus</t>
        </is>
      </c>
      <c r="F1297" t="inlineStr">
        <is>
          <t>Follow-up</t>
        </is>
      </c>
      <c r="G1297" t="inlineStr">
        <is>
          <t>NONE</t>
        </is>
      </c>
      <c r="H1297" t="inlineStr">
        <is>
          <t>Compliant</t>
        </is>
      </c>
      <c r="I1297" s="6" t="n"/>
      <c r="J1297" s="6" t="n"/>
      <c r="K1297">
        <f>IF(J1297="","",J1297-B1297)</f>
        <v/>
      </c>
      <c r="L1297">
        <f>IF(H1297="Compliant","N/A",IF(J1297&lt;&gt;"","Closed",IF(I1297&lt;DATE(2026,9,30),"OVERDUE","Open")))</f>
        <v/>
      </c>
    </row>
    <row r="1298">
      <c r="A1298" t="inlineStr">
        <is>
          <t>INSP-2026-1297</t>
        </is>
      </c>
      <c r="B1298" s="6" t="n">
        <v>46215</v>
      </c>
      <c r="C1298" t="inlineStr">
        <is>
          <t>U-BV271-01-07</t>
        </is>
      </c>
      <c r="D1298" t="inlineStr">
        <is>
          <t>Bayshore Vale</t>
        </is>
      </c>
      <c r="E1298" t="inlineStr">
        <is>
          <t>marcus</t>
        </is>
      </c>
      <c r="F1298" t="inlineStr">
        <is>
          <t>Routine</t>
        </is>
      </c>
      <c r="G1298" t="inlineStr">
        <is>
          <t>STRUCTURAL_DEFECT</t>
        </is>
      </c>
      <c r="H1298" t="inlineStr">
        <is>
          <t>Major Breach</t>
        </is>
      </c>
      <c r="I1298" s="6" t="n">
        <v>46222</v>
      </c>
      <c r="J1298" s="6" t="n">
        <v>46232</v>
      </c>
      <c r="K1298">
        <f>IF(J1298="","",J1298-B1298)</f>
        <v/>
      </c>
      <c r="L1298">
        <f>IF(H1298="Compliant","N/A",IF(J1298&lt;&gt;"","Closed",IF(I1298&lt;DATE(2026,9,30),"OVERDUE","Open")))</f>
        <v/>
      </c>
    </row>
    <row r="1299">
      <c r="A1299" t="inlineStr">
        <is>
          <t>INSP-2026-1298</t>
        </is>
      </c>
      <c r="B1299" s="6" t="n">
        <v>46215</v>
      </c>
      <c r="C1299" t="inlineStr">
        <is>
          <t>U-CD129-01-02</t>
        </is>
      </c>
      <c r="D1299" t="inlineStr">
        <is>
          <t>Cendana</t>
        </is>
      </c>
      <c r="E1299" t="inlineStr">
        <is>
          <t>daniel ong</t>
        </is>
      </c>
      <c r="F1299" t="inlineStr">
        <is>
          <t>Routine</t>
        </is>
      </c>
      <c r="G1299" t="inlineStr">
        <is>
          <t>NONE</t>
        </is>
      </c>
      <c r="H1299" t="inlineStr">
        <is>
          <t>Compliant</t>
        </is>
      </c>
      <c r="I1299" s="6" t="n"/>
      <c r="J1299" s="6" t="n"/>
      <c r="K1299">
        <f>IF(J1299="","",J1299-B1299)</f>
        <v/>
      </c>
      <c r="L1299">
        <f>IF(H1299="Compliant","N/A",IF(J1299&lt;&gt;"","Closed",IF(I1299&lt;DATE(2026,9,30),"OVERDUE","Open")))</f>
        <v/>
      </c>
    </row>
    <row r="1300">
      <c r="A1300" t="inlineStr">
        <is>
          <t>INSP-2026-1299</t>
        </is>
      </c>
      <c r="B1300" s="6" t="n">
        <v>46215</v>
      </c>
      <c r="C1300" t="inlineStr">
        <is>
          <t>U-KR330-01-07</t>
        </is>
      </c>
      <c r="D1300" t="inlineStr">
        <is>
          <t>Kebun Raya</t>
        </is>
      </c>
      <c r="E1300" t="inlineStr">
        <is>
          <t>daniel ong</t>
        </is>
      </c>
      <c r="F1300" t="inlineStr">
        <is>
          <t>Routine</t>
        </is>
      </c>
      <c r="G1300" t="inlineStr">
        <is>
          <t>NONE</t>
        </is>
      </c>
      <c r="H1300" t="inlineStr">
        <is>
          <t>Compliant</t>
        </is>
      </c>
      <c r="I1300" s="6" t="n"/>
      <c r="J1300" s="6" t="n"/>
      <c r="K1300">
        <f>IF(J1300="","",J1300-B1300)</f>
        <v/>
      </c>
      <c r="L1300">
        <f>IF(H1300="Compliant","N/A",IF(J1300&lt;&gt;"","Closed",IF(I1300&lt;DATE(2026,9,30),"OVERDUE","Open")))</f>
        <v/>
      </c>
    </row>
    <row r="1301">
      <c r="A1301" t="inlineStr">
        <is>
          <t>INSP-2026-1300</t>
        </is>
      </c>
      <c r="B1301" s="6" t="n">
        <v>46215</v>
      </c>
      <c r="C1301" t="inlineStr">
        <is>
          <t>U-BV233-01-10</t>
        </is>
      </c>
      <c r="D1301" t="inlineStr">
        <is>
          <t>Bayshore Vale</t>
        </is>
      </c>
      <c r="E1301" t="inlineStr">
        <is>
          <t>daniel ong</t>
        </is>
      </c>
      <c r="F1301" t="inlineStr">
        <is>
          <t>Follow-up</t>
        </is>
      </c>
      <c r="G1301" t="inlineStr">
        <is>
          <t>NONE</t>
        </is>
      </c>
      <c r="H1301" t="inlineStr">
        <is>
          <t>Compliant</t>
        </is>
      </c>
      <c r="I1301" s="6" t="n"/>
      <c r="J1301" s="6" t="n"/>
      <c r="K1301">
        <f>IF(J1301="","",J1301-B1301)</f>
        <v/>
      </c>
      <c r="L1301">
        <f>IF(H1301="Compliant","N/A",IF(J1301&lt;&gt;"","Closed",IF(I1301&lt;DATE(2026,9,30),"OVERDUE","Open")))</f>
        <v/>
      </c>
    </row>
    <row r="1302">
      <c r="A1302" t="inlineStr">
        <is>
          <t>INSP-2026-1301</t>
        </is>
      </c>
      <c r="B1302" s="6" t="n">
        <v>46216</v>
      </c>
      <c r="C1302" t="inlineStr">
        <is>
          <t>U-PI651-01-03</t>
        </is>
      </c>
      <c r="D1302" t="inlineStr">
        <is>
          <t>Pasir Indah</t>
        </is>
      </c>
      <c r="E1302" t="inlineStr">
        <is>
          <t>Daniel Ong</t>
        </is>
      </c>
      <c r="F1302" t="inlineStr">
        <is>
          <t>Routine</t>
        </is>
      </c>
      <c r="G1302" t="inlineStr">
        <is>
          <t>UNAUTH_TRADE</t>
        </is>
      </c>
      <c r="H1302" t="inlineStr">
        <is>
          <t>Major Breach</t>
        </is>
      </c>
      <c r="I1302" s="6" t="n">
        <v>46223</v>
      </c>
      <c r="J1302" s="6" t="n">
        <v>46232</v>
      </c>
      <c r="K1302">
        <f>IF(J1302="","",J1302-B1302)</f>
        <v/>
      </c>
      <c r="L1302">
        <f>IF(H1302="Compliant","N/A",IF(J1302&lt;&gt;"","Closed",IF(I1302&lt;DATE(2026,9,30),"OVERDUE","Open")))</f>
        <v/>
      </c>
    </row>
    <row r="1303">
      <c r="A1303" t="inlineStr">
        <is>
          <t>INSP-2026-1302</t>
        </is>
      </c>
      <c r="B1303" s="6" t="n">
        <v>46216</v>
      </c>
      <c r="C1303" t="inlineStr">
        <is>
          <t>U-KR369-01-06</t>
        </is>
      </c>
      <c r="D1303" t="inlineStr">
        <is>
          <t>Kebun Raya</t>
        </is>
      </c>
      <c r="E1303" t="inlineStr">
        <is>
          <t>Benjamin Ho</t>
        </is>
      </c>
      <c r="F1303" t="inlineStr">
        <is>
          <t>Routine</t>
        </is>
      </c>
      <c r="G1303" t="inlineStr">
        <is>
          <t>NONE</t>
        </is>
      </c>
      <c r="H1303" t="inlineStr">
        <is>
          <t>Compliant</t>
        </is>
      </c>
      <c r="I1303" s="6" t="n"/>
      <c r="J1303" s="6" t="n"/>
      <c r="K1303">
        <f>IF(J1303="","",J1303-B1303)</f>
        <v/>
      </c>
      <c r="L1303">
        <f>IF(H1303="Compliant","N/A",IF(J1303&lt;&gt;"","Closed",IF(I1303&lt;DATE(2026,9,30),"OVERDUE","Open")))</f>
        <v/>
      </c>
    </row>
    <row r="1304">
      <c r="A1304" t="inlineStr">
        <is>
          <t>INSP-2026-1303</t>
        </is>
      </c>
      <c r="B1304" s="6" t="n">
        <v>46216</v>
      </c>
      <c r="C1304" t="inlineStr">
        <is>
          <t>U-ST535-01-03</t>
        </is>
      </c>
      <c r="D1304" t="inlineStr">
        <is>
          <t>Sungai Tinggi</t>
        </is>
      </c>
      <c r="E1304" t="inlineStr">
        <is>
          <t>Daniel Ong</t>
        </is>
      </c>
      <c r="F1304" t="inlineStr">
        <is>
          <t>Complaint-driven</t>
        </is>
      </c>
      <c r="G1304" t="inlineStr">
        <is>
          <t>NONE</t>
        </is>
      </c>
      <c r="H1304" t="inlineStr">
        <is>
          <t>Compliant</t>
        </is>
      </c>
      <c r="I1304" s="6" t="n"/>
      <c r="J1304" s="6" t="n"/>
      <c r="K1304">
        <f>IF(J1304="","",J1304-B1304)</f>
        <v/>
      </c>
      <c r="L1304">
        <f>IF(H1304="Compliant","N/A",IF(J1304&lt;&gt;"","Closed",IF(I1304&lt;DATE(2026,9,30),"OVERDUE","Open")))</f>
        <v/>
      </c>
    </row>
    <row r="1305">
      <c r="A1305" t="inlineStr">
        <is>
          <t>INSP-2026-1304</t>
        </is>
      </c>
      <c r="B1305" s="6" t="n">
        <v>46216</v>
      </c>
      <c r="C1305" t="inlineStr">
        <is>
          <t>U-KR345-01-14</t>
        </is>
      </c>
      <c r="D1305" t="inlineStr">
        <is>
          <t>Kebun Raya</t>
        </is>
      </c>
      <c r="E1305" t="inlineStr">
        <is>
          <t>Daniel O.</t>
        </is>
      </c>
      <c r="F1305" t="inlineStr">
        <is>
          <t>Routine</t>
        </is>
      </c>
      <c r="G1305" t="inlineStr">
        <is>
          <t>DISPLAY_ENCROACH</t>
        </is>
      </c>
      <c r="H1305" t="inlineStr">
        <is>
          <t>Minor Breach</t>
        </is>
      </c>
      <c r="I1305" s="6" t="n">
        <v>46230</v>
      </c>
      <c r="J1305" s="6" t="n">
        <v>46229</v>
      </c>
      <c r="K1305">
        <f>IF(J1305="","",J1305-B1305)</f>
        <v/>
      </c>
      <c r="L1305">
        <f>IF(H1305="Compliant","N/A",IF(J1305&lt;&gt;"","Closed",IF(I1305&lt;DATE(2026,9,30),"OVERDUE","Open")))</f>
        <v/>
      </c>
    </row>
    <row r="1306">
      <c r="A1306" t="inlineStr">
        <is>
          <t>INSP-2026-1305</t>
        </is>
      </c>
      <c r="B1306" s="6" t="n">
        <v>46216</v>
      </c>
      <c r="C1306" t="inlineStr">
        <is>
          <t>U-CD153-02-01</t>
        </is>
      </c>
      <c r="D1306" t="inlineStr">
        <is>
          <t>Cendana</t>
        </is>
      </c>
      <c r="E1306" t="inlineStr">
        <is>
          <t>marcus</t>
        </is>
      </c>
      <c r="F1306" t="inlineStr">
        <is>
          <t>Routine</t>
        </is>
      </c>
      <c r="G1306" t="inlineStr">
        <is>
          <t>FIRE_SAFETY</t>
        </is>
      </c>
      <c r="H1306" t="inlineStr">
        <is>
          <t>Major Breach</t>
        </is>
      </c>
      <c r="I1306" s="6" t="n">
        <v>46223</v>
      </c>
      <c r="J1306" s="6" t="n"/>
      <c r="K1306">
        <f>IF(J1306="","",J1306-B1306)</f>
        <v/>
      </c>
      <c r="L1306">
        <f>IF(H1306="Compliant","N/A",IF(J1306&lt;&gt;"","Closed",IF(I1306&lt;DATE(2026,9,30),"OVERDUE","Open")))</f>
        <v/>
      </c>
    </row>
    <row r="1307">
      <c r="A1307" t="inlineStr">
        <is>
          <t>INSP-2026-1306</t>
        </is>
      </c>
      <c r="B1307" s="6" t="n">
        <v>46216</v>
      </c>
      <c r="C1307" t="inlineStr">
        <is>
          <t>U-RH471-01-01</t>
        </is>
      </c>
      <c r="D1307" t="inlineStr">
        <is>
          <t>Rimba Heights</t>
        </is>
      </c>
      <c r="E1307" t="inlineStr">
        <is>
          <t>B. Ho</t>
        </is>
      </c>
      <c r="F1307" t="inlineStr">
        <is>
          <t>Follow-up</t>
        </is>
      </c>
      <c r="G1307" t="inlineStr">
        <is>
          <t>NONE</t>
        </is>
      </c>
      <c r="H1307" t="inlineStr">
        <is>
          <t>Compliant</t>
        </is>
      </c>
      <c r="I1307" s="6" t="n"/>
      <c r="J1307" s="6" t="n"/>
      <c r="K1307">
        <f>IF(J1307="","",J1307-B1307)</f>
        <v/>
      </c>
      <c r="L1307">
        <f>IF(H1307="Compliant","N/A",IF(J1307&lt;&gt;"","Closed",IF(I1307&lt;DATE(2026,9,30),"OVERDUE","Open")))</f>
        <v/>
      </c>
    </row>
    <row r="1308">
      <c r="A1308" t="inlineStr">
        <is>
          <t>INSP-2026-1307</t>
        </is>
      </c>
      <c r="B1308" s="6" t="n">
        <v>46216</v>
      </c>
      <c r="C1308" t="inlineStr">
        <is>
          <t>U-RH428-01-07</t>
        </is>
      </c>
      <c r="D1308" t="inlineStr">
        <is>
          <t>Rimba Heights</t>
        </is>
      </c>
      <c r="E1308" t="inlineStr">
        <is>
          <t>Daniel O.</t>
        </is>
      </c>
      <c r="F1308" t="inlineStr">
        <is>
          <t>Follow-up</t>
        </is>
      </c>
      <c r="G1308" t="inlineStr">
        <is>
          <t>NONE</t>
        </is>
      </c>
      <c r="H1308" t="inlineStr">
        <is>
          <t>Compliant</t>
        </is>
      </c>
      <c r="I1308" s="6" t="n"/>
      <c r="J1308" s="6" t="n"/>
      <c r="K1308">
        <f>IF(J1308="","",J1308-B1308)</f>
        <v/>
      </c>
      <c r="L1308">
        <f>IF(H1308="Compliant","N/A",IF(J1308&lt;&gt;"","Closed",IF(I1308&lt;DATE(2026,9,30),"OVERDUE","Open")))</f>
        <v/>
      </c>
    </row>
    <row r="1309">
      <c r="A1309" t="inlineStr">
        <is>
          <t>INSP-2026-1308</t>
        </is>
      </c>
      <c r="B1309" s="6" t="n">
        <v>46217</v>
      </c>
      <c r="C1309" t="inlineStr">
        <is>
          <t>U-CD108-01-01</t>
        </is>
      </c>
      <c r="D1309" t="inlineStr">
        <is>
          <t>Cendana</t>
        </is>
      </c>
      <c r="E1309" t="inlineStr">
        <is>
          <t>Daniel O.</t>
        </is>
      </c>
      <c r="F1309" t="inlineStr">
        <is>
          <t>Routine</t>
        </is>
      </c>
      <c r="G1309" t="inlineStr">
        <is>
          <t>NONE</t>
        </is>
      </c>
      <c r="H1309" t="inlineStr">
        <is>
          <t>Compliant</t>
        </is>
      </c>
      <c r="I1309" s="6" t="n"/>
      <c r="J1309" s="6" t="n"/>
      <c r="K1309">
        <f>IF(J1309="","",J1309-B1309)</f>
        <v/>
      </c>
      <c r="L1309">
        <f>IF(H1309="Compliant","N/A",IF(J1309&lt;&gt;"","Closed",IF(I1309&lt;DATE(2026,9,30),"OVERDUE","Open")))</f>
        <v/>
      </c>
    </row>
    <row r="1310">
      <c r="A1310" t="inlineStr">
        <is>
          <t>INSP-2026-1309</t>
        </is>
      </c>
      <c r="B1310" s="6" t="n">
        <v>46217</v>
      </c>
      <c r="C1310" t="inlineStr">
        <is>
          <t>U-ST513-01-03</t>
        </is>
      </c>
      <c r="D1310" t="inlineStr">
        <is>
          <t>Sungai Tinggi</t>
        </is>
      </c>
      <c r="E1310" t="inlineStr">
        <is>
          <t>Daniel O.</t>
        </is>
      </c>
      <c r="F1310" t="inlineStr">
        <is>
          <t>Routine</t>
        </is>
      </c>
      <c r="G1310" t="inlineStr">
        <is>
          <t>DISPLAY_ENCROACH</t>
        </is>
      </c>
      <c r="H1310" t="inlineStr">
        <is>
          <t>Minor Breach</t>
        </is>
      </c>
      <c r="I1310" s="6" t="n">
        <v>46231</v>
      </c>
      <c r="J1310" s="6" t="n"/>
      <c r="K1310">
        <f>IF(J1310="","",J1310-B1310)</f>
        <v/>
      </c>
      <c r="L1310">
        <f>IF(H1310="Compliant","N/A",IF(J1310&lt;&gt;"","Closed",IF(I1310&lt;DATE(2026,9,30),"OVERDUE","Open")))</f>
        <v/>
      </c>
    </row>
    <row r="1311">
      <c r="A1311" t="inlineStr">
        <is>
          <t>INSP-2026-1310</t>
        </is>
      </c>
      <c r="B1311" s="6" t="n">
        <v>46217</v>
      </c>
      <c r="C1311" t="inlineStr">
        <is>
          <t>U-KR305-01-34</t>
        </is>
      </c>
      <c r="D1311" t="inlineStr">
        <is>
          <t>Kebun Raya</t>
        </is>
      </c>
      <c r="E1311" t="inlineStr">
        <is>
          <t>daniel ong</t>
        </is>
      </c>
      <c r="F1311" t="inlineStr">
        <is>
          <t>Routine</t>
        </is>
      </c>
      <c r="G1311" t="inlineStr">
        <is>
          <t>HYGIENE</t>
        </is>
      </c>
      <c r="H1311" t="inlineStr">
        <is>
          <t>Minor Breach</t>
        </is>
      </c>
      <c r="I1311" s="6" t="n">
        <v>46231</v>
      </c>
      <c r="J1311" s="6" t="n">
        <v>46235</v>
      </c>
      <c r="K1311">
        <f>IF(J1311="","",J1311-B1311)</f>
        <v/>
      </c>
      <c r="L1311">
        <f>IF(H1311="Compliant","N/A",IF(J1311&lt;&gt;"","Closed",IF(I1311&lt;DATE(2026,9,30),"OVERDUE","Open")))</f>
        <v/>
      </c>
    </row>
    <row r="1312">
      <c r="A1312" t="inlineStr">
        <is>
          <t>INSP-2026-1311</t>
        </is>
      </c>
      <c r="B1312" s="6" t="n">
        <v>46217</v>
      </c>
      <c r="C1312" t="inlineStr">
        <is>
          <t>U-RH463-01-01</t>
        </is>
      </c>
      <c r="D1312" t="inlineStr">
        <is>
          <t>Rimba Heights</t>
        </is>
      </c>
      <c r="E1312" t="inlineStr">
        <is>
          <t>Daniel O.</t>
        </is>
      </c>
      <c r="F1312" t="inlineStr">
        <is>
          <t>Follow-up</t>
        </is>
      </c>
      <c r="G1312" t="inlineStr">
        <is>
          <t>NONE</t>
        </is>
      </c>
      <c r="H1312" t="inlineStr">
        <is>
          <t>Compliant</t>
        </is>
      </c>
      <c r="I1312" s="6" t="n"/>
      <c r="J1312" s="6" t="n"/>
      <c r="K1312">
        <f>IF(J1312="","",J1312-B1312)</f>
        <v/>
      </c>
      <c r="L1312">
        <f>IF(H1312="Compliant","N/A",IF(J1312&lt;&gt;"","Closed",IF(I1312&lt;DATE(2026,9,30),"OVERDUE","Open")))</f>
        <v/>
      </c>
    </row>
    <row r="1313">
      <c r="A1313" t="inlineStr">
        <is>
          <t>INSP-2026-1312</t>
        </is>
      </c>
      <c r="B1313" s="6" t="n">
        <v>46217</v>
      </c>
      <c r="C1313" t="inlineStr">
        <is>
          <t>U-BV277-01-03</t>
        </is>
      </c>
      <c r="D1313" t="inlineStr">
        <is>
          <t>Bayshore Vale</t>
        </is>
      </c>
      <c r="E1313" t="inlineStr">
        <is>
          <t>D. Ong</t>
        </is>
      </c>
      <c r="F1313" t="inlineStr">
        <is>
          <t>Routine</t>
        </is>
      </c>
      <c r="G1313" t="inlineStr">
        <is>
          <t>NONE</t>
        </is>
      </c>
      <c r="H1313" t="inlineStr">
        <is>
          <t>Compliant</t>
        </is>
      </c>
      <c r="I1313" s="6" t="n"/>
      <c r="J1313" s="6" t="n"/>
      <c r="K1313">
        <f>IF(J1313="","",J1313-B1313)</f>
        <v/>
      </c>
      <c r="L1313">
        <f>IF(H1313="Compliant","N/A",IF(J1313&lt;&gt;"","Closed",IF(I1313&lt;DATE(2026,9,30),"OVERDUE","Open")))</f>
        <v/>
      </c>
    </row>
    <row r="1314">
      <c r="A1314" t="inlineStr">
        <is>
          <t>INSP-2026-1313</t>
        </is>
      </c>
      <c r="B1314" s="6" t="n">
        <v>46217</v>
      </c>
      <c r="C1314" t="inlineStr">
        <is>
          <t>U-PI696-01-05</t>
        </is>
      </c>
      <c r="D1314" t="inlineStr">
        <is>
          <t>Pasir Indah</t>
        </is>
      </c>
      <c r="E1314" t="inlineStr">
        <is>
          <t>D. Ong</t>
        </is>
      </c>
      <c r="F1314" t="inlineStr">
        <is>
          <t>Routine</t>
        </is>
      </c>
      <c r="G1314" t="inlineStr">
        <is>
          <t>HYGIENE</t>
        </is>
      </c>
      <c r="H1314" t="inlineStr">
        <is>
          <t>Minor Breach</t>
        </is>
      </c>
      <c r="I1314" s="6" t="n">
        <v>46231</v>
      </c>
      <c r="J1314" s="6" t="n">
        <v>46231</v>
      </c>
      <c r="K1314">
        <f>IF(J1314="","",J1314-B1314)</f>
        <v/>
      </c>
      <c r="L1314">
        <f>IF(H1314="Compliant","N/A",IF(J1314&lt;&gt;"","Closed",IF(I1314&lt;DATE(2026,9,30),"OVERDUE","Open")))</f>
        <v/>
      </c>
    </row>
    <row r="1315">
      <c r="A1315" t="inlineStr">
        <is>
          <t>INSP-2026-1314</t>
        </is>
      </c>
      <c r="B1315" s="6" t="n">
        <v>46217</v>
      </c>
      <c r="C1315" t="inlineStr">
        <is>
          <t>U-ST590-02-11</t>
        </is>
      </c>
      <c r="D1315" t="inlineStr">
        <is>
          <t>Sungai Tinggi</t>
        </is>
      </c>
      <c r="E1315" t="inlineStr">
        <is>
          <t>B. Ho</t>
        </is>
      </c>
      <c r="F1315" t="inlineStr">
        <is>
          <t>Routine</t>
        </is>
      </c>
      <c r="G1315" t="inlineStr">
        <is>
          <t>UNAPPROVED_AA</t>
        </is>
      </c>
      <c r="H1315" t="inlineStr">
        <is>
          <t>Minor Breach</t>
        </is>
      </c>
      <c r="I1315" s="6" t="n">
        <v>46231</v>
      </c>
      <c r="J1315" s="6" t="n">
        <v>46231</v>
      </c>
      <c r="K1315">
        <f>IF(J1315="","",J1315-B1315)</f>
        <v/>
      </c>
      <c r="L1315">
        <f>IF(H1315="Compliant","N/A",IF(J1315&lt;&gt;"","Closed",IF(I1315&lt;DATE(2026,9,30),"OVERDUE","Open")))</f>
        <v/>
      </c>
    </row>
    <row r="1316">
      <c r="A1316" t="inlineStr">
        <is>
          <t>INSP-2026-1315</t>
        </is>
      </c>
      <c r="B1316" s="6" t="n">
        <v>46218</v>
      </c>
      <c r="C1316" t="inlineStr">
        <is>
          <t>U-BV229-01-02</t>
        </is>
      </c>
      <c r="D1316" t="inlineStr">
        <is>
          <t>Bayshore Vale</t>
        </is>
      </c>
      <c r="E1316" t="inlineStr">
        <is>
          <t>Daniel O.</t>
        </is>
      </c>
      <c r="F1316" t="inlineStr">
        <is>
          <t>Routine</t>
        </is>
      </c>
      <c r="G1316" t="inlineStr">
        <is>
          <t>NONE</t>
        </is>
      </c>
      <c r="H1316" t="inlineStr">
        <is>
          <t>Compliant</t>
        </is>
      </c>
      <c r="I1316" s="6" t="n"/>
      <c r="J1316" s="6" t="n"/>
      <c r="K1316">
        <f>IF(J1316="","",J1316-B1316)</f>
        <v/>
      </c>
      <c r="L1316">
        <f>IF(H1316="Compliant","N/A",IF(J1316&lt;&gt;"","Closed",IF(I1316&lt;DATE(2026,9,30),"OVERDUE","Open")))</f>
        <v/>
      </c>
    </row>
    <row r="1317">
      <c r="A1317" t="inlineStr">
        <is>
          <t>INSP-2026-1316</t>
        </is>
      </c>
      <c r="B1317" s="6" t="n">
        <v>46218</v>
      </c>
      <c r="C1317" t="inlineStr">
        <is>
          <t>U-BV290-02-09</t>
        </is>
      </c>
      <c r="D1317" t="inlineStr">
        <is>
          <t>Bayshore Vale</t>
        </is>
      </c>
      <c r="E1317" t="inlineStr">
        <is>
          <t>Daniel O.</t>
        </is>
      </c>
      <c r="F1317" t="inlineStr">
        <is>
          <t>Routine</t>
        </is>
      </c>
      <c r="G1317" t="inlineStr">
        <is>
          <t>NONE</t>
        </is>
      </c>
      <c r="H1317" t="inlineStr">
        <is>
          <t>Compliant</t>
        </is>
      </c>
      <c r="I1317" s="6" t="n"/>
      <c r="J1317" s="6" t="n"/>
      <c r="K1317">
        <f>IF(J1317="","",J1317-B1317)</f>
        <v/>
      </c>
      <c r="L1317">
        <f>IF(H1317="Compliant","N/A",IF(J1317&lt;&gt;"","Closed",IF(I1317&lt;DATE(2026,9,30),"OVERDUE","Open")))</f>
        <v/>
      </c>
    </row>
    <row r="1318">
      <c r="A1318" t="inlineStr">
        <is>
          <t>INSP-2026-1317</t>
        </is>
      </c>
      <c r="B1318" s="6" t="n">
        <v>46218</v>
      </c>
      <c r="C1318" t="inlineStr">
        <is>
          <t>U-ST507-01-02</t>
        </is>
      </c>
      <c r="D1318" t="inlineStr">
        <is>
          <t>Sungai Tinggi</t>
        </is>
      </c>
      <c r="E1318" t="inlineStr">
        <is>
          <t>Daniel O.</t>
        </is>
      </c>
      <c r="F1318" t="inlineStr">
        <is>
          <t>Complaint-driven</t>
        </is>
      </c>
      <c r="G1318" t="inlineStr">
        <is>
          <t>NONE</t>
        </is>
      </c>
      <c r="H1318" t="inlineStr">
        <is>
          <t>Compliant</t>
        </is>
      </c>
      <c r="I1318" s="6" t="n"/>
      <c r="J1318" s="6" t="n"/>
      <c r="K1318">
        <f>IF(J1318="","",J1318-B1318)</f>
        <v/>
      </c>
      <c r="L1318">
        <f>IF(H1318="Compliant","N/A",IF(J1318&lt;&gt;"","Closed",IF(I1318&lt;DATE(2026,9,30),"OVERDUE","Open")))</f>
        <v/>
      </c>
    </row>
    <row r="1319">
      <c r="A1319" t="inlineStr">
        <is>
          <t>INSP-2026-1318</t>
        </is>
      </c>
      <c r="B1319" s="6" t="n">
        <v>46218</v>
      </c>
      <c r="C1319" t="inlineStr">
        <is>
          <t>U-BV256-01-08</t>
        </is>
      </c>
      <c r="D1319" t="inlineStr">
        <is>
          <t>Bayshore Vale</t>
        </is>
      </c>
      <c r="E1319" t="inlineStr">
        <is>
          <t>Daniel Ong</t>
        </is>
      </c>
      <c r="F1319" t="inlineStr">
        <is>
          <t>Routine</t>
        </is>
      </c>
      <c r="G1319" t="inlineStr">
        <is>
          <t>UNAUTH_TRADE</t>
        </is>
      </c>
      <c r="H1319" t="inlineStr">
        <is>
          <t>Major Breach</t>
        </is>
      </c>
      <c r="I1319" s="6" t="n">
        <v>46225</v>
      </c>
      <c r="J1319" s="6" t="n">
        <v>46234</v>
      </c>
      <c r="K1319">
        <f>IF(J1319="","",J1319-B1319)</f>
        <v/>
      </c>
      <c r="L1319">
        <f>IF(H1319="Compliant","N/A",IF(J1319&lt;&gt;"","Closed",IF(I1319&lt;DATE(2026,9,30),"OVERDUE","Open")))</f>
        <v/>
      </c>
    </row>
    <row r="1320">
      <c r="A1320" t="inlineStr">
        <is>
          <t>INSP-2026-1319</t>
        </is>
      </c>
      <c r="B1320" s="6" t="n">
        <v>46218</v>
      </c>
      <c r="C1320" t="inlineStr">
        <is>
          <t>U-KR368-01-03</t>
        </is>
      </c>
      <c r="D1320" t="inlineStr">
        <is>
          <t>Kebun Raya</t>
        </is>
      </c>
      <c r="E1320" t="inlineStr">
        <is>
          <t>Daniel O.</t>
        </is>
      </c>
      <c r="F1320" t="inlineStr">
        <is>
          <t>Follow-up</t>
        </is>
      </c>
      <c r="G1320" t="inlineStr">
        <is>
          <t>NONE</t>
        </is>
      </c>
      <c r="H1320" t="inlineStr">
        <is>
          <t>Compliant</t>
        </is>
      </c>
      <c r="I1320" s="6" t="n"/>
      <c r="J1320" s="6" t="n"/>
      <c r="K1320">
        <f>IF(J1320="","",J1320-B1320)</f>
        <v/>
      </c>
      <c r="L1320">
        <f>IF(H1320="Compliant","N/A",IF(J1320&lt;&gt;"","Closed",IF(I1320&lt;DATE(2026,9,30),"OVERDUE","Open")))</f>
        <v/>
      </c>
    </row>
    <row r="1321">
      <c r="A1321" t="inlineStr">
        <is>
          <t>INSP-2026-1320</t>
        </is>
      </c>
      <c r="B1321" s="6" t="n">
        <v>46219</v>
      </c>
      <c r="C1321" t="inlineStr">
        <is>
          <t>U-RH460-01-10</t>
        </is>
      </c>
      <c r="D1321" t="inlineStr">
        <is>
          <t>Rimba Heights</t>
        </is>
      </c>
      <c r="E1321" t="inlineStr">
        <is>
          <t>daniel ong</t>
        </is>
      </c>
      <c r="F1321" t="inlineStr">
        <is>
          <t>Routine</t>
        </is>
      </c>
      <c r="G1321" t="inlineStr">
        <is>
          <t>UNAUTH_SUBLET</t>
        </is>
      </c>
      <c r="H1321" t="inlineStr">
        <is>
          <t>Major Breach</t>
        </is>
      </c>
      <c r="I1321" s="6" t="n">
        <v>46226</v>
      </c>
      <c r="J1321" s="6" t="n">
        <v>46227</v>
      </c>
      <c r="K1321">
        <f>IF(J1321="","",J1321-B1321)</f>
        <v/>
      </c>
      <c r="L1321">
        <f>IF(H1321="Compliant","N/A",IF(J1321&lt;&gt;"","Closed",IF(I1321&lt;DATE(2026,9,30),"OVERDUE","Open")))</f>
        <v/>
      </c>
    </row>
    <row r="1322">
      <c r="A1322" t="inlineStr">
        <is>
          <t>INSP-2026-1321</t>
        </is>
      </c>
      <c r="B1322" s="6" t="n">
        <v>46219</v>
      </c>
      <c r="C1322" t="inlineStr">
        <is>
          <t>U-ST501-01-07</t>
        </is>
      </c>
      <c r="D1322" t="inlineStr">
        <is>
          <t>Sungai Tinggi</t>
        </is>
      </c>
      <c r="E1322" t="inlineStr">
        <is>
          <t>Daniel Ong</t>
        </is>
      </c>
      <c r="F1322" t="inlineStr">
        <is>
          <t>Routine</t>
        </is>
      </c>
      <c r="G1322" t="inlineStr">
        <is>
          <t>NONE</t>
        </is>
      </c>
      <c r="H1322" t="inlineStr">
        <is>
          <t>Compliant</t>
        </is>
      </c>
      <c r="I1322" s="6" t="n"/>
      <c r="J1322" s="6" t="n"/>
      <c r="K1322">
        <f>IF(J1322="","",J1322-B1322)</f>
        <v/>
      </c>
      <c r="L1322">
        <f>IF(H1322="Compliant","N/A",IF(J1322&lt;&gt;"","Closed",IF(I1322&lt;DATE(2026,9,30),"OVERDUE","Open")))</f>
        <v/>
      </c>
    </row>
    <row r="1323">
      <c r="A1323" t="inlineStr">
        <is>
          <t>INSP-2026-1322</t>
        </is>
      </c>
      <c r="B1323" s="6" t="n">
        <v>46219</v>
      </c>
      <c r="C1323" t="inlineStr">
        <is>
          <t>U-KR329-01-03</t>
        </is>
      </c>
      <c r="D1323" t="inlineStr">
        <is>
          <t>Kebun Raya</t>
        </is>
      </c>
      <c r="E1323" t="inlineStr">
        <is>
          <t>D. Ong</t>
        </is>
      </c>
      <c r="F1323" t="inlineStr">
        <is>
          <t>Routine</t>
        </is>
      </c>
      <c r="G1323" t="inlineStr">
        <is>
          <t>NONE</t>
        </is>
      </c>
      <c r="H1323" t="inlineStr">
        <is>
          <t>Compliant</t>
        </is>
      </c>
      <c r="I1323" s="6" t="n"/>
      <c r="J1323" s="6" t="n"/>
      <c r="K1323">
        <f>IF(J1323="","",J1323-B1323)</f>
        <v/>
      </c>
      <c r="L1323">
        <f>IF(H1323="Compliant","N/A",IF(J1323&lt;&gt;"","Closed",IF(I1323&lt;DATE(2026,9,30),"OVERDUE","Open")))</f>
        <v/>
      </c>
    </row>
    <row r="1324">
      <c r="A1324" t="inlineStr">
        <is>
          <t>INSP-2026-1323</t>
        </is>
      </c>
      <c r="B1324" s="6" t="n">
        <v>46220</v>
      </c>
      <c r="C1324" t="inlineStr">
        <is>
          <t>U-CD118-01-12</t>
        </is>
      </c>
      <c r="D1324" t="inlineStr">
        <is>
          <t>Cendana</t>
        </is>
      </c>
      <c r="E1324" t="inlineStr">
        <is>
          <t>Marcus Lim</t>
        </is>
      </c>
      <c r="F1324" t="inlineStr">
        <is>
          <t>Complaint-driven</t>
        </is>
      </c>
      <c r="G1324" t="inlineStr">
        <is>
          <t>UNAUTH_TRADE</t>
        </is>
      </c>
      <c r="H1324" t="inlineStr">
        <is>
          <t>Major Breach</t>
        </is>
      </c>
      <c r="I1324" s="6" t="n">
        <v>46227</v>
      </c>
      <c r="J1324" s="6" t="n">
        <v>46230</v>
      </c>
      <c r="K1324">
        <f>IF(J1324="","",J1324-B1324)</f>
        <v/>
      </c>
      <c r="L1324">
        <f>IF(H1324="Compliant","N/A",IF(J1324&lt;&gt;"","Closed",IF(I1324&lt;DATE(2026,9,30),"OVERDUE","Open")))</f>
        <v/>
      </c>
    </row>
    <row r="1325">
      <c r="A1325" t="inlineStr">
        <is>
          <t>INSP-2026-1324</t>
        </is>
      </c>
      <c r="B1325" s="6" t="n">
        <v>46220</v>
      </c>
      <c r="C1325" t="inlineStr">
        <is>
          <t>U-BV266-01-10</t>
        </is>
      </c>
      <c r="D1325" t="inlineStr">
        <is>
          <t>Bayshore Vale</t>
        </is>
      </c>
      <c r="E1325" t="inlineStr">
        <is>
          <t>Marcus Lim</t>
        </is>
      </c>
      <c r="F1325" t="inlineStr">
        <is>
          <t>Routine</t>
        </is>
      </c>
      <c r="G1325" t="inlineStr">
        <is>
          <t>NONE</t>
        </is>
      </c>
      <c r="H1325" t="inlineStr">
        <is>
          <t>Compliant</t>
        </is>
      </c>
      <c r="I1325" s="6" t="n"/>
      <c r="J1325" s="6" t="n"/>
      <c r="K1325">
        <f>IF(J1325="","",J1325-B1325)</f>
        <v/>
      </c>
      <c r="L1325">
        <f>IF(H1325="Compliant","N/A",IF(J1325&lt;&gt;"","Closed",IF(I1325&lt;DATE(2026,9,30),"OVERDUE","Open")))</f>
        <v/>
      </c>
    </row>
    <row r="1326">
      <c r="A1326" t="inlineStr">
        <is>
          <t>INSP-2026-1325</t>
        </is>
      </c>
      <c r="B1326" s="6" t="n">
        <v>46220</v>
      </c>
      <c r="C1326" t="inlineStr">
        <is>
          <t>U-ST590-01-01</t>
        </is>
      </c>
      <c r="D1326" t="inlineStr">
        <is>
          <t>Sungai Tinggi</t>
        </is>
      </c>
      <c r="E1326" t="inlineStr">
        <is>
          <t>Benjamin Ho</t>
        </is>
      </c>
      <c r="F1326" t="inlineStr">
        <is>
          <t>Routine</t>
        </is>
      </c>
      <c r="G1326" t="inlineStr">
        <is>
          <t>NONE</t>
        </is>
      </c>
      <c r="H1326" t="inlineStr">
        <is>
          <t>Compliant</t>
        </is>
      </c>
      <c r="I1326" s="6" t="n"/>
      <c r="J1326" s="6" t="n"/>
      <c r="K1326">
        <f>IF(J1326="","",J1326-B1326)</f>
        <v/>
      </c>
      <c r="L1326">
        <f>IF(H1326="Compliant","N/A",IF(J1326&lt;&gt;"","Closed",IF(I1326&lt;DATE(2026,9,30),"OVERDUE","Open")))</f>
        <v/>
      </c>
    </row>
    <row r="1327">
      <c r="A1327" t="inlineStr">
        <is>
          <t>INSP-2026-1326</t>
        </is>
      </c>
      <c r="B1327" s="6" t="n">
        <v>46220</v>
      </c>
      <c r="C1327" t="inlineStr">
        <is>
          <t>U-BV256-01-02</t>
        </is>
      </c>
      <c r="D1327" t="inlineStr">
        <is>
          <t>Bayshore Vale</t>
        </is>
      </c>
      <c r="E1327" t="inlineStr">
        <is>
          <t>D. Ong</t>
        </is>
      </c>
      <c r="F1327" t="inlineStr">
        <is>
          <t>Follow-up</t>
        </is>
      </c>
      <c r="G1327" t="inlineStr">
        <is>
          <t>HYGIENE</t>
        </is>
      </c>
      <c r="H1327" t="inlineStr">
        <is>
          <t>Minor Breach</t>
        </is>
      </c>
      <c r="I1327" s="6" t="n">
        <v>46234</v>
      </c>
      <c r="J1327" s="6" t="n">
        <v>46229</v>
      </c>
      <c r="K1327">
        <f>IF(J1327="","",J1327-B1327)</f>
        <v/>
      </c>
      <c r="L1327">
        <f>IF(H1327="Compliant","N/A",IF(J1327&lt;&gt;"","Closed",IF(I1327&lt;DATE(2026,9,30),"OVERDUE","Open")))</f>
        <v/>
      </c>
    </row>
    <row r="1328">
      <c r="A1328" t="inlineStr">
        <is>
          <t>INSP-2026-1327</t>
        </is>
      </c>
      <c r="B1328" s="6" t="n">
        <v>46220</v>
      </c>
      <c r="C1328" t="inlineStr">
        <is>
          <t>U-PI634-02-11</t>
        </is>
      </c>
      <c r="D1328" t="inlineStr">
        <is>
          <t>Pasir Indah</t>
        </is>
      </c>
      <c r="E1328" t="inlineStr">
        <is>
          <t>Marcus Lim</t>
        </is>
      </c>
      <c r="F1328" t="inlineStr">
        <is>
          <t>Routine</t>
        </is>
      </c>
      <c r="G1328" t="inlineStr">
        <is>
          <t>NONE</t>
        </is>
      </c>
      <c r="H1328" t="inlineStr">
        <is>
          <t>Compliant</t>
        </is>
      </c>
      <c r="I1328" s="6" t="n"/>
      <c r="J1328" s="6" t="n"/>
      <c r="K1328">
        <f>IF(J1328="","",J1328-B1328)</f>
        <v/>
      </c>
      <c r="L1328">
        <f>IF(H1328="Compliant","N/A",IF(J1328&lt;&gt;"","Closed",IF(I1328&lt;DATE(2026,9,30),"OVERDUE","Open")))</f>
        <v/>
      </c>
    </row>
    <row r="1329">
      <c r="A1329" t="inlineStr">
        <is>
          <t>INSP-2026-1328</t>
        </is>
      </c>
      <c r="B1329" s="6" t="n">
        <v>46220</v>
      </c>
      <c r="C1329" t="inlineStr">
        <is>
          <t>U-RH407-01-06</t>
        </is>
      </c>
      <c r="D1329" t="inlineStr">
        <is>
          <t>Rimba Heights</t>
        </is>
      </c>
      <c r="E1329" t="inlineStr">
        <is>
          <t>D. Ong</t>
        </is>
      </c>
      <c r="F1329" t="inlineStr">
        <is>
          <t>Complaint-driven</t>
        </is>
      </c>
      <c r="G1329" t="inlineStr">
        <is>
          <t>NONE</t>
        </is>
      </c>
      <c r="H1329" t="inlineStr">
        <is>
          <t>Compliant</t>
        </is>
      </c>
      <c r="I1329" s="6" t="n"/>
      <c r="J1329" s="6" t="n"/>
      <c r="K1329">
        <f>IF(J1329="","",J1329-B1329)</f>
        <v/>
      </c>
      <c r="L1329">
        <f>IF(H1329="Compliant","N/A",IF(J1329&lt;&gt;"","Closed",IF(I1329&lt;DATE(2026,9,30),"OVERDUE","Open")))</f>
        <v/>
      </c>
    </row>
    <row r="1330">
      <c r="A1330" t="inlineStr">
        <is>
          <t>INSP-2026-1329</t>
        </is>
      </c>
      <c r="B1330" s="6" t="n">
        <v>46220</v>
      </c>
      <c r="C1330" t="inlineStr">
        <is>
          <t>U-PI667-01-11</t>
        </is>
      </c>
      <c r="D1330" t="inlineStr">
        <is>
          <t>Pasir Indah</t>
        </is>
      </c>
      <c r="E1330" t="inlineStr">
        <is>
          <t>D. Ong</t>
        </is>
      </c>
      <c r="F1330" t="inlineStr">
        <is>
          <t>Complaint-driven</t>
        </is>
      </c>
      <c r="G1330" t="inlineStr">
        <is>
          <t>NONE</t>
        </is>
      </c>
      <c r="H1330" t="inlineStr">
        <is>
          <t>Compliant</t>
        </is>
      </c>
      <c r="I1330" s="6" t="n"/>
      <c r="J1330" s="6" t="n"/>
      <c r="K1330">
        <f>IF(J1330="","",J1330-B1330)</f>
        <v/>
      </c>
      <c r="L1330">
        <f>IF(H1330="Compliant","N/A",IF(J1330&lt;&gt;"","Closed",IF(I1330&lt;DATE(2026,9,30),"OVERDUE","Open")))</f>
        <v/>
      </c>
    </row>
    <row r="1331">
      <c r="A1331" t="inlineStr">
        <is>
          <t>INSP-2026-1330</t>
        </is>
      </c>
      <c r="B1331" s="6" t="n">
        <v>46221</v>
      </c>
      <c r="C1331" t="inlineStr">
        <is>
          <t>U-BV290-01-12</t>
        </is>
      </c>
      <c r="D1331" t="inlineStr">
        <is>
          <t>Bayshore Vale</t>
        </is>
      </c>
      <c r="E1331" t="inlineStr">
        <is>
          <t>marcus</t>
        </is>
      </c>
      <c r="F1331" t="inlineStr">
        <is>
          <t>Routine</t>
        </is>
      </c>
      <c r="G1331" t="inlineStr">
        <is>
          <t>UNAUTH_SUBLET</t>
        </is>
      </c>
      <c r="H1331" t="inlineStr">
        <is>
          <t>Major Breach</t>
        </is>
      </c>
      <c r="I1331" s="6" t="n">
        <v>46228</v>
      </c>
      <c r="J1331" s="6" t="n">
        <v>46237</v>
      </c>
      <c r="K1331">
        <f>IF(J1331="","",J1331-B1331)</f>
        <v/>
      </c>
      <c r="L1331">
        <f>IF(H1331="Compliant","N/A",IF(J1331&lt;&gt;"","Closed",IF(I1331&lt;DATE(2026,9,30),"OVERDUE","Open")))</f>
        <v/>
      </c>
    </row>
    <row r="1332">
      <c r="A1332" t="inlineStr">
        <is>
          <t>INSP-2026-1331</t>
        </is>
      </c>
      <c r="B1332" s="6" t="n">
        <v>46221</v>
      </c>
      <c r="C1332" t="inlineStr">
        <is>
          <t>U-CD190-01-07</t>
        </is>
      </c>
      <c r="D1332" t="inlineStr">
        <is>
          <t>Cendana</t>
        </is>
      </c>
      <c r="E1332" t="inlineStr">
        <is>
          <t>D. Ong</t>
        </is>
      </c>
      <c r="F1332" t="inlineStr">
        <is>
          <t>Routine</t>
        </is>
      </c>
      <c r="G1332" t="inlineStr">
        <is>
          <t>NONE</t>
        </is>
      </c>
      <c r="H1332" t="inlineStr">
        <is>
          <t>Compliant</t>
        </is>
      </c>
      <c r="I1332" s="6" t="n"/>
      <c r="J1332" s="6" t="n"/>
      <c r="K1332">
        <f>IF(J1332="","",J1332-B1332)</f>
        <v/>
      </c>
      <c r="L1332">
        <f>IF(H1332="Compliant","N/A",IF(J1332&lt;&gt;"","Closed",IF(I1332&lt;DATE(2026,9,30),"OVERDUE","Open")))</f>
        <v/>
      </c>
    </row>
    <row r="1333">
      <c r="A1333" t="inlineStr">
        <is>
          <t>INSP-2026-1332</t>
        </is>
      </c>
      <c r="B1333" s="6" t="n">
        <v>46221</v>
      </c>
      <c r="C1333" t="inlineStr">
        <is>
          <t>U-BV204-01-05</t>
        </is>
      </c>
      <c r="D1333" t="inlineStr">
        <is>
          <t>Bayshore Vale</t>
        </is>
      </c>
      <c r="E1333" t="inlineStr">
        <is>
          <t>M. Lim</t>
        </is>
      </c>
      <c r="F1333" t="inlineStr">
        <is>
          <t>Complaint-driven</t>
        </is>
      </c>
      <c r="G1333" t="inlineStr">
        <is>
          <t>NONE</t>
        </is>
      </c>
      <c r="H1333" t="inlineStr">
        <is>
          <t>Compliant</t>
        </is>
      </c>
      <c r="I1333" s="6" t="n"/>
      <c r="J1333" s="6" t="n"/>
      <c r="K1333">
        <f>IF(J1333="","",J1333-B1333)</f>
        <v/>
      </c>
      <c r="L1333">
        <f>IF(H1333="Compliant","N/A",IF(J1333&lt;&gt;"","Closed",IF(I1333&lt;DATE(2026,9,30),"OVERDUE","Open")))</f>
        <v/>
      </c>
    </row>
    <row r="1334">
      <c r="A1334" t="inlineStr">
        <is>
          <t>INSP-2026-1333</t>
        </is>
      </c>
      <c r="B1334" s="6" t="n">
        <v>46221</v>
      </c>
      <c r="C1334" t="inlineStr">
        <is>
          <t>U-ST564-01-04</t>
        </is>
      </c>
      <c r="D1334" t="inlineStr">
        <is>
          <t>Sungai Tinggi</t>
        </is>
      </c>
      <c r="E1334" t="inlineStr">
        <is>
          <t>daniel ong</t>
        </is>
      </c>
      <c r="F1334" t="inlineStr">
        <is>
          <t>Complaint-driven</t>
        </is>
      </c>
      <c r="G1334" t="inlineStr">
        <is>
          <t>NONE</t>
        </is>
      </c>
      <c r="H1334" t="inlineStr">
        <is>
          <t>Compliant</t>
        </is>
      </c>
      <c r="I1334" s="6" t="n"/>
      <c r="J1334" s="6" t="n"/>
      <c r="K1334">
        <f>IF(J1334="","",J1334-B1334)</f>
        <v/>
      </c>
      <c r="L1334">
        <f>IF(H1334="Compliant","N/A",IF(J1334&lt;&gt;"","Closed",IF(I1334&lt;DATE(2026,9,30),"OVERDUE","Open")))</f>
        <v/>
      </c>
    </row>
    <row r="1335">
      <c r="A1335" t="inlineStr">
        <is>
          <t>INSP-2026-1334</t>
        </is>
      </c>
      <c r="B1335" s="6" t="n">
        <v>46221</v>
      </c>
      <c r="C1335" t="inlineStr">
        <is>
          <t>U-ST545-01-11</t>
        </is>
      </c>
      <c r="D1335" t="inlineStr">
        <is>
          <t>Sungai Tinggi</t>
        </is>
      </c>
      <c r="E1335" t="inlineStr">
        <is>
          <t>Daniel O.</t>
        </is>
      </c>
      <c r="F1335" t="inlineStr">
        <is>
          <t>Routine</t>
        </is>
      </c>
      <c r="G1335" t="inlineStr">
        <is>
          <t>NONE</t>
        </is>
      </c>
      <c r="H1335" t="inlineStr">
        <is>
          <t>Compliant</t>
        </is>
      </c>
      <c r="I1335" s="6" t="n"/>
      <c r="J1335" s="6" t="n"/>
      <c r="K1335">
        <f>IF(J1335="","",J1335-B1335)</f>
        <v/>
      </c>
      <c r="L1335">
        <f>IF(H1335="Compliant","N/A",IF(J1335&lt;&gt;"","Closed",IF(I1335&lt;DATE(2026,9,30),"OVERDUE","Open")))</f>
        <v/>
      </c>
    </row>
    <row r="1336">
      <c r="A1336" t="inlineStr">
        <is>
          <t>INSP-2026-1335</t>
        </is>
      </c>
      <c r="B1336" s="6" t="n">
        <v>46221</v>
      </c>
      <c r="C1336" t="inlineStr">
        <is>
          <t>U-PI667-01-08</t>
        </is>
      </c>
      <c r="D1336" t="inlineStr">
        <is>
          <t>Pasir Indah</t>
        </is>
      </c>
      <c r="E1336" t="inlineStr">
        <is>
          <t>D. Ong</t>
        </is>
      </c>
      <c r="F1336" t="inlineStr">
        <is>
          <t>Routine</t>
        </is>
      </c>
      <c r="G1336" t="inlineStr">
        <is>
          <t>DISPLAY_ENCROACH</t>
        </is>
      </c>
      <c r="H1336" t="inlineStr">
        <is>
          <t>Minor Breach</t>
        </is>
      </c>
      <c r="I1336" s="6" t="n">
        <v>46235</v>
      </c>
      <c r="J1336" s="6" t="n">
        <v>46240</v>
      </c>
      <c r="K1336">
        <f>IF(J1336="","",J1336-B1336)</f>
        <v/>
      </c>
      <c r="L1336">
        <f>IF(H1336="Compliant","N/A",IF(J1336&lt;&gt;"","Closed",IF(I1336&lt;DATE(2026,9,30),"OVERDUE","Open")))</f>
        <v/>
      </c>
    </row>
    <row r="1337">
      <c r="A1337" t="inlineStr">
        <is>
          <t>INSP-2026-1336</t>
        </is>
      </c>
      <c r="B1337" s="6" t="n">
        <v>46221</v>
      </c>
      <c r="C1337" t="inlineStr">
        <is>
          <t>U-RH425-01-06</t>
        </is>
      </c>
      <c r="D1337" t="inlineStr">
        <is>
          <t>Rimba Heights</t>
        </is>
      </c>
      <c r="E1337" t="inlineStr">
        <is>
          <t>Daniel O.</t>
        </is>
      </c>
      <c r="F1337" t="inlineStr">
        <is>
          <t>Routine</t>
        </is>
      </c>
      <c r="G1337" t="inlineStr">
        <is>
          <t>FIRE_SAFETY</t>
        </is>
      </c>
      <c r="H1337" t="inlineStr">
        <is>
          <t>Major Breach</t>
        </is>
      </c>
      <c r="I1337" s="6" t="n">
        <v>46228</v>
      </c>
      <c r="J1337" s="6" t="n">
        <v>46223</v>
      </c>
      <c r="K1337">
        <f>IF(J1337="","",J1337-B1337)</f>
        <v/>
      </c>
      <c r="L1337">
        <f>IF(H1337="Compliant","N/A",IF(J1337&lt;&gt;"","Closed",IF(I1337&lt;DATE(2026,9,30),"OVERDUE","Open")))</f>
        <v/>
      </c>
    </row>
    <row r="1338">
      <c r="A1338" t="inlineStr">
        <is>
          <t>INSP-2026-1337</t>
        </is>
      </c>
      <c r="B1338" s="6" t="n">
        <v>46221</v>
      </c>
      <c r="C1338" t="inlineStr">
        <is>
          <t>U-ST512-01-08</t>
        </is>
      </c>
      <c r="D1338" t="inlineStr">
        <is>
          <t>Sungai Tinggi</t>
        </is>
      </c>
      <c r="E1338" t="inlineStr">
        <is>
          <t>Daniel O.</t>
        </is>
      </c>
      <c r="F1338" t="inlineStr">
        <is>
          <t>Routine</t>
        </is>
      </c>
      <c r="G1338" t="inlineStr">
        <is>
          <t>NONE</t>
        </is>
      </c>
      <c r="H1338" t="inlineStr">
        <is>
          <t>Compliant</t>
        </is>
      </c>
      <c r="I1338" s="6" t="n"/>
      <c r="J1338" s="6" t="n"/>
      <c r="K1338">
        <f>IF(J1338="","",J1338-B1338)</f>
        <v/>
      </c>
      <c r="L1338">
        <f>IF(H1338="Compliant","N/A",IF(J1338&lt;&gt;"","Closed",IF(I1338&lt;DATE(2026,9,30),"OVERDUE","Open")))</f>
        <v/>
      </c>
    </row>
    <row r="1339">
      <c r="A1339" t="inlineStr">
        <is>
          <t>INSP-2026-1338</t>
        </is>
      </c>
      <c r="B1339" s="6" t="n">
        <v>46222</v>
      </c>
      <c r="C1339" t="inlineStr">
        <is>
          <t>U-PI642-01-12</t>
        </is>
      </c>
      <c r="D1339" t="inlineStr">
        <is>
          <t>Pasir Indah</t>
        </is>
      </c>
      <c r="E1339" t="inlineStr">
        <is>
          <t>marcus</t>
        </is>
      </c>
      <c r="F1339" t="inlineStr">
        <is>
          <t>Routine</t>
        </is>
      </c>
      <c r="G1339" t="inlineStr">
        <is>
          <t>HYGIENE</t>
        </is>
      </c>
      <c r="H1339" t="inlineStr">
        <is>
          <t>Minor Breach</t>
        </is>
      </c>
      <c r="I1339" s="6" t="n">
        <v>46236</v>
      </c>
      <c r="J1339" s="6" t="n">
        <v>46235</v>
      </c>
      <c r="K1339">
        <f>IF(J1339="","",J1339-B1339)</f>
        <v/>
      </c>
      <c r="L1339">
        <f>IF(H1339="Compliant","N/A",IF(J1339&lt;&gt;"","Closed",IF(I1339&lt;DATE(2026,9,30),"OVERDUE","Open")))</f>
        <v/>
      </c>
    </row>
    <row r="1340">
      <c r="A1340" t="inlineStr">
        <is>
          <t>INSP-2026-1339</t>
        </is>
      </c>
      <c r="B1340" s="6" t="n">
        <v>46222</v>
      </c>
      <c r="C1340" t="inlineStr">
        <is>
          <t>U-PI634-02-11</t>
        </is>
      </c>
      <c r="D1340" t="inlineStr">
        <is>
          <t>Pasir Indah</t>
        </is>
      </c>
      <c r="E1340" t="inlineStr">
        <is>
          <t>Marcus Lim</t>
        </is>
      </c>
      <c r="F1340" t="inlineStr">
        <is>
          <t>Routine</t>
        </is>
      </c>
      <c r="G1340" t="inlineStr">
        <is>
          <t>NONE</t>
        </is>
      </c>
      <c r="H1340" t="inlineStr">
        <is>
          <t>Compliant</t>
        </is>
      </c>
      <c r="I1340" s="6" t="n"/>
      <c r="J1340" s="6" t="n"/>
      <c r="K1340">
        <f>IF(J1340="","",J1340-B1340)</f>
        <v/>
      </c>
      <c r="L1340">
        <f>IF(H1340="Compliant","N/A",IF(J1340&lt;&gt;"","Closed",IF(I1340&lt;DATE(2026,9,30),"OVERDUE","Open")))</f>
        <v/>
      </c>
    </row>
    <row r="1341">
      <c r="A1341" t="inlineStr">
        <is>
          <t>INSP-2026-1340</t>
        </is>
      </c>
      <c r="B1341" s="6" t="n">
        <v>46222</v>
      </c>
      <c r="C1341" t="inlineStr">
        <is>
          <t>U-BV214-01-27</t>
        </is>
      </c>
      <c r="D1341" t="inlineStr">
        <is>
          <t>Bayshore Vale</t>
        </is>
      </c>
      <c r="E1341" t="inlineStr">
        <is>
          <t>M. Lim</t>
        </is>
      </c>
      <c r="F1341" t="inlineStr">
        <is>
          <t>Routine</t>
        </is>
      </c>
      <c r="G1341" t="inlineStr">
        <is>
          <t>NONE</t>
        </is>
      </c>
      <c r="H1341" t="inlineStr">
        <is>
          <t>Compliant</t>
        </is>
      </c>
      <c r="I1341" s="6" t="n"/>
      <c r="J1341" s="6" t="n"/>
      <c r="K1341">
        <f>IF(J1341="","",J1341-B1341)</f>
        <v/>
      </c>
      <c r="L1341">
        <f>IF(H1341="Compliant","N/A",IF(J1341&lt;&gt;"","Closed",IF(I1341&lt;DATE(2026,9,30),"OVERDUE","Open")))</f>
        <v/>
      </c>
    </row>
    <row r="1342">
      <c r="A1342" t="inlineStr">
        <is>
          <t>INSP-2026-1341</t>
        </is>
      </c>
      <c r="B1342" s="6" t="n">
        <v>46222</v>
      </c>
      <c r="C1342" t="inlineStr">
        <is>
          <t>U-CD119-01-06</t>
        </is>
      </c>
      <c r="D1342" t="inlineStr">
        <is>
          <t>Cendana</t>
        </is>
      </c>
      <c r="E1342" t="inlineStr">
        <is>
          <t>Daniel O.</t>
        </is>
      </c>
      <c r="F1342" t="inlineStr">
        <is>
          <t>Routine</t>
        </is>
      </c>
      <c r="G1342" t="inlineStr">
        <is>
          <t>NONE</t>
        </is>
      </c>
      <c r="H1342" t="inlineStr">
        <is>
          <t>Compliant</t>
        </is>
      </c>
      <c r="I1342" s="6" t="n"/>
      <c r="J1342" s="6" t="n"/>
      <c r="K1342">
        <f>IF(J1342="","",J1342-B1342)</f>
        <v/>
      </c>
      <c r="L1342">
        <f>IF(H1342="Compliant","N/A",IF(J1342&lt;&gt;"","Closed",IF(I1342&lt;DATE(2026,9,30),"OVERDUE","Open")))</f>
        <v/>
      </c>
    </row>
    <row r="1343">
      <c r="A1343" t="inlineStr">
        <is>
          <t>INSP-2026-1342</t>
        </is>
      </c>
      <c r="B1343" s="6" t="n">
        <v>46222</v>
      </c>
      <c r="C1343" t="inlineStr">
        <is>
          <t>U-CD136-01-04</t>
        </is>
      </c>
      <c r="D1343" t="inlineStr">
        <is>
          <t>Cendana</t>
        </is>
      </c>
      <c r="E1343" t="inlineStr">
        <is>
          <t>daniel ong</t>
        </is>
      </c>
      <c r="F1343" t="inlineStr">
        <is>
          <t>Routine</t>
        </is>
      </c>
      <c r="G1343" t="inlineStr">
        <is>
          <t>NONE</t>
        </is>
      </c>
      <c r="H1343" t="inlineStr">
        <is>
          <t>Compliant</t>
        </is>
      </c>
      <c r="I1343" s="6" t="n"/>
      <c r="J1343" s="6" t="n"/>
      <c r="K1343">
        <f>IF(J1343="","",J1343-B1343)</f>
        <v/>
      </c>
      <c r="L1343">
        <f>IF(H1343="Compliant","N/A",IF(J1343&lt;&gt;"","Closed",IF(I1343&lt;DATE(2026,9,30),"OVERDUE","Open")))</f>
        <v/>
      </c>
    </row>
    <row r="1344">
      <c r="A1344" t="inlineStr">
        <is>
          <t>INSP-2026-1343</t>
        </is>
      </c>
      <c r="B1344" s="6" t="n">
        <v>46222</v>
      </c>
      <c r="C1344" t="inlineStr">
        <is>
          <t>U-PI627-01-16</t>
        </is>
      </c>
      <c r="D1344" t="inlineStr">
        <is>
          <t>Pasir Indah</t>
        </is>
      </c>
      <c r="E1344" t="inlineStr">
        <is>
          <t>daniel ong</t>
        </is>
      </c>
      <c r="F1344" t="inlineStr">
        <is>
          <t>Routine</t>
        </is>
      </c>
      <c r="G1344" t="inlineStr">
        <is>
          <t>NONE</t>
        </is>
      </c>
      <c r="H1344" t="inlineStr">
        <is>
          <t>Compliant</t>
        </is>
      </c>
      <c r="I1344" s="6" t="n"/>
      <c r="J1344" s="6" t="n"/>
      <c r="K1344">
        <f>IF(J1344="","",J1344-B1344)</f>
        <v/>
      </c>
      <c r="L1344">
        <f>IF(H1344="Compliant","N/A",IF(J1344&lt;&gt;"","Closed",IF(I1344&lt;DATE(2026,9,30),"OVERDUE","Open")))</f>
        <v/>
      </c>
    </row>
    <row r="1345">
      <c r="A1345" t="inlineStr">
        <is>
          <t>INSP-2026-1344</t>
        </is>
      </c>
      <c r="B1345" s="6" t="n">
        <v>46222</v>
      </c>
      <c r="C1345" t="inlineStr">
        <is>
          <t>U-RH455-01-34</t>
        </is>
      </c>
      <c r="D1345" t="inlineStr">
        <is>
          <t>Rimba Heights</t>
        </is>
      </c>
      <c r="E1345" t="inlineStr">
        <is>
          <t>B. Ho</t>
        </is>
      </c>
      <c r="F1345" t="inlineStr">
        <is>
          <t>Routine</t>
        </is>
      </c>
      <c r="G1345" t="inlineStr">
        <is>
          <t>DISPLAY_ENCROACH</t>
        </is>
      </c>
      <c r="H1345" t="inlineStr">
        <is>
          <t>Minor Breach</t>
        </is>
      </c>
      <c r="I1345" s="6" t="n">
        <v>46236</v>
      </c>
      <c r="J1345" s="6" t="n">
        <v>46239</v>
      </c>
      <c r="K1345">
        <f>IF(J1345="","",J1345-B1345)</f>
        <v/>
      </c>
      <c r="L1345">
        <f>IF(H1345="Compliant","N/A",IF(J1345&lt;&gt;"","Closed",IF(I1345&lt;DATE(2026,9,30),"OVERDUE","Open")))</f>
        <v/>
      </c>
    </row>
    <row r="1346">
      <c r="A1346" t="inlineStr">
        <is>
          <t>INSP-2026-1345</t>
        </is>
      </c>
      <c r="B1346" s="6" t="n">
        <v>46223</v>
      </c>
      <c r="C1346" t="inlineStr">
        <is>
          <t>U-PI606-01-02</t>
        </is>
      </c>
      <c r="D1346" t="inlineStr">
        <is>
          <t>Pasir Indah</t>
        </is>
      </c>
      <c r="E1346" t="inlineStr">
        <is>
          <t>D. Ong</t>
        </is>
      </c>
      <c r="F1346" t="inlineStr">
        <is>
          <t>Routine</t>
        </is>
      </c>
      <c r="G1346" t="inlineStr">
        <is>
          <t>NONE</t>
        </is>
      </c>
      <c r="H1346" t="inlineStr">
        <is>
          <t>Compliant</t>
        </is>
      </c>
      <c r="I1346" s="6" t="n"/>
      <c r="J1346" s="6" t="n"/>
      <c r="K1346">
        <f>IF(J1346="","",J1346-B1346)</f>
        <v/>
      </c>
      <c r="L1346">
        <f>IF(H1346="Compliant","N/A",IF(J1346&lt;&gt;"","Closed",IF(I1346&lt;DATE(2026,9,30),"OVERDUE","Open")))</f>
        <v/>
      </c>
    </row>
    <row r="1347">
      <c r="A1347" t="inlineStr">
        <is>
          <t>INSP-2026-1346</t>
        </is>
      </c>
      <c r="B1347" s="6" t="n">
        <v>46223</v>
      </c>
      <c r="C1347" t="inlineStr">
        <is>
          <t>U-PI675-02-07</t>
        </is>
      </c>
      <c r="D1347" t="inlineStr">
        <is>
          <t>Pasir Indah</t>
        </is>
      </c>
      <c r="E1347" t="inlineStr">
        <is>
          <t>M. Lim</t>
        </is>
      </c>
      <c r="F1347" t="inlineStr">
        <is>
          <t>Complaint-driven</t>
        </is>
      </c>
      <c r="G1347" t="inlineStr">
        <is>
          <t>HYGIENE</t>
        </is>
      </c>
      <c r="H1347" t="inlineStr">
        <is>
          <t>Minor Breach</t>
        </is>
      </c>
      <c r="I1347" s="6" t="n">
        <v>46237</v>
      </c>
      <c r="J1347" s="6" t="n">
        <v>46243</v>
      </c>
      <c r="K1347">
        <f>IF(J1347="","",J1347-B1347)</f>
        <v/>
      </c>
      <c r="L1347">
        <f>IF(H1347="Compliant","N/A",IF(J1347&lt;&gt;"","Closed",IF(I1347&lt;DATE(2026,9,30),"OVERDUE","Open")))</f>
        <v/>
      </c>
    </row>
    <row r="1348">
      <c r="A1348" t="inlineStr">
        <is>
          <t>INSP-2026-1347</t>
        </is>
      </c>
      <c r="B1348" s="6" t="n">
        <v>46223</v>
      </c>
      <c r="C1348" t="inlineStr">
        <is>
          <t>U-CD174-01-04</t>
        </is>
      </c>
      <c r="D1348" t="inlineStr">
        <is>
          <t>Cendana</t>
        </is>
      </c>
      <c r="E1348" t="inlineStr">
        <is>
          <t>marcus</t>
        </is>
      </c>
      <c r="F1348" t="inlineStr">
        <is>
          <t>Routine</t>
        </is>
      </c>
      <c r="G1348" t="inlineStr">
        <is>
          <t>NONE</t>
        </is>
      </c>
      <c r="H1348" t="inlineStr">
        <is>
          <t>Compliant</t>
        </is>
      </c>
      <c r="I1348" s="6" t="n"/>
      <c r="J1348" s="6" t="n"/>
      <c r="K1348">
        <f>IF(J1348="","",J1348-B1348)</f>
        <v/>
      </c>
      <c r="L1348">
        <f>IF(H1348="Compliant","N/A",IF(J1348&lt;&gt;"","Closed",IF(I1348&lt;DATE(2026,9,30),"OVERDUE","Open")))</f>
        <v/>
      </c>
    </row>
    <row r="1349">
      <c r="A1349" t="inlineStr">
        <is>
          <t>INSP-2026-1348</t>
        </is>
      </c>
      <c r="B1349" s="6" t="n">
        <v>46223</v>
      </c>
      <c r="C1349" t="inlineStr">
        <is>
          <t>U-RH441-01-05</t>
        </is>
      </c>
      <c r="D1349" t="inlineStr">
        <is>
          <t>Rimba Heights</t>
        </is>
      </c>
      <c r="E1349" t="inlineStr">
        <is>
          <t>Daniel O.</t>
        </is>
      </c>
      <c r="F1349" t="inlineStr">
        <is>
          <t>Routine</t>
        </is>
      </c>
      <c r="G1349" t="inlineStr">
        <is>
          <t>DISPLAY_ENCROACH</t>
        </is>
      </c>
      <c r="H1349" t="inlineStr">
        <is>
          <t>Minor Breach</t>
        </is>
      </c>
      <c r="I1349" s="6" t="n">
        <v>46237</v>
      </c>
      <c r="J1349" s="6" t="n"/>
      <c r="K1349">
        <f>IF(J1349="","",J1349-B1349)</f>
        <v/>
      </c>
      <c r="L1349">
        <f>IF(H1349="Compliant","N/A",IF(J1349&lt;&gt;"","Closed",IF(I1349&lt;DATE(2026,9,30),"OVERDUE","Open")))</f>
        <v/>
      </c>
    </row>
    <row r="1350">
      <c r="A1350" t="inlineStr">
        <is>
          <t>INSP-2026-1349</t>
        </is>
      </c>
      <c r="B1350" s="6" t="n">
        <v>46223</v>
      </c>
      <c r="C1350" t="inlineStr">
        <is>
          <t>U-ST590-01-07</t>
        </is>
      </c>
      <c r="D1350" t="inlineStr">
        <is>
          <t>Sungai Tinggi</t>
        </is>
      </c>
      <c r="E1350" t="inlineStr">
        <is>
          <t>Benjamin Ho</t>
        </is>
      </c>
      <c r="F1350" t="inlineStr">
        <is>
          <t>Follow-up</t>
        </is>
      </c>
      <c r="G1350" t="inlineStr">
        <is>
          <t>NONE</t>
        </is>
      </c>
      <c r="H1350" t="inlineStr">
        <is>
          <t>Compliant</t>
        </is>
      </c>
      <c r="I1350" s="6" t="n"/>
      <c r="J1350" s="6" t="n"/>
      <c r="K1350">
        <f>IF(J1350="","",J1350-B1350)</f>
        <v/>
      </c>
      <c r="L1350">
        <f>IF(H1350="Compliant","N/A",IF(J1350&lt;&gt;"","Closed",IF(I1350&lt;DATE(2026,9,30),"OVERDUE","Open")))</f>
        <v/>
      </c>
    </row>
    <row r="1351">
      <c r="A1351" t="inlineStr">
        <is>
          <t>INSP-2026-1350</t>
        </is>
      </c>
      <c r="B1351" s="6" t="n">
        <v>46224</v>
      </c>
      <c r="C1351" t="inlineStr">
        <is>
          <t>U-ST528-01-03</t>
        </is>
      </c>
      <c r="D1351" t="inlineStr">
        <is>
          <t>Sungai Tinggi</t>
        </is>
      </c>
      <c r="E1351" t="inlineStr">
        <is>
          <t>Benjamin Ho</t>
        </is>
      </c>
      <c r="F1351" t="inlineStr">
        <is>
          <t>Complaint-driven</t>
        </is>
      </c>
      <c r="G1351" t="inlineStr">
        <is>
          <t>NONE</t>
        </is>
      </c>
      <c r="H1351" t="inlineStr">
        <is>
          <t>Compliant</t>
        </is>
      </c>
      <c r="I1351" s="6" t="n"/>
      <c r="J1351" s="6" t="n"/>
      <c r="K1351">
        <f>IF(J1351="","",J1351-B1351)</f>
        <v/>
      </c>
      <c r="L1351">
        <f>IF(H1351="Compliant","N/A",IF(J1351&lt;&gt;"","Closed",IF(I1351&lt;DATE(2026,9,30),"OVERDUE","Open")))</f>
        <v/>
      </c>
    </row>
    <row r="1352">
      <c r="A1352" t="inlineStr">
        <is>
          <t>INSP-2026-1351</t>
        </is>
      </c>
      <c r="B1352" s="6" t="n">
        <v>46224</v>
      </c>
      <c r="C1352" t="inlineStr">
        <is>
          <t>U-PI615-01-09</t>
        </is>
      </c>
      <c r="D1352" t="inlineStr">
        <is>
          <t>Pasir Indah</t>
        </is>
      </c>
      <c r="E1352" t="inlineStr">
        <is>
          <t>daniel ong</t>
        </is>
      </c>
      <c r="F1352" t="inlineStr">
        <is>
          <t>Routine</t>
        </is>
      </c>
      <c r="G1352" t="inlineStr">
        <is>
          <t>NONE</t>
        </is>
      </c>
      <c r="H1352" t="inlineStr">
        <is>
          <t>Compliant</t>
        </is>
      </c>
      <c r="I1352" s="6" t="n"/>
      <c r="J1352" s="6" t="n"/>
      <c r="K1352">
        <f>IF(J1352="","",J1352-B1352)</f>
        <v/>
      </c>
      <c r="L1352">
        <f>IF(H1352="Compliant","N/A",IF(J1352&lt;&gt;"","Closed",IF(I1352&lt;DATE(2026,9,30),"OVERDUE","Open")))</f>
        <v/>
      </c>
    </row>
    <row r="1353">
      <c r="A1353" t="inlineStr">
        <is>
          <t>INSP-2026-1352</t>
        </is>
      </c>
      <c r="B1353" s="6" t="n">
        <v>46224</v>
      </c>
      <c r="C1353" t="inlineStr">
        <is>
          <t>U-RH408-02-03</t>
        </is>
      </c>
      <c r="D1353" t="inlineStr">
        <is>
          <t>Rimba Heights</t>
        </is>
      </c>
      <c r="E1353" t="inlineStr">
        <is>
          <t>Daniel Ong</t>
        </is>
      </c>
      <c r="F1353" t="inlineStr">
        <is>
          <t>Routine</t>
        </is>
      </c>
      <c r="G1353" t="inlineStr">
        <is>
          <t>NONE</t>
        </is>
      </c>
      <c r="H1353" t="inlineStr">
        <is>
          <t>Compliant</t>
        </is>
      </c>
      <c r="I1353" s="6" t="n"/>
      <c r="J1353" s="6" t="n"/>
      <c r="K1353">
        <f>IF(J1353="","",J1353-B1353)</f>
        <v/>
      </c>
      <c r="L1353">
        <f>IF(H1353="Compliant","N/A",IF(J1353&lt;&gt;"","Closed",IF(I1353&lt;DATE(2026,9,30),"OVERDUE","Open")))</f>
        <v/>
      </c>
    </row>
    <row r="1354">
      <c r="A1354" t="inlineStr">
        <is>
          <t>INSP-2026-1353</t>
        </is>
      </c>
      <c r="B1354" s="6" t="n">
        <v>46224</v>
      </c>
      <c r="C1354" t="inlineStr">
        <is>
          <t>U-KR333-01-04</t>
        </is>
      </c>
      <c r="D1354" t="inlineStr">
        <is>
          <t>Kebun Raya</t>
        </is>
      </c>
      <c r="E1354" t="inlineStr">
        <is>
          <t>daniel ong</t>
        </is>
      </c>
      <c r="F1354" t="inlineStr">
        <is>
          <t>Routine</t>
        </is>
      </c>
      <c r="G1354" t="inlineStr">
        <is>
          <t>NONE</t>
        </is>
      </c>
      <c r="H1354" t="inlineStr">
        <is>
          <t>Compliant</t>
        </is>
      </c>
      <c r="I1354" s="6" t="n"/>
      <c r="J1354" s="6" t="n"/>
      <c r="K1354">
        <f>IF(J1354="","",J1354-B1354)</f>
        <v/>
      </c>
      <c r="L1354">
        <f>IF(H1354="Compliant","N/A",IF(J1354&lt;&gt;"","Closed",IF(I1354&lt;DATE(2026,9,30),"OVERDUE","Open")))</f>
        <v/>
      </c>
    </row>
    <row r="1355">
      <c r="A1355" t="inlineStr">
        <is>
          <t>INSP-2026-1354</t>
        </is>
      </c>
      <c r="B1355" s="6" t="n">
        <v>46224</v>
      </c>
      <c r="C1355" t="inlineStr">
        <is>
          <t>U-PI693-02-05</t>
        </is>
      </c>
      <c r="D1355" t="inlineStr">
        <is>
          <t>Pasir Indah</t>
        </is>
      </c>
      <c r="E1355" t="inlineStr">
        <is>
          <t>marcus</t>
        </is>
      </c>
      <c r="F1355" t="inlineStr">
        <is>
          <t>Complaint-driven</t>
        </is>
      </c>
      <c r="G1355" t="inlineStr">
        <is>
          <t>DISPLAY_ENCROACH</t>
        </is>
      </c>
      <c r="H1355" t="inlineStr">
        <is>
          <t>Minor Breach</t>
        </is>
      </c>
      <c r="I1355" s="6" t="n">
        <v>46238</v>
      </c>
      <c r="J1355" s="6" t="n">
        <v>46240</v>
      </c>
      <c r="K1355">
        <f>IF(J1355="","",J1355-B1355)</f>
        <v/>
      </c>
      <c r="L1355">
        <f>IF(H1355="Compliant","N/A",IF(J1355&lt;&gt;"","Closed",IF(I1355&lt;DATE(2026,9,30),"OVERDUE","Open")))</f>
        <v/>
      </c>
    </row>
    <row r="1356">
      <c r="A1356" t="inlineStr">
        <is>
          <t>INSP-2026-1355</t>
        </is>
      </c>
      <c r="B1356" s="6" t="n">
        <v>46225</v>
      </c>
      <c r="C1356" t="inlineStr">
        <is>
          <t>U-CD120-01-13</t>
        </is>
      </c>
      <c r="D1356" t="inlineStr">
        <is>
          <t>Cendana</t>
        </is>
      </c>
      <c r="E1356" t="inlineStr">
        <is>
          <t>D. Ong</t>
        </is>
      </c>
      <c r="F1356" t="inlineStr">
        <is>
          <t>Routine</t>
        </is>
      </c>
      <c r="G1356" t="inlineStr">
        <is>
          <t>NONE</t>
        </is>
      </c>
      <c r="H1356" t="inlineStr">
        <is>
          <t>Compliant</t>
        </is>
      </c>
      <c r="I1356" s="6" t="n"/>
      <c r="J1356" s="6" t="n"/>
      <c r="K1356">
        <f>IF(J1356="","",J1356-B1356)</f>
        <v/>
      </c>
      <c r="L1356">
        <f>IF(H1356="Compliant","N/A",IF(J1356&lt;&gt;"","Closed",IF(I1356&lt;DATE(2026,9,30),"OVERDUE","Open")))</f>
        <v/>
      </c>
    </row>
    <row r="1357">
      <c r="A1357" t="inlineStr">
        <is>
          <t>INSP-2026-1356</t>
        </is>
      </c>
      <c r="B1357" s="6" t="n">
        <v>46225</v>
      </c>
      <c r="C1357" t="inlineStr">
        <is>
          <t>U-KR345-01-04</t>
        </is>
      </c>
      <c r="D1357" t="inlineStr">
        <is>
          <t>Kebun Raya</t>
        </is>
      </c>
      <c r="E1357" t="inlineStr">
        <is>
          <t>Daniel Ong</t>
        </is>
      </c>
      <c r="F1357" t="inlineStr">
        <is>
          <t>Follow-up</t>
        </is>
      </c>
      <c r="G1357" t="inlineStr">
        <is>
          <t>HYGIENE</t>
        </is>
      </c>
      <c r="H1357" t="inlineStr">
        <is>
          <t>Minor Breach</t>
        </is>
      </c>
      <c r="I1357" s="6" t="n">
        <v>46239</v>
      </c>
      <c r="J1357" s="6" t="n">
        <v>46243</v>
      </c>
      <c r="K1357">
        <f>IF(J1357="","",J1357-B1357)</f>
        <v/>
      </c>
      <c r="L1357">
        <f>IF(H1357="Compliant","N/A",IF(J1357&lt;&gt;"","Closed",IF(I1357&lt;DATE(2026,9,30),"OVERDUE","Open")))</f>
        <v/>
      </c>
    </row>
    <row r="1358">
      <c r="A1358" t="inlineStr">
        <is>
          <t>INSP-2026-1357</t>
        </is>
      </c>
      <c r="B1358" s="6" t="n">
        <v>46225</v>
      </c>
      <c r="C1358" t="inlineStr">
        <is>
          <t>U-BV216-01-08</t>
        </is>
      </c>
      <c r="D1358" t="inlineStr">
        <is>
          <t>Bayshore Vale</t>
        </is>
      </c>
      <c r="E1358" t="inlineStr">
        <is>
          <t>Daniel Ong</t>
        </is>
      </c>
      <c r="F1358" t="inlineStr">
        <is>
          <t>Routine</t>
        </is>
      </c>
      <c r="G1358" t="inlineStr">
        <is>
          <t>NONE</t>
        </is>
      </c>
      <c r="H1358" t="inlineStr">
        <is>
          <t>Compliant</t>
        </is>
      </c>
      <c r="I1358" s="6" t="n"/>
      <c r="J1358" s="6" t="n"/>
      <c r="K1358">
        <f>IF(J1358="","",J1358-B1358)</f>
        <v/>
      </c>
      <c r="L1358">
        <f>IF(H1358="Compliant","N/A",IF(J1358&lt;&gt;"","Closed",IF(I1358&lt;DATE(2026,9,30),"OVERDUE","Open")))</f>
        <v/>
      </c>
    </row>
    <row r="1359">
      <c r="A1359" t="inlineStr">
        <is>
          <t>INSP-2026-1358</t>
        </is>
      </c>
      <c r="B1359" s="6" t="n">
        <v>46225</v>
      </c>
      <c r="C1359" t="inlineStr">
        <is>
          <t>U-ST545-01-02</t>
        </is>
      </c>
      <c r="D1359" t="inlineStr">
        <is>
          <t>Sungai Tinggi</t>
        </is>
      </c>
      <c r="E1359" t="inlineStr">
        <is>
          <t>daniel ong</t>
        </is>
      </c>
      <c r="F1359" t="inlineStr">
        <is>
          <t>Complaint-driven</t>
        </is>
      </c>
      <c r="G1359" t="inlineStr">
        <is>
          <t>UNAPPROVED_AA</t>
        </is>
      </c>
      <c r="H1359" t="inlineStr">
        <is>
          <t>Minor Breach</t>
        </is>
      </c>
      <c r="I1359" s="6" t="n">
        <v>46239</v>
      </c>
      <c r="J1359" s="6" t="n"/>
      <c r="K1359">
        <f>IF(J1359="","",J1359-B1359)</f>
        <v/>
      </c>
      <c r="L1359">
        <f>IF(H1359="Compliant","N/A",IF(J1359&lt;&gt;"","Closed",IF(I1359&lt;DATE(2026,9,30),"OVERDUE","Open")))</f>
        <v/>
      </c>
    </row>
    <row r="1360">
      <c r="A1360" t="inlineStr">
        <is>
          <t>INSP-2026-1359</t>
        </is>
      </c>
      <c r="B1360" s="6" t="n">
        <v>46225</v>
      </c>
      <c r="C1360" t="inlineStr">
        <is>
          <t>U-KR349-01-02</t>
        </is>
      </c>
      <c r="D1360" t="inlineStr">
        <is>
          <t>Kebun Raya</t>
        </is>
      </c>
      <c r="E1360" t="inlineStr">
        <is>
          <t>daniel ong</t>
        </is>
      </c>
      <c r="F1360" t="inlineStr">
        <is>
          <t>Routine</t>
        </is>
      </c>
      <c r="G1360" t="inlineStr">
        <is>
          <t>HYGIENE</t>
        </is>
      </c>
      <c r="H1360" t="inlineStr">
        <is>
          <t>Minor Breach</t>
        </is>
      </c>
      <c r="I1360" s="6" t="n">
        <v>46239</v>
      </c>
      <c r="J1360" s="6" t="n"/>
      <c r="K1360">
        <f>IF(J1360="","",J1360-B1360)</f>
        <v/>
      </c>
      <c r="L1360">
        <f>IF(H1360="Compliant","N/A",IF(J1360&lt;&gt;"","Closed",IF(I1360&lt;DATE(2026,9,30),"OVERDUE","Open")))</f>
        <v/>
      </c>
    </row>
    <row r="1361">
      <c r="A1361" t="inlineStr">
        <is>
          <t>INSP-2026-1360</t>
        </is>
      </c>
      <c r="B1361" s="6" t="n">
        <v>46225</v>
      </c>
      <c r="C1361" t="inlineStr">
        <is>
          <t>U-ST564-01-03</t>
        </is>
      </c>
      <c r="D1361" t="inlineStr">
        <is>
          <t>Sungai Tinggi</t>
        </is>
      </c>
      <c r="E1361" t="inlineStr">
        <is>
          <t>Benjamin Ho</t>
        </is>
      </c>
      <c r="F1361" t="inlineStr">
        <is>
          <t>Routine</t>
        </is>
      </c>
      <c r="G1361" t="inlineStr">
        <is>
          <t>NONE</t>
        </is>
      </c>
      <c r="H1361" t="inlineStr">
        <is>
          <t>Compliant</t>
        </is>
      </c>
      <c r="I1361" s="6" t="n"/>
      <c r="J1361" s="6" t="n"/>
      <c r="K1361">
        <f>IF(J1361="","",J1361-B1361)</f>
        <v/>
      </c>
      <c r="L1361">
        <f>IF(H1361="Compliant","N/A",IF(J1361&lt;&gt;"","Closed",IF(I1361&lt;DATE(2026,9,30),"OVERDUE","Open")))</f>
        <v/>
      </c>
    </row>
    <row r="1362">
      <c r="A1362" t="inlineStr">
        <is>
          <t>INSP-2026-1361</t>
        </is>
      </c>
      <c r="B1362" s="6" t="n">
        <v>46226</v>
      </c>
      <c r="C1362" t="inlineStr">
        <is>
          <t>U-PI625-01-08</t>
        </is>
      </c>
      <c r="D1362" t="inlineStr">
        <is>
          <t>Pasir Indah</t>
        </is>
      </c>
      <c r="E1362" t="inlineStr">
        <is>
          <t>Daniel Ong</t>
        </is>
      </c>
      <c r="F1362" t="inlineStr">
        <is>
          <t>Follow-up</t>
        </is>
      </c>
      <c r="G1362" t="inlineStr">
        <is>
          <t>DISPLAY_ENCROACH</t>
        </is>
      </c>
      <c r="H1362" t="inlineStr">
        <is>
          <t>Minor Breach</t>
        </is>
      </c>
      <c r="I1362" s="6" t="n">
        <v>46240</v>
      </c>
      <c r="J1362" s="6" t="n">
        <v>46247</v>
      </c>
      <c r="K1362">
        <f>IF(J1362="","",J1362-B1362)</f>
        <v/>
      </c>
      <c r="L1362">
        <f>IF(H1362="Compliant","N/A",IF(J1362&lt;&gt;"","Closed",IF(I1362&lt;DATE(2026,9,30),"OVERDUE","Open")))</f>
        <v/>
      </c>
    </row>
    <row r="1363">
      <c r="A1363" t="inlineStr">
        <is>
          <t>INSP-2026-1362</t>
        </is>
      </c>
      <c r="B1363" s="6" t="n">
        <v>46226</v>
      </c>
      <c r="C1363" t="inlineStr">
        <is>
          <t>U-CD194-01-03</t>
        </is>
      </c>
      <c r="D1363" t="inlineStr">
        <is>
          <t>Cendana</t>
        </is>
      </c>
      <c r="E1363" t="inlineStr">
        <is>
          <t>D. Ong</t>
        </is>
      </c>
      <c r="F1363" t="inlineStr">
        <is>
          <t>Complaint-driven</t>
        </is>
      </c>
      <c r="G1363" t="inlineStr">
        <is>
          <t>NONE</t>
        </is>
      </c>
      <c r="H1363" t="inlineStr">
        <is>
          <t>Compliant</t>
        </is>
      </c>
      <c r="I1363" s="6" t="n"/>
      <c r="J1363" s="6" t="n"/>
      <c r="K1363">
        <f>IF(J1363="","",J1363-B1363)</f>
        <v/>
      </c>
      <c r="L1363">
        <f>IF(H1363="Compliant","N/A",IF(J1363&lt;&gt;"","Closed",IF(I1363&lt;DATE(2026,9,30),"OVERDUE","Open")))</f>
        <v/>
      </c>
    </row>
    <row r="1364">
      <c r="A1364" t="inlineStr">
        <is>
          <t>INSP-2026-1363</t>
        </is>
      </c>
      <c r="B1364" s="6" t="n">
        <v>46226</v>
      </c>
      <c r="C1364" t="inlineStr">
        <is>
          <t>U-CD105-01-03</t>
        </is>
      </c>
      <c r="D1364" t="inlineStr">
        <is>
          <t>Cendana</t>
        </is>
      </c>
      <c r="E1364" t="inlineStr">
        <is>
          <t>marcus</t>
        </is>
      </c>
      <c r="F1364" t="inlineStr">
        <is>
          <t>Follow-up</t>
        </is>
      </c>
      <c r="G1364" t="inlineStr">
        <is>
          <t>NONE</t>
        </is>
      </c>
      <c r="H1364" t="inlineStr">
        <is>
          <t>Compliant</t>
        </is>
      </c>
      <c r="I1364" s="6" t="n"/>
      <c r="J1364" s="6" t="n"/>
      <c r="K1364">
        <f>IF(J1364="","",J1364-B1364)</f>
        <v/>
      </c>
      <c r="L1364">
        <f>IF(H1364="Compliant","N/A",IF(J1364&lt;&gt;"","Closed",IF(I1364&lt;DATE(2026,9,30),"OVERDUE","Open")))</f>
        <v/>
      </c>
    </row>
    <row r="1365">
      <c r="A1365" t="inlineStr">
        <is>
          <t>INSP-2026-1364</t>
        </is>
      </c>
      <c r="B1365" s="6" t="n">
        <v>46226</v>
      </c>
      <c r="C1365" t="inlineStr">
        <is>
          <t>U-PI634-01-14</t>
        </is>
      </c>
      <c r="D1365" t="inlineStr">
        <is>
          <t>Pasir Indah</t>
        </is>
      </c>
      <c r="E1365" t="inlineStr">
        <is>
          <t>daniel ong</t>
        </is>
      </c>
      <c r="F1365" t="inlineStr">
        <is>
          <t>Routine</t>
        </is>
      </c>
      <c r="G1365" t="inlineStr">
        <is>
          <t>NONE</t>
        </is>
      </c>
      <c r="H1365" t="inlineStr">
        <is>
          <t>Compliant</t>
        </is>
      </c>
      <c r="I1365" s="6" t="n"/>
      <c r="J1365" s="6" t="n"/>
      <c r="K1365">
        <f>IF(J1365="","",J1365-B1365)</f>
        <v/>
      </c>
      <c r="L1365">
        <f>IF(H1365="Compliant","N/A",IF(J1365&lt;&gt;"","Closed",IF(I1365&lt;DATE(2026,9,30),"OVERDUE","Open")))</f>
        <v/>
      </c>
    </row>
    <row r="1366">
      <c r="A1366" t="inlineStr">
        <is>
          <t>INSP-2026-1365</t>
        </is>
      </c>
      <c r="B1366" s="6" t="n">
        <v>46226</v>
      </c>
      <c r="C1366" t="inlineStr">
        <is>
          <t>U-RH485-01-07</t>
        </is>
      </c>
      <c r="D1366" t="inlineStr">
        <is>
          <t>Rimba Heights</t>
        </is>
      </c>
      <c r="E1366" t="inlineStr">
        <is>
          <t>D. Ong</t>
        </is>
      </c>
      <c r="F1366" t="inlineStr">
        <is>
          <t>Routine</t>
        </is>
      </c>
      <c r="G1366" t="inlineStr">
        <is>
          <t>NONE</t>
        </is>
      </c>
      <c r="H1366" t="inlineStr">
        <is>
          <t>Compliant</t>
        </is>
      </c>
      <c r="I1366" s="6" t="n"/>
      <c r="J1366" s="6" t="n"/>
      <c r="K1366">
        <f>IF(J1366="","",J1366-B1366)</f>
        <v/>
      </c>
      <c r="L1366">
        <f>IF(H1366="Compliant","N/A",IF(J1366&lt;&gt;"","Closed",IF(I1366&lt;DATE(2026,9,30),"OVERDUE","Open")))</f>
        <v/>
      </c>
    </row>
    <row r="1367">
      <c r="A1367" t="inlineStr">
        <is>
          <t>INSP-2026-1366</t>
        </is>
      </c>
      <c r="B1367" s="6" t="n">
        <v>46226</v>
      </c>
      <c r="C1367" t="inlineStr">
        <is>
          <t>U-RH485-01-07</t>
        </is>
      </c>
      <c r="D1367" t="inlineStr">
        <is>
          <t>Rimba Heights</t>
        </is>
      </c>
      <c r="E1367" t="inlineStr">
        <is>
          <t>Daniel O.</t>
        </is>
      </c>
      <c r="F1367" t="inlineStr">
        <is>
          <t>Complaint-driven</t>
        </is>
      </c>
      <c r="G1367" t="inlineStr">
        <is>
          <t>UNAUTH_TRADE</t>
        </is>
      </c>
      <c r="H1367" t="inlineStr">
        <is>
          <t>Major Breach</t>
        </is>
      </c>
      <c r="I1367" s="6" t="n">
        <v>46233</v>
      </c>
      <c r="J1367" s="6" t="n"/>
      <c r="K1367">
        <f>IF(J1367="","",J1367-B1367)</f>
        <v/>
      </c>
      <c r="L1367">
        <f>IF(H1367="Compliant","N/A",IF(J1367&lt;&gt;"","Closed",IF(I1367&lt;DATE(2026,9,30),"OVERDUE","Open")))</f>
        <v/>
      </c>
    </row>
    <row r="1368">
      <c r="A1368" t="inlineStr">
        <is>
          <t>INSP-2026-1367</t>
        </is>
      </c>
      <c r="B1368" s="6" t="n">
        <v>46226</v>
      </c>
      <c r="C1368" t="inlineStr">
        <is>
          <t>U-BV297-01-07</t>
        </is>
      </c>
      <c r="D1368" t="inlineStr">
        <is>
          <t>Bayshore Vale</t>
        </is>
      </c>
      <c r="E1368" t="inlineStr">
        <is>
          <t>Daniel O.</t>
        </is>
      </c>
      <c r="F1368" t="inlineStr">
        <is>
          <t>Complaint-driven</t>
        </is>
      </c>
      <c r="G1368" t="inlineStr">
        <is>
          <t>NONE</t>
        </is>
      </c>
      <c r="H1368" t="inlineStr">
        <is>
          <t>Compliant</t>
        </is>
      </c>
      <c r="I1368" s="6" t="n"/>
      <c r="J1368" s="6" t="n"/>
      <c r="K1368">
        <f>IF(J1368="","",J1368-B1368)</f>
        <v/>
      </c>
      <c r="L1368">
        <f>IF(H1368="Compliant","N/A",IF(J1368&lt;&gt;"","Closed",IF(I1368&lt;DATE(2026,9,30),"OVERDUE","Open")))</f>
        <v/>
      </c>
    </row>
    <row r="1369">
      <c r="A1369" t="inlineStr">
        <is>
          <t>INSP-2026-1368</t>
        </is>
      </c>
      <c r="B1369" s="6" t="n">
        <v>46226</v>
      </c>
      <c r="C1369" t="inlineStr">
        <is>
          <t>U-ST506-02-03</t>
        </is>
      </c>
      <c r="D1369" t="inlineStr">
        <is>
          <t>Sungai Tinggi</t>
        </is>
      </c>
      <c r="E1369" t="inlineStr">
        <is>
          <t>Ben Ho</t>
        </is>
      </c>
      <c r="F1369" t="inlineStr">
        <is>
          <t>Routine</t>
        </is>
      </c>
      <c r="G1369" t="inlineStr">
        <is>
          <t>NONE</t>
        </is>
      </c>
      <c r="H1369" t="inlineStr">
        <is>
          <t>Compliant</t>
        </is>
      </c>
      <c r="I1369" s="6" t="n"/>
      <c r="J1369" s="6" t="n"/>
      <c r="K1369">
        <f>IF(J1369="","",J1369-B1369)</f>
        <v/>
      </c>
      <c r="L1369">
        <f>IF(H1369="Compliant","N/A",IF(J1369&lt;&gt;"","Closed",IF(I1369&lt;DATE(2026,9,30),"OVERDUE","Open")))</f>
        <v/>
      </c>
    </row>
    <row r="1370">
      <c r="A1370" t="inlineStr">
        <is>
          <t>INSP-2026-1369</t>
        </is>
      </c>
      <c r="B1370" s="6" t="n">
        <v>46226</v>
      </c>
      <c r="C1370" t="inlineStr">
        <is>
          <t>U-PI627-01-01</t>
        </is>
      </c>
      <c r="D1370" t="inlineStr">
        <is>
          <t>Pasir Indah</t>
        </is>
      </c>
      <c r="E1370" t="inlineStr">
        <is>
          <t>Marcus Lim</t>
        </is>
      </c>
      <c r="F1370" t="inlineStr">
        <is>
          <t>Routine</t>
        </is>
      </c>
      <c r="G1370" t="inlineStr">
        <is>
          <t>DISPLAY_ENCROACH</t>
        </is>
      </c>
      <c r="H1370" t="inlineStr">
        <is>
          <t>Minor Breach</t>
        </is>
      </c>
      <c r="I1370" s="6" t="n">
        <v>46240</v>
      </c>
      <c r="J1370" s="6" t="n"/>
      <c r="K1370">
        <f>IF(J1370="","",J1370-B1370)</f>
        <v/>
      </c>
      <c r="L1370">
        <f>IF(H1370="Compliant","N/A",IF(J1370&lt;&gt;"","Closed",IF(I1370&lt;DATE(2026,9,30),"OVERDUE","Open")))</f>
        <v/>
      </c>
    </row>
    <row r="1371">
      <c r="A1371" t="inlineStr">
        <is>
          <t>INSP-2026-1370</t>
        </is>
      </c>
      <c r="B1371" s="6" t="n">
        <v>46227</v>
      </c>
      <c r="C1371" t="inlineStr">
        <is>
          <t>U-ST513-01-01</t>
        </is>
      </c>
      <c r="D1371" t="inlineStr">
        <is>
          <t>Sungai Tinggi</t>
        </is>
      </c>
      <c r="E1371" t="inlineStr">
        <is>
          <t>B. Ho</t>
        </is>
      </c>
      <c r="F1371" t="inlineStr">
        <is>
          <t>Routine</t>
        </is>
      </c>
      <c r="G1371" t="inlineStr">
        <is>
          <t>NONE</t>
        </is>
      </c>
      <c r="H1371" t="inlineStr">
        <is>
          <t>Compliant</t>
        </is>
      </c>
      <c r="I1371" s="6" t="n"/>
      <c r="J1371" s="6" t="n"/>
      <c r="K1371">
        <f>IF(J1371="","",J1371-B1371)</f>
        <v/>
      </c>
      <c r="L1371">
        <f>IF(H1371="Compliant","N/A",IF(J1371&lt;&gt;"","Closed",IF(I1371&lt;DATE(2026,9,30),"OVERDUE","Open")))</f>
        <v/>
      </c>
    </row>
    <row r="1372">
      <c r="A1372" t="inlineStr">
        <is>
          <t>INSP-2026-1371</t>
        </is>
      </c>
      <c r="B1372" s="6" t="n">
        <v>46227</v>
      </c>
      <c r="C1372" t="inlineStr">
        <is>
          <t>U-CD189-01-08</t>
        </is>
      </c>
      <c r="D1372" t="inlineStr">
        <is>
          <t>Cendana</t>
        </is>
      </c>
      <c r="E1372" t="inlineStr">
        <is>
          <t>M. Lim</t>
        </is>
      </c>
      <c r="F1372" t="inlineStr">
        <is>
          <t>Routine</t>
        </is>
      </c>
      <c r="G1372" t="inlineStr">
        <is>
          <t>HYGIENE</t>
        </is>
      </c>
      <c r="H1372" t="inlineStr">
        <is>
          <t>Minor Breach</t>
        </is>
      </c>
      <c r="I1372" s="6" t="n">
        <v>46241</v>
      </c>
      <c r="J1372" s="6" t="n">
        <v>46238</v>
      </c>
      <c r="K1372">
        <f>IF(J1372="","",J1372-B1372)</f>
        <v/>
      </c>
      <c r="L1372">
        <f>IF(H1372="Compliant","N/A",IF(J1372&lt;&gt;"","Closed",IF(I1372&lt;DATE(2026,9,30),"OVERDUE","Open")))</f>
        <v/>
      </c>
    </row>
    <row r="1373">
      <c r="A1373" t="inlineStr">
        <is>
          <t>INSP-2026-1372</t>
        </is>
      </c>
      <c r="B1373" s="6" t="n">
        <v>46227</v>
      </c>
      <c r="C1373" t="inlineStr">
        <is>
          <t>U-CD129-01-03</t>
        </is>
      </c>
      <c r="D1373" t="inlineStr">
        <is>
          <t>Cendana</t>
        </is>
      </c>
      <c r="E1373" t="inlineStr">
        <is>
          <t>Daniel Ong</t>
        </is>
      </c>
      <c r="F1373" t="inlineStr">
        <is>
          <t>Routine</t>
        </is>
      </c>
      <c r="G1373" t="inlineStr">
        <is>
          <t>DISPLAY_ENCROACH</t>
        </is>
      </c>
      <c r="H1373" t="inlineStr">
        <is>
          <t>Minor Breach</t>
        </is>
      </c>
      <c r="I1373" s="6" t="n">
        <v>46241</v>
      </c>
      <c r="J1373" s="6" t="n">
        <v>46243</v>
      </c>
      <c r="K1373">
        <f>IF(J1373="","",J1373-B1373)</f>
        <v/>
      </c>
      <c r="L1373">
        <f>IF(H1373="Compliant","N/A",IF(J1373&lt;&gt;"","Closed",IF(I1373&lt;DATE(2026,9,30),"OVERDUE","Open")))</f>
        <v/>
      </c>
    </row>
    <row r="1374">
      <c r="A1374" t="inlineStr">
        <is>
          <t>INSP-2026-1373</t>
        </is>
      </c>
      <c r="B1374" s="6" t="n">
        <v>46227</v>
      </c>
      <c r="C1374" t="inlineStr">
        <is>
          <t>U-RH434-01-05</t>
        </is>
      </c>
      <c r="D1374" t="inlineStr">
        <is>
          <t>Rimba Heights</t>
        </is>
      </c>
      <c r="E1374" t="inlineStr">
        <is>
          <t>Benjamin Ho</t>
        </is>
      </c>
      <c r="F1374" t="inlineStr">
        <is>
          <t>Routine</t>
        </is>
      </c>
      <c r="G1374" t="inlineStr">
        <is>
          <t>NONE</t>
        </is>
      </c>
      <c r="H1374" t="inlineStr">
        <is>
          <t>Compliant</t>
        </is>
      </c>
      <c r="I1374" s="6" t="n"/>
      <c r="J1374" s="6" t="n"/>
      <c r="K1374">
        <f>IF(J1374="","",J1374-B1374)</f>
        <v/>
      </c>
      <c r="L1374">
        <f>IF(H1374="Compliant","N/A",IF(J1374&lt;&gt;"","Closed",IF(I1374&lt;DATE(2026,9,30),"OVERDUE","Open")))</f>
        <v/>
      </c>
    </row>
    <row r="1375">
      <c r="A1375" t="inlineStr">
        <is>
          <t>INSP-2026-1374</t>
        </is>
      </c>
      <c r="B1375" s="6" t="n">
        <v>46227</v>
      </c>
      <c r="C1375" t="inlineStr">
        <is>
          <t>U-PI627-01-01</t>
        </is>
      </c>
      <c r="D1375" t="inlineStr">
        <is>
          <t>Pasir Indah</t>
        </is>
      </c>
      <c r="E1375" t="inlineStr">
        <is>
          <t>Daniel O.</t>
        </is>
      </c>
      <c r="F1375" t="inlineStr">
        <is>
          <t>Routine</t>
        </is>
      </c>
      <c r="G1375" t="inlineStr">
        <is>
          <t>NONE</t>
        </is>
      </c>
      <c r="H1375" t="inlineStr">
        <is>
          <t>Compliant</t>
        </is>
      </c>
      <c r="I1375" s="6" t="n"/>
      <c r="J1375" s="6" t="n"/>
      <c r="K1375">
        <f>IF(J1375="","",J1375-B1375)</f>
        <v/>
      </c>
      <c r="L1375">
        <f>IF(H1375="Compliant","N/A",IF(J1375&lt;&gt;"","Closed",IF(I1375&lt;DATE(2026,9,30),"OVERDUE","Open")))</f>
        <v/>
      </c>
    </row>
    <row r="1376">
      <c r="A1376" t="inlineStr">
        <is>
          <t>INSP-2026-1375</t>
        </is>
      </c>
      <c r="B1376" s="6" t="n">
        <v>46227</v>
      </c>
      <c r="C1376" t="inlineStr">
        <is>
          <t>U-ST564-01-10</t>
        </is>
      </c>
      <c r="D1376" t="inlineStr">
        <is>
          <t>Sungai Tinggi</t>
        </is>
      </c>
      <c r="E1376" t="inlineStr">
        <is>
          <t>D. Ong</t>
        </is>
      </c>
      <c r="F1376" t="inlineStr">
        <is>
          <t>Routine</t>
        </is>
      </c>
      <c r="G1376" t="inlineStr">
        <is>
          <t>HYGIENE</t>
        </is>
      </c>
      <c r="H1376" t="inlineStr">
        <is>
          <t>Minor Breach</t>
        </is>
      </c>
      <c r="I1376" s="6" t="n">
        <v>46241</v>
      </c>
      <c r="J1376" s="6" t="n"/>
      <c r="K1376">
        <f>IF(J1376="","",J1376-B1376)</f>
        <v/>
      </c>
      <c r="L1376">
        <f>IF(H1376="Compliant","N/A",IF(J1376&lt;&gt;"","Closed",IF(I1376&lt;DATE(2026,9,30),"OVERDUE","Open")))</f>
        <v/>
      </c>
    </row>
    <row r="1377">
      <c r="A1377" t="inlineStr">
        <is>
          <t>INSP-2026-1376</t>
        </is>
      </c>
      <c r="B1377" s="6" t="n">
        <v>46227</v>
      </c>
      <c r="C1377" t="inlineStr">
        <is>
          <t>U-PI679-01-02</t>
        </is>
      </c>
      <c r="D1377" t="inlineStr">
        <is>
          <t>Pasir Indah</t>
        </is>
      </c>
      <c r="E1377" t="inlineStr">
        <is>
          <t>Marcus Lim</t>
        </is>
      </c>
      <c r="F1377" t="inlineStr">
        <is>
          <t>Routine</t>
        </is>
      </c>
      <c r="G1377" t="inlineStr">
        <is>
          <t>NONE</t>
        </is>
      </c>
      <c r="H1377" t="inlineStr">
        <is>
          <t>Compliant</t>
        </is>
      </c>
      <c r="I1377" s="6" t="n"/>
      <c r="J1377" s="6" t="n"/>
      <c r="K1377">
        <f>IF(J1377="","",J1377-B1377)</f>
        <v/>
      </c>
      <c r="L1377">
        <f>IF(H1377="Compliant","N/A",IF(J1377&lt;&gt;"","Closed",IF(I1377&lt;DATE(2026,9,30),"OVERDUE","Open")))</f>
        <v/>
      </c>
    </row>
    <row r="1378">
      <c r="A1378" t="inlineStr">
        <is>
          <t>INSP-2026-1377</t>
        </is>
      </c>
      <c r="B1378" s="6" t="n">
        <v>46227</v>
      </c>
      <c r="C1378" t="inlineStr">
        <is>
          <t>U-PI627-01-15</t>
        </is>
      </c>
      <c r="D1378" t="inlineStr">
        <is>
          <t>Pasir Indah</t>
        </is>
      </c>
      <c r="E1378" t="inlineStr">
        <is>
          <t>D. Ong</t>
        </is>
      </c>
      <c r="F1378" t="inlineStr">
        <is>
          <t>Routine</t>
        </is>
      </c>
      <c r="G1378" t="inlineStr">
        <is>
          <t>NONE</t>
        </is>
      </c>
      <c r="H1378" t="inlineStr">
        <is>
          <t>Compliant</t>
        </is>
      </c>
      <c r="I1378" s="6" t="n"/>
      <c r="J1378" s="6" t="n"/>
      <c r="K1378">
        <f>IF(J1378="","",J1378-B1378)</f>
        <v/>
      </c>
      <c r="L1378">
        <f>IF(H1378="Compliant","N/A",IF(J1378&lt;&gt;"","Closed",IF(I1378&lt;DATE(2026,9,30),"OVERDUE","Open")))</f>
        <v/>
      </c>
    </row>
    <row r="1379">
      <c r="A1379" t="inlineStr">
        <is>
          <t>INSP-2026-1378</t>
        </is>
      </c>
      <c r="B1379" s="6" t="n">
        <v>46228</v>
      </c>
      <c r="C1379" t="inlineStr">
        <is>
          <t>U-BV233-02-06</t>
        </is>
      </c>
      <c r="D1379" t="inlineStr">
        <is>
          <t>Bayshore Vale</t>
        </is>
      </c>
      <c r="E1379" t="inlineStr">
        <is>
          <t>M. Lim</t>
        </is>
      </c>
      <c r="F1379" t="inlineStr">
        <is>
          <t>Routine</t>
        </is>
      </c>
      <c r="G1379" t="inlineStr">
        <is>
          <t>NONE</t>
        </is>
      </c>
      <c r="H1379" t="inlineStr">
        <is>
          <t>Compliant</t>
        </is>
      </c>
      <c r="I1379" s="6" t="n"/>
      <c r="J1379" s="6" t="n"/>
      <c r="K1379">
        <f>IF(J1379="","",J1379-B1379)</f>
        <v/>
      </c>
      <c r="L1379">
        <f>IF(H1379="Compliant","N/A",IF(J1379&lt;&gt;"","Closed",IF(I1379&lt;DATE(2026,9,30),"OVERDUE","Open")))</f>
        <v/>
      </c>
    </row>
    <row r="1380">
      <c r="A1380" t="inlineStr">
        <is>
          <t>INSP-2026-1379</t>
        </is>
      </c>
      <c r="B1380" s="6" t="n">
        <v>46228</v>
      </c>
      <c r="C1380" t="inlineStr">
        <is>
          <t>U-RH476-01-06</t>
        </is>
      </c>
      <c r="D1380" t="inlineStr">
        <is>
          <t>Rimba Heights</t>
        </is>
      </c>
      <c r="E1380" t="inlineStr">
        <is>
          <t>D. Ong</t>
        </is>
      </c>
      <c r="F1380" t="inlineStr">
        <is>
          <t>Routine</t>
        </is>
      </c>
      <c r="G1380" t="inlineStr">
        <is>
          <t>NONE</t>
        </is>
      </c>
      <c r="H1380" t="inlineStr">
        <is>
          <t>Compliant</t>
        </is>
      </c>
      <c r="I1380" s="6" t="n"/>
      <c r="J1380" s="6" t="n"/>
      <c r="K1380">
        <f>IF(J1380="","",J1380-B1380)</f>
        <v/>
      </c>
      <c r="L1380">
        <f>IF(H1380="Compliant","N/A",IF(J1380&lt;&gt;"","Closed",IF(I1380&lt;DATE(2026,9,30),"OVERDUE","Open")))</f>
        <v/>
      </c>
    </row>
    <row r="1381">
      <c r="A1381" t="inlineStr">
        <is>
          <t>INSP-2026-1380</t>
        </is>
      </c>
      <c r="B1381" s="6" t="n">
        <v>46228</v>
      </c>
      <c r="C1381" t="inlineStr">
        <is>
          <t>U-KR330-01-01</t>
        </is>
      </c>
      <c r="D1381" t="inlineStr">
        <is>
          <t>Kebun Raya</t>
        </is>
      </c>
      <c r="E1381" t="inlineStr">
        <is>
          <t>D. Ong</t>
        </is>
      </c>
      <c r="F1381" t="inlineStr">
        <is>
          <t>Follow-up</t>
        </is>
      </c>
      <c r="G1381" t="inlineStr">
        <is>
          <t>FIRE_SAFETY</t>
        </is>
      </c>
      <c r="H1381" t="inlineStr">
        <is>
          <t>Major Breach</t>
        </is>
      </c>
      <c r="I1381" s="6" t="n">
        <v>46235</v>
      </c>
      <c r="J1381" s="6" t="n">
        <v>46234</v>
      </c>
      <c r="K1381">
        <f>IF(J1381="","",J1381-B1381)</f>
        <v/>
      </c>
      <c r="L1381">
        <f>IF(H1381="Compliant","N/A",IF(J1381&lt;&gt;"","Closed",IF(I1381&lt;DATE(2026,9,30),"OVERDUE","Open")))</f>
        <v/>
      </c>
    </row>
    <row r="1382">
      <c r="A1382" t="inlineStr">
        <is>
          <t>INSP-2026-1381</t>
        </is>
      </c>
      <c r="B1382" s="6" t="n">
        <v>46228</v>
      </c>
      <c r="C1382" t="inlineStr">
        <is>
          <t>U-PI648-01-09</t>
        </is>
      </c>
      <c r="D1382" t="inlineStr">
        <is>
          <t>Pasir Indah</t>
        </is>
      </c>
      <c r="E1382" t="inlineStr">
        <is>
          <t>Daniel O.</t>
        </is>
      </c>
      <c r="F1382" t="inlineStr">
        <is>
          <t>Routine</t>
        </is>
      </c>
      <c r="G1382" t="inlineStr">
        <is>
          <t>NONE</t>
        </is>
      </c>
      <c r="H1382" t="inlineStr">
        <is>
          <t>Compliant</t>
        </is>
      </c>
      <c r="I1382" s="6" t="n"/>
      <c r="J1382" s="6" t="n"/>
      <c r="K1382">
        <f>IF(J1382="","",J1382-B1382)</f>
        <v/>
      </c>
      <c r="L1382">
        <f>IF(H1382="Compliant","N/A",IF(J1382&lt;&gt;"","Closed",IF(I1382&lt;DATE(2026,9,30),"OVERDUE","Open")))</f>
        <v/>
      </c>
    </row>
    <row r="1383">
      <c r="A1383" t="inlineStr">
        <is>
          <t>INSP-2026-1382</t>
        </is>
      </c>
      <c r="B1383" s="6" t="n">
        <v>46228</v>
      </c>
      <c r="C1383" t="inlineStr">
        <is>
          <t>U-RH401-01-03</t>
        </is>
      </c>
      <c r="D1383" t="inlineStr">
        <is>
          <t>Rimba Heights</t>
        </is>
      </c>
      <c r="E1383" t="inlineStr">
        <is>
          <t>daniel ong</t>
        </is>
      </c>
      <c r="F1383" t="inlineStr">
        <is>
          <t>Follow-up</t>
        </is>
      </c>
      <c r="G1383" t="inlineStr">
        <is>
          <t>NONE</t>
        </is>
      </c>
      <c r="H1383" t="inlineStr">
        <is>
          <t>Compliant</t>
        </is>
      </c>
      <c r="I1383" s="6" t="n"/>
      <c r="J1383" s="6" t="n"/>
      <c r="K1383">
        <f>IF(J1383="","",J1383-B1383)</f>
        <v/>
      </c>
      <c r="L1383">
        <f>IF(H1383="Compliant","N/A",IF(J1383&lt;&gt;"","Closed",IF(I1383&lt;DATE(2026,9,30),"OVERDUE","Open")))</f>
        <v/>
      </c>
    </row>
    <row r="1384">
      <c r="A1384" t="inlineStr">
        <is>
          <t>INSP-2026-1383</t>
        </is>
      </c>
      <c r="B1384" s="6" t="n">
        <v>46228</v>
      </c>
      <c r="C1384" t="inlineStr">
        <is>
          <t>U-KR305-01-05</t>
        </is>
      </c>
      <c r="D1384" t="inlineStr">
        <is>
          <t>Kebun Raya</t>
        </is>
      </c>
      <c r="E1384" t="inlineStr">
        <is>
          <t>D. Ong</t>
        </is>
      </c>
      <c r="F1384" t="inlineStr">
        <is>
          <t>Routine</t>
        </is>
      </c>
      <c r="G1384" t="inlineStr">
        <is>
          <t>NONE</t>
        </is>
      </c>
      <c r="H1384" t="inlineStr">
        <is>
          <t>Compliant</t>
        </is>
      </c>
      <c r="I1384" s="6" t="n"/>
      <c r="J1384" s="6" t="n"/>
      <c r="K1384">
        <f>IF(J1384="","",J1384-B1384)</f>
        <v/>
      </c>
      <c r="L1384">
        <f>IF(H1384="Compliant","N/A",IF(J1384&lt;&gt;"","Closed",IF(I1384&lt;DATE(2026,9,30),"OVERDUE","Open")))</f>
        <v/>
      </c>
    </row>
    <row r="1385">
      <c r="A1385" t="inlineStr">
        <is>
          <t>INSP-2026-1384</t>
        </is>
      </c>
      <c r="B1385" s="6" t="n">
        <v>46228</v>
      </c>
      <c r="C1385" t="inlineStr">
        <is>
          <t>U-PI684-01-07</t>
        </is>
      </c>
      <c r="D1385" t="inlineStr">
        <is>
          <t>Pasir Indah</t>
        </is>
      </c>
      <c r="E1385" t="inlineStr">
        <is>
          <t>M. Lim</t>
        </is>
      </c>
      <c r="F1385" t="inlineStr">
        <is>
          <t>Routine</t>
        </is>
      </c>
      <c r="G1385" t="inlineStr">
        <is>
          <t>NONE</t>
        </is>
      </c>
      <c r="H1385" t="inlineStr">
        <is>
          <t>Compliant</t>
        </is>
      </c>
      <c r="I1385" s="6" t="n"/>
      <c r="J1385" s="6" t="n"/>
      <c r="K1385">
        <f>IF(J1385="","",J1385-B1385)</f>
        <v/>
      </c>
      <c r="L1385">
        <f>IF(H1385="Compliant","N/A",IF(J1385&lt;&gt;"","Closed",IF(I1385&lt;DATE(2026,9,30),"OVERDUE","Open")))</f>
        <v/>
      </c>
    </row>
    <row r="1386">
      <c r="A1386" t="inlineStr">
        <is>
          <t>INSP-2026-1385</t>
        </is>
      </c>
      <c r="B1386" s="6" t="n">
        <v>46229</v>
      </c>
      <c r="C1386" t="inlineStr">
        <is>
          <t>U-ST589-01-02</t>
        </is>
      </c>
      <c r="D1386" t="inlineStr">
        <is>
          <t>Sungai Tinggi</t>
        </is>
      </c>
      <c r="E1386" t="inlineStr">
        <is>
          <t>Ben Ho</t>
        </is>
      </c>
      <c r="F1386" t="inlineStr">
        <is>
          <t>Complaint-driven</t>
        </is>
      </c>
      <c r="G1386" t="inlineStr">
        <is>
          <t>NONE</t>
        </is>
      </c>
      <c r="H1386" t="inlineStr">
        <is>
          <t>Compliant</t>
        </is>
      </c>
      <c r="I1386" s="6" t="n"/>
      <c r="J1386" s="6" t="n"/>
      <c r="K1386">
        <f>IF(J1386="","",J1386-B1386)</f>
        <v/>
      </c>
      <c r="L1386">
        <f>IF(H1386="Compliant","N/A",IF(J1386&lt;&gt;"","Closed",IF(I1386&lt;DATE(2026,9,30),"OVERDUE","Open")))</f>
        <v/>
      </c>
    </row>
    <row r="1387">
      <c r="A1387" t="inlineStr">
        <is>
          <t>INSP-2026-1386</t>
        </is>
      </c>
      <c r="B1387" s="6" t="n">
        <v>46229</v>
      </c>
      <c r="C1387" t="inlineStr">
        <is>
          <t>U-KR372-01-10</t>
        </is>
      </c>
      <c r="D1387" t="inlineStr">
        <is>
          <t>Kebun Raya</t>
        </is>
      </c>
      <c r="E1387" t="inlineStr">
        <is>
          <t>Benjamin Ho</t>
        </is>
      </c>
      <c r="F1387" t="inlineStr">
        <is>
          <t>Complaint-driven</t>
        </is>
      </c>
      <c r="G1387" t="inlineStr">
        <is>
          <t>NONE</t>
        </is>
      </c>
      <c r="H1387" t="inlineStr">
        <is>
          <t>Compliant</t>
        </is>
      </c>
      <c r="I1387" s="6" t="n"/>
      <c r="J1387" s="6" t="n"/>
      <c r="K1387">
        <f>IF(J1387="","",J1387-B1387)</f>
        <v/>
      </c>
      <c r="L1387">
        <f>IF(H1387="Compliant","N/A",IF(J1387&lt;&gt;"","Closed",IF(I1387&lt;DATE(2026,9,30),"OVERDUE","Open")))</f>
        <v/>
      </c>
    </row>
    <row r="1388">
      <c r="A1388" t="inlineStr">
        <is>
          <t>INSP-2026-1387</t>
        </is>
      </c>
      <c r="B1388" s="6" t="n">
        <v>46229</v>
      </c>
      <c r="C1388" t="inlineStr">
        <is>
          <t>U-KR368-01-08</t>
        </is>
      </c>
      <c r="D1388" t="inlineStr">
        <is>
          <t>Kebun Raya</t>
        </is>
      </c>
      <c r="E1388" t="inlineStr">
        <is>
          <t>Ben Ho</t>
        </is>
      </c>
      <c r="F1388" t="inlineStr">
        <is>
          <t>Routine</t>
        </is>
      </c>
      <c r="G1388" t="inlineStr">
        <is>
          <t>NONE</t>
        </is>
      </c>
      <c r="H1388" t="inlineStr">
        <is>
          <t>Compliant</t>
        </is>
      </c>
      <c r="I1388" s="6" t="n"/>
      <c r="J1388" s="6" t="n"/>
      <c r="K1388">
        <f>IF(J1388="","",J1388-B1388)</f>
        <v/>
      </c>
      <c r="L1388">
        <f>IF(H1388="Compliant","N/A",IF(J1388&lt;&gt;"","Closed",IF(I1388&lt;DATE(2026,9,30),"OVERDUE","Open")))</f>
        <v/>
      </c>
    </row>
    <row r="1389">
      <c r="A1389" t="inlineStr">
        <is>
          <t>INSP-2026-1388</t>
        </is>
      </c>
      <c r="B1389" s="6" t="n">
        <v>46229</v>
      </c>
      <c r="C1389" t="inlineStr">
        <is>
          <t>U-CD173-01-01</t>
        </is>
      </c>
      <c r="D1389" t="inlineStr">
        <is>
          <t>Cendana</t>
        </is>
      </c>
      <c r="E1389" t="inlineStr">
        <is>
          <t>D. Ong</t>
        </is>
      </c>
      <c r="F1389" t="inlineStr">
        <is>
          <t>Routine</t>
        </is>
      </c>
      <c r="G1389" t="inlineStr">
        <is>
          <t>NONE</t>
        </is>
      </c>
      <c r="H1389" t="inlineStr">
        <is>
          <t>Compliant</t>
        </is>
      </c>
      <c r="I1389" s="6" t="n"/>
      <c r="J1389" s="6" t="n"/>
      <c r="K1389">
        <f>IF(J1389="","",J1389-B1389)</f>
        <v/>
      </c>
      <c r="L1389">
        <f>IF(H1389="Compliant","N/A",IF(J1389&lt;&gt;"","Closed",IF(I1389&lt;DATE(2026,9,30),"OVERDUE","Open")))</f>
        <v/>
      </c>
    </row>
    <row r="1390">
      <c r="A1390" t="inlineStr">
        <is>
          <t>INSP-2026-1389</t>
        </is>
      </c>
      <c r="B1390" s="6" t="n">
        <v>46229</v>
      </c>
      <c r="C1390" t="inlineStr">
        <is>
          <t>U-BV233-02-11</t>
        </is>
      </c>
      <c r="D1390" t="inlineStr">
        <is>
          <t>Bayshore Vale</t>
        </is>
      </c>
      <c r="E1390" t="inlineStr">
        <is>
          <t>M. Lim</t>
        </is>
      </c>
      <c r="F1390" t="inlineStr">
        <is>
          <t>Follow-up</t>
        </is>
      </c>
      <c r="G1390" t="inlineStr">
        <is>
          <t>HYGIENE</t>
        </is>
      </c>
      <c r="H1390" t="inlineStr">
        <is>
          <t>Minor Breach</t>
        </is>
      </c>
      <c r="I1390" s="6" t="n">
        <v>46243</v>
      </c>
      <c r="J1390" s="6" t="n"/>
      <c r="K1390">
        <f>IF(J1390="","",J1390-B1390)</f>
        <v/>
      </c>
      <c r="L1390">
        <f>IF(H1390="Compliant","N/A",IF(J1390&lt;&gt;"","Closed",IF(I1390&lt;DATE(2026,9,30),"OVERDUE","Open")))</f>
        <v/>
      </c>
    </row>
    <row r="1391">
      <c r="A1391" t="inlineStr">
        <is>
          <t>INSP-2026-1390</t>
        </is>
      </c>
      <c r="B1391" s="6" t="n">
        <v>46230</v>
      </c>
      <c r="C1391" t="inlineStr">
        <is>
          <t>U-CD129-01-06</t>
        </is>
      </c>
      <c r="D1391" t="inlineStr">
        <is>
          <t>Cendana</t>
        </is>
      </c>
      <c r="E1391" t="inlineStr">
        <is>
          <t>M. Lim</t>
        </is>
      </c>
      <c r="F1391" t="inlineStr">
        <is>
          <t>Follow-up</t>
        </is>
      </c>
      <c r="G1391" t="inlineStr">
        <is>
          <t>NONE</t>
        </is>
      </c>
      <c r="H1391" t="inlineStr">
        <is>
          <t>Compliant</t>
        </is>
      </c>
      <c r="I1391" s="6" t="n"/>
      <c r="J1391" s="6" t="n"/>
      <c r="K1391">
        <f>IF(J1391="","",J1391-B1391)</f>
        <v/>
      </c>
      <c r="L1391">
        <f>IF(H1391="Compliant","N/A",IF(J1391&lt;&gt;"","Closed",IF(I1391&lt;DATE(2026,9,30),"OVERDUE","Open")))</f>
        <v/>
      </c>
    </row>
    <row r="1392">
      <c r="A1392" t="inlineStr">
        <is>
          <t>INSP-2026-1391</t>
        </is>
      </c>
      <c r="B1392" s="6" t="n">
        <v>46230</v>
      </c>
      <c r="C1392" t="inlineStr">
        <is>
          <t>U-PI684-01-12</t>
        </is>
      </c>
      <c r="D1392" t="inlineStr">
        <is>
          <t>Pasir Indah</t>
        </is>
      </c>
      <c r="E1392" t="inlineStr">
        <is>
          <t>M. Lim</t>
        </is>
      </c>
      <c r="F1392" t="inlineStr">
        <is>
          <t>Routine</t>
        </is>
      </c>
      <c r="G1392" t="inlineStr">
        <is>
          <t>NONE</t>
        </is>
      </c>
      <c r="H1392" t="inlineStr">
        <is>
          <t>Compliant</t>
        </is>
      </c>
      <c r="I1392" s="6" t="n"/>
      <c r="J1392" s="6" t="n"/>
      <c r="K1392">
        <f>IF(J1392="","",J1392-B1392)</f>
        <v/>
      </c>
      <c r="L1392">
        <f>IF(H1392="Compliant","N/A",IF(J1392&lt;&gt;"","Closed",IF(I1392&lt;DATE(2026,9,30),"OVERDUE","Open")))</f>
        <v/>
      </c>
    </row>
    <row r="1393">
      <c r="A1393" t="inlineStr">
        <is>
          <t>INSP-2026-1392</t>
        </is>
      </c>
      <c r="B1393" s="6" t="n">
        <v>46230</v>
      </c>
      <c r="C1393" t="inlineStr">
        <is>
          <t>U-PI693-01-10</t>
        </is>
      </c>
      <c r="D1393" t="inlineStr">
        <is>
          <t>Pasir Indah</t>
        </is>
      </c>
      <c r="E1393" t="inlineStr">
        <is>
          <t>Daniel Ong</t>
        </is>
      </c>
      <c r="F1393" t="inlineStr">
        <is>
          <t>Follow-up</t>
        </is>
      </c>
      <c r="G1393" t="inlineStr">
        <is>
          <t>NONE</t>
        </is>
      </c>
      <c r="H1393" t="inlineStr">
        <is>
          <t>Compliant</t>
        </is>
      </c>
      <c r="I1393" s="6" t="n"/>
      <c r="J1393" s="6" t="n"/>
      <c r="K1393">
        <f>IF(J1393="","",J1393-B1393)</f>
        <v/>
      </c>
      <c r="L1393">
        <f>IF(H1393="Compliant","N/A",IF(J1393&lt;&gt;"","Closed",IF(I1393&lt;DATE(2026,9,30),"OVERDUE","Open")))</f>
        <v/>
      </c>
    </row>
    <row r="1394">
      <c r="A1394" t="inlineStr">
        <is>
          <t>INSP-2026-1393</t>
        </is>
      </c>
      <c r="B1394" s="6" t="n">
        <v>46230</v>
      </c>
      <c r="C1394" t="inlineStr">
        <is>
          <t>U-PI625-01-09</t>
        </is>
      </c>
      <c r="D1394" t="inlineStr">
        <is>
          <t>Pasir Indah</t>
        </is>
      </c>
      <c r="E1394" t="inlineStr">
        <is>
          <t>Daniel Ong</t>
        </is>
      </c>
      <c r="F1394" t="inlineStr">
        <is>
          <t>Routine</t>
        </is>
      </c>
      <c r="G1394" t="inlineStr">
        <is>
          <t>NONE</t>
        </is>
      </c>
      <c r="H1394" t="inlineStr">
        <is>
          <t>Compliant</t>
        </is>
      </c>
      <c r="I1394" s="6" t="n"/>
      <c r="J1394" s="6" t="n"/>
      <c r="K1394">
        <f>IF(J1394="","",J1394-B1394)</f>
        <v/>
      </c>
      <c r="L1394">
        <f>IF(H1394="Compliant","N/A",IF(J1394&lt;&gt;"","Closed",IF(I1394&lt;DATE(2026,9,30),"OVERDUE","Open")))</f>
        <v/>
      </c>
    </row>
    <row r="1395">
      <c r="A1395" t="inlineStr">
        <is>
          <t>INSP-2026-1394</t>
        </is>
      </c>
      <c r="B1395" s="6" t="n">
        <v>46230</v>
      </c>
      <c r="C1395" t="inlineStr">
        <is>
          <t>U-KR305-01-14</t>
        </is>
      </c>
      <c r="D1395" t="inlineStr">
        <is>
          <t>Kebun Raya</t>
        </is>
      </c>
      <c r="E1395" t="inlineStr">
        <is>
          <t>Daniel Ong</t>
        </is>
      </c>
      <c r="F1395" t="inlineStr">
        <is>
          <t>Routine</t>
        </is>
      </c>
      <c r="G1395" t="inlineStr">
        <is>
          <t>NONE</t>
        </is>
      </c>
      <c r="H1395" t="inlineStr">
        <is>
          <t>Compliant</t>
        </is>
      </c>
      <c r="I1395" s="6" t="n"/>
      <c r="J1395" s="6" t="n"/>
      <c r="K1395">
        <f>IF(J1395="","",J1395-B1395)</f>
        <v/>
      </c>
      <c r="L1395">
        <f>IF(H1395="Compliant","N/A",IF(J1395&lt;&gt;"","Closed",IF(I1395&lt;DATE(2026,9,30),"OVERDUE","Open")))</f>
        <v/>
      </c>
    </row>
    <row r="1396">
      <c r="A1396" t="inlineStr">
        <is>
          <t>INSP-2026-1395</t>
        </is>
      </c>
      <c r="B1396" s="6" t="n">
        <v>46230</v>
      </c>
      <c r="C1396" t="inlineStr">
        <is>
          <t>U-CD136-01-04</t>
        </is>
      </c>
      <c r="D1396" t="inlineStr">
        <is>
          <t>Cendana</t>
        </is>
      </c>
      <c r="E1396" t="inlineStr">
        <is>
          <t>daniel ong</t>
        </is>
      </c>
      <c r="F1396" t="inlineStr">
        <is>
          <t>Routine</t>
        </is>
      </c>
      <c r="G1396" t="inlineStr">
        <is>
          <t>NONE</t>
        </is>
      </c>
      <c r="H1396" t="inlineStr">
        <is>
          <t>Compliant</t>
        </is>
      </c>
      <c r="I1396" s="6" t="n"/>
      <c r="J1396" s="6" t="n"/>
      <c r="K1396">
        <f>IF(J1396="","",J1396-B1396)</f>
        <v/>
      </c>
      <c r="L1396">
        <f>IF(H1396="Compliant","N/A",IF(J1396&lt;&gt;"","Closed",IF(I1396&lt;DATE(2026,9,30),"OVERDUE","Open")))</f>
        <v/>
      </c>
    </row>
    <row r="1397">
      <c r="A1397" t="inlineStr">
        <is>
          <t>INSP-2026-1396</t>
        </is>
      </c>
      <c r="B1397" s="6" t="n">
        <v>46230</v>
      </c>
      <c r="C1397" t="inlineStr">
        <is>
          <t>U-PI634-01-02</t>
        </is>
      </c>
      <c r="D1397" t="inlineStr">
        <is>
          <t>Pasir Indah</t>
        </is>
      </c>
      <c r="E1397" t="inlineStr">
        <is>
          <t>marcus</t>
        </is>
      </c>
      <c r="F1397" t="inlineStr">
        <is>
          <t>Routine</t>
        </is>
      </c>
      <c r="G1397" t="inlineStr">
        <is>
          <t>DISPLAY_ENCROACH</t>
        </is>
      </c>
      <c r="H1397" t="inlineStr">
        <is>
          <t>Minor Breach</t>
        </is>
      </c>
      <c r="I1397" s="6" t="n">
        <v>46244</v>
      </c>
      <c r="J1397" s="6" t="n">
        <v>46242</v>
      </c>
      <c r="K1397">
        <f>IF(J1397="","",J1397-B1397)</f>
        <v/>
      </c>
      <c r="L1397">
        <f>IF(H1397="Compliant","N/A",IF(J1397&lt;&gt;"","Closed",IF(I1397&lt;DATE(2026,9,30),"OVERDUE","Open")))</f>
        <v/>
      </c>
    </row>
    <row r="1398">
      <c r="A1398" t="inlineStr">
        <is>
          <t>INSP-2026-1397</t>
        </is>
      </c>
      <c r="B1398" s="6" t="n">
        <v>46230</v>
      </c>
      <c r="C1398" t="inlineStr">
        <is>
          <t>U-PI625-01-04</t>
        </is>
      </c>
      <c r="D1398" t="inlineStr">
        <is>
          <t>Pasir Indah</t>
        </is>
      </c>
      <c r="E1398" t="inlineStr">
        <is>
          <t>Daniel Ong</t>
        </is>
      </c>
      <c r="F1398" t="inlineStr">
        <is>
          <t>Complaint-driven</t>
        </is>
      </c>
      <c r="G1398" t="inlineStr">
        <is>
          <t>DISPLAY_ENCROACH</t>
        </is>
      </c>
      <c r="H1398" t="inlineStr">
        <is>
          <t>Minor Breach</t>
        </is>
      </c>
      <c r="I1398" s="6" t="n">
        <v>46244</v>
      </c>
      <c r="J1398" s="6" t="n"/>
      <c r="K1398">
        <f>IF(J1398="","",J1398-B1398)</f>
        <v/>
      </c>
      <c r="L1398">
        <f>IF(H1398="Compliant","N/A",IF(J1398&lt;&gt;"","Closed",IF(I1398&lt;DATE(2026,9,30),"OVERDUE","Open")))</f>
        <v/>
      </c>
    </row>
    <row r="1399">
      <c r="A1399" t="inlineStr">
        <is>
          <t>INSP-2026-1398</t>
        </is>
      </c>
      <c r="B1399" s="6" t="n">
        <v>46231</v>
      </c>
      <c r="C1399" t="inlineStr">
        <is>
          <t>U-KR330-01-05</t>
        </is>
      </c>
      <c r="D1399" t="inlineStr">
        <is>
          <t>Kebun Raya</t>
        </is>
      </c>
      <c r="E1399" t="inlineStr">
        <is>
          <t>B. Ho</t>
        </is>
      </c>
      <c r="F1399" t="inlineStr">
        <is>
          <t>Complaint-driven</t>
        </is>
      </c>
      <c r="G1399" t="inlineStr">
        <is>
          <t>NONE</t>
        </is>
      </c>
      <c r="H1399" t="inlineStr">
        <is>
          <t>Compliant</t>
        </is>
      </c>
      <c r="I1399" s="6" t="n"/>
      <c r="J1399" s="6" t="n"/>
      <c r="K1399">
        <f>IF(J1399="","",J1399-B1399)</f>
        <v/>
      </c>
      <c r="L1399">
        <f>IF(H1399="Compliant","N/A",IF(J1399&lt;&gt;"","Closed",IF(I1399&lt;DATE(2026,9,30),"OVERDUE","Open")))</f>
        <v/>
      </c>
    </row>
    <row r="1400">
      <c r="A1400" t="inlineStr">
        <is>
          <t>INSP-2026-1399</t>
        </is>
      </c>
      <c r="B1400" s="6" t="n">
        <v>46231</v>
      </c>
      <c r="C1400" t="inlineStr">
        <is>
          <t>U-KR317-01-09</t>
        </is>
      </c>
      <c r="D1400" t="inlineStr">
        <is>
          <t>Kebun Raya</t>
        </is>
      </c>
      <c r="E1400" t="inlineStr">
        <is>
          <t>Daniel O.</t>
        </is>
      </c>
      <c r="F1400" t="inlineStr">
        <is>
          <t>Routine</t>
        </is>
      </c>
      <c r="G1400" t="inlineStr">
        <is>
          <t>NONE</t>
        </is>
      </c>
      <c r="H1400" t="inlineStr">
        <is>
          <t>Compliant</t>
        </is>
      </c>
      <c r="I1400" s="6" t="n"/>
      <c r="J1400" s="6" t="n"/>
      <c r="K1400">
        <f>IF(J1400="","",J1400-B1400)</f>
        <v/>
      </c>
      <c r="L1400">
        <f>IF(H1400="Compliant","N/A",IF(J1400&lt;&gt;"","Closed",IF(I1400&lt;DATE(2026,9,30),"OVERDUE","Open")))</f>
        <v/>
      </c>
    </row>
    <row r="1401">
      <c r="A1401" t="inlineStr">
        <is>
          <t>INSP-2026-1400</t>
        </is>
      </c>
      <c r="B1401" s="6" t="n">
        <v>46231</v>
      </c>
      <c r="C1401" t="inlineStr">
        <is>
          <t>U-RH455-02-16</t>
        </is>
      </c>
      <c r="D1401" t="inlineStr">
        <is>
          <t>Rimba Heights</t>
        </is>
      </c>
      <c r="E1401" t="inlineStr">
        <is>
          <t>Daniel Ong</t>
        </is>
      </c>
      <c r="F1401" t="inlineStr">
        <is>
          <t>Follow-up</t>
        </is>
      </c>
      <c r="G1401" t="inlineStr">
        <is>
          <t>NONE</t>
        </is>
      </c>
      <c r="H1401" t="inlineStr">
        <is>
          <t>Compliant</t>
        </is>
      </c>
      <c r="I1401" s="6" t="n"/>
      <c r="J1401" s="6" t="n"/>
      <c r="K1401">
        <f>IF(J1401="","",J1401-B1401)</f>
        <v/>
      </c>
      <c r="L1401">
        <f>IF(H1401="Compliant","N/A",IF(J1401&lt;&gt;"","Closed",IF(I1401&lt;DATE(2026,9,30),"OVERDUE","Open")))</f>
        <v/>
      </c>
    </row>
    <row r="1402">
      <c r="A1402" t="inlineStr">
        <is>
          <t>INSP-2026-1401</t>
        </is>
      </c>
      <c r="B1402" s="6" t="n">
        <v>46231</v>
      </c>
      <c r="C1402" t="inlineStr">
        <is>
          <t>U-BV230-01-04</t>
        </is>
      </c>
      <c r="D1402" t="inlineStr">
        <is>
          <t>Bayshore Vale</t>
        </is>
      </c>
      <c r="E1402" t="inlineStr">
        <is>
          <t>Marcus Lim</t>
        </is>
      </c>
      <c r="F1402" t="inlineStr">
        <is>
          <t>Routine</t>
        </is>
      </c>
      <c r="G1402" t="inlineStr">
        <is>
          <t>NONE</t>
        </is>
      </c>
      <c r="H1402" t="inlineStr">
        <is>
          <t>Compliant</t>
        </is>
      </c>
      <c r="I1402" s="6" t="n"/>
      <c r="J1402" s="6" t="n"/>
      <c r="K1402">
        <f>IF(J1402="","",J1402-B1402)</f>
        <v/>
      </c>
      <c r="L1402">
        <f>IF(H1402="Compliant","N/A",IF(J1402&lt;&gt;"","Closed",IF(I1402&lt;DATE(2026,9,30),"OVERDUE","Open")))</f>
        <v/>
      </c>
    </row>
    <row r="1403">
      <c r="A1403" t="inlineStr">
        <is>
          <t>INSP-2026-1402</t>
        </is>
      </c>
      <c r="B1403" s="6" t="n">
        <v>46231</v>
      </c>
      <c r="C1403" t="inlineStr">
        <is>
          <t>U-CD181-01-03</t>
        </is>
      </c>
      <c r="D1403" t="inlineStr">
        <is>
          <t>Cendana</t>
        </is>
      </c>
      <c r="E1403" t="inlineStr">
        <is>
          <t>marcus</t>
        </is>
      </c>
      <c r="F1403" t="inlineStr">
        <is>
          <t>Routine</t>
        </is>
      </c>
      <c r="G1403" t="inlineStr">
        <is>
          <t>NONE</t>
        </is>
      </c>
      <c r="H1403" t="inlineStr">
        <is>
          <t>Compliant</t>
        </is>
      </c>
      <c r="I1403" s="6" t="n"/>
      <c r="J1403" s="6" t="n"/>
      <c r="K1403">
        <f>IF(J1403="","",J1403-B1403)</f>
        <v/>
      </c>
      <c r="L1403">
        <f>IF(H1403="Compliant","N/A",IF(J1403&lt;&gt;"","Closed",IF(I1403&lt;DATE(2026,9,30),"OVERDUE","Open")))</f>
        <v/>
      </c>
    </row>
    <row r="1404">
      <c r="A1404" t="inlineStr">
        <is>
          <t>INSP-2026-1403</t>
        </is>
      </c>
      <c r="B1404" s="6" t="n">
        <v>46231</v>
      </c>
      <c r="C1404" t="inlineStr">
        <is>
          <t>U-PI651-01-02</t>
        </is>
      </c>
      <c r="D1404" t="inlineStr">
        <is>
          <t>Pasir Indah</t>
        </is>
      </c>
      <c r="E1404" t="inlineStr">
        <is>
          <t>Marcus Lim</t>
        </is>
      </c>
      <c r="F1404" t="inlineStr">
        <is>
          <t>Routine</t>
        </is>
      </c>
      <c r="G1404" t="inlineStr">
        <is>
          <t>NONE</t>
        </is>
      </c>
      <c r="H1404" t="inlineStr">
        <is>
          <t>Compliant</t>
        </is>
      </c>
      <c r="I1404" s="6" t="n"/>
      <c r="J1404" s="6" t="n"/>
      <c r="K1404">
        <f>IF(J1404="","",J1404-B1404)</f>
        <v/>
      </c>
      <c r="L1404">
        <f>IF(H1404="Compliant","N/A",IF(J1404&lt;&gt;"","Closed",IF(I1404&lt;DATE(2026,9,30),"OVERDUE","Open")))</f>
        <v/>
      </c>
    </row>
    <row r="1405">
      <c r="A1405" t="inlineStr">
        <is>
          <t>INSP-2026-1404</t>
        </is>
      </c>
      <c r="B1405" s="6" t="n">
        <v>46232</v>
      </c>
      <c r="C1405" t="inlineStr">
        <is>
          <t>U-ST544-02-04</t>
        </is>
      </c>
      <c r="D1405" t="inlineStr">
        <is>
          <t>Sungai Tinggi</t>
        </is>
      </c>
      <c r="E1405" t="inlineStr">
        <is>
          <t>Ben Ho</t>
        </is>
      </c>
      <c r="F1405" t="inlineStr">
        <is>
          <t>Routine</t>
        </is>
      </c>
      <c r="G1405" t="inlineStr">
        <is>
          <t>FIRE_SAFETY</t>
        </is>
      </c>
      <c r="H1405" t="inlineStr">
        <is>
          <t>Major Breach</t>
        </is>
      </c>
      <c r="I1405" s="6" t="n">
        <v>46239</v>
      </c>
      <c r="J1405" s="6" t="n">
        <v>46237</v>
      </c>
      <c r="K1405">
        <f>IF(J1405="","",J1405-B1405)</f>
        <v/>
      </c>
      <c r="L1405">
        <f>IF(H1405="Compliant","N/A",IF(J1405&lt;&gt;"","Closed",IF(I1405&lt;DATE(2026,9,30),"OVERDUE","Open")))</f>
        <v/>
      </c>
    </row>
    <row r="1406">
      <c r="A1406" t="inlineStr">
        <is>
          <t>INSP-2026-1405</t>
        </is>
      </c>
      <c r="B1406" s="6" t="n">
        <v>46232</v>
      </c>
      <c r="C1406" t="inlineStr">
        <is>
          <t>U-BV214-01-32</t>
        </is>
      </c>
      <c r="D1406" t="inlineStr">
        <is>
          <t>Bayshore Vale</t>
        </is>
      </c>
      <c r="E1406" t="inlineStr">
        <is>
          <t>Daniel Ong</t>
        </is>
      </c>
      <c r="F1406" t="inlineStr">
        <is>
          <t>Routine</t>
        </is>
      </c>
      <c r="G1406" t="inlineStr">
        <is>
          <t>UNAPPROVED_AA</t>
        </is>
      </c>
      <c r="H1406" t="inlineStr">
        <is>
          <t>Minor Breach</t>
        </is>
      </c>
      <c r="I1406" s="6" t="n">
        <v>46246</v>
      </c>
      <c r="J1406" s="6" t="n">
        <v>46256</v>
      </c>
      <c r="K1406">
        <f>IF(J1406="","",J1406-B1406)</f>
        <v/>
      </c>
      <c r="L1406">
        <f>IF(H1406="Compliant","N/A",IF(J1406&lt;&gt;"","Closed",IF(I1406&lt;DATE(2026,9,30),"OVERDUE","Open")))</f>
        <v/>
      </c>
    </row>
    <row r="1407">
      <c r="A1407" t="inlineStr">
        <is>
          <t>INSP-2026-1406</t>
        </is>
      </c>
      <c r="B1407" s="6" t="n">
        <v>46232</v>
      </c>
      <c r="C1407" t="inlineStr">
        <is>
          <t>U-ST545-01-09</t>
        </is>
      </c>
      <c r="D1407" t="inlineStr">
        <is>
          <t>Sungai Tinggi</t>
        </is>
      </c>
      <c r="E1407" t="inlineStr">
        <is>
          <t>Benjamin Ho</t>
        </is>
      </c>
      <c r="F1407" t="inlineStr">
        <is>
          <t>Routine</t>
        </is>
      </c>
      <c r="G1407" t="inlineStr">
        <is>
          <t>NONE</t>
        </is>
      </c>
      <c r="H1407" t="inlineStr">
        <is>
          <t>Compliant</t>
        </is>
      </c>
      <c r="I1407" s="6" t="n"/>
      <c r="J1407" s="6" t="n"/>
      <c r="K1407">
        <f>IF(J1407="","",J1407-B1407)</f>
        <v/>
      </c>
      <c r="L1407">
        <f>IF(H1407="Compliant","N/A",IF(J1407&lt;&gt;"","Closed",IF(I1407&lt;DATE(2026,9,30),"OVERDUE","Open")))</f>
        <v/>
      </c>
    </row>
    <row r="1408">
      <c r="A1408" t="inlineStr">
        <is>
          <t>INSP-2026-1407</t>
        </is>
      </c>
      <c r="B1408" s="6" t="n">
        <v>46232</v>
      </c>
      <c r="C1408" t="inlineStr">
        <is>
          <t>U-CD160-02-04</t>
        </is>
      </c>
      <c r="D1408" t="inlineStr">
        <is>
          <t>Cendana</t>
        </is>
      </c>
      <c r="E1408" t="inlineStr">
        <is>
          <t>Daniel Ong</t>
        </is>
      </c>
      <c r="F1408" t="inlineStr">
        <is>
          <t>Routine</t>
        </is>
      </c>
      <c r="G1408" t="inlineStr">
        <is>
          <t>NONE</t>
        </is>
      </c>
      <c r="H1408" t="inlineStr">
        <is>
          <t>Compliant</t>
        </is>
      </c>
      <c r="I1408" s="6" t="n"/>
      <c r="J1408" s="6" t="n"/>
      <c r="K1408">
        <f>IF(J1408="","",J1408-B1408)</f>
        <v/>
      </c>
      <c r="L1408">
        <f>IF(H1408="Compliant","N/A",IF(J1408&lt;&gt;"","Closed",IF(I1408&lt;DATE(2026,9,30),"OVERDUE","Open")))</f>
        <v/>
      </c>
    </row>
    <row r="1409">
      <c r="A1409" t="inlineStr">
        <is>
          <t>INSP-2026-1408</t>
        </is>
      </c>
      <c r="B1409" s="6" t="n">
        <v>46232</v>
      </c>
      <c r="C1409" t="inlineStr">
        <is>
          <t>U-CD185-01-03</t>
        </is>
      </c>
      <c r="D1409" t="inlineStr">
        <is>
          <t>Cendana</t>
        </is>
      </c>
      <c r="E1409" t="inlineStr">
        <is>
          <t>daniel ong</t>
        </is>
      </c>
      <c r="F1409" t="inlineStr">
        <is>
          <t>Routine</t>
        </is>
      </c>
      <c r="G1409" t="inlineStr">
        <is>
          <t>NONE</t>
        </is>
      </c>
      <c r="H1409" t="inlineStr">
        <is>
          <t>Compliant</t>
        </is>
      </c>
      <c r="I1409" s="6" t="n"/>
      <c r="J1409" s="6" t="n"/>
      <c r="K1409">
        <f>IF(J1409="","",J1409-B1409)</f>
        <v/>
      </c>
      <c r="L1409">
        <f>IF(H1409="Compliant","N/A",IF(J1409&lt;&gt;"","Closed",IF(I1409&lt;DATE(2026,9,30),"OVERDUE","Open")))</f>
        <v/>
      </c>
    </row>
    <row r="1410">
      <c r="A1410" t="inlineStr">
        <is>
          <t>INSP-2026-1409</t>
        </is>
      </c>
      <c r="B1410" s="6" t="n">
        <v>46232</v>
      </c>
      <c r="C1410" t="inlineStr">
        <is>
          <t>U-PI684-01-05</t>
        </is>
      </c>
      <c r="D1410" t="inlineStr">
        <is>
          <t>Pasir Indah</t>
        </is>
      </c>
      <c r="E1410" t="inlineStr">
        <is>
          <t>M. Lim</t>
        </is>
      </c>
      <c r="F1410" t="inlineStr">
        <is>
          <t>Follow-up</t>
        </is>
      </c>
      <c r="G1410" t="inlineStr">
        <is>
          <t>NONE</t>
        </is>
      </c>
      <c r="H1410" t="inlineStr">
        <is>
          <t>Compliant</t>
        </is>
      </c>
      <c r="I1410" s="6" t="n"/>
      <c r="J1410" s="6" t="n"/>
      <c r="K1410">
        <f>IF(J1410="","",J1410-B1410)</f>
        <v/>
      </c>
      <c r="L1410">
        <f>IF(H1410="Compliant","N/A",IF(J1410&lt;&gt;"","Closed",IF(I1410&lt;DATE(2026,9,30),"OVERDUE","Open")))</f>
        <v/>
      </c>
    </row>
    <row r="1411">
      <c r="A1411" t="inlineStr">
        <is>
          <t>INSP-2026-1410</t>
        </is>
      </c>
      <c r="B1411" s="6" t="n">
        <v>46233</v>
      </c>
      <c r="C1411" t="inlineStr">
        <is>
          <t>U-KR305-01-30</t>
        </is>
      </c>
      <c r="D1411" t="inlineStr">
        <is>
          <t>Kebun Raya</t>
        </is>
      </c>
      <c r="E1411" t="inlineStr">
        <is>
          <t>D. Ong</t>
        </is>
      </c>
      <c r="F1411" t="inlineStr">
        <is>
          <t>Routine</t>
        </is>
      </c>
      <c r="G1411" t="inlineStr">
        <is>
          <t>NONE</t>
        </is>
      </c>
      <c r="H1411" t="inlineStr">
        <is>
          <t>Compliant</t>
        </is>
      </c>
      <c r="I1411" s="6" t="n"/>
      <c r="J1411" s="6" t="n"/>
      <c r="K1411">
        <f>IF(J1411="","",J1411-B1411)</f>
        <v/>
      </c>
      <c r="L1411">
        <f>IF(H1411="Compliant","N/A",IF(J1411&lt;&gt;"","Closed",IF(I1411&lt;DATE(2026,9,30),"OVERDUE","Open")))</f>
        <v/>
      </c>
    </row>
    <row r="1412">
      <c r="A1412" t="inlineStr">
        <is>
          <t>INSP-2026-1411</t>
        </is>
      </c>
      <c r="B1412" s="6" t="n">
        <v>46233</v>
      </c>
      <c r="C1412" t="inlineStr">
        <is>
          <t>U-ST512-01-34</t>
        </is>
      </c>
      <c r="D1412" t="inlineStr">
        <is>
          <t>Sungai Tinggi</t>
        </is>
      </c>
      <c r="E1412" t="inlineStr">
        <is>
          <t>D. Ong</t>
        </is>
      </c>
      <c r="F1412" t="inlineStr">
        <is>
          <t>Routine</t>
        </is>
      </c>
      <c r="G1412" t="inlineStr">
        <is>
          <t>NONE</t>
        </is>
      </c>
      <c r="H1412" t="inlineStr">
        <is>
          <t>Compliant</t>
        </is>
      </c>
      <c r="I1412" s="6" t="n"/>
      <c r="J1412" s="6" t="n"/>
      <c r="K1412">
        <f>IF(J1412="","",J1412-B1412)</f>
        <v/>
      </c>
      <c r="L1412">
        <f>IF(H1412="Compliant","N/A",IF(J1412&lt;&gt;"","Closed",IF(I1412&lt;DATE(2026,9,30),"OVERDUE","Open")))</f>
        <v/>
      </c>
    </row>
    <row r="1413">
      <c r="A1413" t="inlineStr">
        <is>
          <t>INSP-2026-1412</t>
        </is>
      </c>
      <c r="B1413" s="6" t="n">
        <v>46233</v>
      </c>
      <c r="C1413" t="inlineStr">
        <is>
          <t>U-PI634-02-04</t>
        </is>
      </c>
      <c r="D1413" t="inlineStr">
        <is>
          <t>Pasir Indah</t>
        </is>
      </c>
      <c r="E1413" t="inlineStr">
        <is>
          <t>D. Ong</t>
        </is>
      </c>
      <c r="F1413" t="inlineStr">
        <is>
          <t>Routine</t>
        </is>
      </c>
      <c r="G1413" t="inlineStr">
        <is>
          <t>NONE</t>
        </is>
      </c>
      <c r="H1413" t="inlineStr">
        <is>
          <t>Compliant</t>
        </is>
      </c>
      <c r="I1413" s="6" t="n"/>
      <c r="J1413" s="6" t="n"/>
      <c r="K1413">
        <f>IF(J1413="","",J1413-B1413)</f>
        <v/>
      </c>
      <c r="L1413">
        <f>IF(H1413="Compliant","N/A",IF(J1413&lt;&gt;"","Closed",IF(I1413&lt;DATE(2026,9,30),"OVERDUE","Open")))</f>
        <v/>
      </c>
    </row>
    <row r="1414">
      <c r="A1414" t="inlineStr">
        <is>
          <t>INSP-2026-1413</t>
        </is>
      </c>
      <c r="B1414" s="6" t="n">
        <v>46233</v>
      </c>
      <c r="C1414" t="inlineStr">
        <is>
          <t>U-CD160-01-07</t>
        </is>
      </c>
      <c r="D1414" t="inlineStr">
        <is>
          <t>Cendana</t>
        </is>
      </c>
      <c r="E1414" t="inlineStr">
        <is>
          <t>marcus</t>
        </is>
      </c>
      <c r="F1414" t="inlineStr">
        <is>
          <t>Routine</t>
        </is>
      </c>
      <c r="G1414" t="inlineStr">
        <is>
          <t>NONE</t>
        </is>
      </c>
      <c r="H1414" t="inlineStr">
        <is>
          <t>Compliant</t>
        </is>
      </c>
      <c r="I1414" s="6" t="n"/>
      <c r="J1414" s="6" t="n"/>
      <c r="K1414">
        <f>IF(J1414="","",J1414-B1414)</f>
        <v/>
      </c>
      <c r="L1414">
        <f>IF(H1414="Compliant","N/A",IF(J1414&lt;&gt;"","Closed",IF(I1414&lt;DATE(2026,9,30),"OVERDUE","Open")))</f>
        <v/>
      </c>
    </row>
    <row r="1415">
      <c r="A1415" t="inlineStr">
        <is>
          <t>INSP-2026-1414</t>
        </is>
      </c>
      <c r="B1415" s="6" t="n">
        <v>46233</v>
      </c>
      <c r="C1415" t="inlineStr">
        <is>
          <t>U-ST566-01-09</t>
        </is>
      </c>
      <c r="D1415" t="inlineStr">
        <is>
          <t>Sungai Tinggi</t>
        </is>
      </c>
      <c r="E1415" t="inlineStr">
        <is>
          <t>Benjamin Ho</t>
        </is>
      </c>
      <c r="F1415" t="inlineStr">
        <is>
          <t>Routine</t>
        </is>
      </c>
      <c r="G1415" t="inlineStr">
        <is>
          <t>UNAPPROVED_AA</t>
        </is>
      </c>
      <c r="H1415" t="inlineStr">
        <is>
          <t>Minor Breach</t>
        </is>
      </c>
      <c r="I1415" s="6" t="n">
        <v>46247</v>
      </c>
      <c r="J1415" s="6" t="n">
        <v>46248</v>
      </c>
      <c r="K1415">
        <f>IF(J1415="","",J1415-B1415)</f>
        <v/>
      </c>
      <c r="L1415">
        <f>IF(H1415="Compliant","N/A",IF(J1415&lt;&gt;"","Closed",IF(I1415&lt;DATE(2026,9,30),"OVERDUE","Open")))</f>
        <v/>
      </c>
    </row>
    <row r="1416">
      <c r="A1416" t="inlineStr">
        <is>
          <t>INSP-2026-1415</t>
        </is>
      </c>
      <c r="B1416" s="6" t="n">
        <v>46233</v>
      </c>
      <c r="C1416" t="inlineStr">
        <is>
          <t>U-PI696-01-08</t>
        </is>
      </c>
      <c r="D1416" t="inlineStr">
        <is>
          <t>Pasir Indah</t>
        </is>
      </c>
      <c r="E1416" t="inlineStr">
        <is>
          <t>daniel ong</t>
        </is>
      </c>
      <c r="F1416" t="inlineStr">
        <is>
          <t>Routine</t>
        </is>
      </c>
      <c r="G1416" t="inlineStr">
        <is>
          <t>DISPLAY_ENCROACH</t>
        </is>
      </c>
      <c r="H1416" t="inlineStr">
        <is>
          <t>Minor Breach</t>
        </is>
      </c>
      <c r="I1416" s="6" t="n">
        <v>46247</v>
      </c>
      <c r="J1416" s="6" t="n">
        <v>46255</v>
      </c>
      <c r="K1416">
        <f>IF(J1416="","",J1416-B1416)</f>
        <v/>
      </c>
      <c r="L1416">
        <f>IF(H1416="Compliant","N/A",IF(J1416&lt;&gt;"","Closed",IF(I1416&lt;DATE(2026,9,30),"OVERDUE","Open")))</f>
        <v/>
      </c>
    </row>
    <row r="1417">
      <c r="A1417" t="inlineStr">
        <is>
          <t>INSP-2026-1416</t>
        </is>
      </c>
      <c r="B1417" s="6" t="n">
        <v>46234</v>
      </c>
      <c r="C1417" t="inlineStr">
        <is>
          <t>U-RH428-01-03</t>
        </is>
      </c>
      <c r="D1417" t="inlineStr">
        <is>
          <t>Rimba Heights</t>
        </is>
      </c>
      <c r="E1417" t="inlineStr">
        <is>
          <t>Daniel O.</t>
        </is>
      </c>
      <c r="F1417" t="inlineStr">
        <is>
          <t>Routine</t>
        </is>
      </c>
      <c r="G1417" t="inlineStr">
        <is>
          <t>NONE</t>
        </is>
      </c>
      <c r="H1417" t="inlineStr">
        <is>
          <t>Compliant</t>
        </is>
      </c>
      <c r="I1417" s="6" t="n"/>
      <c r="J1417" s="6" t="n"/>
      <c r="K1417">
        <f>IF(J1417="","",J1417-B1417)</f>
        <v/>
      </c>
      <c r="L1417">
        <f>IF(H1417="Compliant","N/A",IF(J1417&lt;&gt;"","Closed",IF(I1417&lt;DATE(2026,9,30),"OVERDUE","Open")))</f>
        <v/>
      </c>
    </row>
    <row r="1418">
      <c r="A1418" t="inlineStr">
        <is>
          <t>INSP-2026-1417</t>
        </is>
      </c>
      <c r="B1418" s="6" t="n">
        <v>46234</v>
      </c>
      <c r="C1418" t="inlineStr">
        <is>
          <t>U-CD118-01-23</t>
        </is>
      </c>
      <c r="D1418" t="inlineStr">
        <is>
          <t>Cendana</t>
        </is>
      </c>
      <c r="E1418" t="inlineStr">
        <is>
          <t>marcus</t>
        </is>
      </c>
      <c r="F1418" t="inlineStr">
        <is>
          <t>Complaint-driven</t>
        </is>
      </c>
      <c r="G1418" t="inlineStr">
        <is>
          <t>DISPLAY_ENCROACH</t>
        </is>
      </c>
      <c r="H1418" t="inlineStr">
        <is>
          <t>Minor Breach</t>
        </is>
      </c>
      <c r="I1418" s="6" t="n">
        <v>46248</v>
      </c>
      <c r="J1418" s="6" t="n">
        <v>46258</v>
      </c>
      <c r="K1418">
        <f>IF(J1418="","",J1418-B1418)</f>
        <v/>
      </c>
      <c r="L1418">
        <f>IF(H1418="Compliant","N/A",IF(J1418&lt;&gt;"","Closed",IF(I1418&lt;DATE(2026,9,30),"OVERDUE","Open")))</f>
        <v/>
      </c>
    </row>
    <row r="1419">
      <c r="A1419" t="inlineStr">
        <is>
          <t>INSP-2026-1418</t>
        </is>
      </c>
      <c r="B1419" s="6" t="n">
        <v>46234</v>
      </c>
      <c r="C1419" t="inlineStr">
        <is>
          <t>U-PI615-01-09</t>
        </is>
      </c>
      <c r="D1419" t="inlineStr">
        <is>
          <t>Pasir Indah</t>
        </is>
      </c>
      <c r="E1419" t="inlineStr">
        <is>
          <t>daniel ong</t>
        </is>
      </c>
      <c r="F1419" t="inlineStr">
        <is>
          <t>Routine</t>
        </is>
      </c>
      <c r="G1419" t="inlineStr">
        <is>
          <t>NONE</t>
        </is>
      </c>
      <c r="H1419" t="inlineStr">
        <is>
          <t>Compliant</t>
        </is>
      </c>
      <c r="I1419" s="6" t="n"/>
      <c r="J1419" s="6" t="n"/>
      <c r="K1419">
        <f>IF(J1419="","",J1419-B1419)</f>
        <v/>
      </c>
      <c r="L1419">
        <f>IF(H1419="Compliant","N/A",IF(J1419&lt;&gt;"","Closed",IF(I1419&lt;DATE(2026,9,30),"OVERDUE","Open")))</f>
        <v/>
      </c>
    </row>
    <row r="1420">
      <c r="A1420" t="inlineStr">
        <is>
          <t>INSP-2026-1419</t>
        </is>
      </c>
      <c r="B1420" s="6" t="n">
        <v>46234</v>
      </c>
      <c r="C1420" t="inlineStr">
        <is>
          <t>U-CD170-02-02</t>
        </is>
      </c>
      <c r="D1420" t="inlineStr">
        <is>
          <t>Cendana</t>
        </is>
      </c>
      <c r="E1420" t="inlineStr">
        <is>
          <t>Daniel O.</t>
        </is>
      </c>
      <c r="F1420" t="inlineStr">
        <is>
          <t>Follow-up</t>
        </is>
      </c>
      <c r="G1420" t="inlineStr">
        <is>
          <t>NONE</t>
        </is>
      </c>
      <c r="H1420" t="inlineStr">
        <is>
          <t>Compliant</t>
        </is>
      </c>
      <c r="I1420" s="6" t="n"/>
      <c r="J1420" s="6" t="n"/>
      <c r="K1420">
        <f>IF(J1420="","",J1420-B1420)</f>
        <v/>
      </c>
      <c r="L1420">
        <f>IF(H1420="Compliant","N/A",IF(J1420&lt;&gt;"","Closed",IF(I1420&lt;DATE(2026,9,30),"OVERDUE","Open")))</f>
        <v/>
      </c>
    </row>
    <row r="1421">
      <c r="A1421" t="inlineStr">
        <is>
          <t>INSP-2026-1420</t>
        </is>
      </c>
      <c r="B1421" s="6" t="n">
        <v>46235</v>
      </c>
      <c r="C1421" t="inlineStr">
        <is>
          <t>U-ST564-01-08</t>
        </is>
      </c>
      <c r="D1421" t="inlineStr">
        <is>
          <t>Sungai Tinggi</t>
        </is>
      </c>
      <c r="E1421" t="inlineStr">
        <is>
          <t>Benjamin Ho</t>
        </is>
      </c>
      <c r="F1421" t="inlineStr">
        <is>
          <t>Routine</t>
        </is>
      </c>
      <c r="G1421" t="inlineStr">
        <is>
          <t>NONE</t>
        </is>
      </c>
      <c r="H1421" t="inlineStr">
        <is>
          <t>Compliant</t>
        </is>
      </c>
      <c r="I1421" s="6" t="n"/>
      <c r="J1421" s="6" t="n"/>
      <c r="K1421">
        <f>IF(J1421="","",J1421-B1421)</f>
        <v/>
      </c>
      <c r="L1421">
        <f>IF(H1421="Compliant","N/A",IF(J1421&lt;&gt;"","Closed",IF(I1421&lt;DATE(2026,9,30),"OVERDUE","Open")))</f>
        <v/>
      </c>
    </row>
    <row r="1422">
      <c r="A1422" t="inlineStr">
        <is>
          <t>INSP-2026-1421</t>
        </is>
      </c>
      <c r="B1422" s="6" t="n">
        <v>46235</v>
      </c>
      <c r="C1422" t="inlineStr">
        <is>
          <t>U-ST579-01-07</t>
        </is>
      </c>
      <c r="D1422" t="inlineStr">
        <is>
          <t>Sungai Tinggi</t>
        </is>
      </c>
      <c r="E1422" t="inlineStr">
        <is>
          <t>daniel ong</t>
        </is>
      </c>
      <c r="F1422" t="inlineStr">
        <is>
          <t>Complaint-driven</t>
        </is>
      </c>
      <c r="G1422" t="inlineStr">
        <is>
          <t>UNAPPROVED_AA</t>
        </is>
      </c>
      <c r="H1422" t="inlineStr">
        <is>
          <t>Minor Breach</t>
        </is>
      </c>
      <c r="I1422" s="6" t="n">
        <v>46249</v>
      </c>
      <c r="J1422" s="6" t="n">
        <v>46252</v>
      </c>
      <c r="K1422">
        <f>IF(J1422="","",J1422-B1422)</f>
        <v/>
      </c>
      <c r="L1422">
        <f>IF(H1422="Compliant","N/A",IF(J1422&lt;&gt;"","Closed",IF(I1422&lt;DATE(2026,9,30),"OVERDUE","Open")))</f>
        <v/>
      </c>
    </row>
    <row r="1423">
      <c r="A1423" t="inlineStr">
        <is>
          <t>INSP-2026-1422</t>
        </is>
      </c>
      <c r="B1423" s="6" t="n">
        <v>46235</v>
      </c>
      <c r="C1423" t="inlineStr">
        <is>
          <t>U-ST506-01-01</t>
        </is>
      </c>
      <c r="D1423" t="inlineStr">
        <is>
          <t>Sungai Tinggi</t>
        </is>
      </c>
      <c r="E1423" t="inlineStr">
        <is>
          <t>daniel ong</t>
        </is>
      </c>
      <c r="F1423" t="inlineStr">
        <is>
          <t>Complaint-driven</t>
        </is>
      </c>
      <c r="G1423" t="inlineStr">
        <is>
          <t>UNAPPROVED_AA</t>
        </is>
      </c>
      <c r="H1423" t="inlineStr">
        <is>
          <t>Minor Breach</t>
        </is>
      </c>
      <c r="I1423" s="6" t="n">
        <v>46249</v>
      </c>
      <c r="J1423" s="6" t="n">
        <v>46246</v>
      </c>
      <c r="K1423">
        <f>IF(J1423="","",J1423-B1423)</f>
        <v/>
      </c>
      <c r="L1423">
        <f>IF(H1423="Compliant","N/A",IF(J1423&lt;&gt;"","Closed",IF(I1423&lt;DATE(2026,9,30),"OVERDUE","Open")))</f>
        <v/>
      </c>
    </row>
    <row r="1424">
      <c r="A1424" t="inlineStr">
        <is>
          <t>INSP-2026-1423</t>
        </is>
      </c>
      <c r="B1424" s="6" t="n">
        <v>46235</v>
      </c>
      <c r="C1424" t="inlineStr">
        <is>
          <t>U-PI642-01-09</t>
        </is>
      </c>
      <c r="D1424" t="inlineStr">
        <is>
          <t>Pasir Indah</t>
        </is>
      </c>
      <c r="E1424" t="inlineStr">
        <is>
          <t>M. Lim</t>
        </is>
      </c>
      <c r="F1424" t="inlineStr">
        <is>
          <t>Routine</t>
        </is>
      </c>
      <c r="G1424" t="inlineStr">
        <is>
          <t>NONE</t>
        </is>
      </c>
      <c r="H1424" t="inlineStr">
        <is>
          <t>Compliant</t>
        </is>
      </c>
      <c r="I1424" s="6" t="n"/>
      <c r="J1424" s="6" t="n"/>
      <c r="K1424">
        <f>IF(J1424="","",J1424-B1424)</f>
        <v/>
      </c>
      <c r="L1424">
        <f>IF(H1424="Compliant","N/A",IF(J1424&lt;&gt;"","Closed",IF(I1424&lt;DATE(2026,9,30),"OVERDUE","Open")))</f>
        <v/>
      </c>
    </row>
    <row r="1425">
      <c r="A1425" t="inlineStr">
        <is>
          <t>INSP-2026-1424</t>
        </is>
      </c>
      <c r="B1425" s="6" t="n">
        <v>46235</v>
      </c>
      <c r="C1425" t="inlineStr">
        <is>
          <t>U-RH407-01-05</t>
        </is>
      </c>
      <c r="D1425" t="inlineStr">
        <is>
          <t>Rimba Heights</t>
        </is>
      </c>
      <c r="E1425" t="inlineStr">
        <is>
          <t>B. Ho</t>
        </is>
      </c>
      <c r="F1425" t="inlineStr">
        <is>
          <t>Routine</t>
        </is>
      </c>
      <c r="G1425" t="inlineStr">
        <is>
          <t>NONE</t>
        </is>
      </c>
      <c r="H1425" t="inlineStr">
        <is>
          <t>Compliant</t>
        </is>
      </c>
      <c r="I1425" s="6" t="n"/>
      <c r="J1425" s="6" t="n"/>
      <c r="K1425">
        <f>IF(J1425="","",J1425-B1425)</f>
        <v/>
      </c>
      <c r="L1425">
        <f>IF(H1425="Compliant","N/A",IF(J1425&lt;&gt;"","Closed",IF(I1425&lt;DATE(2026,9,30),"OVERDUE","Open")))</f>
        <v/>
      </c>
    </row>
    <row r="1426">
      <c r="A1426" t="inlineStr">
        <is>
          <t>INSP-2026-1425</t>
        </is>
      </c>
      <c r="B1426" s="6" t="n">
        <v>46235</v>
      </c>
      <c r="C1426" t="inlineStr">
        <is>
          <t>U-BV266-01-06</t>
        </is>
      </c>
      <c r="D1426" t="inlineStr">
        <is>
          <t>Bayshore Vale</t>
        </is>
      </c>
      <c r="E1426" t="inlineStr">
        <is>
          <t>Daniel Ong</t>
        </is>
      </c>
      <c r="F1426" t="inlineStr">
        <is>
          <t>Follow-up</t>
        </is>
      </c>
      <c r="G1426" t="inlineStr">
        <is>
          <t>NONE</t>
        </is>
      </c>
      <c r="H1426" t="inlineStr">
        <is>
          <t>Compliant</t>
        </is>
      </c>
      <c r="I1426" s="6" t="n"/>
      <c r="J1426" s="6" t="n"/>
      <c r="K1426">
        <f>IF(J1426="","",J1426-B1426)</f>
        <v/>
      </c>
      <c r="L1426">
        <f>IF(H1426="Compliant","N/A",IF(J1426&lt;&gt;"","Closed",IF(I1426&lt;DATE(2026,9,30),"OVERDUE","Open")))</f>
        <v/>
      </c>
    </row>
    <row r="1427">
      <c r="A1427" t="inlineStr">
        <is>
          <t>INSP-2026-1426</t>
        </is>
      </c>
      <c r="B1427" s="6" t="n">
        <v>46235</v>
      </c>
      <c r="C1427" t="inlineStr">
        <is>
          <t>U-ST556-01-05</t>
        </is>
      </c>
      <c r="D1427" t="inlineStr">
        <is>
          <t>Sungai Tinggi</t>
        </is>
      </c>
      <c r="E1427" t="inlineStr">
        <is>
          <t>Daniel O.</t>
        </is>
      </c>
      <c r="F1427" t="inlineStr">
        <is>
          <t>Routine</t>
        </is>
      </c>
      <c r="G1427" t="inlineStr">
        <is>
          <t>NONE</t>
        </is>
      </c>
      <c r="H1427" t="inlineStr">
        <is>
          <t>Compliant</t>
        </is>
      </c>
      <c r="I1427" s="6" t="n"/>
      <c r="J1427" s="6" t="n"/>
      <c r="K1427">
        <f>IF(J1427="","",J1427-B1427)</f>
        <v/>
      </c>
      <c r="L1427">
        <f>IF(H1427="Compliant","N/A",IF(J1427&lt;&gt;"","Closed",IF(I1427&lt;DATE(2026,9,30),"OVERDUE","Open")))</f>
        <v/>
      </c>
    </row>
    <row r="1428">
      <c r="A1428" t="inlineStr">
        <is>
          <t>INSP-2026-1427</t>
        </is>
      </c>
      <c r="B1428" s="6" t="n">
        <v>46235</v>
      </c>
      <c r="C1428" t="inlineStr">
        <is>
          <t>U-PI614-01-04</t>
        </is>
      </c>
      <c r="D1428" t="inlineStr">
        <is>
          <t>Pasir Indah</t>
        </is>
      </c>
      <c r="E1428" t="inlineStr">
        <is>
          <t>Daniel Ong</t>
        </is>
      </c>
      <c r="F1428" t="inlineStr">
        <is>
          <t>Routine</t>
        </is>
      </c>
      <c r="G1428" t="inlineStr">
        <is>
          <t>NONE</t>
        </is>
      </c>
      <c r="H1428" t="inlineStr">
        <is>
          <t>Compliant</t>
        </is>
      </c>
      <c r="I1428" s="6" t="n"/>
      <c r="J1428" s="6" t="n"/>
      <c r="K1428">
        <f>IF(J1428="","",J1428-B1428)</f>
        <v/>
      </c>
      <c r="L1428">
        <f>IF(H1428="Compliant","N/A",IF(J1428&lt;&gt;"","Closed",IF(I1428&lt;DATE(2026,9,30),"OVERDUE","Open")))</f>
        <v/>
      </c>
    </row>
    <row r="1429">
      <c r="A1429" t="inlineStr">
        <is>
          <t>INSP-2026-1428</t>
        </is>
      </c>
      <c r="B1429" s="6" t="n">
        <v>46235</v>
      </c>
      <c r="C1429" t="inlineStr">
        <is>
          <t>U-CD108-01-07</t>
        </is>
      </c>
      <c r="D1429" t="inlineStr">
        <is>
          <t>Cendana</t>
        </is>
      </c>
      <c r="E1429" t="inlineStr">
        <is>
          <t>marcus</t>
        </is>
      </c>
      <c r="F1429" t="inlineStr">
        <is>
          <t>Routine</t>
        </is>
      </c>
      <c r="G1429" t="inlineStr">
        <is>
          <t>NONE</t>
        </is>
      </c>
      <c r="H1429" t="inlineStr">
        <is>
          <t>Compliant</t>
        </is>
      </c>
      <c r="I1429" s="6" t="n"/>
      <c r="J1429" s="6" t="n"/>
      <c r="K1429">
        <f>IF(J1429="","",J1429-B1429)</f>
        <v/>
      </c>
      <c r="L1429">
        <f>IF(H1429="Compliant","N/A",IF(J1429&lt;&gt;"","Closed",IF(I1429&lt;DATE(2026,9,30),"OVERDUE","Open")))</f>
        <v/>
      </c>
    </row>
    <row r="1430">
      <c r="A1430" t="inlineStr">
        <is>
          <t>INSP-2026-1429</t>
        </is>
      </c>
      <c r="B1430" s="6" t="n">
        <v>46236</v>
      </c>
      <c r="C1430" t="inlineStr">
        <is>
          <t>U-RH482-01-07</t>
        </is>
      </c>
      <c r="D1430" t="inlineStr">
        <is>
          <t>Rimba Heights</t>
        </is>
      </c>
      <c r="E1430" t="inlineStr">
        <is>
          <t>D. Ong</t>
        </is>
      </c>
      <c r="F1430" t="inlineStr">
        <is>
          <t>Follow-up</t>
        </is>
      </c>
      <c r="G1430" t="inlineStr">
        <is>
          <t>NONE</t>
        </is>
      </c>
      <c r="H1430" t="inlineStr">
        <is>
          <t>Compliant</t>
        </is>
      </c>
      <c r="I1430" s="6" t="n"/>
      <c r="J1430" s="6" t="n"/>
      <c r="K1430">
        <f>IF(J1430="","",J1430-B1430)</f>
        <v/>
      </c>
      <c r="L1430">
        <f>IF(H1430="Compliant","N/A",IF(J1430&lt;&gt;"","Closed",IF(I1430&lt;DATE(2026,9,30),"OVERDUE","Open")))</f>
        <v/>
      </c>
    </row>
    <row r="1431">
      <c r="A1431" t="inlineStr">
        <is>
          <t>INSP-2026-1430</t>
        </is>
      </c>
      <c r="B1431" s="6" t="n">
        <v>46236</v>
      </c>
      <c r="C1431" t="inlineStr">
        <is>
          <t>U-RH437-01-11</t>
        </is>
      </c>
      <c r="D1431" t="inlineStr">
        <is>
          <t>Rimba Heights</t>
        </is>
      </c>
      <c r="E1431" t="inlineStr">
        <is>
          <t>Ben Ho</t>
        </is>
      </c>
      <c r="F1431" t="inlineStr">
        <is>
          <t>Routine</t>
        </is>
      </c>
      <c r="G1431" t="inlineStr">
        <is>
          <t>NONE</t>
        </is>
      </c>
      <c r="H1431" t="inlineStr">
        <is>
          <t>Compliant</t>
        </is>
      </c>
      <c r="I1431" s="6" t="n"/>
      <c r="J1431" s="6" t="n"/>
      <c r="K1431">
        <f>IF(J1431="","",J1431-B1431)</f>
        <v/>
      </c>
      <c r="L1431">
        <f>IF(H1431="Compliant","N/A",IF(J1431&lt;&gt;"","Closed",IF(I1431&lt;DATE(2026,9,30),"OVERDUE","Open")))</f>
        <v/>
      </c>
    </row>
    <row r="1432">
      <c r="A1432" t="inlineStr">
        <is>
          <t>INSP-2026-1431</t>
        </is>
      </c>
      <c r="B1432" s="6" t="n">
        <v>46236</v>
      </c>
      <c r="C1432" t="inlineStr">
        <is>
          <t>U-KR333-01-14</t>
        </is>
      </c>
      <c r="D1432" t="inlineStr">
        <is>
          <t>Kebun Raya</t>
        </is>
      </c>
      <c r="E1432" t="inlineStr">
        <is>
          <t>Daniel O.</t>
        </is>
      </c>
      <c r="F1432" t="inlineStr">
        <is>
          <t>Routine</t>
        </is>
      </c>
      <c r="G1432" t="inlineStr">
        <is>
          <t>DISPLAY_ENCROACH</t>
        </is>
      </c>
      <c r="H1432" t="inlineStr">
        <is>
          <t>Minor Breach</t>
        </is>
      </c>
      <c r="I1432" s="6" t="n">
        <v>46250</v>
      </c>
      <c r="J1432" s="6" t="n">
        <v>46251</v>
      </c>
      <c r="K1432">
        <f>IF(J1432="","",J1432-B1432)</f>
        <v/>
      </c>
      <c r="L1432">
        <f>IF(H1432="Compliant","N/A",IF(J1432&lt;&gt;"","Closed",IF(I1432&lt;DATE(2026,9,30),"OVERDUE","Open")))</f>
        <v/>
      </c>
    </row>
    <row r="1433">
      <c r="A1433" t="inlineStr">
        <is>
          <t>INSP-2026-1432</t>
        </is>
      </c>
      <c r="B1433" s="6" t="n">
        <v>46236</v>
      </c>
      <c r="C1433" t="inlineStr">
        <is>
          <t>U-PI696-01-07</t>
        </is>
      </c>
      <c r="D1433" t="inlineStr">
        <is>
          <t>Pasir Indah</t>
        </is>
      </c>
      <c r="E1433" t="inlineStr">
        <is>
          <t>Daniel Ong</t>
        </is>
      </c>
      <c r="F1433" t="inlineStr">
        <is>
          <t>Routine</t>
        </is>
      </c>
      <c r="G1433" t="inlineStr">
        <is>
          <t>NONE</t>
        </is>
      </c>
      <c r="H1433" t="inlineStr">
        <is>
          <t>Compliant</t>
        </is>
      </c>
      <c r="I1433" s="6" t="n"/>
      <c r="J1433" s="6" t="n"/>
      <c r="K1433">
        <f>IF(J1433="","",J1433-B1433)</f>
        <v/>
      </c>
      <c r="L1433">
        <f>IF(H1433="Compliant","N/A",IF(J1433&lt;&gt;"","Closed",IF(I1433&lt;DATE(2026,9,30),"OVERDUE","Open")))</f>
        <v/>
      </c>
    </row>
    <row r="1434">
      <c r="A1434" t="inlineStr">
        <is>
          <t>INSP-2026-1433</t>
        </is>
      </c>
      <c r="B1434" s="6" t="n">
        <v>46236</v>
      </c>
      <c r="C1434" t="inlineStr">
        <is>
          <t>U-ST528-01-06</t>
        </is>
      </c>
      <c r="D1434" t="inlineStr">
        <is>
          <t>Sungai Tinggi</t>
        </is>
      </c>
      <c r="E1434" t="inlineStr">
        <is>
          <t>daniel ong</t>
        </is>
      </c>
      <c r="F1434" t="inlineStr">
        <is>
          <t>Routine</t>
        </is>
      </c>
      <c r="G1434" t="inlineStr">
        <is>
          <t>UNAUTH_TRADE</t>
        </is>
      </c>
      <c r="H1434" t="inlineStr">
        <is>
          <t>Major Breach</t>
        </is>
      </c>
      <c r="I1434" s="6" t="n">
        <v>46243</v>
      </c>
      <c r="J1434" s="6" t="n">
        <v>46246</v>
      </c>
      <c r="K1434">
        <f>IF(J1434="","",J1434-B1434)</f>
        <v/>
      </c>
      <c r="L1434">
        <f>IF(H1434="Compliant","N/A",IF(J1434&lt;&gt;"","Closed",IF(I1434&lt;DATE(2026,9,30),"OVERDUE","Open")))</f>
        <v/>
      </c>
    </row>
    <row r="1435">
      <c r="A1435" t="inlineStr">
        <is>
          <t>INSP-2026-1434</t>
        </is>
      </c>
      <c r="B1435" s="6" t="n">
        <v>46236</v>
      </c>
      <c r="C1435" t="inlineStr">
        <is>
          <t>U-CD142-01-05</t>
        </is>
      </c>
      <c r="D1435" t="inlineStr">
        <is>
          <t>Cendana</t>
        </is>
      </c>
      <c r="E1435" t="inlineStr">
        <is>
          <t>D. Ong</t>
        </is>
      </c>
      <c r="F1435" t="inlineStr">
        <is>
          <t>Routine</t>
        </is>
      </c>
      <c r="G1435" t="inlineStr">
        <is>
          <t>UNAUTH_TRADE</t>
        </is>
      </c>
      <c r="H1435" t="inlineStr">
        <is>
          <t>Major Breach</t>
        </is>
      </c>
      <c r="I1435" s="6" t="n">
        <v>46243</v>
      </c>
      <c r="J1435" s="6" t="n">
        <v>46250</v>
      </c>
      <c r="K1435">
        <f>IF(J1435="","",J1435-B1435)</f>
        <v/>
      </c>
      <c r="L1435">
        <f>IF(H1435="Compliant","N/A",IF(J1435&lt;&gt;"","Closed",IF(I1435&lt;DATE(2026,9,30),"OVERDUE","Open")))</f>
        <v/>
      </c>
    </row>
    <row r="1436">
      <c r="A1436" t="inlineStr">
        <is>
          <t>INSP-2026-1435</t>
        </is>
      </c>
      <c r="B1436" s="6" t="n">
        <v>46236</v>
      </c>
      <c r="C1436" t="inlineStr">
        <is>
          <t>U-CD160-01-01</t>
        </is>
      </c>
      <c r="D1436" t="inlineStr">
        <is>
          <t>Cendana</t>
        </is>
      </c>
      <c r="E1436" t="inlineStr">
        <is>
          <t>Daniel Ong</t>
        </is>
      </c>
      <c r="F1436" t="inlineStr">
        <is>
          <t>Routine</t>
        </is>
      </c>
      <c r="G1436" t="inlineStr">
        <is>
          <t>NONE</t>
        </is>
      </c>
      <c r="H1436" t="inlineStr">
        <is>
          <t>Compliant</t>
        </is>
      </c>
      <c r="I1436" s="6" t="n"/>
      <c r="J1436" s="6" t="n"/>
      <c r="K1436">
        <f>IF(J1436="","",J1436-B1436)</f>
        <v/>
      </c>
      <c r="L1436">
        <f>IF(H1436="Compliant","N/A",IF(J1436&lt;&gt;"","Closed",IF(I1436&lt;DATE(2026,9,30),"OVERDUE","Open")))</f>
        <v/>
      </c>
    </row>
    <row r="1437">
      <c r="A1437" t="inlineStr">
        <is>
          <t>INSP-2026-1436</t>
        </is>
      </c>
      <c r="B1437" s="6" t="n">
        <v>46237</v>
      </c>
      <c r="C1437" t="inlineStr">
        <is>
          <t>U-ST518-01-01</t>
        </is>
      </c>
      <c r="D1437" t="inlineStr">
        <is>
          <t>Sungai Tinggi</t>
        </is>
      </c>
      <c r="E1437" t="inlineStr">
        <is>
          <t>Daniel O.</t>
        </is>
      </c>
      <c r="F1437" t="inlineStr">
        <is>
          <t>Routine</t>
        </is>
      </c>
      <c r="G1437" t="inlineStr">
        <is>
          <t>NONE</t>
        </is>
      </c>
      <c r="H1437" t="inlineStr">
        <is>
          <t>Compliant</t>
        </is>
      </c>
      <c r="I1437" s="6" t="n"/>
      <c r="J1437" s="6" t="n"/>
      <c r="K1437">
        <f>IF(J1437="","",J1437-B1437)</f>
        <v/>
      </c>
      <c r="L1437">
        <f>IF(H1437="Compliant","N/A",IF(J1437&lt;&gt;"","Closed",IF(I1437&lt;DATE(2026,9,30),"OVERDUE","Open")))</f>
        <v/>
      </c>
    </row>
    <row r="1438">
      <c r="A1438" t="inlineStr">
        <is>
          <t>INSP-2026-1437</t>
        </is>
      </c>
      <c r="B1438" s="6" t="n">
        <v>46237</v>
      </c>
      <c r="C1438" t="inlineStr">
        <is>
          <t>U-ST512-01-27</t>
        </is>
      </c>
      <c r="D1438" t="inlineStr">
        <is>
          <t>Sungai Tinggi</t>
        </is>
      </c>
      <c r="E1438" t="inlineStr">
        <is>
          <t>Ben Ho</t>
        </is>
      </c>
      <c r="F1438" t="inlineStr">
        <is>
          <t>Routine</t>
        </is>
      </c>
      <c r="G1438" t="inlineStr">
        <is>
          <t>NONE</t>
        </is>
      </c>
      <c r="H1438" t="inlineStr">
        <is>
          <t>Compliant</t>
        </is>
      </c>
      <c r="I1438" s="6" t="n"/>
      <c r="J1438" s="6" t="n"/>
      <c r="K1438">
        <f>IF(J1438="","",J1438-B1438)</f>
        <v/>
      </c>
      <c r="L1438">
        <f>IF(H1438="Compliant","N/A",IF(J1438&lt;&gt;"","Closed",IF(I1438&lt;DATE(2026,9,30),"OVERDUE","Open")))</f>
        <v/>
      </c>
    </row>
    <row r="1439">
      <c r="A1439" t="inlineStr">
        <is>
          <t>INSP-2026-1438</t>
        </is>
      </c>
      <c r="B1439" s="6" t="n">
        <v>46237</v>
      </c>
      <c r="C1439" t="inlineStr">
        <is>
          <t>U-CD174-01-09</t>
        </is>
      </c>
      <c r="D1439" t="inlineStr">
        <is>
          <t>Cendana</t>
        </is>
      </c>
      <c r="E1439" t="inlineStr">
        <is>
          <t>M. Lim</t>
        </is>
      </c>
      <c r="F1439" t="inlineStr">
        <is>
          <t>Routine</t>
        </is>
      </c>
      <c r="G1439" t="inlineStr">
        <is>
          <t>NONE</t>
        </is>
      </c>
      <c r="H1439" t="inlineStr">
        <is>
          <t>Compliant</t>
        </is>
      </c>
      <c r="I1439" s="6" t="n"/>
      <c r="J1439" s="6" t="n"/>
      <c r="K1439">
        <f>IF(J1439="","",J1439-B1439)</f>
        <v/>
      </c>
      <c r="L1439">
        <f>IF(H1439="Compliant","N/A",IF(J1439&lt;&gt;"","Closed",IF(I1439&lt;DATE(2026,9,30),"OVERDUE","Open")))</f>
        <v/>
      </c>
    </row>
    <row r="1440">
      <c r="A1440" t="inlineStr">
        <is>
          <t>INSP-2026-1439</t>
        </is>
      </c>
      <c r="B1440" s="6" t="n">
        <v>46237</v>
      </c>
      <c r="C1440" t="inlineStr">
        <is>
          <t>U-PI651-01-04</t>
        </is>
      </c>
      <c r="D1440" t="inlineStr">
        <is>
          <t>Pasir Indah</t>
        </is>
      </c>
      <c r="E1440" t="inlineStr">
        <is>
          <t>D. Ong</t>
        </is>
      </c>
      <c r="F1440" t="inlineStr">
        <is>
          <t>Complaint-driven</t>
        </is>
      </c>
      <c r="G1440" t="inlineStr">
        <is>
          <t>NONE</t>
        </is>
      </c>
      <c r="H1440" t="inlineStr">
        <is>
          <t>Compliant</t>
        </is>
      </c>
      <c r="I1440" s="6" t="n"/>
      <c r="J1440" s="6" t="n"/>
      <c r="K1440">
        <f>IF(J1440="","",J1440-B1440)</f>
        <v/>
      </c>
      <c r="L1440">
        <f>IF(H1440="Compliant","N/A",IF(J1440&lt;&gt;"","Closed",IF(I1440&lt;DATE(2026,9,30),"OVERDUE","Open")))</f>
        <v/>
      </c>
    </row>
    <row r="1441">
      <c r="A1441" t="inlineStr">
        <is>
          <t>INSP-2026-1440</t>
        </is>
      </c>
      <c r="B1441" s="6" t="n">
        <v>46237</v>
      </c>
      <c r="C1441" t="inlineStr">
        <is>
          <t>U-RH434-01-02</t>
        </is>
      </c>
      <c r="D1441" t="inlineStr">
        <is>
          <t>Rimba Heights</t>
        </is>
      </c>
      <c r="E1441" t="inlineStr">
        <is>
          <t>Benjamin Ho</t>
        </is>
      </c>
      <c r="F1441" t="inlineStr">
        <is>
          <t>Follow-up</t>
        </is>
      </c>
      <c r="G1441" t="inlineStr">
        <is>
          <t>DISPLAY_ENCROACH</t>
        </is>
      </c>
      <c r="H1441" t="inlineStr">
        <is>
          <t>Minor Breach</t>
        </is>
      </c>
      <c r="I1441" s="6" t="n">
        <v>46251</v>
      </c>
      <c r="J1441" s="6" t="n"/>
      <c r="K1441">
        <f>IF(J1441="","",J1441-B1441)</f>
        <v/>
      </c>
      <c r="L1441">
        <f>IF(H1441="Compliant","N/A",IF(J1441&lt;&gt;"","Closed",IF(I1441&lt;DATE(2026,9,30),"OVERDUE","Open")))</f>
        <v/>
      </c>
    </row>
    <row r="1442">
      <c r="A1442" t="inlineStr">
        <is>
          <t>INSP-2026-1441</t>
        </is>
      </c>
      <c r="B1442" s="6" t="n">
        <v>46237</v>
      </c>
      <c r="C1442" t="inlineStr">
        <is>
          <t>U-ST506-01-05</t>
        </is>
      </c>
      <c r="D1442" t="inlineStr">
        <is>
          <t>Sungai Tinggi</t>
        </is>
      </c>
      <c r="E1442" t="inlineStr">
        <is>
          <t>D. Ong</t>
        </is>
      </c>
      <c r="F1442" t="inlineStr">
        <is>
          <t>Routine</t>
        </is>
      </c>
      <c r="G1442" t="inlineStr">
        <is>
          <t>NONE</t>
        </is>
      </c>
      <c r="H1442" t="inlineStr">
        <is>
          <t>Compliant</t>
        </is>
      </c>
      <c r="I1442" s="6" t="n"/>
      <c r="J1442" s="6" t="n"/>
      <c r="K1442">
        <f>IF(J1442="","",J1442-B1442)</f>
        <v/>
      </c>
      <c r="L1442">
        <f>IF(H1442="Compliant","N/A",IF(J1442&lt;&gt;"","Closed",IF(I1442&lt;DATE(2026,9,30),"OVERDUE","Open")))</f>
        <v/>
      </c>
    </row>
    <row r="1443">
      <c r="A1443" t="inlineStr">
        <is>
          <t>INSP-2026-1442</t>
        </is>
      </c>
      <c r="B1443" s="6" t="n">
        <v>46238</v>
      </c>
      <c r="C1443" t="inlineStr">
        <is>
          <t>U-PI668-01-02</t>
        </is>
      </c>
      <c r="D1443" t="inlineStr">
        <is>
          <t>Pasir Indah</t>
        </is>
      </c>
      <c r="E1443" t="inlineStr">
        <is>
          <t>daniel ong</t>
        </is>
      </c>
      <c r="F1443" t="inlineStr">
        <is>
          <t>Routine</t>
        </is>
      </c>
      <c r="G1443" t="inlineStr">
        <is>
          <t>UNAPPROVED_AA</t>
        </is>
      </c>
      <c r="H1443" t="inlineStr">
        <is>
          <t>Minor Breach</t>
        </is>
      </c>
      <c r="I1443" s="6" t="n">
        <v>46252</v>
      </c>
      <c r="J1443" s="6" t="n">
        <v>46250</v>
      </c>
      <c r="K1443">
        <f>IF(J1443="","",J1443-B1443)</f>
        <v/>
      </c>
      <c r="L1443">
        <f>IF(H1443="Compliant","N/A",IF(J1443&lt;&gt;"","Closed",IF(I1443&lt;DATE(2026,9,30),"OVERDUE","Open")))</f>
        <v/>
      </c>
    </row>
    <row r="1444">
      <c r="A1444" t="inlineStr">
        <is>
          <t>INSP-2026-1443</t>
        </is>
      </c>
      <c r="B1444" s="6" t="n">
        <v>46238</v>
      </c>
      <c r="C1444" t="inlineStr">
        <is>
          <t>U-BV296-01-08</t>
        </is>
      </c>
      <c r="D1444" t="inlineStr">
        <is>
          <t>Bayshore Vale</t>
        </is>
      </c>
      <c r="E1444" t="inlineStr">
        <is>
          <t>marcus</t>
        </is>
      </c>
      <c r="F1444" t="inlineStr">
        <is>
          <t>Routine</t>
        </is>
      </c>
      <c r="G1444" t="inlineStr">
        <is>
          <t>NONE</t>
        </is>
      </c>
      <c r="H1444" t="inlineStr">
        <is>
          <t>Compliant</t>
        </is>
      </c>
      <c r="I1444" s="6" t="n"/>
      <c r="J1444" s="6" t="n"/>
      <c r="K1444">
        <f>IF(J1444="","",J1444-B1444)</f>
        <v/>
      </c>
      <c r="L1444">
        <f>IF(H1444="Compliant","N/A",IF(J1444&lt;&gt;"","Closed",IF(I1444&lt;DATE(2026,9,30),"OVERDUE","Open")))</f>
        <v/>
      </c>
    </row>
    <row r="1445">
      <c r="A1445" t="inlineStr">
        <is>
          <t>INSP-2026-1444</t>
        </is>
      </c>
      <c r="B1445" s="6" t="n">
        <v>46238</v>
      </c>
      <c r="C1445" t="inlineStr">
        <is>
          <t>U-BV219-01-08</t>
        </is>
      </c>
      <c r="D1445" t="inlineStr">
        <is>
          <t>Bayshore Vale</t>
        </is>
      </c>
      <c r="E1445" t="inlineStr">
        <is>
          <t>D. Ong</t>
        </is>
      </c>
      <c r="F1445" t="inlineStr">
        <is>
          <t>Routine</t>
        </is>
      </c>
      <c r="G1445" t="inlineStr">
        <is>
          <t>UNAPPROVED_AA</t>
        </is>
      </c>
      <c r="H1445" t="inlineStr">
        <is>
          <t>Minor Breach</t>
        </is>
      </c>
      <c r="I1445" s="6" t="n">
        <v>46252</v>
      </c>
      <c r="J1445" s="6" t="n">
        <v>46262</v>
      </c>
      <c r="K1445">
        <f>IF(J1445="","",J1445-B1445)</f>
        <v/>
      </c>
      <c r="L1445">
        <f>IF(H1445="Compliant","N/A",IF(J1445&lt;&gt;"","Closed",IF(I1445&lt;DATE(2026,9,30),"OVERDUE","Open")))</f>
        <v/>
      </c>
    </row>
    <row r="1446">
      <c r="A1446" t="inlineStr">
        <is>
          <t>INSP-2026-1445</t>
        </is>
      </c>
      <c r="B1446" s="6" t="n">
        <v>46238</v>
      </c>
      <c r="C1446" t="inlineStr">
        <is>
          <t>U-ST590-02-08</t>
        </is>
      </c>
      <c r="D1446" t="inlineStr">
        <is>
          <t>Sungai Tinggi</t>
        </is>
      </c>
      <c r="E1446" t="inlineStr">
        <is>
          <t>Daniel Ong</t>
        </is>
      </c>
      <c r="F1446" t="inlineStr">
        <is>
          <t>Routine</t>
        </is>
      </c>
      <c r="G1446" t="inlineStr">
        <is>
          <t>NONE</t>
        </is>
      </c>
      <c r="H1446" t="inlineStr">
        <is>
          <t>Compliant</t>
        </is>
      </c>
      <c r="I1446" s="6" t="n"/>
      <c r="J1446" s="6" t="n"/>
      <c r="K1446">
        <f>IF(J1446="","",J1446-B1446)</f>
        <v/>
      </c>
      <c r="L1446">
        <f>IF(H1446="Compliant","N/A",IF(J1446&lt;&gt;"","Closed",IF(I1446&lt;DATE(2026,9,30),"OVERDUE","Open")))</f>
        <v/>
      </c>
    </row>
    <row r="1447">
      <c r="A1447" t="inlineStr">
        <is>
          <t>INSP-2026-1446</t>
        </is>
      </c>
      <c r="B1447" s="6" t="n">
        <v>46238</v>
      </c>
      <c r="C1447" t="inlineStr">
        <is>
          <t>U-RH456-01-04</t>
        </is>
      </c>
      <c r="D1447" t="inlineStr">
        <is>
          <t>Rimba Heights</t>
        </is>
      </c>
      <c r="E1447" t="inlineStr">
        <is>
          <t>D. Ong</t>
        </is>
      </c>
      <c r="F1447" t="inlineStr">
        <is>
          <t>Routine</t>
        </is>
      </c>
      <c r="G1447" t="inlineStr">
        <is>
          <t>NONE</t>
        </is>
      </c>
      <c r="H1447" t="inlineStr">
        <is>
          <t>Compliant</t>
        </is>
      </c>
      <c r="I1447" s="6" t="n"/>
      <c r="J1447" s="6" t="n"/>
      <c r="K1447">
        <f>IF(J1447="","",J1447-B1447)</f>
        <v/>
      </c>
      <c r="L1447">
        <f>IF(H1447="Compliant","N/A",IF(J1447&lt;&gt;"","Closed",IF(I1447&lt;DATE(2026,9,30),"OVERDUE","Open")))</f>
        <v/>
      </c>
    </row>
    <row r="1448">
      <c r="A1448" t="inlineStr">
        <is>
          <t>INSP-2026-1447</t>
        </is>
      </c>
      <c r="B1448" s="6" t="n">
        <v>46238</v>
      </c>
      <c r="C1448" t="inlineStr">
        <is>
          <t>U-RH428-01-04</t>
        </is>
      </c>
      <c r="D1448" t="inlineStr">
        <is>
          <t>Rimba Heights</t>
        </is>
      </c>
      <c r="E1448" t="inlineStr">
        <is>
          <t>Ben Ho</t>
        </is>
      </c>
      <c r="F1448" t="inlineStr">
        <is>
          <t>Routine</t>
        </is>
      </c>
      <c r="G1448" t="inlineStr">
        <is>
          <t>NONE</t>
        </is>
      </c>
      <c r="H1448" t="inlineStr">
        <is>
          <t>Compliant</t>
        </is>
      </c>
      <c r="I1448" s="6" t="n"/>
      <c r="J1448" s="6" t="n"/>
      <c r="K1448">
        <f>IF(J1448="","",J1448-B1448)</f>
        <v/>
      </c>
      <c r="L1448">
        <f>IF(H1448="Compliant","N/A",IF(J1448&lt;&gt;"","Closed",IF(I1448&lt;DATE(2026,9,30),"OVERDUE","Open")))</f>
        <v/>
      </c>
    </row>
    <row r="1449">
      <c r="A1449" t="inlineStr">
        <is>
          <t>INSP-2026-1448</t>
        </is>
      </c>
      <c r="B1449" s="6" t="n">
        <v>46238</v>
      </c>
      <c r="C1449" t="inlineStr">
        <is>
          <t>U-ST534-02-08</t>
        </is>
      </c>
      <c r="D1449" t="inlineStr">
        <is>
          <t>Sungai Tinggi</t>
        </is>
      </c>
      <c r="E1449" t="inlineStr">
        <is>
          <t>Ben Ho</t>
        </is>
      </c>
      <c r="F1449" t="inlineStr">
        <is>
          <t>Routine</t>
        </is>
      </c>
      <c r="G1449" t="inlineStr">
        <is>
          <t>NONE</t>
        </is>
      </c>
      <c r="H1449" t="inlineStr">
        <is>
          <t>Compliant</t>
        </is>
      </c>
      <c r="I1449" s="6" t="n"/>
      <c r="J1449" s="6" t="n"/>
      <c r="K1449">
        <f>IF(J1449="","",J1449-B1449)</f>
        <v/>
      </c>
      <c r="L1449">
        <f>IF(H1449="Compliant","N/A",IF(J1449&lt;&gt;"","Closed",IF(I1449&lt;DATE(2026,9,30),"OVERDUE","Open")))</f>
        <v/>
      </c>
    </row>
    <row r="1450">
      <c r="A1450" t="inlineStr">
        <is>
          <t>INSP-2026-1449</t>
        </is>
      </c>
      <c r="B1450" s="6" t="n">
        <v>46238</v>
      </c>
      <c r="C1450" t="inlineStr">
        <is>
          <t>U-RH471-01-06</t>
        </is>
      </c>
      <c r="D1450" t="inlineStr">
        <is>
          <t>Rimba Heights</t>
        </is>
      </c>
      <c r="E1450" t="inlineStr">
        <is>
          <t>Daniel O.</t>
        </is>
      </c>
      <c r="F1450" t="inlineStr">
        <is>
          <t>Routine</t>
        </is>
      </c>
      <c r="G1450" t="inlineStr">
        <is>
          <t>NONE</t>
        </is>
      </c>
      <c r="H1450" t="inlineStr">
        <is>
          <t>Compliant</t>
        </is>
      </c>
      <c r="I1450" s="6" t="n"/>
      <c r="J1450" s="6" t="n"/>
      <c r="K1450">
        <f>IF(J1450="","",J1450-B1450)</f>
        <v/>
      </c>
      <c r="L1450">
        <f>IF(H1450="Compliant","N/A",IF(J1450&lt;&gt;"","Closed",IF(I1450&lt;DATE(2026,9,30),"OVERDUE","Open")))</f>
        <v/>
      </c>
    </row>
    <row r="1451">
      <c r="A1451" t="inlineStr">
        <is>
          <t>INSP-2026-1450</t>
        </is>
      </c>
      <c r="B1451" s="6" t="n">
        <v>46239</v>
      </c>
      <c r="C1451" t="inlineStr">
        <is>
          <t>U-KR310-02-06</t>
        </is>
      </c>
      <c r="D1451" t="inlineStr">
        <is>
          <t>Kebun Raya</t>
        </is>
      </c>
      <c r="E1451" t="inlineStr">
        <is>
          <t>daniel ong</t>
        </is>
      </c>
      <c r="F1451" t="inlineStr">
        <is>
          <t>Routine</t>
        </is>
      </c>
      <c r="G1451" t="inlineStr">
        <is>
          <t>DISPLAY_ENCROACH</t>
        </is>
      </c>
      <c r="H1451" t="inlineStr">
        <is>
          <t>Minor Breach</t>
        </is>
      </c>
      <c r="I1451" s="6" t="n">
        <v>46253</v>
      </c>
      <c r="J1451" s="6" t="n"/>
      <c r="K1451">
        <f>IF(J1451="","",J1451-B1451)</f>
        <v/>
      </c>
      <c r="L1451">
        <f>IF(H1451="Compliant","N/A",IF(J1451&lt;&gt;"","Closed",IF(I1451&lt;DATE(2026,9,30),"OVERDUE","Open")))</f>
        <v/>
      </c>
    </row>
    <row r="1452">
      <c r="A1452" t="inlineStr">
        <is>
          <t>INSP-2026-1451</t>
        </is>
      </c>
      <c r="B1452" s="6" t="n">
        <v>46239</v>
      </c>
      <c r="C1452" t="inlineStr">
        <is>
          <t>U-BV214-01-13</t>
        </is>
      </c>
      <c r="D1452" t="inlineStr">
        <is>
          <t>Bayshore Vale</t>
        </is>
      </c>
      <c r="E1452" t="inlineStr">
        <is>
          <t>D. Ong</t>
        </is>
      </c>
      <c r="F1452" t="inlineStr">
        <is>
          <t>Routine</t>
        </is>
      </c>
      <c r="G1452" t="inlineStr">
        <is>
          <t>NONE</t>
        </is>
      </c>
      <c r="H1452" t="inlineStr">
        <is>
          <t>Compliant</t>
        </is>
      </c>
      <c r="I1452" s="6" t="n"/>
      <c r="J1452" s="6" t="n"/>
      <c r="K1452">
        <f>IF(J1452="","",J1452-B1452)</f>
        <v/>
      </c>
      <c r="L1452">
        <f>IF(H1452="Compliant","N/A",IF(J1452&lt;&gt;"","Closed",IF(I1452&lt;DATE(2026,9,30),"OVERDUE","Open")))</f>
        <v/>
      </c>
    </row>
    <row r="1453">
      <c r="A1453" t="inlineStr">
        <is>
          <t>INSP-2026-1452</t>
        </is>
      </c>
      <c r="B1453" s="6" t="n">
        <v>46239</v>
      </c>
      <c r="C1453" t="inlineStr">
        <is>
          <t>U-KR362-01-08</t>
        </is>
      </c>
      <c r="D1453" t="inlineStr">
        <is>
          <t>Kebun Raya</t>
        </is>
      </c>
      <c r="E1453" t="inlineStr">
        <is>
          <t>D. Ong</t>
        </is>
      </c>
      <c r="F1453" t="inlineStr">
        <is>
          <t>Complaint-driven</t>
        </is>
      </c>
      <c r="G1453" t="inlineStr">
        <is>
          <t>NONE</t>
        </is>
      </c>
      <c r="H1453" t="inlineStr">
        <is>
          <t>Compliant</t>
        </is>
      </c>
      <c r="I1453" s="6" t="n"/>
      <c r="J1453" s="6" t="n"/>
      <c r="K1453">
        <f>IF(J1453="","",J1453-B1453)</f>
        <v/>
      </c>
      <c r="L1453">
        <f>IF(H1453="Compliant","N/A",IF(J1453&lt;&gt;"","Closed",IF(I1453&lt;DATE(2026,9,30),"OVERDUE","Open")))</f>
        <v/>
      </c>
    </row>
    <row r="1454">
      <c r="A1454" t="inlineStr">
        <is>
          <t>INSP-2026-1453</t>
        </is>
      </c>
      <c r="B1454" s="6" t="n">
        <v>46239</v>
      </c>
      <c r="C1454" t="inlineStr">
        <is>
          <t>U-PI668-01-01</t>
        </is>
      </c>
      <c r="D1454" t="inlineStr">
        <is>
          <t>Pasir Indah</t>
        </is>
      </c>
      <c r="E1454" t="inlineStr">
        <is>
          <t>daniel ong</t>
        </is>
      </c>
      <c r="F1454" t="inlineStr">
        <is>
          <t>Routine</t>
        </is>
      </c>
      <c r="G1454" t="inlineStr">
        <is>
          <t>NONE</t>
        </is>
      </c>
      <c r="H1454" t="inlineStr">
        <is>
          <t>Compliant</t>
        </is>
      </c>
      <c r="I1454" s="6" t="n"/>
      <c r="J1454" s="6" t="n"/>
      <c r="K1454">
        <f>IF(J1454="","",J1454-B1454)</f>
        <v/>
      </c>
      <c r="L1454">
        <f>IF(H1454="Compliant","N/A",IF(J1454&lt;&gt;"","Closed",IF(I1454&lt;DATE(2026,9,30),"OVERDUE","Open")))</f>
        <v/>
      </c>
    </row>
    <row r="1455">
      <c r="A1455" t="inlineStr">
        <is>
          <t>INSP-2026-1454</t>
        </is>
      </c>
      <c r="B1455" s="6" t="n">
        <v>46239</v>
      </c>
      <c r="C1455" t="inlineStr">
        <is>
          <t>U-RH473-01-02</t>
        </is>
      </c>
      <c r="D1455" t="inlineStr">
        <is>
          <t>Rimba Heights</t>
        </is>
      </c>
      <c r="E1455" t="inlineStr">
        <is>
          <t>Daniel O.</t>
        </is>
      </c>
      <c r="F1455" t="inlineStr">
        <is>
          <t>Routine</t>
        </is>
      </c>
      <c r="G1455" t="inlineStr">
        <is>
          <t>NONE</t>
        </is>
      </c>
      <c r="H1455" t="inlineStr">
        <is>
          <t>Compliant</t>
        </is>
      </c>
      <c r="I1455" s="6" t="n"/>
      <c r="J1455" s="6" t="n"/>
      <c r="K1455">
        <f>IF(J1455="","",J1455-B1455)</f>
        <v/>
      </c>
      <c r="L1455">
        <f>IF(H1455="Compliant","N/A",IF(J1455&lt;&gt;"","Closed",IF(I1455&lt;DATE(2026,9,30),"OVERDUE","Open")))</f>
        <v/>
      </c>
    </row>
    <row r="1456">
      <c r="A1456" t="inlineStr">
        <is>
          <t>INSP-2026-1455</t>
        </is>
      </c>
      <c r="B1456" s="6" t="n">
        <v>46240</v>
      </c>
      <c r="C1456" t="inlineStr">
        <is>
          <t>U-KR368-01-12</t>
        </is>
      </c>
      <c r="D1456" t="inlineStr">
        <is>
          <t>Kebun Raya</t>
        </is>
      </c>
      <c r="E1456" t="inlineStr">
        <is>
          <t>D. Ong</t>
        </is>
      </c>
      <c r="F1456" t="inlineStr">
        <is>
          <t>Complaint-driven</t>
        </is>
      </c>
      <c r="G1456" t="inlineStr">
        <is>
          <t>NONE</t>
        </is>
      </c>
      <c r="H1456" t="inlineStr">
        <is>
          <t>Compliant</t>
        </is>
      </c>
      <c r="I1456" s="6" t="n"/>
      <c r="J1456" s="6" t="n"/>
      <c r="K1456">
        <f>IF(J1456="","",J1456-B1456)</f>
        <v/>
      </c>
      <c r="L1456">
        <f>IF(H1456="Compliant","N/A",IF(J1456&lt;&gt;"","Closed",IF(I1456&lt;DATE(2026,9,30),"OVERDUE","Open")))</f>
        <v/>
      </c>
    </row>
    <row r="1457">
      <c r="A1457" t="inlineStr">
        <is>
          <t>INSP-2026-1456</t>
        </is>
      </c>
      <c r="B1457" s="6" t="n">
        <v>46240</v>
      </c>
      <c r="C1457" t="inlineStr">
        <is>
          <t>U-CD142-01-02</t>
        </is>
      </c>
      <c r="D1457" t="inlineStr">
        <is>
          <t>Cendana</t>
        </is>
      </c>
      <c r="E1457" t="inlineStr">
        <is>
          <t>M. Lim</t>
        </is>
      </c>
      <c r="F1457" t="inlineStr">
        <is>
          <t>Complaint-driven</t>
        </is>
      </c>
      <c r="G1457" t="inlineStr">
        <is>
          <t>NONE</t>
        </is>
      </c>
      <c r="H1457" t="inlineStr">
        <is>
          <t>Compliant</t>
        </is>
      </c>
      <c r="I1457" s="6" t="n"/>
      <c r="J1457" s="6" t="n"/>
      <c r="K1457">
        <f>IF(J1457="","",J1457-B1457)</f>
        <v/>
      </c>
      <c r="L1457">
        <f>IF(H1457="Compliant","N/A",IF(J1457&lt;&gt;"","Closed",IF(I1457&lt;DATE(2026,9,30),"OVERDUE","Open")))</f>
        <v/>
      </c>
    </row>
    <row r="1458">
      <c r="A1458" t="inlineStr">
        <is>
          <t>INSP-2026-1457</t>
        </is>
      </c>
      <c r="B1458" s="6" t="n">
        <v>46240</v>
      </c>
      <c r="C1458" t="inlineStr">
        <is>
          <t>U-KR368-01-05</t>
        </is>
      </c>
      <c r="D1458" t="inlineStr">
        <is>
          <t>Kebun Raya</t>
        </is>
      </c>
      <c r="E1458" t="inlineStr">
        <is>
          <t>Daniel Ong</t>
        </is>
      </c>
      <c r="F1458" t="inlineStr">
        <is>
          <t>Routine</t>
        </is>
      </c>
      <c r="G1458" t="inlineStr">
        <is>
          <t>NONE</t>
        </is>
      </c>
      <c r="H1458" t="inlineStr">
        <is>
          <t>Compliant</t>
        </is>
      </c>
      <c r="I1458" s="6" t="n"/>
      <c r="J1458" s="6" t="n"/>
      <c r="K1458">
        <f>IF(J1458="","",J1458-B1458)</f>
        <v/>
      </c>
      <c r="L1458">
        <f>IF(H1458="Compliant","N/A",IF(J1458&lt;&gt;"","Closed",IF(I1458&lt;DATE(2026,9,30),"OVERDUE","Open")))</f>
        <v/>
      </c>
    </row>
    <row r="1459">
      <c r="A1459" t="inlineStr">
        <is>
          <t>INSP-2026-1458</t>
        </is>
      </c>
      <c r="B1459" s="6" t="n">
        <v>46240</v>
      </c>
      <c r="C1459" t="inlineStr">
        <is>
          <t>U-RH450-01-05</t>
        </is>
      </c>
      <c r="D1459" t="inlineStr">
        <is>
          <t>Rimba Heights</t>
        </is>
      </c>
      <c r="E1459" t="inlineStr">
        <is>
          <t>D. Ong</t>
        </is>
      </c>
      <c r="F1459" t="inlineStr">
        <is>
          <t>Routine</t>
        </is>
      </c>
      <c r="G1459" t="inlineStr">
        <is>
          <t>NONE</t>
        </is>
      </c>
      <c r="H1459" t="inlineStr">
        <is>
          <t>Compliant</t>
        </is>
      </c>
      <c r="I1459" s="6" t="n"/>
      <c r="J1459" s="6" t="n"/>
      <c r="K1459">
        <f>IF(J1459="","",J1459-B1459)</f>
        <v/>
      </c>
      <c r="L1459">
        <f>IF(H1459="Compliant","N/A",IF(J1459&lt;&gt;"","Closed",IF(I1459&lt;DATE(2026,9,30),"OVERDUE","Open")))</f>
        <v/>
      </c>
    </row>
    <row r="1460">
      <c r="A1460" t="inlineStr">
        <is>
          <t>INSP-2026-1459</t>
        </is>
      </c>
      <c r="B1460" s="6" t="n">
        <v>46240</v>
      </c>
      <c r="C1460" t="inlineStr">
        <is>
          <t>U-PI642-01-04</t>
        </is>
      </c>
      <c r="D1460" t="inlineStr">
        <is>
          <t>Pasir Indah</t>
        </is>
      </c>
      <c r="E1460" t="inlineStr">
        <is>
          <t>D. Ong</t>
        </is>
      </c>
      <c r="F1460" t="inlineStr">
        <is>
          <t>Follow-up</t>
        </is>
      </c>
      <c r="G1460" t="inlineStr">
        <is>
          <t>DISPLAY_ENCROACH</t>
        </is>
      </c>
      <c r="H1460" t="inlineStr">
        <is>
          <t>Minor Breach</t>
        </is>
      </c>
      <c r="I1460" s="6" t="n">
        <v>46254</v>
      </c>
      <c r="J1460" s="6" t="n"/>
      <c r="K1460">
        <f>IF(J1460="","",J1460-B1460)</f>
        <v/>
      </c>
      <c r="L1460">
        <f>IF(H1460="Compliant","N/A",IF(J1460&lt;&gt;"","Closed",IF(I1460&lt;DATE(2026,9,30),"OVERDUE","Open")))</f>
        <v/>
      </c>
    </row>
    <row r="1461">
      <c r="A1461" t="inlineStr">
        <is>
          <t>INSP-2026-1460</t>
        </is>
      </c>
      <c r="B1461" s="6" t="n">
        <v>46241</v>
      </c>
      <c r="C1461" t="inlineStr">
        <is>
          <t>U-PI696-01-04</t>
        </is>
      </c>
      <c r="D1461" t="inlineStr">
        <is>
          <t>Pasir Indah</t>
        </is>
      </c>
      <c r="E1461" t="inlineStr">
        <is>
          <t>daniel ong</t>
        </is>
      </c>
      <c r="F1461" t="inlineStr">
        <is>
          <t>Follow-up</t>
        </is>
      </c>
      <c r="G1461" t="inlineStr">
        <is>
          <t>NONE</t>
        </is>
      </c>
      <c r="H1461" t="inlineStr">
        <is>
          <t>Compliant</t>
        </is>
      </c>
      <c r="I1461" s="6" t="n"/>
      <c r="J1461" s="6" t="n"/>
      <c r="K1461">
        <f>IF(J1461="","",J1461-B1461)</f>
        <v/>
      </c>
      <c r="L1461">
        <f>IF(H1461="Compliant","N/A",IF(J1461&lt;&gt;"","Closed",IF(I1461&lt;DATE(2026,9,30),"OVERDUE","Open")))</f>
        <v/>
      </c>
    </row>
    <row r="1462">
      <c r="A1462" t="inlineStr">
        <is>
          <t>INSP-2026-1461</t>
        </is>
      </c>
      <c r="B1462" s="6" t="n">
        <v>46241</v>
      </c>
      <c r="C1462" t="inlineStr">
        <is>
          <t>U-BV288-01-06</t>
        </is>
      </c>
      <c r="D1462" t="inlineStr">
        <is>
          <t>Bayshore Vale</t>
        </is>
      </c>
      <c r="E1462" t="inlineStr">
        <is>
          <t>D. Ong</t>
        </is>
      </c>
      <c r="F1462" t="inlineStr">
        <is>
          <t>Complaint-driven</t>
        </is>
      </c>
      <c r="G1462" t="inlineStr">
        <is>
          <t>NONE</t>
        </is>
      </c>
      <c r="H1462" t="inlineStr">
        <is>
          <t>Compliant</t>
        </is>
      </c>
      <c r="I1462" s="6" t="n"/>
      <c r="J1462" s="6" t="n"/>
      <c r="K1462">
        <f>IF(J1462="","",J1462-B1462)</f>
        <v/>
      </c>
      <c r="L1462">
        <f>IF(H1462="Compliant","N/A",IF(J1462&lt;&gt;"","Closed",IF(I1462&lt;DATE(2026,9,30),"OVERDUE","Open")))</f>
        <v/>
      </c>
    </row>
    <row r="1463">
      <c r="A1463" t="inlineStr">
        <is>
          <t>INSP-2026-1462</t>
        </is>
      </c>
      <c r="B1463" s="6" t="n">
        <v>46241</v>
      </c>
      <c r="C1463" t="inlineStr">
        <is>
          <t>U-BV283-01-01</t>
        </is>
      </c>
      <c r="D1463" t="inlineStr">
        <is>
          <t>Bayshore Vale</t>
        </is>
      </c>
      <c r="E1463" t="inlineStr">
        <is>
          <t>D. Ong</t>
        </is>
      </c>
      <c r="F1463" t="inlineStr">
        <is>
          <t>Routine</t>
        </is>
      </c>
      <c r="G1463" t="inlineStr">
        <is>
          <t>NONE</t>
        </is>
      </c>
      <c r="H1463" t="inlineStr">
        <is>
          <t>Compliant</t>
        </is>
      </c>
      <c r="I1463" s="6" t="n"/>
      <c r="J1463" s="6" t="n"/>
      <c r="K1463">
        <f>IF(J1463="","",J1463-B1463)</f>
        <v/>
      </c>
      <c r="L1463">
        <f>IF(H1463="Compliant","N/A",IF(J1463&lt;&gt;"","Closed",IF(I1463&lt;DATE(2026,9,30),"OVERDUE","Open")))</f>
        <v/>
      </c>
    </row>
    <row r="1464">
      <c r="A1464" t="inlineStr">
        <is>
          <t>INSP-2026-1463</t>
        </is>
      </c>
      <c r="B1464" s="6" t="n">
        <v>46241</v>
      </c>
      <c r="C1464" t="inlineStr">
        <is>
          <t>U-BV273-01-08</t>
        </is>
      </c>
      <c r="D1464" t="inlineStr">
        <is>
          <t>Bayshore Vale</t>
        </is>
      </c>
      <c r="E1464" t="inlineStr">
        <is>
          <t>Daniel Ong</t>
        </is>
      </c>
      <c r="F1464" t="inlineStr">
        <is>
          <t>Follow-up</t>
        </is>
      </c>
      <c r="G1464" t="inlineStr">
        <is>
          <t>NONE</t>
        </is>
      </c>
      <c r="H1464" t="inlineStr">
        <is>
          <t>Compliant</t>
        </is>
      </c>
      <c r="I1464" s="6" t="n"/>
      <c r="J1464" s="6" t="n"/>
      <c r="K1464">
        <f>IF(J1464="","",J1464-B1464)</f>
        <v/>
      </c>
      <c r="L1464">
        <f>IF(H1464="Compliant","N/A",IF(J1464&lt;&gt;"","Closed",IF(I1464&lt;DATE(2026,9,30),"OVERDUE","Open")))</f>
        <v/>
      </c>
    </row>
    <row r="1465">
      <c r="A1465" t="inlineStr">
        <is>
          <t>INSP-2026-1464</t>
        </is>
      </c>
      <c r="B1465" s="6" t="n">
        <v>46241</v>
      </c>
      <c r="C1465" t="inlineStr">
        <is>
          <t>U-CD143-01-08</t>
        </is>
      </c>
      <c r="D1465" t="inlineStr">
        <is>
          <t>Cendana</t>
        </is>
      </c>
      <c r="E1465" t="inlineStr">
        <is>
          <t>Daniel O.</t>
        </is>
      </c>
      <c r="F1465" t="inlineStr">
        <is>
          <t>Routine</t>
        </is>
      </c>
      <c r="G1465" t="inlineStr">
        <is>
          <t>NONE</t>
        </is>
      </c>
      <c r="H1465" t="inlineStr">
        <is>
          <t>Compliant</t>
        </is>
      </c>
      <c r="I1465" s="6" t="n"/>
      <c r="J1465" s="6" t="n"/>
      <c r="K1465">
        <f>IF(J1465="","",J1465-B1465)</f>
        <v/>
      </c>
      <c r="L1465">
        <f>IF(H1465="Compliant","N/A",IF(J1465&lt;&gt;"","Closed",IF(I1465&lt;DATE(2026,9,30),"OVERDUE","Open")))</f>
        <v/>
      </c>
    </row>
    <row r="1466">
      <c r="A1466" t="inlineStr">
        <is>
          <t>INSP-2026-1465</t>
        </is>
      </c>
      <c r="B1466" s="6" t="n">
        <v>46241</v>
      </c>
      <c r="C1466" t="inlineStr">
        <is>
          <t>U-BV237-01-03</t>
        </is>
      </c>
      <c r="D1466" t="inlineStr">
        <is>
          <t>Bayshore Vale</t>
        </is>
      </c>
      <c r="E1466" t="inlineStr">
        <is>
          <t>Daniel Ong</t>
        </is>
      </c>
      <c r="F1466" t="inlineStr">
        <is>
          <t>Routine</t>
        </is>
      </c>
      <c r="G1466" t="inlineStr">
        <is>
          <t>UNAUTH_TRADE</t>
        </is>
      </c>
      <c r="H1466" t="inlineStr">
        <is>
          <t>Major Breach</t>
        </is>
      </c>
      <c r="I1466" s="6" t="n">
        <v>46248</v>
      </c>
      <c r="J1466" s="6" t="n">
        <v>46258</v>
      </c>
      <c r="K1466">
        <f>IF(J1466="","",J1466-B1466)</f>
        <v/>
      </c>
      <c r="L1466">
        <f>IF(H1466="Compliant","N/A",IF(J1466&lt;&gt;"","Closed",IF(I1466&lt;DATE(2026,9,30),"OVERDUE","Open")))</f>
        <v/>
      </c>
    </row>
    <row r="1467">
      <c r="A1467" t="inlineStr">
        <is>
          <t>INSP-2026-1466</t>
        </is>
      </c>
      <c r="B1467" s="6" t="n">
        <v>46241</v>
      </c>
      <c r="C1467" t="inlineStr">
        <is>
          <t>U-KR359-01-13</t>
        </is>
      </c>
      <c r="D1467" t="inlineStr">
        <is>
          <t>Kebun Raya</t>
        </is>
      </c>
      <c r="E1467" t="inlineStr">
        <is>
          <t>D. Ong</t>
        </is>
      </c>
      <c r="F1467" t="inlineStr">
        <is>
          <t>Routine</t>
        </is>
      </c>
      <c r="G1467" t="inlineStr">
        <is>
          <t>NONE</t>
        </is>
      </c>
      <c r="H1467" t="inlineStr">
        <is>
          <t>Compliant</t>
        </is>
      </c>
      <c r="I1467" s="6" t="n"/>
      <c r="J1467" s="6" t="n"/>
      <c r="K1467">
        <f>IF(J1467="","",J1467-B1467)</f>
        <v/>
      </c>
      <c r="L1467">
        <f>IF(H1467="Compliant","N/A",IF(J1467&lt;&gt;"","Closed",IF(I1467&lt;DATE(2026,9,30),"OVERDUE","Open")))</f>
        <v/>
      </c>
    </row>
    <row r="1468">
      <c r="A1468" t="inlineStr">
        <is>
          <t>INSP-2026-1467</t>
        </is>
      </c>
      <c r="B1468" s="6" t="n">
        <v>46242</v>
      </c>
      <c r="C1468" t="inlineStr">
        <is>
          <t>U-PI625-01-08</t>
        </is>
      </c>
      <c r="D1468" t="inlineStr">
        <is>
          <t>Pasir Indah</t>
        </is>
      </c>
      <c r="E1468" t="inlineStr">
        <is>
          <t>Marcus Lim</t>
        </is>
      </c>
      <c r="F1468" t="inlineStr">
        <is>
          <t>Follow-up</t>
        </is>
      </c>
      <c r="G1468" t="inlineStr">
        <is>
          <t>NONE</t>
        </is>
      </c>
      <c r="H1468" t="inlineStr">
        <is>
          <t>Compliant</t>
        </is>
      </c>
      <c r="I1468" s="6" t="n"/>
      <c r="J1468" s="6" t="n"/>
      <c r="K1468">
        <f>IF(J1468="","",J1468-B1468)</f>
        <v/>
      </c>
      <c r="L1468">
        <f>IF(H1468="Compliant","N/A",IF(J1468&lt;&gt;"","Closed",IF(I1468&lt;DATE(2026,9,30),"OVERDUE","Open")))</f>
        <v/>
      </c>
    </row>
    <row r="1469">
      <c r="A1469" t="inlineStr">
        <is>
          <t>INSP-2026-1468</t>
        </is>
      </c>
      <c r="B1469" s="6" t="n">
        <v>46242</v>
      </c>
      <c r="C1469" t="inlineStr">
        <is>
          <t>U-PI675-01-04</t>
        </is>
      </c>
      <c r="D1469" t="inlineStr">
        <is>
          <t>Pasir Indah</t>
        </is>
      </c>
      <c r="E1469" t="inlineStr">
        <is>
          <t>Daniel Ong</t>
        </is>
      </c>
      <c r="F1469" t="inlineStr">
        <is>
          <t>Routine</t>
        </is>
      </c>
      <c r="G1469" t="inlineStr">
        <is>
          <t>DISPLAY_ENCROACH</t>
        </is>
      </c>
      <c r="H1469" t="inlineStr">
        <is>
          <t>Minor Breach</t>
        </is>
      </c>
      <c r="I1469" s="6" t="n">
        <v>46256</v>
      </c>
      <c r="J1469" s="6" t="n">
        <v>46263</v>
      </c>
      <c r="K1469">
        <f>IF(J1469="","",J1469-B1469)</f>
        <v/>
      </c>
      <c r="L1469">
        <f>IF(H1469="Compliant","N/A",IF(J1469&lt;&gt;"","Closed",IF(I1469&lt;DATE(2026,9,30),"OVERDUE","Open")))</f>
        <v/>
      </c>
    </row>
    <row r="1470">
      <c r="A1470" t="inlineStr">
        <is>
          <t>INSP-2026-1469</t>
        </is>
      </c>
      <c r="B1470" s="6" t="n">
        <v>46242</v>
      </c>
      <c r="C1470" t="inlineStr">
        <is>
          <t>U-PI675-01-08</t>
        </is>
      </c>
      <c r="D1470" t="inlineStr">
        <is>
          <t>Pasir Indah</t>
        </is>
      </c>
      <c r="E1470" t="inlineStr">
        <is>
          <t>Marcus Lim</t>
        </is>
      </c>
      <c r="F1470" t="inlineStr">
        <is>
          <t>Follow-up</t>
        </is>
      </c>
      <c r="G1470" t="inlineStr">
        <is>
          <t>NONE</t>
        </is>
      </c>
      <c r="H1470" t="inlineStr">
        <is>
          <t>Compliant</t>
        </is>
      </c>
      <c r="I1470" s="6" t="n"/>
      <c r="J1470" s="6" t="n"/>
      <c r="K1470">
        <f>IF(J1470="","",J1470-B1470)</f>
        <v/>
      </c>
      <c r="L1470">
        <f>IF(H1470="Compliant","N/A",IF(J1470&lt;&gt;"","Closed",IF(I1470&lt;DATE(2026,9,30),"OVERDUE","Open")))</f>
        <v/>
      </c>
    </row>
    <row r="1471">
      <c r="A1471" t="inlineStr">
        <is>
          <t>INSP-2026-1470</t>
        </is>
      </c>
      <c r="B1471" s="6" t="n">
        <v>46242</v>
      </c>
      <c r="C1471" t="inlineStr">
        <is>
          <t>U-ST544-01-05</t>
        </is>
      </c>
      <c r="D1471" t="inlineStr">
        <is>
          <t>Sungai Tinggi</t>
        </is>
      </c>
      <c r="E1471" t="inlineStr">
        <is>
          <t>D. Ong</t>
        </is>
      </c>
      <c r="F1471" t="inlineStr">
        <is>
          <t>Routine</t>
        </is>
      </c>
      <c r="G1471" t="inlineStr">
        <is>
          <t>DISPLAY_ENCROACH</t>
        </is>
      </c>
      <c r="H1471" t="inlineStr">
        <is>
          <t>Minor Breach</t>
        </is>
      </c>
      <c r="I1471" s="6" t="n">
        <v>46256</v>
      </c>
      <c r="J1471" s="6" t="n">
        <v>46256</v>
      </c>
      <c r="K1471">
        <f>IF(J1471="","",J1471-B1471)</f>
        <v/>
      </c>
      <c r="L1471">
        <f>IF(H1471="Compliant","N/A",IF(J1471&lt;&gt;"","Closed",IF(I1471&lt;DATE(2026,9,30),"OVERDUE","Open")))</f>
        <v/>
      </c>
    </row>
    <row r="1472">
      <c r="A1472" t="inlineStr">
        <is>
          <t>INSP-2026-1471</t>
        </is>
      </c>
      <c r="B1472" s="6" t="n">
        <v>46242</v>
      </c>
      <c r="C1472" t="inlineStr">
        <is>
          <t>U-BV231-01-02</t>
        </is>
      </c>
      <c r="D1472" t="inlineStr">
        <is>
          <t>Bayshore Vale</t>
        </is>
      </c>
      <c r="E1472" t="inlineStr">
        <is>
          <t>Marcus Lim</t>
        </is>
      </c>
      <c r="F1472" t="inlineStr">
        <is>
          <t>Complaint-driven</t>
        </is>
      </c>
      <c r="G1472" t="inlineStr">
        <is>
          <t>NONE</t>
        </is>
      </c>
      <c r="H1472" t="inlineStr">
        <is>
          <t>Compliant</t>
        </is>
      </c>
      <c r="I1472" s="6" t="n"/>
      <c r="J1472" s="6" t="n"/>
      <c r="K1472">
        <f>IF(J1472="","",J1472-B1472)</f>
        <v/>
      </c>
      <c r="L1472">
        <f>IF(H1472="Compliant","N/A",IF(J1472&lt;&gt;"","Closed",IF(I1472&lt;DATE(2026,9,30),"OVERDUE","Open")))</f>
        <v/>
      </c>
    </row>
    <row r="1473">
      <c r="A1473" t="inlineStr">
        <is>
          <t>INSP-2026-1472</t>
        </is>
      </c>
      <c r="B1473" s="6" t="n">
        <v>46242</v>
      </c>
      <c r="C1473" t="inlineStr">
        <is>
          <t>U-BV233-01-05</t>
        </is>
      </c>
      <c r="D1473" t="inlineStr">
        <is>
          <t>Bayshore Vale</t>
        </is>
      </c>
      <c r="E1473" t="inlineStr">
        <is>
          <t>Daniel O.</t>
        </is>
      </c>
      <c r="F1473" t="inlineStr">
        <is>
          <t>Routine</t>
        </is>
      </c>
      <c r="G1473" t="inlineStr">
        <is>
          <t>NONE</t>
        </is>
      </c>
      <c r="H1473" t="inlineStr">
        <is>
          <t>Compliant</t>
        </is>
      </c>
      <c r="I1473" s="6" t="n"/>
      <c r="J1473" s="6" t="n"/>
      <c r="K1473">
        <f>IF(J1473="","",J1473-B1473)</f>
        <v/>
      </c>
      <c r="L1473">
        <f>IF(H1473="Compliant","N/A",IF(J1473&lt;&gt;"","Closed",IF(I1473&lt;DATE(2026,9,30),"OVERDUE","Open")))</f>
        <v/>
      </c>
    </row>
    <row r="1474">
      <c r="A1474" t="inlineStr">
        <is>
          <t>INSP-2026-1473</t>
        </is>
      </c>
      <c r="B1474" s="6" t="n">
        <v>46242</v>
      </c>
      <c r="C1474" t="inlineStr">
        <is>
          <t>U-BV277-01-10</t>
        </is>
      </c>
      <c r="D1474" t="inlineStr">
        <is>
          <t>Bayshore Vale</t>
        </is>
      </c>
      <c r="E1474" t="inlineStr">
        <is>
          <t>daniel ong</t>
        </is>
      </c>
      <c r="F1474" t="inlineStr">
        <is>
          <t>Routine</t>
        </is>
      </c>
      <c r="G1474" t="inlineStr">
        <is>
          <t>DISPLAY_ENCROACH</t>
        </is>
      </c>
      <c r="H1474" t="inlineStr">
        <is>
          <t>Minor Breach</t>
        </is>
      </c>
      <c r="I1474" s="6" t="n">
        <v>46256</v>
      </c>
      <c r="J1474" s="6" t="n">
        <v>46254</v>
      </c>
      <c r="K1474">
        <f>IF(J1474="","",J1474-B1474)</f>
        <v/>
      </c>
      <c r="L1474">
        <f>IF(H1474="Compliant","N/A",IF(J1474&lt;&gt;"","Closed",IF(I1474&lt;DATE(2026,9,30),"OVERDUE","Open")))</f>
        <v/>
      </c>
    </row>
    <row r="1475">
      <c r="A1475" t="inlineStr">
        <is>
          <t>INSP-2026-1474</t>
        </is>
      </c>
      <c r="B1475" s="6" t="n">
        <v>46242</v>
      </c>
      <c r="C1475" t="inlineStr">
        <is>
          <t>U-BV271-01-10</t>
        </is>
      </c>
      <c r="D1475" t="inlineStr">
        <is>
          <t>Bayshore Vale</t>
        </is>
      </c>
      <c r="E1475" t="inlineStr">
        <is>
          <t>Daniel Ong</t>
        </is>
      </c>
      <c r="F1475" t="inlineStr">
        <is>
          <t>Routine</t>
        </is>
      </c>
      <c r="G1475" t="inlineStr">
        <is>
          <t>NONE</t>
        </is>
      </c>
      <c r="H1475" t="inlineStr">
        <is>
          <t>Compliant</t>
        </is>
      </c>
      <c r="I1475" s="6" t="n"/>
      <c r="J1475" s="6" t="n"/>
      <c r="K1475">
        <f>IF(J1475="","",J1475-B1475)</f>
        <v/>
      </c>
      <c r="L1475">
        <f>IF(H1475="Compliant","N/A",IF(J1475&lt;&gt;"","Closed",IF(I1475&lt;DATE(2026,9,30),"OVERDUE","Open")))</f>
        <v/>
      </c>
    </row>
    <row r="1476">
      <c r="A1476" t="inlineStr">
        <is>
          <t>INSP-2026-1475</t>
        </is>
      </c>
      <c r="B1476" s="6" t="n">
        <v>46243</v>
      </c>
      <c r="C1476" t="inlineStr">
        <is>
          <t>U-CD133-01-01</t>
        </is>
      </c>
      <c r="D1476" t="inlineStr">
        <is>
          <t>Cendana</t>
        </is>
      </c>
      <c r="E1476" t="inlineStr">
        <is>
          <t>Daniel O.</t>
        </is>
      </c>
      <c r="F1476" t="inlineStr">
        <is>
          <t>Routine</t>
        </is>
      </c>
      <c r="G1476" t="inlineStr">
        <is>
          <t>NONE</t>
        </is>
      </c>
      <c r="H1476" t="inlineStr">
        <is>
          <t>Compliant</t>
        </is>
      </c>
      <c r="I1476" s="6" t="n"/>
      <c r="J1476" s="6" t="n"/>
      <c r="K1476">
        <f>IF(J1476="","",J1476-B1476)</f>
        <v/>
      </c>
      <c r="L1476">
        <f>IF(H1476="Compliant","N/A",IF(J1476&lt;&gt;"","Closed",IF(I1476&lt;DATE(2026,9,30),"OVERDUE","Open")))</f>
        <v/>
      </c>
    </row>
    <row r="1477">
      <c r="A1477" t="inlineStr">
        <is>
          <t>INSP-2026-1476</t>
        </is>
      </c>
      <c r="B1477" s="6" t="n">
        <v>46243</v>
      </c>
      <c r="C1477" t="inlineStr">
        <is>
          <t>U-PI648-01-06</t>
        </is>
      </c>
      <c r="D1477" t="inlineStr">
        <is>
          <t>Pasir Indah</t>
        </is>
      </c>
      <c r="E1477" t="inlineStr">
        <is>
          <t>Marcus Lim</t>
        </is>
      </c>
      <c r="F1477" t="inlineStr">
        <is>
          <t>Routine</t>
        </is>
      </c>
      <c r="G1477" t="inlineStr">
        <is>
          <t>NONE</t>
        </is>
      </c>
      <c r="H1477" t="inlineStr">
        <is>
          <t>Compliant</t>
        </is>
      </c>
      <c r="I1477" s="6" t="n"/>
      <c r="J1477" s="6" t="n"/>
      <c r="K1477">
        <f>IF(J1477="","",J1477-B1477)</f>
        <v/>
      </c>
      <c r="L1477">
        <f>IF(H1477="Compliant","N/A",IF(J1477&lt;&gt;"","Closed",IF(I1477&lt;DATE(2026,9,30),"OVERDUE","Open")))</f>
        <v/>
      </c>
    </row>
    <row r="1478">
      <c r="A1478" t="inlineStr">
        <is>
          <t>INSP-2026-1477</t>
        </is>
      </c>
      <c r="B1478" s="6" t="n">
        <v>46243</v>
      </c>
      <c r="C1478" t="inlineStr">
        <is>
          <t>U-ST501-01-05</t>
        </is>
      </c>
      <c r="D1478" t="inlineStr">
        <is>
          <t>Sungai Tinggi</t>
        </is>
      </c>
      <c r="E1478" t="inlineStr">
        <is>
          <t>D. Ong</t>
        </is>
      </c>
      <c r="F1478" t="inlineStr">
        <is>
          <t>Routine</t>
        </is>
      </c>
      <c r="G1478" t="inlineStr">
        <is>
          <t>NONE</t>
        </is>
      </c>
      <c r="H1478" t="inlineStr">
        <is>
          <t>Compliant</t>
        </is>
      </c>
      <c r="I1478" s="6" t="n"/>
      <c r="J1478" s="6" t="n"/>
      <c r="K1478">
        <f>IF(J1478="","",J1478-B1478)</f>
        <v/>
      </c>
      <c r="L1478">
        <f>IF(H1478="Compliant","N/A",IF(J1478&lt;&gt;"","Closed",IF(I1478&lt;DATE(2026,9,30),"OVERDUE","Open")))</f>
        <v/>
      </c>
    </row>
    <row r="1479">
      <c r="A1479" t="inlineStr">
        <is>
          <t>INSP-2026-1478</t>
        </is>
      </c>
      <c r="B1479" s="6" t="n">
        <v>46243</v>
      </c>
      <c r="C1479" t="inlineStr">
        <is>
          <t>U-KR310-01-05</t>
        </is>
      </c>
      <c r="D1479" t="inlineStr">
        <is>
          <t>Kebun Raya</t>
        </is>
      </c>
      <c r="E1479" t="inlineStr">
        <is>
          <t>daniel ong</t>
        </is>
      </c>
      <c r="F1479" t="inlineStr">
        <is>
          <t>Follow-up</t>
        </is>
      </c>
      <c r="G1479" t="inlineStr">
        <is>
          <t>DISPLAY_ENCROACH</t>
        </is>
      </c>
      <c r="H1479" t="inlineStr">
        <is>
          <t>Minor Breach</t>
        </is>
      </c>
      <c r="I1479" s="6" t="n">
        <v>46257</v>
      </c>
      <c r="J1479" s="6" t="n">
        <v>46267</v>
      </c>
      <c r="K1479">
        <f>IF(J1479="","",J1479-B1479)</f>
        <v/>
      </c>
      <c r="L1479">
        <f>IF(H1479="Compliant","N/A",IF(J1479&lt;&gt;"","Closed",IF(I1479&lt;DATE(2026,9,30),"OVERDUE","Open")))</f>
        <v/>
      </c>
    </row>
    <row r="1480">
      <c r="A1480" t="inlineStr">
        <is>
          <t>INSP-2026-1479</t>
        </is>
      </c>
      <c r="B1480" s="6" t="n">
        <v>46243</v>
      </c>
      <c r="C1480" t="inlineStr">
        <is>
          <t>U-BV297-01-03</t>
        </is>
      </c>
      <c r="D1480" t="inlineStr">
        <is>
          <t>Bayshore Vale</t>
        </is>
      </c>
      <c r="E1480" t="inlineStr">
        <is>
          <t>daniel ong</t>
        </is>
      </c>
      <c r="F1480" t="inlineStr">
        <is>
          <t>Complaint-driven</t>
        </is>
      </c>
      <c r="G1480" t="inlineStr">
        <is>
          <t>NONE</t>
        </is>
      </c>
      <c r="H1480" t="inlineStr">
        <is>
          <t>Compliant</t>
        </is>
      </c>
      <c r="I1480" s="6" t="n"/>
      <c r="J1480" s="6" t="n"/>
      <c r="K1480">
        <f>IF(J1480="","",J1480-B1480)</f>
        <v/>
      </c>
      <c r="L1480">
        <f>IF(H1480="Compliant","N/A",IF(J1480&lt;&gt;"","Closed",IF(I1480&lt;DATE(2026,9,30),"OVERDUE","Open")))</f>
        <v/>
      </c>
    </row>
    <row r="1481">
      <c r="A1481" t="inlineStr">
        <is>
          <t>INSP-2026-1480</t>
        </is>
      </c>
      <c r="B1481" s="6" t="n">
        <v>46243</v>
      </c>
      <c r="C1481" t="inlineStr">
        <is>
          <t>U-CD108-01-06</t>
        </is>
      </c>
      <c r="D1481" t="inlineStr">
        <is>
          <t>Cendana</t>
        </is>
      </c>
      <c r="E1481" t="inlineStr">
        <is>
          <t>Marcus Lim</t>
        </is>
      </c>
      <c r="F1481" t="inlineStr">
        <is>
          <t>Routine</t>
        </is>
      </c>
      <c r="G1481" t="inlineStr">
        <is>
          <t>NONE</t>
        </is>
      </c>
      <c r="H1481" t="inlineStr">
        <is>
          <t>Compliant</t>
        </is>
      </c>
      <c r="I1481" s="6" t="n"/>
      <c r="J1481" s="6" t="n"/>
      <c r="K1481">
        <f>IF(J1481="","",J1481-B1481)</f>
        <v/>
      </c>
      <c r="L1481">
        <f>IF(H1481="Compliant","N/A",IF(J1481&lt;&gt;"","Closed",IF(I1481&lt;DATE(2026,9,30),"OVERDUE","Open")))</f>
        <v/>
      </c>
    </row>
    <row r="1482">
      <c r="A1482" t="inlineStr">
        <is>
          <t>INSP-2026-1481</t>
        </is>
      </c>
      <c r="B1482" s="6" t="n">
        <v>46244</v>
      </c>
      <c r="C1482" t="inlineStr">
        <is>
          <t>U-BV219-01-09</t>
        </is>
      </c>
      <c r="D1482" t="inlineStr">
        <is>
          <t>Bayshore Vale</t>
        </is>
      </c>
      <c r="E1482" t="inlineStr">
        <is>
          <t>M. Lim</t>
        </is>
      </c>
      <c r="F1482" t="inlineStr">
        <is>
          <t>Complaint-driven</t>
        </is>
      </c>
      <c r="G1482" t="inlineStr">
        <is>
          <t>NONE</t>
        </is>
      </c>
      <c r="H1482" t="inlineStr">
        <is>
          <t>Compliant</t>
        </is>
      </c>
      <c r="I1482" s="6" t="n"/>
      <c r="J1482" s="6" t="n"/>
      <c r="K1482">
        <f>IF(J1482="","",J1482-B1482)</f>
        <v/>
      </c>
      <c r="L1482">
        <f>IF(H1482="Compliant","N/A",IF(J1482&lt;&gt;"","Closed",IF(I1482&lt;DATE(2026,9,30),"OVERDUE","Open")))</f>
        <v/>
      </c>
    </row>
    <row r="1483">
      <c r="A1483" t="inlineStr">
        <is>
          <t>INSP-2026-1482</t>
        </is>
      </c>
      <c r="B1483" s="6" t="n">
        <v>46244</v>
      </c>
      <c r="C1483" t="inlineStr">
        <is>
          <t>U-PI627-01-13</t>
        </is>
      </c>
      <c r="D1483" t="inlineStr">
        <is>
          <t>Pasir Indah</t>
        </is>
      </c>
      <c r="E1483" t="inlineStr">
        <is>
          <t>daniel ong</t>
        </is>
      </c>
      <c r="F1483" t="inlineStr">
        <is>
          <t>Routine</t>
        </is>
      </c>
      <c r="G1483" t="inlineStr">
        <is>
          <t>UNAPPROVED_AA</t>
        </is>
      </c>
      <c r="H1483" t="inlineStr">
        <is>
          <t>Minor Breach</t>
        </is>
      </c>
      <c r="I1483" s="6" t="n">
        <v>46258</v>
      </c>
      <c r="J1483" s="6" t="n">
        <v>46256</v>
      </c>
      <c r="K1483">
        <f>IF(J1483="","",J1483-B1483)</f>
        <v/>
      </c>
      <c r="L1483">
        <f>IF(H1483="Compliant","N/A",IF(J1483&lt;&gt;"","Closed",IF(I1483&lt;DATE(2026,9,30),"OVERDUE","Open")))</f>
        <v/>
      </c>
    </row>
    <row r="1484">
      <c r="A1484" t="inlineStr">
        <is>
          <t>INSP-2026-1483</t>
        </is>
      </c>
      <c r="B1484" s="6" t="n">
        <v>46244</v>
      </c>
      <c r="C1484" t="inlineStr">
        <is>
          <t>U-ST544-01-06</t>
        </is>
      </c>
      <c r="D1484" t="inlineStr">
        <is>
          <t>Sungai Tinggi</t>
        </is>
      </c>
      <c r="E1484" t="inlineStr">
        <is>
          <t>Ben Ho</t>
        </is>
      </c>
      <c r="F1484" t="inlineStr">
        <is>
          <t>Complaint-driven</t>
        </is>
      </c>
      <c r="G1484" t="inlineStr">
        <is>
          <t>HYGIENE</t>
        </is>
      </c>
      <c r="H1484" t="inlineStr">
        <is>
          <t>Minor Breach</t>
        </is>
      </c>
      <c r="I1484" s="6" t="n">
        <v>46258</v>
      </c>
      <c r="J1484" s="6" t="n">
        <v>46253</v>
      </c>
      <c r="K1484">
        <f>IF(J1484="","",J1484-B1484)</f>
        <v/>
      </c>
      <c r="L1484">
        <f>IF(H1484="Compliant","N/A",IF(J1484&lt;&gt;"","Closed",IF(I1484&lt;DATE(2026,9,30),"OVERDUE","Open")))</f>
        <v/>
      </c>
    </row>
    <row r="1485">
      <c r="A1485" t="inlineStr">
        <is>
          <t>INSP-2026-1484</t>
        </is>
      </c>
      <c r="B1485" s="6" t="n">
        <v>46244</v>
      </c>
      <c r="C1485" t="inlineStr">
        <is>
          <t>U-CD118-01-21</t>
        </is>
      </c>
      <c r="D1485" t="inlineStr">
        <is>
          <t>Cendana</t>
        </is>
      </c>
      <c r="E1485" t="inlineStr">
        <is>
          <t>M. Lim</t>
        </is>
      </c>
      <c r="F1485" t="inlineStr">
        <is>
          <t>Routine</t>
        </is>
      </c>
      <c r="G1485" t="inlineStr">
        <is>
          <t>NONE</t>
        </is>
      </c>
      <c r="H1485" t="inlineStr">
        <is>
          <t>Compliant</t>
        </is>
      </c>
      <c r="I1485" s="6" t="n"/>
      <c r="J1485" s="6" t="n"/>
      <c r="K1485">
        <f>IF(J1485="","",J1485-B1485)</f>
        <v/>
      </c>
      <c r="L1485">
        <f>IF(H1485="Compliant","N/A",IF(J1485&lt;&gt;"","Closed",IF(I1485&lt;DATE(2026,9,30),"OVERDUE","Open")))</f>
        <v/>
      </c>
    </row>
    <row r="1486">
      <c r="A1486" t="inlineStr">
        <is>
          <t>INSP-2026-1485</t>
        </is>
      </c>
      <c r="B1486" s="6" t="n">
        <v>46244</v>
      </c>
      <c r="C1486" t="inlineStr">
        <is>
          <t>U-BV233-01-08</t>
        </is>
      </c>
      <c r="D1486" t="inlineStr">
        <is>
          <t>Bayshore Vale</t>
        </is>
      </c>
      <c r="E1486" t="inlineStr">
        <is>
          <t>marcus</t>
        </is>
      </c>
      <c r="F1486" t="inlineStr">
        <is>
          <t>Follow-up</t>
        </is>
      </c>
      <c r="G1486" t="inlineStr">
        <is>
          <t>NONE</t>
        </is>
      </c>
      <c r="H1486" t="inlineStr">
        <is>
          <t>Compliant</t>
        </is>
      </c>
      <c r="I1486" s="6" t="n"/>
      <c r="J1486" s="6" t="n"/>
      <c r="K1486">
        <f>IF(J1486="","",J1486-B1486)</f>
        <v/>
      </c>
      <c r="L1486">
        <f>IF(H1486="Compliant","N/A",IF(J1486&lt;&gt;"","Closed",IF(I1486&lt;DATE(2026,9,30),"OVERDUE","Open")))</f>
        <v/>
      </c>
    </row>
    <row r="1487">
      <c r="A1487" t="inlineStr">
        <is>
          <t>INSP-2026-1486</t>
        </is>
      </c>
      <c r="B1487" s="6" t="n">
        <v>46244</v>
      </c>
      <c r="C1487" t="inlineStr">
        <is>
          <t>U-CD136-01-11</t>
        </is>
      </c>
      <c r="D1487" t="inlineStr">
        <is>
          <t>Cendana</t>
        </is>
      </c>
      <c r="E1487" t="inlineStr">
        <is>
          <t>Marcus Lim</t>
        </is>
      </c>
      <c r="F1487" t="inlineStr">
        <is>
          <t>Routine</t>
        </is>
      </c>
      <c r="G1487" t="inlineStr">
        <is>
          <t>NONE</t>
        </is>
      </c>
      <c r="H1487" t="inlineStr">
        <is>
          <t>Compliant</t>
        </is>
      </c>
      <c r="I1487" s="6" t="n"/>
      <c r="J1487" s="6" t="n"/>
      <c r="K1487">
        <f>IF(J1487="","",J1487-B1487)</f>
        <v/>
      </c>
      <c r="L1487">
        <f>IF(H1487="Compliant","N/A",IF(J1487&lt;&gt;"","Closed",IF(I1487&lt;DATE(2026,9,30),"OVERDUE","Open")))</f>
        <v/>
      </c>
    </row>
    <row r="1488">
      <c r="A1488" t="inlineStr">
        <is>
          <t>INSP-2026-1487</t>
        </is>
      </c>
      <c r="B1488" s="6" t="n">
        <v>46244</v>
      </c>
      <c r="C1488" t="inlineStr">
        <is>
          <t>U-BV212-01-02</t>
        </is>
      </c>
      <c r="D1488" t="inlineStr">
        <is>
          <t>Bayshore Vale</t>
        </is>
      </c>
      <c r="E1488" t="inlineStr">
        <is>
          <t>daniel ong</t>
        </is>
      </c>
      <c r="F1488" t="inlineStr">
        <is>
          <t>Complaint-driven</t>
        </is>
      </c>
      <c r="G1488" t="inlineStr">
        <is>
          <t>NONE</t>
        </is>
      </c>
      <c r="H1488" t="inlineStr">
        <is>
          <t>Compliant</t>
        </is>
      </c>
      <c r="I1488" s="6" t="n"/>
      <c r="J1488" s="6" t="n"/>
      <c r="K1488">
        <f>IF(J1488="","",J1488-B1488)</f>
        <v/>
      </c>
      <c r="L1488">
        <f>IF(H1488="Compliant","N/A",IF(J1488&lt;&gt;"","Closed",IF(I1488&lt;DATE(2026,9,30),"OVERDUE","Open")))</f>
        <v/>
      </c>
    </row>
    <row r="1489">
      <c r="A1489" t="inlineStr">
        <is>
          <t>INSP-2026-1488</t>
        </is>
      </c>
      <c r="B1489" s="6" t="n">
        <v>46244</v>
      </c>
      <c r="C1489" t="inlineStr">
        <is>
          <t>U-RH428-01-02</t>
        </is>
      </c>
      <c r="D1489" t="inlineStr">
        <is>
          <t>Rimba Heights</t>
        </is>
      </c>
      <c r="E1489" t="inlineStr">
        <is>
          <t>Daniel Ong</t>
        </is>
      </c>
      <c r="F1489" t="inlineStr">
        <is>
          <t>Follow-up</t>
        </is>
      </c>
      <c r="G1489" t="inlineStr">
        <is>
          <t>NONE</t>
        </is>
      </c>
      <c r="H1489" t="inlineStr">
        <is>
          <t>Compliant</t>
        </is>
      </c>
      <c r="I1489" s="6" t="n"/>
      <c r="J1489" s="6" t="n"/>
      <c r="K1489">
        <f>IF(J1489="","",J1489-B1489)</f>
        <v/>
      </c>
      <c r="L1489">
        <f>IF(H1489="Compliant","N/A",IF(J1489&lt;&gt;"","Closed",IF(I1489&lt;DATE(2026,9,30),"OVERDUE","Open")))</f>
        <v/>
      </c>
    </row>
    <row r="1490">
      <c r="A1490" t="inlineStr">
        <is>
          <t>INSP-2026-1489</t>
        </is>
      </c>
      <c r="B1490" s="6" t="n">
        <v>46245</v>
      </c>
      <c r="C1490" t="inlineStr">
        <is>
          <t>U-KR305-01-12</t>
        </is>
      </c>
      <c r="D1490" t="inlineStr">
        <is>
          <t>Kebun Raya</t>
        </is>
      </c>
      <c r="E1490" t="inlineStr">
        <is>
          <t>Benjamin Ho</t>
        </is>
      </c>
      <c r="F1490" t="inlineStr">
        <is>
          <t>Routine</t>
        </is>
      </c>
      <c r="G1490" t="inlineStr">
        <is>
          <t>UNAPPROVED_AA</t>
        </is>
      </c>
      <c r="H1490" t="inlineStr">
        <is>
          <t>Minor Breach</t>
        </is>
      </c>
      <c r="I1490" s="6" t="n">
        <v>46259</v>
      </c>
      <c r="J1490" s="6" t="n">
        <v>46269</v>
      </c>
      <c r="K1490">
        <f>IF(J1490="","",J1490-B1490)</f>
        <v/>
      </c>
      <c r="L1490">
        <f>IF(H1490="Compliant","N/A",IF(J1490&lt;&gt;"","Closed",IF(I1490&lt;DATE(2026,9,30),"OVERDUE","Open")))</f>
        <v/>
      </c>
    </row>
    <row r="1491">
      <c r="A1491" t="inlineStr">
        <is>
          <t>INSP-2026-1490</t>
        </is>
      </c>
      <c r="B1491" s="6" t="n">
        <v>46245</v>
      </c>
      <c r="C1491" t="inlineStr">
        <is>
          <t>U-RH466-01-05</t>
        </is>
      </c>
      <c r="D1491" t="inlineStr">
        <is>
          <t>Rimba Heights</t>
        </is>
      </c>
      <c r="E1491" t="inlineStr">
        <is>
          <t>Daniel O.</t>
        </is>
      </c>
      <c r="F1491" t="inlineStr">
        <is>
          <t>Routine</t>
        </is>
      </c>
      <c r="G1491" t="inlineStr">
        <is>
          <t>NONE</t>
        </is>
      </c>
      <c r="H1491" t="inlineStr">
        <is>
          <t>Compliant</t>
        </is>
      </c>
      <c r="I1491" s="6" t="n"/>
      <c r="J1491" s="6" t="n"/>
      <c r="K1491">
        <f>IF(J1491="","",J1491-B1491)</f>
        <v/>
      </c>
      <c r="L1491">
        <f>IF(H1491="Compliant","N/A",IF(J1491&lt;&gt;"","Closed",IF(I1491&lt;DATE(2026,9,30),"OVERDUE","Open")))</f>
        <v/>
      </c>
    </row>
    <row r="1492">
      <c r="A1492" t="inlineStr">
        <is>
          <t>INSP-2026-1491</t>
        </is>
      </c>
      <c r="B1492" s="6" t="n">
        <v>46245</v>
      </c>
      <c r="C1492" t="inlineStr">
        <is>
          <t>U-ST534-01-04</t>
        </is>
      </c>
      <c r="D1492" t="inlineStr">
        <is>
          <t>Sungai Tinggi</t>
        </is>
      </c>
      <c r="E1492" t="inlineStr">
        <is>
          <t>Benjamin Ho</t>
        </is>
      </c>
      <c r="F1492" t="inlineStr">
        <is>
          <t>Routine</t>
        </is>
      </c>
      <c r="G1492" t="inlineStr">
        <is>
          <t>NONE</t>
        </is>
      </c>
      <c r="H1492" t="inlineStr">
        <is>
          <t>Compliant</t>
        </is>
      </c>
      <c r="I1492" s="6" t="n"/>
      <c r="J1492" s="6" t="n"/>
      <c r="K1492">
        <f>IF(J1492="","",J1492-B1492)</f>
        <v/>
      </c>
      <c r="L1492">
        <f>IF(H1492="Compliant","N/A",IF(J1492&lt;&gt;"","Closed",IF(I1492&lt;DATE(2026,9,30),"OVERDUE","Open")))</f>
        <v/>
      </c>
    </row>
    <row r="1493">
      <c r="A1493" t="inlineStr">
        <is>
          <t>INSP-2026-1492</t>
        </is>
      </c>
      <c r="B1493" s="6" t="n">
        <v>46245</v>
      </c>
      <c r="C1493" t="inlineStr">
        <is>
          <t>U-BV277-01-04</t>
        </is>
      </c>
      <c r="D1493" t="inlineStr">
        <is>
          <t>Bayshore Vale</t>
        </is>
      </c>
      <c r="E1493" t="inlineStr">
        <is>
          <t>daniel ong</t>
        </is>
      </c>
      <c r="F1493" t="inlineStr">
        <is>
          <t>Routine</t>
        </is>
      </c>
      <c r="G1493" t="inlineStr">
        <is>
          <t>NONE</t>
        </is>
      </c>
      <c r="H1493" t="inlineStr">
        <is>
          <t>Compliant</t>
        </is>
      </c>
      <c r="I1493" s="6" t="n"/>
      <c r="J1493" s="6" t="n"/>
      <c r="K1493">
        <f>IF(J1493="","",J1493-B1493)</f>
        <v/>
      </c>
      <c r="L1493">
        <f>IF(H1493="Compliant","N/A",IF(J1493&lt;&gt;"","Closed",IF(I1493&lt;DATE(2026,9,30),"OVERDUE","Open")))</f>
        <v/>
      </c>
    </row>
    <row r="1494">
      <c r="A1494" t="inlineStr">
        <is>
          <t>INSP-2026-1493</t>
        </is>
      </c>
      <c r="B1494" s="6" t="n">
        <v>46245</v>
      </c>
      <c r="C1494" t="inlineStr">
        <is>
          <t>U-RH456-01-05</t>
        </is>
      </c>
      <c r="D1494" t="inlineStr">
        <is>
          <t>Rimba Heights</t>
        </is>
      </c>
      <c r="E1494" t="inlineStr">
        <is>
          <t>Ben Ho</t>
        </is>
      </c>
      <c r="F1494" t="inlineStr">
        <is>
          <t>Follow-up</t>
        </is>
      </c>
      <c r="G1494" t="inlineStr">
        <is>
          <t>NONE</t>
        </is>
      </c>
      <c r="H1494" t="inlineStr">
        <is>
          <t>Compliant</t>
        </is>
      </c>
      <c r="I1494" s="6" t="n"/>
      <c r="J1494" s="6" t="n"/>
      <c r="K1494">
        <f>IF(J1494="","",J1494-B1494)</f>
        <v/>
      </c>
      <c r="L1494">
        <f>IF(H1494="Compliant","N/A",IF(J1494&lt;&gt;"","Closed",IF(I1494&lt;DATE(2026,9,30),"OVERDUE","Open")))</f>
        <v/>
      </c>
    </row>
    <row r="1495">
      <c r="A1495" t="inlineStr">
        <is>
          <t>INSP-2026-1494</t>
        </is>
      </c>
      <c r="B1495" s="6" t="n">
        <v>46245</v>
      </c>
      <c r="C1495" t="inlineStr">
        <is>
          <t>U-KR305-01-13</t>
        </is>
      </c>
      <c r="D1495" t="inlineStr">
        <is>
          <t>Kebun Raya</t>
        </is>
      </c>
      <c r="E1495" t="inlineStr">
        <is>
          <t>D. Ong</t>
        </is>
      </c>
      <c r="F1495" t="inlineStr">
        <is>
          <t>Routine</t>
        </is>
      </c>
      <c r="G1495" t="inlineStr">
        <is>
          <t>NONE</t>
        </is>
      </c>
      <c r="H1495" t="inlineStr">
        <is>
          <t>Compliant</t>
        </is>
      </c>
      <c r="I1495" s="6" t="n"/>
      <c r="J1495" s="6" t="n"/>
      <c r="K1495">
        <f>IF(J1495="","",J1495-B1495)</f>
        <v/>
      </c>
      <c r="L1495">
        <f>IF(H1495="Compliant","N/A",IF(J1495&lt;&gt;"","Closed",IF(I1495&lt;DATE(2026,9,30),"OVERDUE","Open")))</f>
        <v/>
      </c>
    </row>
    <row r="1496">
      <c r="A1496" t="inlineStr">
        <is>
          <t>INSP-2026-1495</t>
        </is>
      </c>
      <c r="B1496" s="6" t="n">
        <v>46245</v>
      </c>
      <c r="C1496" t="inlineStr">
        <is>
          <t>U-KR356-01-06</t>
        </is>
      </c>
      <c r="D1496" t="inlineStr">
        <is>
          <t>Kebun Raya</t>
        </is>
      </c>
      <c r="E1496" t="inlineStr">
        <is>
          <t>Daniel Ong</t>
        </is>
      </c>
      <c r="F1496" t="inlineStr">
        <is>
          <t>Routine</t>
        </is>
      </c>
      <c r="G1496" t="inlineStr">
        <is>
          <t>NONE</t>
        </is>
      </c>
      <c r="H1496" t="inlineStr">
        <is>
          <t>Compliant</t>
        </is>
      </c>
      <c r="I1496" s="6" t="n"/>
      <c r="J1496" s="6" t="n"/>
      <c r="K1496">
        <f>IF(J1496="","",J1496-B1496)</f>
        <v/>
      </c>
      <c r="L1496">
        <f>IF(H1496="Compliant","N/A",IF(J1496&lt;&gt;"","Closed",IF(I1496&lt;DATE(2026,9,30),"OVERDUE","Open")))</f>
        <v/>
      </c>
    </row>
    <row r="1497">
      <c r="A1497" t="inlineStr">
        <is>
          <t>INSP-2026-1496</t>
        </is>
      </c>
      <c r="B1497" s="6" t="n">
        <v>46245</v>
      </c>
      <c r="C1497" t="inlineStr">
        <is>
          <t>U-BV273-01-07</t>
        </is>
      </c>
      <c r="D1497" t="inlineStr">
        <is>
          <t>Bayshore Vale</t>
        </is>
      </c>
      <c r="E1497" t="inlineStr">
        <is>
          <t>Daniel O.</t>
        </is>
      </c>
      <c r="F1497" t="inlineStr">
        <is>
          <t>Follow-up</t>
        </is>
      </c>
      <c r="G1497" t="inlineStr">
        <is>
          <t>UNAPPROVED_AA</t>
        </is>
      </c>
      <c r="H1497" t="inlineStr">
        <is>
          <t>Minor Breach</t>
        </is>
      </c>
      <c r="I1497" s="6" t="n">
        <v>46259</v>
      </c>
      <c r="J1497" s="6" t="n"/>
      <c r="K1497">
        <f>IF(J1497="","",J1497-B1497)</f>
        <v/>
      </c>
      <c r="L1497">
        <f>IF(H1497="Compliant","N/A",IF(J1497&lt;&gt;"","Closed",IF(I1497&lt;DATE(2026,9,30),"OVERDUE","Open")))</f>
        <v/>
      </c>
    </row>
    <row r="1498">
      <c r="A1498" t="inlineStr">
        <is>
          <t>INSP-2026-1497</t>
        </is>
      </c>
      <c r="B1498" s="6" t="n">
        <v>46245</v>
      </c>
      <c r="C1498" t="inlineStr">
        <is>
          <t>U-RH476-01-08</t>
        </is>
      </c>
      <c r="D1498" t="inlineStr">
        <is>
          <t>Rimba Heights</t>
        </is>
      </c>
      <c r="E1498" t="inlineStr">
        <is>
          <t>daniel ong</t>
        </is>
      </c>
      <c r="F1498" t="inlineStr">
        <is>
          <t>Routine</t>
        </is>
      </c>
      <c r="G1498" t="inlineStr">
        <is>
          <t>HYGIENE</t>
        </is>
      </c>
      <c r="H1498" t="inlineStr">
        <is>
          <t>Minor Breach</t>
        </is>
      </c>
      <c r="I1498" s="6" t="n">
        <v>46259</v>
      </c>
      <c r="J1498" s="6" t="n">
        <v>46265</v>
      </c>
      <c r="K1498">
        <f>IF(J1498="","",J1498-B1498)</f>
        <v/>
      </c>
      <c r="L1498">
        <f>IF(H1498="Compliant","N/A",IF(J1498&lt;&gt;"","Closed",IF(I1498&lt;DATE(2026,9,30),"OVERDUE","Open")))</f>
        <v/>
      </c>
    </row>
    <row r="1499">
      <c r="A1499" t="inlineStr">
        <is>
          <t>INSP-2026-1498</t>
        </is>
      </c>
      <c r="B1499" s="6" t="n">
        <v>46246</v>
      </c>
      <c r="C1499" t="inlineStr">
        <is>
          <t>U-PI648-01-07</t>
        </is>
      </c>
      <c r="D1499" t="inlineStr">
        <is>
          <t>Pasir Indah</t>
        </is>
      </c>
      <c r="E1499" t="inlineStr">
        <is>
          <t>Marcus Lim</t>
        </is>
      </c>
      <c r="F1499" t="inlineStr">
        <is>
          <t>Routine</t>
        </is>
      </c>
      <c r="G1499" t="inlineStr">
        <is>
          <t>DISPLAY_ENCROACH</t>
        </is>
      </c>
      <c r="H1499" t="inlineStr">
        <is>
          <t>Minor Breach</t>
        </is>
      </c>
      <c r="I1499" s="6" t="n">
        <v>46260</v>
      </c>
      <c r="J1499" s="6" t="n"/>
      <c r="K1499">
        <f>IF(J1499="","",J1499-B1499)</f>
        <v/>
      </c>
      <c r="L1499">
        <f>IF(H1499="Compliant","N/A",IF(J1499&lt;&gt;"","Closed",IF(I1499&lt;DATE(2026,9,30),"OVERDUE","Open")))</f>
        <v/>
      </c>
    </row>
    <row r="1500">
      <c r="A1500" t="inlineStr">
        <is>
          <t>INSP-2026-1499</t>
        </is>
      </c>
      <c r="B1500" s="6" t="n">
        <v>46246</v>
      </c>
      <c r="C1500" t="inlineStr">
        <is>
          <t>U-CD120-01-02</t>
        </is>
      </c>
      <c r="D1500" t="inlineStr">
        <is>
          <t>Cendana</t>
        </is>
      </c>
      <c r="E1500" t="inlineStr">
        <is>
          <t>daniel ong</t>
        </is>
      </c>
      <c r="F1500" t="inlineStr">
        <is>
          <t>Complaint-driven</t>
        </is>
      </c>
      <c r="G1500" t="inlineStr">
        <is>
          <t>DISPLAY_ENCROACH</t>
        </is>
      </c>
      <c r="H1500" t="inlineStr">
        <is>
          <t>Minor Breach</t>
        </is>
      </c>
      <c r="I1500" s="6" t="n">
        <v>46260</v>
      </c>
      <c r="J1500" s="6" t="n">
        <v>46260</v>
      </c>
      <c r="K1500">
        <f>IF(J1500="","",J1500-B1500)</f>
        <v/>
      </c>
      <c r="L1500">
        <f>IF(H1500="Compliant","N/A",IF(J1500&lt;&gt;"","Closed",IF(I1500&lt;DATE(2026,9,30),"OVERDUE","Open")))</f>
        <v/>
      </c>
    </row>
    <row r="1501">
      <c r="A1501" t="inlineStr">
        <is>
          <t>INSP-2026-1500</t>
        </is>
      </c>
      <c r="B1501" s="6" t="n">
        <v>46246</v>
      </c>
      <c r="C1501" t="inlineStr">
        <is>
          <t>U-BV271-01-04</t>
        </is>
      </c>
      <c r="D1501" t="inlineStr">
        <is>
          <t>Bayshore Vale</t>
        </is>
      </c>
      <c r="E1501" t="inlineStr">
        <is>
          <t>daniel ong</t>
        </is>
      </c>
      <c r="F1501" t="inlineStr">
        <is>
          <t>Follow-up</t>
        </is>
      </c>
      <c r="G1501" t="inlineStr">
        <is>
          <t>NONE</t>
        </is>
      </c>
      <c r="H1501" t="inlineStr">
        <is>
          <t>Compliant</t>
        </is>
      </c>
      <c r="I1501" s="6" t="n"/>
      <c r="J1501" s="6" t="n"/>
      <c r="K1501">
        <f>IF(J1501="","",J1501-B1501)</f>
        <v/>
      </c>
      <c r="L1501">
        <f>IF(H1501="Compliant","N/A",IF(J1501&lt;&gt;"","Closed",IF(I1501&lt;DATE(2026,9,30),"OVERDUE","Open")))</f>
        <v/>
      </c>
    </row>
    <row r="1502">
      <c r="A1502" t="inlineStr">
        <is>
          <t>INSP-2026-1501</t>
        </is>
      </c>
      <c r="B1502" s="6" t="n">
        <v>46246</v>
      </c>
      <c r="C1502" t="inlineStr">
        <is>
          <t>U-KR379-01-04</t>
        </is>
      </c>
      <c r="D1502" t="inlineStr">
        <is>
          <t>Kebun Raya</t>
        </is>
      </c>
      <c r="E1502" t="inlineStr">
        <is>
          <t>Ben Ho</t>
        </is>
      </c>
      <c r="F1502" t="inlineStr">
        <is>
          <t>Complaint-driven</t>
        </is>
      </c>
      <c r="G1502" t="inlineStr">
        <is>
          <t>NONE</t>
        </is>
      </c>
      <c r="H1502" t="inlineStr">
        <is>
          <t>Compliant</t>
        </is>
      </c>
      <c r="I1502" s="6" t="n"/>
      <c r="J1502" s="6" t="n"/>
      <c r="K1502">
        <f>IF(J1502="","",J1502-B1502)</f>
        <v/>
      </c>
      <c r="L1502">
        <f>IF(H1502="Compliant","N/A",IF(J1502&lt;&gt;"","Closed",IF(I1502&lt;DATE(2026,9,30),"OVERDUE","Open")))</f>
        <v/>
      </c>
    </row>
    <row r="1503">
      <c r="A1503" t="inlineStr">
        <is>
          <t>INSP-2026-1502</t>
        </is>
      </c>
      <c r="B1503" s="6" t="n">
        <v>46246</v>
      </c>
      <c r="C1503" t="inlineStr">
        <is>
          <t>U-CD118-01-18</t>
        </is>
      </c>
      <c r="D1503" t="inlineStr">
        <is>
          <t>Cendana</t>
        </is>
      </c>
      <c r="E1503" t="inlineStr">
        <is>
          <t>M. Lim</t>
        </is>
      </c>
      <c r="F1503" t="inlineStr">
        <is>
          <t>Routine</t>
        </is>
      </c>
      <c r="G1503" t="inlineStr">
        <is>
          <t>NONE</t>
        </is>
      </c>
      <c r="H1503" t="inlineStr">
        <is>
          <t>Compliant</t>
        </is>
      </c>
      <c r="I1503" s="6" t="n"/>
      <c r="J1503" s="6" t="n"/>
      <c r="K1503">
        <f>IF(J1503="","",J1503-B1503)</f>
        <v/>
      </c>
      <c r="L1503">
        <f>IF(H1503="Compliant","N/A",IF(J1503&lt;&gt;"","Closed",IF(I1503&lt;DATE(2026,9,30),"OVERDUE","Open")))</f>
        <v/>
      </c>
    </row>
    <row r="1504">
      <c r="A1504" t="inlineStr">
        <is>
          <t>INSP-2026-1503</t>
        </is>
      </c>
      <c r="B1504" s="6" t="n">
        <v>46246</v>
      </c>
      <c r="C1504" t="inlineStr">
        <is>
          <t>U-PI625-01-09</t>
        </is>
      </c>
      <c r="D1504" t="inlineStr">
        <is>
          <t>Pasir Indah</t>
        </is>
      </c>
      <c r="E1504" t="inlineStr">
        <is>
          <t>D. Ong</t>
        </is>
      </c>
      <c r="F1504" t="inlineStr">
        <is>
          <t>Routine</t>
        </is>
      </c>
      <c r="G1504" t="inlineStr">
        <is>
          <t>NONE</t>
        </is>
      </c>
      <c r="H1504" t="inlineStr">
        <is>
          <t>Compliant</t>
        </is>
      </c>
      <c r="I1504" s="6" t="n"/>
      <c r="J1504" s="6" t="n"/>
      <c r="K1504">
        <f>IF(J1504="","",J1504-B1504)</f>
        <v/>
      </c>
      <c r="L1504">
        <f>IF(H1504="Compliant","N/A",IF(J1504&lt;&gt;"","Closed",IF(I1504&lt;DATE(2026,9,30),"OVERDUE","Open")))</f>
        <v/>
      </c>
    </row>
    <row r="1505">
      <c r="A1505" t="inlineStr">
        <is>
          <t>INSP-2026-1504</t>
        </is>
      </c>
      <c r="B1505" s="6" t="n">
        <v>46246</v>
      </c>
      <c r="C1505" t="inlineStr">
        <is>
          <t>U-KR335-01-02</t>
        </is>
      </c>
      <c r="D1505" t="inlineStr">
        <is>
          <t>Kebun Raya</t>
        </is>
      </c>
      <c r="E1505" t="inlineStr">
        <is>
          <t>Ben Ho</t>
        </is>
      </c>
      <c r="F1505" t="inlineStr">
        <is>
          <t>Complaint-driven</t>
        </is>
      </c>
      <c r="G1505" t="inlineStr">
        <is>
          <t>NONE</t>
        </is>
      </c>
      <c r="H1505" t="inlineStr">
        <is>
          <t>Compliant</t>
        </is>
      </c>
      <c r="I1505" s="6" t="n"/>
      <c r="J1505" s="6" t="n"/>
      <c r="K1505">
        <f>IF(J1505="","",J1505-B1505)</f>
        <v/>
      </c>
      <c r="L1505">
        <f>IF(H1505="Compliant","N/A",IF(J1505&lt;&gt;"","Closed",IF(I1505&lt;DATE(2026,9,30),"OVERDUE","Open")))</f>
        <v/>
      </c>
    </row>
    <row r="1506">
      <c r="A1506" t="inlineStr">
        <is>
          <t>INSP-2026-1505</t>
        </is>
      </c>
      <c r="B1506" s="6" t="n">
        <v>46246</v>
      </c>
      <c r="C1506" t="inlineStr">
        <is>
          <t>U-RH455-01-31</t>
        </is>
      </c>
      <c r="D1506" t="inlineStr">
        <is>
          <t>Rimba Heights</t>
        </is>
      </c>
      <c r="E1506" t="inlineStr">
        <is>
          <t>Benjamin Ho</t>
        </is>
      </c>
      <c r="F1506" t="inlineStr">
        <is>
          <t>Routine</t>
        </is>
      </c>
      <c r="G1506" t="inlineStr">
        <is>
          <t>NONE</t>
        </is>
      </c>
      <c r="H1506" t="inlineStr">
        <is>
          <t>Compliant</t>
        </is>
      </c>
      <c r="I1506" s="6" t="n"/>
      <c r="J1506" s="6" t="n"/>
      <c r="K1506">
        <f>IF(J1506="","",J1506-B1506)</f>
        <v/>
      </c>
      <c r="L1506">
        <f>IF(H1506="Compliant","N/A",IF(J1506&lt;&gt;"","Closed",IF(I1506&lt;DATE(2026,9,30),"OVERDUE","Open")))</f>
        <v/>
      </c>
    </row>
    <row r="1507">
      <c r="A1507" t="inlineStr">
        <is>
          <t>INSP-2026-1506</t>
        </is>
      </c>
      <c r="B1507" s="6" t="n">
        <v>46246</v>
      </c>
      <c r="C1507" t="inlineStr">
        <is>
          <t>U-BV212-01-08</t>
        </is>
      </c>
      <c r="D1507" t="inlineStr">
        <is>
          <t>Bayshore Vale</t>
        </is>
      </c>
      <c r="E1507" t="inlineStr">
        <is>
          <t>marcus</t>
        </is>
      </c>
      <c r="F1507" t="inlineStr">
        <is>
          <t>Routine</t>
        </is>
      </c>
      <c r="G1507" t="inlineStr">
        <is>
          <t>DISPLAY_ENCROACH</t>
        </is>
      </c>
      <c r="H1507" t="inlineStr">
        <is>
          <t>Minor Breach</t>
        </is>
      </c>
      <c r="I1507" s="6" t="n">
        <v>46260</v>
      </c>
      <c r="J1507" s="6" t="n">
        <v>46268</v>
      </c>
      <c r="K1507">
        <f>IF(J1507="","",J1507-B1507)</f>
        <v/>
      </c>
      <c r="L1507">
        <f>IF(H1507="Compliant","N/A",IF(J1507&lt;&gt;"","Closed",IF(I1507&lt;DATE(2026,9,30),"OVERDUE","Open")))</f>
        <v/>
      </c>
    </row>
    <row r="1508">
      <c r="A1508" t="inlineStr">
        <is>
          <t>INSP-2026-1507</t>
        </is>
      </c>
      <c r="B1508" s="6" t="n">
        <v>46246</v>
      </c>
      <c r="C1508" t="inlineStr">
        <is>
          <t>U-PI627-01-04</t>
        </is>
      </c>
      <c r="D1508" t="inlineStr">
        <is>
          <t>Pasir Indah</t>
        </is>
      </c>
      <c r="E1508" t="inlineStr">
        <is>
          <t>Daniel Ong</t>
        </is>
      </c>
      <c r="F1508" t="inlineStr">
        <is>
          <t>Routine</t>
        </is>
      </c>
      <c r="G1508" t="inlineStr">
        <is>
          <t>NONE</t>
        </is>
      </c>
      <c r="H1508" t="inlineStr">
        <is>
          <t>Compliant</t>
        </is>
      </c>
      <c r="I1508" s="6" t="n"/>
      <c r="J1508" s="6" t="n"/>
      <c r="K1508">
        <f>IF(J1508="","",J1508-B1508)</f>
        <v/>
      </c>
      <c r="L1508">
        <f>IF(H1508="Compliant","N/A",IF(J1508&lt;&gt;"","Closed",IF(I1508&lt;DATE(2026,9,30),"OVERDUE","Open")))</f>
        <v/>
      </c>
    </row>
    <row r="1509">
      <c r="A1509" t="inlineStr">
        <is>
          <t>INSP-2026-1508</t>
        </is>
      </c>
      <c r="B1509" s="6" t="n">
        <v>46246</v>
      </c>
      <c r="C1509" t="inlineStr">
        <is>
          <t>U-BV204-01-06</t>
        </is>
      </c>
      <c r="D1509" t="inlineStr">
        <is>
          <t>Bayshore Vale</t>
        </is>
      </c>
      <c r="E1509" t="inlineStr">
        <is>
          <t>daniel ong</t>
        </is>
      </c>
      <c r="F1509" t="inlineStr">
        <is>
          <t>Routine</t>
        </is>
      </c>
      <c r="G1509" t="inlineStr">
        <is>
          <t>NONE</t>
        </is>
      </c>
      <c r="H1509" t="inlineStr">
        <is>
          <t>Compliant</t>
        </is>
      </c>
      <c r="I1509" s="6" t="n"/>
      <c r="J1509" s="6" t="n"/>
      <c r="K1509">
        <f>IF(J1509="","",J1509-B1509)</f>
        <v/>
      </c>
      <c r="L1509">
        <f>IF(H1509="Compliant","N/A",IF(J1509&lt;&gt;"","Closed",IF(I1509&lt;DATE(2026,9,30),"OVERDUE","Open")))</f>
        <v/>
      </c>
    </row>
    <row r="1510">
      <c r="A1510" t="inlineStr">
        <is>
          <t>INSP-2026-1509</t>
        </is>
      </c>
      <c r="B1510" s="6" t="n">
        <v>46247</v>
      </c>
      <c r="C1510" t="inlineStr">
        <is>
          <t>U-RH408-01-02</t>
        </is>
      </c>
      <c r="D1510" t="inlineStr">
        <is>
          <t>Rimba Heights</t>
        </is>
      </c>
      <c r="E1510" t="inlineStr">
        <is>
          <t>D. Ong</t>
        </is>
      </c>
      <c r="F1510" t="inlineStr">
        <is>
          <t>Routine</t>
        </is>
      </c>
      <c r="G1510" t="inlineStr">
        <is>
          <t>NONE</t>
        </is>
      </c>
      <c r="H1510" t="inlineStr">
        <is>
          <t>Compliant</t>
        </is>
      </c>
      <c r="I1510" s="6" t="n"/>
      <c r="J1510" s="6" t="n"/>
      <c r="K1510">
        <f>IF(J1510="","",J1510-B1510)</f>
        <v/>
      </c>
      <c r="L1510">
        <f>IF(H1510="Compliant","N/A",IF(J1510&lt;&gt;"","Closed",IF(I1510&lt;DATE(2026,9,30),"OVERDUE","Open")))</f>
        <v/>
      </c>
    </row>
    <row r="1511">
      <c r="A1511" t="inlineStr">
        <is>
          <t>INSP-2026-1510</t>
        </is>
      </c>
      <c r="B1511" s="6" t="n">
        <v>46247</v>
      </c>
      <c r="C1511" t="inlineStr">
        <is>
          <t>U-KR333-01-14</t>
        </is>
      </c>
      <c r="D1511" t="inlineStr">
        <is>
          <t>Kebun Raya</t>
        </is>
      </c>
      <c r="E1511" t="inlineStr">
        <is>
          <t>B. Ho</t>
        </is>
      </c>
      <c r="F1511" t="inlineStr">
        <is>
          <t>Complaint-driven</t>
        </is>
      </c>
      <c r="G1511" t="inlineStr">
        <is>
          <t>UNAUTH_TRADE</t>
        </is>
      </c>
      <c r="H1511" t="inlineStr">
        <is>
          <t>Major Breach</t>
        </is>
      </c>
      <c r="I1511" s="6" t="n">
        <v>46254</v>
      </c>
      <c r="J1511" s="6" t="n">
        <v>46251</v>
      </c>
      <c r="K1511">
        <f>IF(J1511="","",J1511-B1511)</f>
        <v/>
      </c>
      <c r="L1511">
        <f>IF(H1511="Compliant","N/A",IF(J1511&lt;&gt;"","Closed",IF(I1511&lt;DATE(2026,9,30),"OVERDUE","Open")))</f>
        <v/>
      </c>
    </row>
    <row r="1512">
      <c r="A1512" t="inlineStr">
        <is>
          <t>INSP-2026-1511</t>
        </is>
      </c>
      <c r="B1512" s="6" t="n">
        <v>46247</v>
      </c>
      <c r="C1512" t="inlineStr">
        <is>
          <t>U-RH473-01-01</t>
        </is>
      </c>
      <c r="D1512" t="inlineStr">
        <is>
          <t>Rimba Heights</t>
        </is>
      </c>
      <c r="E1512" t="inlineStr">
        <is>
          <t>D. Ong</t>
        </is>
      </c>
      <c r="F1512" t="inlineStr">
        <is>
          <t>Routine</t>
        </is>
      </c>
      <c r="G1512" t="inlineStr">
        <is>
          <t>HYGIENE</t>
        </is>
      </c>
      <c r="H1512" t="inlineStr">
        <is>
          <t>Minor Breach</t>
        </is>
      </c>
      <c r="I1512" s="6" t="n">
        <v>46261</v>
      </c>
      <c r="J1512" s="6" t="n"/>
      <c r="K1512">
        <f>IF(J1512="","",J1512-B1512)</f>
        <v/>
      </c>
      <c r="L1512">
        <f>IF(H1512="Compliant","N/A",IF(J1512&lt;&gt;"","Closed",IF(I1512&lt;DATE(2026,9,30),"OVERDUE","Open")))</f>
        <v/>
      </c>
    </row>
    <row r="1513">
      <c r="A1513" t="inlineStr">
        <is>
          <t>INSP-2026-1512</t>
        </is>
      </c>
      <c r="B1513" s="6" t="n">
        <v>46247</v>
      </c>
      <c r="C1513" t="inlineStr">
        <is>
          <t>U-BV297-01-07</t>
        </is>
      </c>
      <c r="D1513" t="inlineStr">
        <is>
          <t>Bayshore Vale</t>
        </is>
      </c>
      <c r="E1513" t="inlineStr">
        <is>
          <t>Daniel Ong</t>
        </is>
      </c>
      <c r="F1513" t="inlineStr">
        <is>
          <t>Routine</t>
        </is>
      </c>
      <c r="G1513" t="inlineStr">
        <is>
          <t>NONE</t>
        </is>
      </c>
      <c r="H1513" t="inlineStr">
        <is>
          <t>Compliant</t>
        </is>
      </c>
      <c r="I1513" s="6" t="n"/>
      <c r="J1513" s="6" t="n"/>
      <c r="K1513">
        <f>IF(J1513="","",J1513-B1513)</f>
        <v/>
      </c>
      <c r="L1513">
        <f>IF(H1513="Compliant","N/A",IF(J1513&lt;&gt;"","Closed",IF(I1513&lt;DATE(2026,9,30),"OVERDUE","Open")))</f>
        <v/>
      </c>
    </row>
    <row r="1514">
      <c r="A1514" t="inlineStr">
        <is>
          <t>INSP-2026-1513</t>
        </is>
      </c>
      <c r="B1514" s="6" t="n">
        <v>46247</v>
      </c>
      <c r="C1514" t="inlineStr">
        <is>
          <t>U-ST501-01-10</t>
        </is>
      </c>
      <c r="D1514" t="inlineStr">
        <is>
          <t>Sungai Tinggi</t>
        </is>
      </c>
      <c r="E1514" t="inlineStr">
        <is>
          <t>Benjamin Ho</t>
        </is>
      </c>
      <c r="F1514" t="inlineStr">
        <is>
          <t>Routine</t>
        </is>
      </c>
      <c r="G1514" t="inlineStr">
        <is>
          <t>NONE</t>
        </is>
      </c>
      <c r="H1514" t="inlineStr">
        <is>
          <t>Compliant</t>
        </is>
      </c>
      <c r="I1514" s="6" t="n"/>
      <c r="J1514" s="6" t="n"/>
      <c r="K1514">
        <f>IF(J1514="","",J1514-B1514)</f>
        <v/>
      </c>
      <c r="L1514">
        <f>IF(H1514="Compliant","N/A",IF(J1514&lt;&gt;"","Closed",IF(I1514&lt;DATE(2026,9,30),"OVERDUE","Open")))</f>
        <v/>
      </c>
    </row>
    <row r="1515">
      <c r="A1515" t="inlineStr">
        <is>
          <t>INSP-2026-1514</t>
        </is>
      </c>
      <c r="B1515" s="6" t="n">
        <v>46247</v>
      </c>
      <c r="C1515" t="inlineStr">
        <is>
          <t>U-BV297-01-02</t>
        </is>
      </c>
      <c r="D1515" t="inlineStr">
        <is>
          <t>Bayshore Vale</t>
        </is>
      </c>
      <c r="E1515" t="inlineStr">
        <is>
          <t>M. Lim</t>
        </is>
      </c>
      <c r="F1515" t="inlineStr">
        <is>
          <t>Follow-up</t>
        </is>
      </c>
      <c r="G1515" t="inlineStr">
        <is>
          <t>NONE</t>
        </is>
      </c>
      <c r="H1515" t="inlineStr">
        <is>
          <t>Compliant</t>
        </is>
      </c>
      <c r="I1515" s="6" t="n"/>
      <c r="J1515" s="6" t="n"/>
      <c r="K1515">
        <f>IF(J1515="","",J1515-B1515)</f>
        <v/>
      </c>
      <c r="L1515">
        <f>IF(H1515="Compliant","N/A",IF(J1515&lt;&gt;"","Closed",IF(I1515&lt;DATE(2026,9,30),"OVERDUE","Open")))</f>
        <v/>
      </c>
    </row>
    <row r="1516">
      <c r="A1516" t="inlineStr">
        <is>
          <t>INSP-2026-1515</t>
        </is>
      </c>
      <c r="B1516" s="6" t="n">
        <v>46247</v>
      </c>
      <c r="C1516" t="inlineStr">
        <is>
          <t>U-CD170-01-10</t>
        </is>
      </c>
      <c r="D1516" t="inlineStr">
        <is>
          <t>Cendana</t>
        </is>
      </c>
      <c r="E1516" t="inlineStr">
        <is>
          <t>Marcus Lim</t>
        </is>
      </c>
      <c r="F1516" t="inlineStr">
        <is>
          <t>Complaint-driven</t>
        </is>
      </c>
      <c r="G1516" t="inlineStr">
        <is>
          <t>NONE</t>
        </is>
      </c>
      <c r="H1516" t="inlineStr">
        <is>
          <t>Compliant</t>
        </is>
      </c>
      <c r="I1516" s="6" t="n"/>
      <c r="J1516" s="6" t="n"/>
      <c r="K1516">
        <f>IF(J1516="","",J1516-B1516)</f>
        <v/>
      </c>
      <c r="L1516">
        <f>IF(H1516="Compliant","N/A",IF(J1516&lt;&gt;"","Closed",IF(I1516&lt;DATE(2026,9,30),"OVERDUE","Open")))</f>
        <v/>
      </c>
    </row>
    <row r="1517">
      <c r="A1517" t="inlineStr">
        <is>
          <t>INSP-2026-1516</t>
        </is>
      </c>
      <c r="B1517" s="6" t="n">
        <v>46247</v>
      </c>
      <c r="C1517" t="inlineStr">
        <is>
          <t>U-CD118-01-27</t>
        </is>
      </c>
      <c r="D1517" t="inlineStr">
        <is>
          <t>Cendana</t>
        </is>
      </c>
      <c r="E1517" t="inlineStr">
        <is>
          <t>marcus</t>
        </is>
      </c>
      <c r="F1517" t="inlineStr">
        <is>
          <t>Routine</t>
        </is>
      </c>
      <c r="G1517" t="inlineStr">
        <is>
          <t>STRUCTURAL_DEFECT</t>
        </is>
      </c>
      <c r="H1517" t="inlineStr">
        <is>
          <t>Major Breach</t>
        </is>
      </c>
      <c r="I1517" s="6" t="n">
        <v>46254</v>
      </c>
      <c r="J1517" s="6" t="n">
        <v>46252</v>
      </c>
      <c r="K1517">
        <f>IF(J1517="","",J1517-B1517)</f>
        <v/>
      </c>
      <c r="L1517">
        <f>IF(H1517="Compliant","N/A",IF(J1517&lt;&gt;"","Closed",IF(I1517&lt;DATE(2026,9,30),"OVERDUE","Open")))</f>
        <v/>
      </c>
    </row>
    <row r="1518">
      <c r="A1518" t="inlineStr">
        <is>
          <t>INSP-2026-1517</t>
        </is>
      </c>
      <c r="B1518" s="6" t="n">
        <v>46247</v>
      </c>
      <c r="C1518" t="inlineStr">
        <is>
          <t>U-ST583-02-05</t>
        </is>
      </c>
      <c r="D1518" t="inlineStr">
        <is>
          <t>Sungai Tinggi</t>
        </is>
      </c>
      <c r="E1518" t="inlineStr">
        <is>
          <t>daniel ong</t>
        </is>
      </c>
      <c r="F1518" t="inlineStr">
        <is>
          <t>Routine</t>
        </is>
      </c>
      <c r="G1518" t="inlineStr">
        <is>
          <t>DISPLAY_ENCROACH</t>
        </is>
      </c>
      <c r="H1518" t="inlineStr">
        <is>
          <t>Minor Breach</t>
        </is>
      </c>
      <c r="I1518" s="6" t="n">
        <v>46261</v>
      </c>
      <c r="J1518" s="6" t="n">
        <v>46270</v>
      </c>
      <c r="K1518">
        <f>IF(J1518="","",J1518-B1518)</f>
        <v/>
      </c>
      <c r="L1518">
        <f>IF(H1518="Compliant","N/A",IF(J1518&lt;&gt;"","Closed",IF(I1518&lt;DATE(2026,9,30),"OVERDUE","Open")))</f>
        <v/>
      </c>
    </row>
    <row r="1519">
      <c r="A1519" t="inlineStr">
        <is>
          <t>INSP-2026-1518</t>
        </is>
      </c>
      <c r="B1519" s="6" t="n">
        <v>46247</v>
      </c>
      <c r="C1519" t="inlineStr">
        <is>
          <t>U-KR327-01-04</t>
        </is>
      </c>
      <c r="D1519" t="inlineStr">
        <is>
          <t>Kebun Raya</t>
        </is>
      </c>
      <c r="E1519" t="inlineStr">
        <is>
          <t>Ben Ho</t>
        </is>
      </c>
      <c r="F1519" t="inlineStr">
        <is>
          <t>Routine</t>
        </is>
      </c>
      <c r="G1519" t="inlineStr">
        <is>
          <t>NONE</t>
        </is>
      </c>
      <c r="H1519" t="inlineStr">
        <is>
          <t>Compliant</t>
        </is>
      </c>
      <c r="I1519" s="6" t="n"/>
      <c r="J1519" s="6" t="n"/>
      <c r="K1519">
        <f>IF(J1519="","",J1519-B1519)</f>
        <v/>
      </c>
      <c r="L1519">
        <f>IF(H1519="Compliant","N/A",IF(J1519&lt;&gt;"","Closed",IF(I1519&lt;DATE(2026,9,30),"OVERDUE","Open")))</f>
        <v/>
      </c>
    </row>
    <row r="1520">
      <c r="A1520" t="inlineStr">
        <is>
          <t>INSP-2026-1519</t>
        </is>
      </c>
      <c r="B1520" s="6" t="n">
        <v>46248</v>
      </c>
      <c r="C1520" t="inlineStr">
        <is>
          <t>U-CD120-01-11</t>
        </is>
      </c>
      <c r="D1520" t="inlineStr">
        <is>
          <t>Cendana</t>
        </is>
      </c>
      <c r="E1520" t="inlineStr">
        <is>
          <t>D. Ong</t>
        </is>
      </c>
      <c r="F1520" t="inlineStr">
        <is>
          <t>Complaint-driven</t>
        </is>
      </c>
      <c r="G1520" t="inlineStr">
        <is>
          <t>DISPLAY_ENCROACH</t>
        </is>
      </c>
      <c r="H1520" t="inlineStr">
        <is>
          <t>Minor Breach</t>
        </is>
      </c>
      <c r="I1520" s="6" t="n">
        <v>46262</v>
      </c>
      <c r="J1520" s="6" t="n"/>
      <c r="K1520">
        <f>IF(J1520="","",J1520-B1520)</f>
        <v/>
      </c>
      <c r="L1520">
        <f>IF(H1520="Compliant","N/A",IF(J1520&lt;&gt;"","Closed",IF(I1520&lt;DATE(2026,9,30),"OVERDUE","Open")))</f>
        <v/>
      </c>
    </row>
    <row r="1521">
      <c r="A1521" t="inlineStr">
        <is>
          <t>INSP-2026-1520</t>
        </is>
      </c>
      <c r="B1521" s="6" t="n">
        <v>46248</v>
      </c>
      <c r="C1521" t="inlineStr">
        <is>
          <t>U-CD190-01-07</t>
        </is>
      </c>
      <c r="D1521" t="inlineStr">
        <is>
          <t>Cendana</t>
        </is>
      </c>
      <c r="E1521" t="inlineStr">
        <is>
          <t>M. Lim</t>
        </is>
      </c>
      <c r="F1521" t="inlineStr">
        <is>
          <t>Routine</t>
        </is>
      </c>
      <c r="G1521" t="inlineStr">
        <is>
          <t>NONE</t>
        </is>
      </c>
      <c r="H1521" t="inlineStr">
        <is>
          <t>Compliant</t>
        </is>
      </c>
      <c r="I1521" s="6" t="n"/>
      <c r="J1521" s="6" t="n"/>
      <c r="K1521">
        <f>IF(J1521="","",J1521-B1521)</f>
        <v/>
      </c>
      <c r="L1521">
        <f>IF(H1521="Compliant","N/A",IF(J1521&lt;&gt;"","Closed",IF(I1521&lt;DATE(2026,9,30),"OVERDUE","Open")))</f>
        <v/>
      </c>
    </row>
    <row r="1522">
      <c r="A1522" t="inlineStr">
        <is>
          <t>INSP-2026-1521</t>
        </is>
      </c>
      <c r="B1522" s="6" t="n">
        <v>46248</v>
      </c>
      <c r="C1522" t="inlineStr">
        <is>
          <t>U-BV266-01-05</t>
        </is>
      </c>
      <c r="D1522" t="inlineStr">
        <is>
          <t>Bayshore Vale</t>
        </is>
      </c>
      <c r="E1522" t="inlineStr">
        <is>
          <t>daniel ong</t>
        </is>
      </c>
      <c r="F1522" t="inlineStr">
        <is>
          <t>Routine</t>
        </is>
      </c>
      <c r="G1522" t="inlineStr">
        <is>
          <t>NONE</t>
        </is>
      </c>
      <c r="H1522" t="inlineStr">
        <is>
          <t>Compliant</t>
        </is>
      </c>
      <c r="I1522" s="6" t="n"/>
      <c r="J1522" s="6" t="n"/>
      <c r="K1522">
        <f>IF(J1522="","",J1522-B1522)</f>
        <v/>
      </c>
      <c r="L1522">
        <f>IF(H1522="Compliant","N/A",IF(J1522&lt;&gt;"","Closed",IF(I1522&lt;DATE(2026,9,30),"OVERDUE","Open")))</f>
        <v/>
      </c>
    </row>
    <row r="1523">
      <c r="A1523" t="inlineStr">
        <is>
          <t>INSP-2026-1522</t>
        </is>
      </c>
      <c r="B1523" s="6" t="n">
        <v>46248</v>
      </c>
      <c r="C1523" t="inlineStr">
        <is>
          <t>U-CD142-01-13</t>
        </is>
      </c>
      <c r="D1523" t="inlineStr">
        <is>
          <t>Cendana</t>
        </is>
      </c>
      <c r="E1523" t="inlineStr">
        <is>
          <t>M. Lim</t>
        </is>
      </c>
      <c r="F1523" t="inlineStr">
        <is>
          <t>Routine</t>
        </is>
      </c>
      <c r="G1523" t="inlineStr">
        <is>
          <t>UNAPPROVED_AA</t>
        </is>
      </c>
      <c r="H1523" t="inlineStr">
        <is>
          <t>Minor Breach</t>
        </is>
      </c>
      <c r="I1523" s="6" t="n">
        <v>46262</v>
      </c>
      <c r="J1523" s="6" t="n">
        <v>46257</v>
      </c>
      <c r="K1523">
        <f>IF(J1523="","",J1523-B1523)</f>
        <v/>
      </c>
      <c r="L1523">
        <f>IF(H1523="Compliant","N/A",IF(J1523&lt;&gt;"","Closed",IF(I1523&lt;DATE(2026,9,30),"OVERDUE","Open")))</f>
        <v/>
      </c>
    </row>
    <row r="1524">
      <c r="A1524" t="inlineStr">
        <is>
          <t>INSP-2026-1523</t>
        </is>
      </c>
      <c r="B1524" s="6" t="n">
        <v>46248</v>
      </c>
      <c r="C1524" t="inlineStr">
        <is>
          <t>U-KR305-01-24</t>
        </is>
      </c>
      <c r="D1524" t="inlineStr">
        <is>
          <t>Kebun Raya</t>
        </is>
      </c>
      <c r="E1524" t="inlineStr">
        <is>
          <t>Daniel O.</t>
        </is>
      </c>
      <c r="F1524" t="inlineStr">
        <is>
          <t>Routine</t>
        </is>
      </c>
      <c r="G1524" t="inlineStr">
        <is>
          <t>NONE</t>
        </is>
      </c>
      <c r="H1524" t="inlineStr">
        <is>
          <t>Compliant</t>
        </is>
      </c>
      <c r="I1524" s="6" t="n"/>
      <c r="J1524" s="6" t="n"/>
      <c r="K1524">
        <f>IF(J1524="","",J1524-B1524)</f>
        <v/>
      </c>
      <c r="L1524">
        <f>IF(H1524="Compliant","N/A",IF(J1524&lt;&gt;"","Closed",IF(I1524&lt;DATE(2026,9,30),"OVERDUE","Open")))</f>
        <v/>
      </c>
    </row>
    <row r="1525">
      <c r="A1525" t="inlineStr">
        <is>
          <t>INSP-2026-1524</t>
        </is>
      </c>
      <c r="B1525" s="6" t="n">
        <v>46248</v>
      </c>
      <c r="C1525" t="inlineStr">
        <is>
          <t>U-RH456-01-08</t>
        </is>
      </c>
      <c r="D1525" t="inlineStr">
        <is>
          <t>Rimba Heights</t>
        </is>
      </c>
      <c r="E1525" t="inlineStr">
        <is>
          <t>Benjamin Ho</t>
        </is>
      </c>
      <c r="F1525" t="inlineStr">
        <is>
          <t>Routine</t>
        </is>
      </c>
      <c r="G1525" t="inlineStr">
        <is>
          <t>FIRE_SAFETY</t>
        </is>
      </c>
      <c r="H1525" t="inlineStr">
        <is>
          <t>Major Breach</t>
        </is>
      </c>
      <c r="I1525" s="6" t="n">
        <v>46255</v>
      </c>
      <c r="J1525" s="6" t="n"/>
      <c r="K1525">
        <f>IF(J1525="","",J1525-B1525)</f>
        <v/>
      </c>
      <c r="L1525">
        <f>IF(H1525="Compliant","N/A",IF(J1525&lt;&gt;"","Closed",IF(I1525&lt;DATE(2026,9,30),"OVERDUE","Open")))</f>
        <v/>
      </c>
    </row>
    <row r="1526">
      <c r="A1526" t="inlineStr">
        <is>
          <t>INSP-2026-1525</t>
        </is>
      </c>
      <c r="B1526" s="6" t="n">
        <v>46248</v>
      </c>
      <c r="C1526" t="inlineStr">
        <is>
          <t>U-BV212-01-03</t>
        </is>
      </c>
      <c r="D1526" t="inlineStr">
        <is>
          <t>Bayshore Vale</t>
        </is>
      </c>
      <c r="E1526" t="inlineStr">
        <is>
          <t>D. Ong</t>
        </is>
      </c>
      <c r="F1526" t="inlineStr">
        <is>
          <t>Routine</t>
        </is>
      </c>
      <c r="G1526" t="inlineStr">
        <is>
          <t>NONE</t>
        </is>
      </c>
      <c r="H1526" t="inlineStr">
        <is>
          <t>Compliant</t>
        </is>
      </c>
      <c r="I1526" s="6" t="n"/>
      <c r="J1526" s="6" t="n"/>
      <c r="K1526">
        <f>IF(J1526="","",J1526-B1526)</f>
        <v/>
      </c>
      <c r="L1526">
        <f>IF(H1526="Compliant","N/A",IF(J1526&lt;&gt;"","Closed",IF(I1526&lt;DATE(2026,9,30),"OVERDUE","Open")))</f>
        <v/>
      </c>
    </row>
    <row r="1527">
      <c r="A1527" t="inlineStr">
        <is>
          <t>INSP-2026-1526</t>
        </is>
      </c>
      <c r="B1527" s="6" t="n">
        <v>46248</v>
      </c>
      <c r="C1527" t="inlineStr">
        <is>
          <t>U-KR318-01-09</t>
        </is>
      </c>
      <c r="D1527" t="inlineStr">
        <is>
          <t>Kebun Raya</t>
        </is>
      </c>
      <c r="E1527" t="inlineStr">
        <is>
          <t>Daniel Ong</t>
        </is>
      </c>
      <c r="F1527" t="inlineStr">
        <is>
          <t>Routine</t>
        </is>
      </c>
      <c r="G1527" t="inlineStr">
        <is>
          <t>NONE</t>
        </is>
      </c>
      <c r="H1527" t="inlineStr">
        <is>
          <t>Compliant</t>
        </is>
      </c>
      <c r="I1527" s="6" t="n"/>
      <c r="J1527" s="6" t="n"/>
      <c r="K1527">
        <f>IF(J1527="","",J1527-B1527)</f>
        <v/>
      </c>
      <c r="L1527">
        <f>IF(H1527="Compliant","N/A",IF(J1527&lt;&gt;"","Closed",IF(I1527&lt;DATE(2026,9,30),"OVERDUE","Open")))</f>
        <v/>
      </c>
    </row>
    <row r="1528">
      <c r="A1528" t="inlineStr">
        <is>
          <t>INSP-2026-1527</t>
        </is>
      </c>
      <c r="B1528" s="6" t="n">
        <v>46248</v>
      </c>
      <c r="C1528" t="inlineStr">
        <is>
          <t>U-ST534-01-09</t>
        </is>
      </c>
      <c r="D1528" t="inlineStr">
        <is>
          <t>Sungai Tinggi</t>
        </is>
      </c>
      <c r="E1528" t="inlineStr">
        <is>
          <t>Benjamin Ho</t>
        </is>
      </c>
      <c r="F1528" t="inlineStr">
        <is>
          <t>Routine</t>
        </is>
      </c>
      <c r="G1528" t="inlineStr">
        <is>
          <t>DISPLAY_ENCROACH</t>
        </is>
      </c>
      <c r="H1528" t="inlineStr">
        <is>
          <t>Minor Breach</t>
        </is>
      </c>
      <c r="I1528" s="6" t="n">
        <v>46262</v>
      </c>
      <c r="J1528" s="6" t="n">
        <v>46260</v>
      </c>
      <c r="K1528">
        <f>IF(J1528="","",J1528-B1528)</f>
        <v/>
      </c>
      <c r="L1528">
        <f>IF(H1528="Compliant","N/A",IF(J1528&lt;&gt;"","Closed",IF(I1528&lt;DATE(2026,9,30),"OVERDUE","Open")))</f>
        <v/>
      </c>
    </row>
    <row r="1529">
      <c r="A1529" t="inlineStr">
        <is>
          <t>INSP-2026-1528</t>
        </is>
      </c>
      <c r="B1529" s="6" t="n">
        <v>46249</v>
      </c>
      <c r="C1529" t="inlineStr">
        <is>
          <t>U-CD118-01-26</t>
        </is>
      </c>
      <c r="D1529" t="inlineStr">
        <is>
          <t>Cendana</t>
        </is>
      </c>
      <c r="E1529" t="inlineStr">
        <is>
          <t>M. Lim</t>
        </is>
      </c>
      <c r="F1529" t="inlineStr">
        <is>
          <t>Routine</t>
        </is>
      </c>
      <c r="G1529" t="inlineStr">
        <is>
          <t>NONE</t>
        </is>
      </c>
      <c r="H1529" t="inlineStr">
        <is>
          <t>Compliant</t>
        </is>
      </c>
      <c r="I1529" s="6" t="n"/>
      <c r="J1529" s="6" t="n"/>
      <c r="K1529">
        <f>IF(J1529="","",J1529-B1529)</f>
        <v/>
      </c>
      <c r="L1529">
        <f>IF(H1529="Compliant","N/A",IF(J1529&lt;&gt;"","Closed",IF(I1529&lt;DATE(2026,9,30),"OVERDUE","Open")))</f>
        <v/>
      </c>
    </row>
    <row r="1530">
      <c r="A1530" t="inlineStr">
        <is>
          <t>INSP-2026-1529</t>
        </is>
      </c>
      <c r="B1530" s="6" t="n">
        <v>46249</v>
      </c>
      <c r="C1530" t="inlineStr">
        <is>
          <t>U-RH484-01-01</t>
        </is>
      </c>
      <c r="D1530" t="inlineStr">
        <is>
          <t>Rimba Heights</t>
        </is>
      </c>
      <c r="E1530" t="inlineStr">
        <is>
          <t>Ben Ho</t>
        </is>
      </c>
      <c r="F1530" t="inlineStr">
        <is>
          <t>Routine</t>
        </is>
      </c>
      <c r="G1530" t="inlineStr">
        <is>
          <t>HYGIENE</t>
        </is>
      </c>
      <c r="H1530" t="inlineStr">
        <is>
          <t>Minor Breach</t>
        </is>
      </c>
      <c r="I1530" s="6" t="n">
        <v>46263</v>
      </c>
      <c r="J1530" s="6" t="n">
        <v>46271</v>
      </c>
      <c r="K1530">
        <f>IF(J1530="","",J1530-B1530)</f>
        <v/>
      </c>
      <c r="L1530">
        <f>IF(H1530="Compliant","N/A",IF(J1530&lt;&gt;"","Closed",IF(I1530&lt;DATE(2026,9,30),"OVERDUE","Open")))</f>
        <v/>
      </c>
    </row>
    <row r="1531">
      <c r="A1531" t="inlineStr">
        <is>
          <t>INSP-2026-1530</t>
        </is>
      </c>
      <c r="B1531" s="6" t="n">
        <v>46249</v>
      </c>
      <c r="C1531" t="inlineStr">
        <is>
          <t>U-PI667-01-04</t>
        </is>
      </c>
      <c r="D1531" t="inlineStr">
        <is>
          <t>Pasir Indah</t>
        </is>
      </c>
      <c r="E1531" t="inlineStr">
        <is>
          <t>Daniel O.</t>
        </is>
      </c>
      <c r="F1531" t="inlineStr">
        <is>
          <t>Routine</t>
        </is>
      </c>
      <c r="G1531" t="inlineStr">
        <is>
          <t>NONE</t>
        </is>
      </c>
      <c r="H1531" t="inlineStr">
        <is>
          <t>Compliant</t>
        </is>
      </c>
      <c r="I1531" s="6" t="n"/>
      <c r="J1531" s="6" t="n"/>
      <c r="K1531">
        <f>IF(J1531="","",J1531-B1531)</f>
        <v/>
      </c>
      <c r="L1531">
        <f>IF(H1531="Compliant","N/A",IF(J1531&lt;&gt;"","Closed",IF(I1531&lt;DATE(2026,9,30),"OVERDUE","Open")))</f>
        <v/>
      </c>
    </row>
    <row r="1532">
      <c r="A1532" t="inlineStr">
        <is>
          <t>INSP-2026-1531</t>
        </is>
      </c>
      <c r="B1532" s="6" t="n">
        <v>46249</v>
      </c>
      <c r="C1532" t="inlineStr">
        <is>
          <t>U-PI684-01-12</t>
        </is>
      </c>
      <c r="D1532" t="inlineStr">
        <is>
          <t>Pasir Indah</t>
        </is>
      </c>
      <c r="E1532" t="inlineStr">
        <is>
          <t>Marcus Lim</t>
        </is>
      </c>
      <c r="F1532" t="inlineStr">
        <is>
          <t>Routine</t>
        </is>
      </c>
      <c r="G1532" t="inlineStr">
        <is>
          <t>NONE</t>
        </is>
      </c>
      <c r="H1532" t="inlineStr">
        <is>
          <t>Compliant</t>
        </is>
      </c>
      <c r="I1532" s="6" t="n"/>
      <c r="J1532" s="6" t="n"/>
      <c r="K1532">
        <f>IF(J1532="","",J1532-B1532)</f>
        <v/>
      </c>
      <c r="L1532">
        <f>IF(H1532="Compliant","N/A",IF(J1532&lt;&gt;"","Closed",IF(I1532&lt;DATE(2026,9,30),"OVERDUE","Open")))</f>
        <v/>
      </c>
    </row>
    <row r="1533">
      <c r="A1533" t="inlineStr">
        <is>
          <t>INSP-2026-1532</t>
        </is>
      </c>
      <c r="B1533" s="6" t="n">
        <v>46249</v>
      </c>
      <c r="C1533" t="inlineStr">
        <is>
          <t>U-RH473-01-06</t>
        </is>
      </c>
      <c r="D1533" t="inlineStr">
        <is>
          <t>Rimba Heights</t>
        </is>
      </c>
      <c r="E1533" t="inlineStr">
        <is>
          <t>Daniel O.</t>
        </is>
      </c>
      <c r="F1533" t="inlineStr">
        <is>
          <t>Routine</t>
        </is>
      </c>
      <c r="G1533" t="inlineStr">
        <is>
          <t>NONE</t>
        </is>
      </c>
      <c r="H1533" t="inlineStr">
        <is>
          <t>Compliant</t>
        </is>
      </c>
      <c r="I1533" s="6" t="n"/>
      <c r="J1533" s="6" t="n"/>
      <c r="K1533">
        <f>IF(J1533="","",J1533-B1533)</f>
        <v/>
      </c>
      <c r="L1533">
        <f>IF(H1533="Compliant","N/A",IF(J1533&lt;&gt;"","Closed",IF(I1533&lt;DATE(2026,9,30),"OVERDUE","Open")))</f>
        <v/>
      </c>
    </row>
    <row r="1534">
      <c r="A1534" t="inlineStr">
        <is>
          <t>INSP-2026-1533</t>
        </is>
      </c>
      <c r="B1534" s="6" t="n">
        <v>46249</v>
      </c>
      <c r="C1534" t="inlineStr">
        <is>
          <t>U-CD173-01-01</t>
        </is>
      </c>
      <c r="D1534" t="inlineStr">
        <is>
          <t>Cendana</t>
        </is>
      </c>
      <c r="E1534" t="inlineStr">
        <is>
          <t>M. Lim</t>
        </is>
      </c>
      <c r="F1534" t="inlineStr">
        <is>
          <t>Routine</t>
        </is>
      </c>
      <c r="G1534" t="inlineStr">
        <is>
          <t>DISPLAY_ENCROACH</t>
        </is>
      </c>
      <c r="H1534" t="inlineStr">
        <is>
          <t>Minor Breach</t>
        </is>
      </c>
      <c r="I1534" s="6" t="n">
        <v>46263</v>
      </c>
      <c r="J1534" s="6" t="n">
        <v>46269</v>
      </c>
      <c r="K1534">
        <f>IF(J1534="","",J1534-B1534)</f>
        <v/>
      </c>
      <c r="L1534">
        <f>IF(H1534="Compliant","N/A",IF(J1534&lt;&gt;"","Closed",IF(I1534&lt;DATE(2026,9,30),"OVERDUE","Open")))</f>
        <v/>
      </c>
    </row>
    <row r="1535">
      <c r="A1535" t="inlineStr">
        <is>
          <t>INSP-2026-1534</t>
        </is>
      </c>
      <c r="B1535" s="6" t="n">
        <v>46249</v>
      </c>
      <c r="C1535" t="inlineStr">
        <is>
          <t>U-CD190-01-03</t>
        </is>
      </c>
      <c r="D1535" t="inlineStr">
        <is>
          <t>Cendana</t>
        </is>
      </c>
      <c r="E1535" t="inlineStr">
        <is>
          <t>D. Ong</t>
        </is>
      </c>
      <c r="F1535" t="inlineStr">
        <is>
          <t>Complaint-driven</t>
        </is>
      </c>
      <c r="G1535" t="inlineStr">
        <is>
          <t>DISPLAY_ENCROACH</t>
        </is>
      </c>
      <c r="H1535" t="inlineStr">
        <is>
          <t>Minor Breach</t>
        </is>
      </c>
      <c r="I1535" s="6" t="n">
        <v>46263</v>
      </c>
      <c r="J1535" s="6" t="n">
        <v>46263</v>
      </c>
      <c r="K1535">
        <f>IF(J1535="","",J1535-B1535)</f>
        <v/>
      </c>
      <c r="L1535">
        <f>IF(H1535="Compliant","N/A",IF(J1535&lt;&gt;"","Closed",IF(I1535&lt;DATE(2026,9,30),"OVERDUE","Open")))</f>
        <v/>
      </c>
    </row>
    <row r="1536">
      <c r="A1536" t="inlineStr">
        <is>
          <t>INSP-2026-1535</t>
        </is>
      </c>
      <c r="B1536" s="6" t="n">
        <v>46249</v>
      </c>
      <c r="C1536" t="inlineStr">
        <is>
          <t>U-BV233-01-12</t>
        </is>
      </c>
      <c r="D1536" t="inlineStr">
        <is>
          <t>Bayshore Vale</t>
        </is>
      </c>
      <c r="E1536" t="inlineStr">
        <is>
          <t>marcus</t>
        </is>
      </c>
      <c r="F1536" t="inlineStr">
        <is>
          <t>Follow-up</t>
        </is>
      </c>
      <c r="G1536" t="inlineStr">
        <is>
          <t>NONE</t>
        </is>
      </c>
      <c r="H1536" t="inlineStr">
        <is>
          <t>Compliant</t>
        </is>
      </c>
      <c r="I1536" s="6" t="n"/>
      <c r="J1536" s="6" t="n"/>
      <c r="K1536">
        <f>IF(J1536="","",J1536-B1536)</f>
        <v/>
      </c>
      <c r="L1536">
        <f>IF(H1536="Compliant","N/A",IF(J1536&lt;&gt;"","Closed",IF(I1536&lt;DATE(2026,9,30),"OVERDUE","Open")))</f>
        <v/>
      </c>
    </row>
    <row r="1537">
      <c r="A1537" t="inlineStr">
        <is>
          <t>INSP-2026-1536</t>
        </is>
      </c>
      <c r="B1537" s="6" t="n">
        <v>46249</v>
      </c>
      <c r="C1537" t="inlineStr">
        <is>
          <t>U-PI644-01-13</t>
        </is>
      </c>
      <c r="D1537" t="inlineStr">
        <is>
          <t>Pasir Indah</t>
        </is>
      </c>
      <c r="E1537" t="inlineStr">
        <is>
          <t>Daniel O.</t>
        </is>
      </c>
      <c r="F1537" t="inlineStr">
        <is>
          <t>Routine</t>
        </is>
      </c>
      <c r="G1537" t="inlineStr">
        <is>
          <t>DISPLAY_ENCROACH</t>
        </is>
      </c>
      <c r="H1537" t="inlineStr">
        <is>
          <t>Minor Breach</t>
        </is>
      </c>
      <c r="I1537" s="6" t="n">
        <v>46263</v>
      </c>
      <c r="J1537" s="6" t="n">
        <v>46260</v>
      </c>
      <c r="K1537">
        <f>IF(J1537="","",J1537-B1537)</f>
        <v/>
      </c>
      <c r="L1537">
        <f>IF(H1537="Compliant","N/A",IF(J1537&lt;&gt;"","Closed",IF(I1537&lt;DATE(2026,9,30),"OVERDUE","Open")))</f>
        <v/>
      </c>
    </row>
    <row r="1538">
      <c r="A1538" t="inlineStr">
        <is>
          <t>INSP-2026-1537</t>
        </is>
      </c>
      <c r="B1538" s="6" t="n">
        <v>46249</v>
      </c>
      <c r="C1538" t="inlineStr">
        <is>
          <t>U-KR359-01-03</t>
        </is>
      </c>
      <c r="D1538" t="inlineStr">
        <is>
          <t>Kebun Raya</t>
        </is>
      </c>
      <c r="E1538" t="inlineStr">
        <is>
          <t>Ben Ho</t>
        </is>
      </c>
      <c r="F1538" t="inlineStr">
        <is>
          <t>Routine</t>
        </is>
      </c>
      <c r="G1538" t="inlineStr">
        <is>
          <t>NONE</t>
        </is>
      </c>
      <c r="H1538" t="inlineStr">
        <is>
          <t>Compliant</t>
        </is>
      </c>
      <c r="I1538" s="6" t="n"/>
      <c r="J1538" s="6" t="n"/>
      <c r="K1538">
        <f>IF(J1538="","",J1538-B1538)</f>
        <v/>
      </c>
      <c r="L1538">
        <f>IF(H1538="Compliant","N/A",IF(J1538&lt;&gt;"","Closed",IF(I1538&lt;DATE(2026,9,30),"OVERDUE","Open")))</f>
        <v/>
      </c>
    </row>
    <row r="1539">
      <c r="A1539" t="inlineStr">
        <is>
          <t>INSP-2026-1538</t>
        </is>
      </c>
      <c r="B1539" s="6" t="n">
        <v>46249</v>
      </c>
      <c r="C1539" t="inlineStr">
        <is>
          <t>U-PI668-01-06</t>
        </is>
      </c>
      <c r="D1539" t="inlineStr">
        <is>
          <t>Pasir Indah</t>
        </is>
      </c>
      <c r="E1539" t="inlineStr">
        <is>
          <t>Marcus Lim</t>
        </is>
      </c>
      <c r="F1539" t="inlineStr">
        <is>
          <t>Routine</t>
        </is>
      </c>
      <c r="G1539" t="inlineStr">
        <is>
          <t>NONE</t>
        </is>
      </c>
      <c r="H1539" t="inlineStr">
        <is>
          <t>Compliant</t>
        </is>
      </c>
      <c r="I1539" s="6" t="n"/>
      <c r="J1539" s="6" t="n"/>
      <c r="K1539">
        <f>IF(J1539="","",J1539-B1539)</f>
        <v/>
      </c>
      <c r="L1539">
        <f>IF(H1539="Compliant","N/A",IF(J1539&lt;&gt;"","Closed",IF(I1539&lt;DATE(2026,9,30),"OVERDUE","Open")))</f>
        <v/>
      </c>
    </row>
    <row r="1540">
      <c r="A1540" t="inlineStr">
        <is>
          <t>INSP-2026-1539</t>
        </is>
      </c>
      <c r="B1540" s="6" t="n">
        <v>46250</v>
      </c>
      <c r="C1540" t="inlineStr">
        <is>
          <t>U-BV283-01-07</t>
        </is>
      </c>
      <c r="D1540" t="inlineStr">
        <is>
          <t>Bayshore Vale</t>
        </is>
      </c>
      <c r="E1540" t="inlineStr">
        <is>
          <t>Daniel Ong</t>
        </is>
      </c>
      <c r="F1540" t="inlineStr">
        <is>
          <t>Routine</t>
        </is>
      </c>
      <c r="G1540" t="inlineStr">
        <is>
          <t>NONE</t>
        </is>
      </c>
      <c r="H1540" t="inlineStr">
        <is>
          <t>Compliant</t>
        </is>
      </c>
      <c r="I1540" s="6" t="n"/>
      <c r="J1540" s="6" t="n"/>
      <c r="K1540">
        <f>IF(J1540="","",J1540-B1540)</f>
        <v/>
      </c>
      <c r="L1540">
        <f>IF(H1540="Compliant","N/A",IF(J1540&lt;&gt;"","Closed",IF(I1540&lt;DATE(2026,9,30),"OVERDUE","Open")))</f>
        <v/>
      </c>
    </row>
    <row r="1541">
      <c r="A1541" t="inlineStr">
        <is>
          <t>INSP-2026-1540</t>
        </is>
      </c>
      <c r="B1541" s="6" t="n">
        <v>46250</v>
      </c>
      <c r="C1541" t="inlineStr">
        <is>
          <t>U-KR330-02-06</t>
        </is>
      </c>
      <c r="D1541" t="inlineStr">
        <is>
          <t>Kebun Raya</t>
        </is>
      </c>
      <c r="E1541" t="inlineStr">
        <is>
          <t>Ben Ho</t>
        </is>
      </c>
      <c r="F1541" t="inlineStr">
        <is>
          <t>Complaint-driven</t>
        </is>
      </c>
      <c r="G1541" t="inlineStr">
        <is>
          <t>UNAUTH_SUBLET</t>
        </is>
      </c>
      <c r="H1541" t="inlineStr">
        <is>
          <t>Major Breach</t>
        </is>
      </c>
      <c r="I1541" s="6" t="n">
        <v>46257</v>
      </c>
      <c r="J1541" s="6" t="n">
        <v>46259</v>
      </c>
      <c r="K1541">
        <f>IF(J1541="","",J1541-B1541)</f>
        <v/>
      </c>
      <c r="L1541">
        <f>IF(H1541="Compliant","N/A",IF(J1541&lt;&gt;"","Closed",IF(I1541&lt;DATE(2026,9,30),"OVERDUE","Open")))</f>
        <v/>
      </c>
    </row>
    <row r="1542">
      <c r="A1542" t="inlineStr">
        <is>
          <t>INSP-2026-1541</t>
        </is>
      </c>
      <c r="B1542" s="6" t="n">
        <v>46250</v>
      </c>
      <c r="C1542" t="inlineStr">
        <is>
          <t>U-CD133-01-08</t>
        </is>
      </c>
      <c r="D1542" t="inlineStr">
        <is>
          <t>Cendana</t>
        </is>
      </c>
      <c r="E1542" t="inlineStr">
        <is>
          <t>daniel ong</t>
        </is>
      </c>
      <c r="F1542" t="inlineStr">
        <is>
          <t>Routine</t>
        </is>
      </c>
      <c r="G1542" t="inlineStr">
        <is>
          <t>UNAPPROVED_AA</t>
        </is>
      </c>
      <c r="H1542" t="inlineStr">
        <is>
          <t>Minor Breach</t>
        </is>
      </c>
      <c r="I1542" s="6" t="n">
        <v>46264</v>
      </c>
      <c r="J1542" s="6" t="n">
        <v>46272</v>
      </c>
      <c r="K1542">
        <f>IF(J1542="","",J1542-B1542)</f>
        <v/>
      </c>
      <c r="L1542">
        <f>IF(H1542="Compliant","N/A",IF(J1542&lt;&gt;"","Closed",IF(I1542&lt;DATE(2026,9,30),"OVERDUE","Open")))</f>
        <v/>
      </c>
    </row>
    <row r="1543">
      <c r="A1543" t="inlineStr">
        <is>
          <t>INSP-2026-1542</t>
        </is>
      </c>
      <c r="B1543" s="6" t="n">
        <v>46250</v>
      </c>
      <c r="C1543" t="inlineStr">
        <is>
          <t>U-CD194-01-01</t>
        </is>
      </c>
      <c r="D1543" t="inlineStr">
        <is>
          <t>Cendana</t>
        </is>
      </c>
      <c r="E1543" t="inlineStr">
        <is>
          <t>Daniel O.</t>
        </is>
      </c>
      <c r="F1543" t="inlineStr">
        <is>
          <t>Complaint-driven</t>
        </is>
      </c>
      <c r="G1543" t="inlineStr">
        <is>
          <t>NONE</t>
        </is>
      </c>
      <c r="H1543" t="inlineStr">
        <is>
          <t>Compliant</t>
        </is>
      </c>
      <c r="I1543" s="6" t="n"/>
      <c r="J1543" s="6" t="n"/>
      <c r="K1543">
        <f>IF(J1543="","",J1543-B1543)</f>
        <v/>
      </c>
      <c r="L1543">
        <f>IF(H1543="Compliant","N/A",IF(J1543&lt;&gt;"","Closed",IF(I1543&lt;DATE(2026,9,30),"OVERDUE","Open")))</f>
        <v/>
      </c>
    </row>
    <row r="1544">
      <c r="A1544" t="inlineStr">
        <is>
          <t>INSP-2026-1543</t>
        </is>
      </c>
      <c r="B1544" s="6" t="n">
        <v>46250</v>
      </c>
      <c r="C1544" t="inlineStr">
        <is>
          <t>U-RH428-01-01</t>
        </is>
      </c>
      <c r="D1544" t="inlineStr">
        <is>
          <t>Rimba Heights</t>
        </is>
      </c>
      <c r="E1544" t="inlineStr">
        <is>
          <t>Benjamin Ho</t>
        </is>
      </c>
      <c r="F1544" t="inlineStr">
        <is>
          <t>Complaint-driven</t>
        </is>
      </c>
      <c r="G1544" t="inlineStr">
        <is>
          <t>NONE</t>
        </is>
      </c>
      <c r="H1544" t="inlineStr">
        <is>
          <t>Compliant</t>
        </is>
      </c>
      <c r="I1544" s="6" t="n"/>
      <c r="J1544" s="6" t="n"/>
      <c r="K1544">
        <f>IF(J1544="","",J1544-B1544)</f>
        <v/>
      </c>
      <c r="L1544">
        <f>IF(H1544="Compliant","N/A",IF(J1544&lt;&gt;"","Closed",IF(I1544&lt;DATE(2026,9,30),"OVERDUE","Open")))</f>
        <v/>
      </c>
    </row>
    <row r="1545">
      <c r="A1545" t="inlineStr">
        <is>
          <t>INSP-2026-1544</t>
        </is>
      </c>
      <c r="B1545" s="6" t="n">
        <v>46250</v>
      </c>
      <c r="C1545" t="inlineStr">
        <is>
          <t>U-BV212-02-14</t>
        </is>
      </c>
      <c r="D1545" t="inlineStr">
        <is>
          <t>Bayshore Vale</t>
        </is>
      </c>
      <c r="E1545" t="inlineStr">
        <is>
          <t>daniel ong</t>
        </is>
      </c>
      <c r="F1545" t="inlineStr">
        <is>
          <t>Follow-up</t>
        </is>
      </c>
      <c r="G1545" t="inlineStr">
        <is>
          <t>NONE</t>
        </is>
      </c>
      <c r="H1545" t="inlineStr">
        <is>
          <t>Compliant</t>
        </is>
      </c>
      <c r="I1545" s="6" t="n"/>
      <c r="J1545" s="6" t="n"/>
      <c r="K1545">
        <f>IF(J1545="","",J1545-B1545)</f>
        <v/>
      </c>
      <c r="L1545">
        <f>IF(H1545="Compliant","N/A",IF(J1545&lt;&gt;"","Closed",IF(I1545&lt;DATE(2026,9,30),"OVERDUE","Open")))</f>
        <v/>
      </c>
    </row>
    <row r="1546">
      <c r="A1546" t="inlineStr">
        <is>
          <t>INSP-2026-1545</t>
        </is>
      </c>
      <c r="B1546" s="6" t="n">
        <v>46250</v>
      </c>
      <c r="C1546" t="inlineStr">
        <is>
          <t>U-CD119-01-01</t>
        </is>
      </c>
      <c r="D1546" t="inlineStr">
        <is>
          <t>Cendana</t>
        </is>
      </c>
      <c r="E1546" t="inlineStr">
        <is>
          <t>Marcus Lim</t>
        </is>
      </c>
      <c r="F1546" t="inlineStr">
        <is>
          <t>Routine</t>
        </is>
      </c>
      <c r="G1546" t="inlineStr">
        <is>
          <t>NONE</t>
        </is>
      </c>
      <c r="H1546" t="inlineStr">
        <is>
          <t>Compliant</t>
        </is>
      </c>
      <c r="I1546" s="6" t="n"/>
      <c r="J1546" s="6" t="n"/>
      <c r="K1546">
        <f>IF(J1546="","",J1546-B1546)</f>
        <v/>
      </c>
      <c r="L1546">
        <f>IF(H1546="Compliant","N/A",IF(J1546&lt;&gt;"","Closed",IF(I1546&lt;DATE(2026,9,30),"OVERDUE","Open")))</f>
        <v/>
      </c>
    </row>
    <row r="1547">
      <c r="A1547" t="inlineStr">
        <is>
          <t>INSP-2026-1546</t>
        </is>
      </c>
      <c r="B1547" s="6" t="n">
        <v>46250</v>
      </c>
      <c r="C1547" t="inlineStr">
        <is>
          <t>U-PI634-01-12</t>
        </is>
      </c>
      <c r="D1547" t="inlineStr">
        <is>
          <t>Pasir Indah</t>
        </is>
      </c>
      <c r="E1547" t="inlineStr">
        <is>
          <t>Daniel O.</t>
        </is>
      </c>
      <c r="F1547" t="inlineStr">
        <is>
          <t>Routine</t>
        </is>
      </c>
      <c r="G1547" t="inlineStr">
        <is>
          <t>NONE</t>
        </is>
      </c>
      <c r="H1547" t="inlineStr">
        <is>
          <t>Compliant</t>
        </is>
      </c>
      <c r="I1547" s="6" t="n"/>
      <c r="J1547" s="6" t="n"/>
      <c r="K1547">
        <f>IF(J1547="","",J1547-B1547)</f>
        <v/>
      </c>
      <c r="L1547">
        <f>IF(H1547="Compliant","N/A",IF(J1547&lt;&gt;"","Closed",IF(I1547&lt;DATE(2026,9,30),"OVERDUE","Open")))</f>
        <v/>
      </c>
    </row>
    <row r="1548">
      <c r="A1548" t="inlineStr">
        <is>
          <t>INSP-2026-1547</t>
        </is>
      </c>
      <c r="B1548" s="6" t="n">
        <v>46250</v>
      </c>
      <c r="C1548" t="inlineStr">
        <is>
          <t>U-RH455-01-20</t>
        </is>
      </c>
      <c r="D1548" t="inlineStr">
        <is>
          <t>Rimba Heights</t>
        </is>
      </c>
      <c r="E1548" t="inlineStr">
        <is>
          <t>Daniel Ong</t>
        </is>
      </c>
      <c r="F1548" t="inlineStr">
        <is>
          <t>Routine</t>
        </is>
      </c>
      <c r="G1548" t="inlineStr">
        <is>
          <t>UNAPPROVED_AA</t>
        </is>
      </c>
      <c r="H1548" t="inlineStr">
        <is>
          <t>Minor Breach</t>
        </is>
      </c>
      <c r="I1548" s="6" t="n">
        <v>46264</v>
      </c>
      <c r="J1548" s="6" t="n">
        <v>46262</v>
      </c>
      <c r="K1548">
        <f>IF(J1548="","",J1548-B1548)</f>
        <v/>
      </c>
      <c r="L1548">
        <f>IF(H1548="Compliant","N/A",IF(J1548&lt;&gt;"","Closed",IF(I1548&lt;DATE(2026,9,30),"OVERDUE","Open")))</f>
        <v/>
      </c>
    </row>
    <row r="1549">
      <c r="A1549" t="inlineStr">
        <is>
          <t>INSP-2026-1548</t>
        </is>
      </c>
      <c r="B1549" s="6" t="n">
        <v>46250</v>
      </c>
      <c r="C1549" t="inlineStr">
        <is>
          <t>U-PI644-01-07</t>
        </is>
      </c>
      <c r="D1549" t="inlineStr">
        <is>
          <t>Pasir Indah</t>
        </is>
      </c>
      <c r="E1549" t="inlineStr">
        <is>
          <t>marcus</t>
        </is>
      </c>
      <c r="F1549" t="inlineStr">
        <is>
          <t>Follow-up</t>
        </is>
      </c>
      <c r="G1549" t="inlineStr">
        <is>
          <t>NONE</t>
        </is>
      </c>
      <c r="H1549" t="inlineStr">
        <is>
          <t>Compliant</t>
        </is>
      </c>
      <c r="I1549" s="6" t="n"/>
      <c r="J1549" s="6" t="n"/>
      <c r="K1549">
        <f>IF(J1549="","",J1549-B1549)</f>
        <v/>
      </c>
      <c r="L1549">
        <f>IF(H1549="Compliant","N/A",IF(J1549&lt;&gt;"","Closed",IF(I1549&lt;DATE(2026,9,30),"OVERDUE","Open")))</f>
        <v/>
      </c>
    </row>
    <row r="1550">
      <c r="A1550" t="inlineStr">
        <is>
          <t>INSP-2026-1549</t>
        </is>
      </c>
      <c r="B1550" s="6" t="n">
        <v>46250</v>
      </c>
      <c r="C1550" t="inlineStr">
        <is>
          <t>U-BV214-01-12</t>
        </is>
      </c>
      <c r="D1550" t="inlineStr">
        <is>
          <t>Bayshore Vale</t>
        </is>
      </c>
      <c r="E1550" t="inlineStr">
        <is>
          <t>Marcus Lim</t>
        </is>
      </c>
      <c r="F1550" t="inlineStr">
        <is>
          <t>Routine</t>
        </is>
      </c>
      <c r="G1550" t="inlineStr">
        <is>
          <t>NONE</t>
        </is>
      </c>
      <c r="H1550" t="inlineStr">
        <is>
          <t>Compliant</t>
        </is>
      </c>
      <c r="I1550" s="6" t="n"/>
      <c r="J1550" s="6" t="n"/>
      <c r="K1550">
        <f>IF(J1550="","",J1550-B1550)</f>
        <v/>
      </c>
      <c r="L1550">
        <f>IF(H1550="Compliant","N/A",IF(J1550&lt;&gt;"","Closed",IF(I1550&lt;DATE(2026,9,30),"OVERDUE","Open")))</f>
        <v/>
      </c>
    </row>
    <row r="1551">
      <c r="A1551" t="inlineStr">
        <is>
          <t>INSP-2026-1550</t>
        </is>
      </c>
      <c r="B1551" s="6" t="n">
        <v>46250</v>
      </c>
      <c r="C1551" t="inlineStr">
        <is>
          <t>U-KR305-01-31</t>
        </is>
      </c>
      <c r="D1551" t="inlineStr">
        <is>
          <t>Kebun Raya</t>
        </is>
      </c>
      <c r="E1551" t="inlineStr">
        <is>
          <t>Ben Ho</t>
        </is>
      </c>
      <c r="F1551" t="inlineStr">
        <is>
          <t>Routine</t>
        </is>
      </c>
      <c r="G1551" t="inlineStr">
        <is>
          <t>NONE</t>
        </is>
      </c>
      <c r="H1551" t="inlineStr">
        <is>
          <t>Compliant</t>
        </is>
      </c>
      <c r="I1551" s="6" t="n"/>
      <c r="J1551" s="6" t="n"/>
      <c r="K1551">
        <f>IF(J1551="","",J1551-B1551)</f>
        <v/>
      </c>
      <c r="L1551">
        <f>IF(H1551="Compliant","N/A",IF(J1551&lt;&gt;"","Closed",IF(I1551&lt;DATE(2026,9,30),"OVERDUE","Open")))</f>
        <v/>
      </c>
    </row>
    <row r="1552">
      <c r="A1552" t="inlineStr">
        <is>
          <t>INSP-2026-1551</t>
        </is>
      </c>
      <c r="B1552" s="6" t="n">
        <v>46251</v>
      </c>
      <c r="C1552" t="inlineStr">
        <is>
          <t>U-CD131-01-03</t>
        </is>
      </c>
      <c r="D1552" t="inlineStr">
        <is>
          <t>Cendana</t>
        </is>
      </c>
      <c r="E1552" t="inlineStr">
        <is>
          <t>D. Ong</t>
        </is>
      </c>
      <c r="F1552" t="inlineStr">
        <is>
          <t>Follow-up</t>
        </is>
      </c>
      <c r="G1552" t="inlineStr">
        <is>
          <t>NONE</t>
        </is>
      </c>
      <c r="H1552" t="inlineStr">
        <is>
          <t>Compliant</t>
        </is>
      </c>
      <c r="I1552" s="6" t="n"/>
      <c r="J1552" s="6" t="n"/>
      <c r="K1552">
        <f>IF(J1552="","",J1552-B1552)</f>
        <v/>
      </c>
      <c r="L1552">
        <f>IF(H1552="Compliant","N/A",IF(J1552&lt;&gt;"","Closed",IF(I1552&lt;DATE(2026,9,30),"OVERDUE","Open")))</f>
        <v/>
      </c>
    </row>
    <row r="1553">
      <c r="A1553" t="inlineStr">
        <is>
          <t>INSP-2026-1552</t>
        </is>
      </c>
      <c r="B1553" s="6" t="n">
        <v>46251</v>
      </c>
      <c r="C1553" t="inlineStr">
        <is>
          <t>U-KR329-01-02</t>
        </is>
      </c>
      <c r="D1553" t="inlineStr">
        <is>
          <t>Kebun Raya</t>
        </is>
      </c>
      <c r="E1553" t="inlineStr">
        <is>
          <t>Ben Ho</t>
        </is>
      </c>
      <c r="F1553" t="inlineStr">
        <is>
          <t>Routine</t>
        </is>
      </c>
      <c r="G1553" t="inlineStr">
        <is>
          <t>UNAPPROVED_AA</t>
        </is>
      </c>
      <c r="H1553" t="inlineStr">
        <is>
          <t>Minor Breach</t>
        </is>
      </c>
      <c r="I1553" s="6" t="n">
        <v>46265</v>
      </c>
      <c r="J1553" s="6" t="n">
        <v>46273</v>
      </c>
      <c r="K1553">
        <f>IF(J1553="","",J1553-B1553)</f>
        <v/>
      </c>
      <c r="L1553">
        <f>IF(H1553="Compliant","N/A",IF(J1553&lt;&gt;"","Closed",IF(I1553&lt;DATE(2026,9,30),"OVERDUE","Open")))</f>
        <v/>
      </c>
    </row>
    <row r="1554">
      <c r="A1554" t="inlineStr">
        <is>
          <t>INSP-2026-1553</t>
        </is>
      </c>
      <c r="B1554" s="6" t="n">
        <v>46251</v>
      </c>
      <c r="C1554" t="inlineStr">
        <is>
          <t>U-BV214-01-18</t>
        </is>
      </c>
      <c r="D1554" t="inlineStr">
        <is>
          <t>Bayshore Vale</t>
        </is>
      </c>
      <c r="E1554" t="inlineStr">
        <is>
          <t>M. Lim</t>
        </is>
      </c>
      <c r="F1554" t="inlineStr">
        <is>
          <t>Follow-up</t>
        </is>
      </c>
      <c r="G1554" t="inlineStr">
        <is>
          <t>NONE</t>
        </is>
      </c>
      <c r="H1554" t="inlineStr">
        <is>
          <t>Compliant</t>
        </is>
      </c>
      <c r="I1554" s="6" t="n"/>
      <c r="J1554" s="6" t="n"/>
      <c r="K1554">
        <f>IF(J1554="","",J1554-B1554)</f>
        <v/>
      </c>
      <c r="L1554">
        <f>IF(H1554="Compliant","N/A",IF(J1554&lt;&gt;"","Closed",IF(I1554&lt;DATE(2026,9,30),"OVERDUE","Open")))</f>
        <v/>
      </c>
    </row>
    <row r="1555">
      <c r="A1555" t="inlineStr">
        <is>
          <t>INSP-2026-1554</t>
        </is>
      </c>
      <c r="B1555" s="6" t="n">
        <v>46251</v>
      </c>
      <c r="C1555" t="inlineStr">
        <is>
          <t>U-CD118-02-05</t>
        </is>
      </c>
      <c r="D1555" t="inlineStr">
        <is>
          <t>Cendana</t>
        </is>
      </c>
      <c r="E1555" t="inlineStr">
        <is>
          <t>Marcus Lim</t>
        </is>
      </c>
      <c r="F1555" t="inlineStr">
        <is>
          <t>Routine</t>
        </is>
      </c>
      <c r="G1555" t="inlineStr">
        <is>
          <t>UNAPPROVED_AA</t>
        </is>
      </c>
      <c r="H1555" t="inlineStr">
        <is>
          <t>Minor Breach</t>
        </is>
      </c>
      <c r="I1555" s="6" t="n">
        <v>46265</v>
      </c>
      <c r="J1555" s="6" t="n">
        <v>46273</v>
      </c>
      <c r="K1555">
        <f>IF(J1555="","",J1555-B1555)</f>
        <v/>
      </c>
      <c r="L1555">
        <f>IF(H1555="Compliant","N/A",IF(J1555&lt;&gt;"","Closed",IF(I1555&lt;DATE(2026,9,30),"OVERDUE","Open")))</f>
        <v/>
      </c>
    </row>
    <row r="1556">
      <c r="A1556" t="inlineStr">
        <is>
          <t>INSP-2026-1555</t>
        </is>
      </c>
      <c r="B1556" s="6" t="n">
        <v>46251</v>
      </c>
      <c r="C1556" t="inlineStr">
        <is>
          <t>U-BV219-01-06</t>
        </is>
      </c>
      <c r="D1556" t="inlineStr">
        <is>
          <t>Bayshore Vale</t>
        </is>
      </c>
      <c r="E1556" t="inlineStr">
        <is>
          <t>marcus</t>
        </is>
      </c>
      <c r="F1556" t="inlineStr">
        <is>
          <t>Follow-up</t>
        </is>
      </c>
      <c r="G1556" t="inlineStr">
        <is>
          <t>NONE</t>
        </is>
      </c>
      <c r="H1556" t="inlineStr">
        <is>
          <t>Compliant</t>
        </is>
      </c>
      <c r="I1556" s="6" t="n"/>
      <c r="J1556" s="6" t="n"/>
      <c r="K1556">
        <f>IF(J1556="","",J1556-B1556)</f>
        <v/>
      </c>
      <c r="L1556">
        <f>IF(H1556="Compliant","N/A",IF(J1556&lt;&gt;"","Closed",IF(I1556&lt;DATE(2026,9,30),"OVERDUE","Open")))</f>
        <v/>
      </c>
    </row>
    <row r="1557">
      <c r="A1557" t="inlineStr">
        <is>
          <t>INSP-2026-1556</t>
        </is>
      </c>
      <c r="B1557" s="6" t="n">
        <v>46251</v>
      </c>
      <c r="C1557" t="inlineStr">
        <is>
          <t>U-ST593-01-01</t>
        </is>
      </c>
      <c r="D1557" t="inlineStr">
        <is>
          <t>Sungai Tinggi</t>
        </is>
      </c>
      <c r="E1557" t="inlineStr">
        <is>
          <t>Ben Ho</t>
        </is>
      </c>
      <c r="F1557" t="inlineStr">
        <is>
          <t>Routine</t>
        </is>
      </c>
      <c r="G1557" t="inlineStr">
        <is>
          <t>DISPLAY_ENCROACH</t>
        </is>
      </c>
      <c r="H1557" t="inlineStr">
        <is>
          <t>Minor Breach</t>
        </is>
      </c>
      <c r="I1557" s="6" t="n">
        <v>46265</v>
      </c>
      <c r="J1557" s="6" t="n">
        <v>46263</v>
      </c>
      <c r="K1557">
        <f>IF(J1557="","",J1557-B1557)</f>
        <v/>
      </c>
      <c r="L1557">
        <f>IF(H1557="Compliant","N/A",IF(J1557&lt;&gt;"","Closed",IF(I1557&lt;DATE(2026,9,30),"OVERDUE","Open")))</f>
        <v/>
      </c>
    </row>
    <row r="1558">
      <c r="A1558" t="inlineStr">
        <is>
          <t>INSP-2026-1557</t>
        </is>
      </c>
      <c r="B1558" s="6" t="n">
        <v>46251</v>
      </c>
      <c r="C1558" t="inlineStr">
        <is>
          <t>U-ST512-01-09</t>
        </is>
      </c>
      <c r="D1558" t="inlineStr">
        <is>
          <t>Sungai Tinggi</t>
        </is>
      </c>
      <c r="E1558" t="inlineStr">
        <is>
          <t>Daniel O.</t>
        </is>
      </c>
      <c r="F1558" t="inlineStr">
        <is>
          <t>Routine</t>
        </is>
      </c>
      <c r="G1558" t="inlineStr">
        <is>
          <t>UNAUTH_TRADE</t>
        </is>
      </c>
      <c r="H1558" t="inlineStr">
        <is>
          <t>Major Breach</t>
        </is>
      </c>
      <c r="I1558" s="6" t="n">
        <v>46258</v>
      </c>
      <c r="J1558" s="6" t="n">
        <v>46268</v>
      </c>
      <c r="K1558">
        <f>IF(J1558="","",J1558-B1558)</f>
        <v/>
      </c>
      <c r="L1558">
        <f>IF(H1558="Compliant","N/A",IF(J1558&lt;&gt;"","Closed",IF(I1558&lt;DATE(2026,9,30),"OVERDUE","Open")))</f>
        <v/>
      </c>
    </row>
    <row r="1559">
      <c r="A1559" t="inlineStr">
        <is>
          <t>INSP-2026-1558</t>
        </is>
      </c>
      <c r="B1559" s="6" t="n">
        <v>46251</v>
      </c>
      <c r="C1559" t="inlineStr">
        <is>
          <t>U-BV283-01-02</t>
        </is>
      </c>
      <c r="D1559" t="inlineStr">
        <is>
          <t>Bayshore Vale</t>
        </is>
      </c>
      <c r="E1559" t="inlineStr">
        <is>
          <t>Daniel O.</t>
        </is>
      </c>
      <c r="F1559" t="inlineStr">
        <is>
          <t>Routine</t>
        </is>
      </c>
      <c r="G1559" t="inlineStr">
        <is>
          <t>NONE</t>
        </is>
      </c>
      <c r="H1559" t="inlineStr">
        <is>
          <t>Compliant</t>
        </is>
      </c>
      <c r="I1559" s="6" t="n"/>
      <c r="J1559" s="6" t="n"/>
      <c r="K1559">
        <f>IF(J1559="","",J1559-B1559)</f>
        <v/>
      </c>
      <c r="L1559">
        <f>IF(H1559="Compliant","N/A",IF(J1559&lt;&gt;"","Closed",IF(I1559&lt;DATE(2026,9,30),"OVERDUE","Open")))</f>
        <v/>
      </c>
    </row>
    <row r="1560">
      <c r="A1560" t="inlineStr">
        <is>
          <t>INSP-2026-1559</t>
        </is>
      </c>
      <c r="B1560" s="6" t="n">
        <v>46252</v>
      </c>
      <c r="C1560" t="inlineStr">
        <is>
          <t>U-CD131-01-03</t>
        </is>
      </c>
      <c r="D1560" t="inlineStr">
        <is>
          <t>Cendana</t>
        </is>
      </c>
      <c r="E1560" t="inlineStr">
        <is>
          <t>Marcus Lim</t>
        </is>
      </c>
      <c r="F1560" t="inlineStr">
        <is>
          <t>Routine</t>
        </is>
      </c>
      <c r="G1560" t="inlineStr">
        <is>
          <t>DISPLAY_ENCROACH</t>
        </is>
      </c>
      <c r="H1560" t="inlineStr">
        <is>
          <t>Minor Breach</t>
        </is>
      </c>
      <c r="I1560" s="6" t="n">
        <v>46266</v>
      </c>
      <c r="J1560" s="6" t="n">
        <v>46276</v>
      </c>
      <c r="K1560">
        <f>IF(J1560="","",J1560-B1560)</f>
        <v/>
      </c>
      <c r="L1560">
        <f>IF(H1560="Compliant","N/A",IF(J1560&lt;&gt;"","Closed",IF(I1560&lt;DATE(2026,9,30),"OVERDUE","Open")))</f>
        <v/>
      </c>
    </row>
    <row r="1561">
      <c r="A1561" t="inlineStr">
        <is>
          <t>INSP-2026-1560</t>
        </is>
      </c>
      <c r="B1561" s="6" t="n">
        <v>46252</v>
      </c>
      <c r="C1561" t="inlineStr">
        <is>
          <t>U-PI606-01-01</t>
        </is>
      </c>
      <c r="D1561" t="inlineStr">
        <is>
          <t>Pasir Indah</t>
        </is>
      </c>
      <c r="E1561" t="inlineStr">
        <is>
          <t>D. Ong</t>
        </is>
      </c>
      <c r="F1561" t="inlineStr">
        <is>
          <t>Routine</t>
        </is>
      </c>
      <c r="G1561" t="inlineStr">
        <is>
          <t>NONE</t>
        </is>
      </c>
      <c r="H1561" t="inlineStr">
        <is>
          <t>Compliant</t>
        </is>
      </c>
      <c r="I1561" s="6" t="n"/>
      <c r="J1561" s="6" t="n"/>
      <c r="K1561">
        <f>IF(J1561="","",J1561-B1561)</f>
        <v/>
      </c>
      <c r="L1561">
        <f>IF(H1561="Compliant","N/A",IF(J1561&lt;&gt;"","Closed",IF(I1561&lt;DATE(2026,9,30),"OVERDUE","Open")))</f>
        <v/>
      </c>
    </row>
    <row r="1562">
      <c r="A1562" t="inlineStr">
        <is>
          <t>INSP-2026-1561</t>
        </is>
      </c>
      <c r="B1562" s="6" t="n">
        <v>46252</v>
      </c>
      <c r="C1562" t="inlineStr">
        <is>
          <t>U-BV229-01-08</t>
        </is>
      </c>
      <c r="D1562" t="inlineStr">
        <is>
          <t>Bayshore Vale</t>
        </is>
      </c>
      <c r="E1562" t="inlineStr">
        <is>
          <t>marcus</t>
        </is>
      </c>
      <c r="F1562" t="inlineStr">
        <is>
          <t>Routine</t>
        </is>
      </c>
      <c r="G1562" t="inlineStr">
        <is>
          <t>NONE</t>
        </is>
      </c>
      <c r="H1562" t="inlineStr">
        <is>
          <t>Compliant</t>
        </is>
      </c>
      <c r="I1562" s="6" t="n"/>
      <c r="J1562" s="6" t="n"/>
      <c r="K1562">
        <f>IF(J1562="","",J1562-B1562)</f>
        <v/>
      </c>
      <c r="L1562">
        <f>IF(H1562="Compliant","N/A",IF(J1562&lt;&gt;"","Closed",IF(I1562&lt;DATE(2026,9,30),"OVERDUE","Open")))</f>
        <v/>
      </c>
    </row>
    <row r="1563">
      <c r="A1563" t="inlineStr">
        <is>
          <t>INSP-2026-1562</t>
        </is>
      </c>
      <c r="B1563" s="6" t="n">
        <v>46252</v>
      </c>
      <c r="C1563" t="inlineStr">
        <is>
          <t>U-BV296-01-06</t>
        </is>
      </c>
      <c r="D1563" t="inlineStr">
        <is>
          <t>Bayshore Vale</t>
        </is>
      </c>
      <c r="E1563" t="inlineStr">
        <is>
          <t>M. Lim</t>
        </is>
      </c>
      <c r="F1563" t="inlineStr">
        <is>
          <t>Complaint-driven</t>
        </is>
      </c>
      <c r="G1563" t="inlineStr">
        <is>
          <t>NONE</t>
        </is>
      </c>
      <c r="H1563" t="inlineStr">
        <is>
          <t>Compliant</t>
        </is>
      </c>
      <c r="I1563" s="6" t="n"/>
      <c r="J1563" s="6" t="n"/>
      <c r="K1563">
        <f>IF(J1563="","",J1563-B1563)</f>
        <v/>
      </c>
      <c r="L1563">
        <f>IF(H1563="Compliant","N/A",IF(J1563&lt;&gt;"","Closed",IF(I1563&lt;DATE(2026,9,30),"OVERDUE","Open")))</f>
        <v/>
      </c>
    </row>
    <row r="1564">
      <c r="A1564" t="inlineStr">
        <is>
          <t>INSP-2026-1563</t>
        </is>
      </c>
      <c r="B1564" s="6" t="n">
        <v>46252</v>
      </c>
      <c r="C1564" t="inlineStr">
        <is>
          <t>U-RH473-01-03</t>
        </is>
      </c>
      <c r="D1564" t="inlineStr">
        <is>
          <t>Rimba Heights</t>
        </is>
      </c>
      <c r="E1564" t="inlineStr">
        <is>
          <t>Benjamin Ho</t>
        </is>
      </c>
      <c r="F1564" t="inlineStr">
        <is>
          <t>Routine</t>
        </is>
      </c>
      <c r="G1564" t="inlineStr">
        <is>
          <t>FIRE_SAFETY</t>
        </is>
      </c>
      <c r="H1564" t="inlineStr">
        <is>
          <t>Major Breach</t>
        </is>
      </c>
      <c r="I1564" s="6" t="n">
        <v>46259</v>
      </c>
      <c r="J1564" s="6" t="n">
        <v>46255</v>
      </c>
      <c r="K1564">
        <f>IF(J1564="","",J1564-B1564)</f>
        <v/>
      </c>
      <c r="L1564">
        <f>IF(H1564="Compliant","N/A",IF(J1564&lt;&gt;"","Closed",IF(I1564&lt;DATE(2026,9,30),"OVERDUE","Open")))</f>
        <v/>
      </c>
    </row>
    <row r="1565">
      <c r="A1565" t="inlineStr">
        <is>
          <t>INSP-2026-1564</t>
        </is>
      </c>
      <c r="B1565" s="6" t="n">
        <v>46252</v>
      </c>
      <c r="C1565" t="inlineStr">
        <is>
          <t>U-BV229-01-11</t>
        </is>
      </c>
      <c r="D1565" t="inlineStr">
        <is>
          <t>Bayshore Vale</t>
        </is>
      </c>
      <c r="E1565" t="inlineStr">
        <is>
          <t>daniel ong</t>
        </is>
      </c>
      <c r="F1565" t="inlineStr">
        <is>
          <t>Follow-up</t>
        </is>
      </c>
      <c r="G1565" t="inlineStr">
        <is>
          <t>NONE</t>
        </is>
      </c>
      <c r="H1565" t="inlineStr">
        <is>
          <t>Compliant</t>
        </is>
      </c>
      <c r="I1565" s="6" t="n"/>
      <c r="J1565" s="6" t="n"/>
      <c r="K1565">
        <f>IF(J1565="","",J1565-B1565)</f>
        <v/>
      </c>
      <c r="L1565">
        <f>IF(H1565="Compliant","N/A",IF(J1565&lt;&gt;"","Closed",IF(I1565&lt;DATE(2026,9,30),"OVERDUE","Open")))</f>
        <v/>
      </c>
    </row>
    <row r="1566">
      <c r="A1566" t="inlineStr">
        <is>
          <t>INSP-2026-1565</t>
        </is>
      </c>
      <c r="B1566" s="6" t="n">
        <v>46252</v>
      </c>
      <c r="C1566" t="inlineStr">
        <is>
          <t>U-KR345-01-02</t>
        </is>
      </c>
      <c r="D1566" t="inlineStr">
        <is>
          <t>Kebun Raya</t>
        </is>
      </c>
      <c r="E1566" t="inlineStr">
        <is>
          <t>Daniel Ong</t>
        </is>
      </c>
      <c r="F1566" t="inlineStr">
        <is>
          <t>Complaint-driven</t>
        </is>
      </c>
      <c r="G1566" t="inlineStr">
        <is>
          <t>NONE</t>
        </is>
      </c>
      <c r="H1566" t="inlineStr">
        <is>
          <t>Compliant</t>
        </is>
      </c>
      <c r="I1566" s="6" t="n"/>
      <c r="J1566" s="6" t="n"/>
      <c r="K1566">
        <f>IF(J1566="","",J1566-B1566)</f>
        <v/>
      </c>
      <c r="L1566">
        <f>IF(H1566="Compliant","N/A",IF(J1566&lt;&gt;"","Closed",IF(I1566&lt;DATE(2026,9,30),"OVERDUE","Open")))</f>
        <v/>
      </c>
    </row>
    <row r="1567">
      <c r="A1567" t="inlineStr">
        <is>
          <t>INSP-2026-1566</t>
        </is>
      </c>
      <c r="B1567" s="6" t="n">
        <v>46252</v>
      </c>
      <c r="C1567" t="inlineStr">
        <is>
          <t>U-KR371-01-12</t>
        </is>
      </c>
      <c r="D1567" t="inlineStr">
        <is>
          <t>Kebun Raya</t>
        </is>
      </c>
      <c r="E1567" t="inlineStr">
        <is>
          <t>D. Ong</t>
        </is>
      </c>
      <c r="F1567" t="inlineStr">
        <is>
          <t>Follow-up</t>
        </is>
      </c>
      <c r="G1567" t="inlineStr">
        <is>
          <t>HYGIENE</t>
        </is>
      </c>
      <c r="H1567" t="inlineStr">
        <is>
          <t>Minor Breach</t>
        </is>
      </c>
      <c r="I1567" s="6" t="n">
        <v>46266</v>
      </c>
      <c r="J1567" s="6" t="n">
        <v>46275</v>
      </c>
      <c r="K1567">
        <f>IF(J1567="","",J1567-B1567)</f>
        <v/>
      </c>
      <c r="L1567">
        <f>IF(H1567="Compliant","N/A",IF(J1567&lt;&gt;"","Closed",IF(I1567&lt;DATE(2026,9,30),"OVERDUE","Open")))</f>
        <v/>
      </c>
    </row>
    <row r="1568">
      <c r="A1568" t="inlineStr">
        <is>
          <t>INSP-2026-1567</t>
        </is>
      </c>
      <c r="B1568" s="6" t="n">
        <v>46252</v>
      </c>
      <c r="C1568" t="inlineStr">
        <is>
          <t>U-ST591-01-02</t>
        </is>
      </c>
      <c r="D1568" t="inlineStr">
        <is>
          <t>Sungai Tinggi</t>
        </is>
      </c>
      <c r="E1568" t="inlineStr">
        <is>
          <t>Ben Ho</t>
        </is>
      </c>
      <c r="F1568" t="inlineStr">
        <is>
          <t>Routine</t>
        </is>
      </c>
      <c r="G1568" t="inlineStr">
        <is>
          <t>NONE</t>
        </is>
      </c>
      <c r="H1568" t="inlineStr">
        <is>
          <t>Compliant</t>
        </is>
      </c>
      <c r="I1568" s="6" t="n"/>
      <c r="J1568" s="6" t="n"/>
      <c r="K1568">
        <f>IF(J1568="","",J1568-B1568)</f>
        <v/>
      </c>
      <c r="L1568">
        <f>IF(H1568="Compliant","N/A",IF(J1568&lt;&gt;"","Closed",IF(I1568&lt;DATE(2026,9,30),"OVERDUE","Open")))</f>
        <v/>
      </c>
    </row>
    <row r="1569">
      <c r="A1569" t="inlineStr">
        <is>
          <t>INSP-2026-1568</t>
        </is>
      </c>
      <c r="B1569" s="6" t="n">
        <v>46253</v>
      </c>
      <c r="C1569" t="inlineStr">
        <is>
          <t>U-KR323-01-04</t>
        </is>
      </c>
      <c r="D1569" t="inlineStr">
        <is>
          <t>Kebun Raya</t>
        </is>
      </c>
      <c r="E1569" t="inlineStr">
        <is>
          <t>Benjamin Ho</t>
        </is>
      </c>
      <c r="F1569" t="inlineStr">
        <is>
          <t>Routine</t>
        </is>
      </c>
      <c r="G1569" t="inlineStr">
        <is>
          <t>DISPLAY_ENCROACH</t>
        </is>
      </c>
      <c r="H1569" t="inlineStr">
        <is>
          <t>Minor Breach</t>
        </is>
      </c>
      <c r="I1569" s="6" t="n">
        <v>46267</v>
      </c>
      <c r="J1569" s="6" t="n"/>
      <c r="K1569">
        <f>IF(J1569="","",J1569-B1569)</f>
        <v/>
      </c>
      <c r="L1569">
        <f>IF(H1569="Compliant","N/A",IF(J1569&lt;&gt;"","Closed",IF(I1569&lt;DATE(2026,9,30),"OVERDUE","Open")))</f>
        <v/>
      </c>
    </row>
    <row r="1570">
      <c r="A1570" t="inlineStr">
        <is>
          <t>INSP-2026-1569</t>
        </is>
      </c>
      <c r="B1570" s="6" t="n">
        <v>46253</v>
      </c>
      <c r="C1570" t="inlineStr">
        <is>
          <t>U-BV214-01-01</t>
        </is>
      </c>
      <c r="D1570" t="inlineStr">
        <is>
          <t>Bayshore Vale</t>
        </is>
      </c>
      <c r="E1570" t="inlineStr">
        <is>
          <t>M. Lim</t>
        </is>
      </c>
      <c r="F1570" t="inlineStr">
        <is>
          <t>Routine</t>
        </is>
      </c>
      <c r="G1570" t="inlineStr">
        <is>
          <t>NONE</t>
        </is>
      </c>
      <c r="H1570" t="inlineStr">
        <is>
          <t>Compliant</t>
        </is>
      </c>
      <c r="I1570" s="6" t="n"/>
      <c r="J1570" s="6" t="n"/>
      <c r="K1570">
        <f>IF(J1570="","",J1570-B1570)</f>
        <v/>
      </c>
      <c r="L1570">
        <f>IF(H1570="Compliant","N/A",IF(J1570&lt;&gt;"","Closed",IF(I1570&lt;DATE(2026,9,30),"OVERDUE","Open")))</f>
        <v/>
      </c>
    </row>
    <row r="1571">
      <c r="A1571" t="inlineStr">
        <is>
          <t>INSP-2026-1570</t>
        </is>
      </c>
      <c r="B1571" s="6" t="n">
        <v>46253</v>
      </c>
      <c r="C1571" t="inlineStr">
        <is>
          <t>U-KR323-01-07</t>
        </is>
      </c>
      <c r="D1571" t="inlineStr">
        <is>
          <t>Kebun Raya</t>
        </is>
      </c>
      <c r="E1571" t="inlineStr">
        <is>
          <t>Ben Ho</t>
        </is>
      </c>
      <c r="F1571" t="inlineStr">
        <is>
          <t>Routine</t>
        </is>
      </c>
      <c r="G1571" t="inlineStr">
        <is>
          <t>NONE</t>
        </is>
      </c>
      <c r="H1571" t="inlineStr">
        <is>
          <t>Compliant</t>
        </is>
      </c>
      <c r="I1571" s="6" t="n"/>
      <c r="J1571" s="6" t="n"/>
      <c r="K1571">
        <f>IF(J1571="","",J1571-B1571)</f>
        <v/>
      </c>
      <c r="L1571">
        <f>IF(H1571="Compliant","N/A",IF(J1571&lt;&gt;"","Closed",IF(I1571&lt;DATE(2026,9,30),"OVERDUE","Open")))</f>
        <v/>
      </c>
    </row>
    <row r="1572">
      <c r="A1572" t="inlineStr">
        <is>
          <t>INSP-2026-1571</t>
        </is>
      </c>
      <c r="B1572" s="6" t="n">
        <v>46253</v>
      </c>
      <c r="C1572" t="inlineStr">
        <is>
          <t>U-ST512-01-18</t>
        </is>
      </c>
      <c r="D1572" t="inlineStr">
        <is>
          <t>Sungai Tinggi</t>
        </is>
      </c>
      <c r="E1572" t="inlineStr">
        <is>
          <t>daniel ong</t>
        </is>
      </c>
      <c r="F1572" t="inlineStr">
        <is>
          <t>Routine</t>
        </is>
      </c>
      <c r="G1572" t="inlineStr">
        <is>
          <t>UNAPPROVED_AA</t>
        </is>
      </c>
      <c r="H1572" t="inlineStr">
        <is>
          <t>Minor Breach</t>
        </is>
      </c>
      <c r="I1572" s="6" t="n">
        <v>46267</v>
      </c>
      <c r="J1572" s="6" t="n">
        <v>46266</v>
      </c>
      <c r="K1572">
        <f>IF(J1572="","",J1572-B1572)</f>
        <v/>
      </c>
      <c r="L1572">
        <f>IF(H1572="Compliant","N/A",IF(J1572&lt;&gt;"","Closed",IF(I1572&lt;DATE(2026,9,30),"OVERDUE","Open")))</f>
        <v/>
      </c>
    </row>
    <row r="1573">
      <c r="A1573" t="inlineStr">
        <is>
          <t>INSP-2026-1572</t>
        </is>
      </c>
      <c r="B1573" s="6" t="n">
        <v>46253</v>
      </c>
      <c r="C1573" t="inlineStr">
        <is>
          <t>U-ST512-01-12</t>
        </is>
      </c>
      <c r="D1573" t="inlineStr">
        <is>
          <t>Sungai Tinggi</t>
        </is>
      </c>
      <c r="E1573" t="inlineStr">
        <is>
          <t>Ben Ho</t>
        </is>
      </c>
      <c r="F1573" t="inlineStr">
        <is>
          <t>Routine</t>
        </is>
      </c>
      <c r="G1573" t="inlineStr">
        <is>
          <t>NONE</t>
        </is>
      </c>
      <c r="H1573" t="inlineStr">
        <is>
          <t>Compliant</t>
        </is>
      </c>
      <c r="I1573" s="6" t="n"/>
      <c r="J1573" s="6" t="n"/>
      <c r="K1573">
        <f>IF(J1573="","",J1573-B1573)</f>
        <v/>
      </c>
      <c r="L1573">
        <f>IF(H1573="Compliant","N/A",IF(J1573&lt;&gt;"","Closed",IF(I1573&lt;DATE(2026,9,30),"OVERDUE","Open")))</f>
        <v/>
      </c>
    </row>
    <row r="1574">
      <c r="A1574" t="inlineStr">
        <is>
          <t>INSP-2026-1573</t>
        </is>
      </c>
      <c r="B1574" s="6" t="n">
        <v>46254</v>
      </c>
      <c r="C1574" t="inlineStr">
        <is>
          <t>U-RH466-01-10</t>
        </is>
      </c>
      <c r="D1574" t="inlineStr">
        <is>
          <t>Rimba Heights</t>
        </is>
      </c>
      <c r="E1574" t="inlineStr">
        <is>
          <t>Ben Ho</t>
        </is>
      </c>
      <c r="F1574" t="inlineStr">
        <is>
          <t>Routine</t>
        </is>
      </c>
      <c r="G1574" t="inlineStr">
        <is>
          <t>HYGIENE</t>
        </is>
      </c>
      <c r="H1574" t="inlineStr">
        <is>
          <t>Minor Breach</t>
        </is>
      </c>
      <c r="I1574" s="6" t="n">
        <v>46268</v>
      </c>
      <c r="J1574" s="6" t="n">
        <v>46272</v>
      </c>
      <c r="K1574">
        <f>IF(J1574="","",J1574-B1574)</f>
        <v/>
      </c>
      <c r="L1574">
        <f>IF(H1574="Compliant","N/A",IF(J1574&lt;&gt;"","Closed",IF(I1574&lt;DATE(2026,9,30),"OVERDUE","Open")))</f>
        <v/>
      </c>
    </row>
    <row r="1575">
      <c r="A1575" t="inlineStr">
        <is>
          <t>INSP-2026-1574</t>
        </is>
      </c>
      <c r="B1575" s="6" t="n">
        <v>46254</v>
      </c>
      <c r="C1575" t="inlineStr">
        <is>
          <t>U-KR330-01-08</t>
        </is>
      </c>
      <c r="D1575" t="inlineStr">
        <is>
          <t>Kebun Raya</t>
        </is>
      </c>
      <c r="E1575" t="inlineStr">
        <is>
          <t>Benjamin Ho</t>
        </is>
      </c>
      <c r="F1575" t="inlineStr">
        <is>
          <t>Follow-up</t>
        </is>
      </c>
      <c r="G1575" t="inlineStr">
        <is>
          <t>NONE</t>
        </is>
      </c>
      <c r="H1575" t="inlineStr">
        <is>
          <t>Compliant</t>
        </is>
      </c>
      <c r="I1575" s="6" t="n"/>
      <c r="J1575" s="6" t="n"/>
      <c r="K1575">
        <f>IF(J1575="","",J1575-B1575)</f>
        <v/>
      </c>
      <c r="L1575">
        <f>IF(H1575="Compliant","N/A",IF(J1575&lt;&gt;"","Closed",IF(I1575&lt;DATE(2026,9,30),"OVERDUE","Open")))</f>
        <v/>
      </c>
    </row>
    <row r="1576">
      <c r="A1576" t="inlineStr">
        <is>
          <t>INSP-2026-1575</t>
        </is>
      </c>
      <c r="B1576" s="6" t="n">
        <v>46254</v>
      </c>
      <c r="C1576" t="inlineStr">
        <is>
          <t>U-RH484-01-09</t>
        </is>
      </c>
      <c r="D1576" t="inlineStr">
        <is>
          <t>Rimba Heights</t>
        </is>
      </c>
      <c r="E1576" t="inlineStr">
        <is>
          <t>Daniel Ong</t>
        </is>
      </c>
      <c r="F1576" t="inlineStr">
        <is>
          <t>Follow-up</t>
        </is>
      </c>
      <c r="G1576" t="inlineStr">
        <is>
          <t>HYGIENE</t>
        </is>
      </c>
      <c r="H1576" t="inlineStr">
        <is>
          <t>Minor Breach</t>
        </is>
      </c>
      <c r="I1576" s="6" t="n">
        <v>46268</v>
      </c>
      <c r="J1576" s="6" t="n">
        <v>46277</v>
      </c>
      <c r="K1576">
        <f>IF(J1576="","",J1576-B1576)</f>
        <v/>
      </c>
      <c r="L1576">
        <f>IF(H1576="Compliant","N/A",IF(J1576&lt;&gt;"","Closed",IF(I1576&lt;DATE(2026,9,30),"OVERDUE","Open")))</f>
        <v/>
      </c>
    </row>
    <row r="1577">
      <c r="A1577" t="inlineStr">
        <is>
          <t>INSP-2026-1576</t>
        </is>
      </c>
      <c r="B1577" s="6" t="n">
        <v>46254</v>
      </c>
      <c r="C1577" t="inlineStr">
        <is>
          <t>U-BV214-01-02</t>
        </is>
      </c>
      <c r="D1577" t="inlineStr">
        <is>
          <t>Bayshore Vale</t>
        </is>
      </c>
      <c r="E1577" t="inlineStr">
        <is>
          <t>Daniel Ong</t>
        </is>
      </c>
      <c r="F1577" t="inlineStr">
        <is>
          <t>Follow-up</t>
        </is>
      </c>
      <c r="G1577" t="inlineStr">
        <is>
          <t>NONE</t>
        </is>
      </c>
      <c r="H1577" t="inlineStr">
        <is>
          <t>Compliant</t>
        </is>
      </c>
      <c r="I1577" s="6" t="n"/>
      <c r="J1577" s="6" t="n"/>
      <c r="K1577">
        <f>IF(J1577="","",J1577-B1577)</f>
        <v/>
      </c>
      <c r="L1577">
        <f>IF(H1577="Compliant","N/A",IF(J1577&lt;&gt;"","Closed",IF(I1577&lt;DATE(2026,9,30),"OVERDUE","Open")))</f>
        <v/>
      </c>
    </row>
    <row r="1578">
      <c r="A1578" t="inlineStr">
        <is>
          <t>INSP-2026-1577</t>
        </is>
      </c>
      <c r="B1578" s="6" t="n">
        <v>46254</v>
      </c>
      <c r="C1578" t="inlineStr">
        <is>
          <t>U-PI614-01-01</t>
        </is>
      </c>
      <c r="D1578" t="inlineStr">
        <is>
          <t>Pasir Indah</t>
        </is>
      </c>
      <c r="E1578" t="inlineStr">
        <is>
          <t>D. Ong</t>
        </is>
      </c>
      <c r="F1578" t="inlineStr">
        <is>
          <t>Follow-up</t>
        </is>
      </c>
      <c r="G1578" t="inlineStr">
        <is>
          <t>NONE</t>
        </is>
      </c>
      <c r="H1578" t="inlineStr">
        <is>
          <t>Compliant</t>
        </is>
      </c>
      <c r="I1578" s="6" t="n"/>
      <c r="J1578" s="6" t="n"/>
      <c r="K1578">
        <f>IF(J1578="","",J1578-B1578)</f>
        <v/>
      </c>
      <c r="L1578">
        <f>IF(H1578="Compliant","N/A",IF(J1578&lt;&gt;"","Closed",IF(I1578&lt;DATE(2026,9,30),"OVERDUE","Open")))</f>
        <v/>
      </c>
    </row>
    <row r="1579">
      <c r="A1579" t="inlineStr">
        <is>
          <t>INSP-2026-1578</t>
        </is>
      </c>
      <c r="B1579" s="6" t="n">
        <v>46255</v>
      </c>
      <c r="C1579" t="inlineStr">
        <is>
          <t>U-PI678-01-03</t>
        </is>
      </c>
      <c r="D1579" t="inlineStr">
        <is>
          <t>Pasir Indah</t>
        </is>
      </c>
      <c r="E1579" t="inlineStr">
        <is>
          <t>Daniel Ong</t>
        </is>
      </c>
      <c r="F1579" t="inlineStr">
        <is>
          <t>Routine</t>
        </is>
      </c>
      <c r="G1579" t="inlineStr">
        <is>
          <t>UNAUTH_SUBLET</t>
        </is>
      </c>
      <c r="H1579" t="inlineStr">
        <is>
          <t>Major Breach</t>
        </is>
      </c>
      <c r="I1579" s="6" t="n">
        <v>46262</v>
      </c>
      <c r="J1579" s="6" t="n">
        <v>46264</v>
      </c>
      <c r="K1579">
        <f>IF(J1579="","",J1579-B1579)</f>
        <v/>
      </c>
      <c r="L1579">
        <f>IF(H1579="Compliant","N/A",IF(J1579&lt;&gt;"","Closed",IF(I1579&lt;DATE(2026,9,30),"OVERDUE","Open")))</f>
        <v/>
      </c>
    </row>
    <row r="1580">
      <c r="A1580" t="inlineStr">
        <is>
          <t>INSP-2026-1579</t>
        </is>
      </c>
      <c r="B1580" s="6" t="n">
        <v>46255</v>
      </c>
      <c r="C1580" t="inlineStr">
        <is>
          <t>U-CD142-01-12</t>
        </is>
      </c>
      <c r="D1580" t="inlineStr">
        <is>
          <t>Cendana</t>
        </is>
      </c>
      <c r="E1580" t="inlineStr">
        <is>
          <t>Daniel Ong</t>
        </is>
      </c>
      <c r="F1580" t="inlineStr">
        <is>
          <t>Routine</t>
        </is>
      </c>
      <c r="G1580" t="inlineStr">
        <is>
          <t>NONE</t>
        </is>
      </c>
      <c r="H1580" t="inlineStr">
        <is>
          <t>Compliant</t>
        </is>
      </c>
      <c r="I1580" s="6" t="n"/>
      <c r="J1580" s="6" t="n"/>
      <c r="K1580">
        <f>IF(J1580="","",J1580-B1580)</f>
        <v/>
      </c>
      <c r="L1580">
        <f>IF(H1580="Compliant","N/A",IF(J1580&lt;&gt;"","Closed",IF(I1580&lt;DATE(2026,9,30),"OVERDUE","Open")))</f>
        <v/>
      </c>
    </row>
    <row r="1581">
      <c r="A1581" t="inlineStr">
        <is>
          <t>INSP-2026-1580</t>
        </is>
      </c>
      <c r="B1581" s="6" t="n">
        <v>46255</v>
      </c>
      <c r="C1581" t="inlineStr">
        <is>
          <t>U-CD181-01-08</t>
        </is>
      </c>
      <c r="D1581" t="inlineStr">
        <is>
          <t>Cendana</t>
        </is>
      </c>
      <c r="E1581" t="inlineStr">
        <is>
          <t>marcus</t>
        </is>
      </c>
      <c r="F1581" t="inlineStr">
        <is>
          <t>Routine</t>
        </is>
      </c>
      <c r="G1581" t="inlineStr">
        <is>
          <t>NONE</t>
        </is>
      </c>
      <c r="H1581" t="inlineStr">
        <is>
          <t>Compliant</t>
        </is>
      </c>
      <c r="I1581" s="6" t="n"/>
      <c r="J1581" s="6" t="n"/>
      <c r="K1581">
        <f>IF(J1581="","",J1581-B1581)</f>
        <v/>
      </c>
      <c r="L1581">
        <f>IF(H1581="Compliant","N/A",IF(J1581&lt;&gt;"","Closed",IF(I1581&lt;DATE(2026,9,30),"OVERDUE","Open")))</f>
        <v/>
      </c>
    </row>
    <row r="1582">
      <c r="A1582" t="inlineStr">
        <is>
          <t>INSP-2026-1581</t>
        </is>
      </c>
      <c r="B1582" s="6" t="n">
        <v>46255</v>
      </c>
      <c r="C1582" t="inlineStr">
        <is>
          <t>U-PI646-01-04</t>
        </is>
      </c>
      <c r="D1582" t="inlineStr">
        <is>
          <t>Pasir Indah</t>
        </is>
      </c>
      <c r="E1582" t="inlineStr">
        <is>
          <t>marcus</t>
        </is>
      </c>
      <c r="F1582" t="inlineStr">
        <is>
          <t>Routine</t>
        </is>
      </c>
      <c r="G1582" t="inlineStr">
        <is>
          <t>NONE</t>
        </is>
      </c>
      <c r="H1582" t="inlineStr">
        <is>
          <t>Compliant</t>
        </is>
      </c>
      <c r="I1582" s="6" t="n"/>
      <c r="J1582" s="6" t="n"/>
      <c r="K1582">
        <f>IF(J1582="","",J1582-B1582)</f>
        <v/>
      </c>
      <c r="L1582">
        <f>IF(H1582="Compliant","N/A",IF(J1582&lt;&gt;"","Closed",IF(I1582&lt;DATE(2026,9,30),"OVERDUE","Open")))</f>
        <v/>
      </c>
    </row>
    <row r="1583">
      <c r="A1583" t="inlineStr">
        <is>
          <t>INSP-2026-1582</t>
        </is>
      </c>
      <c r="B1583" s="6" t="n">
        <v>46255</v>
      </c>
      <c r="C1583" t="inlineStr">
        <is>
          <t>U-PI625-01-07</t>
        </is>
      </c>
      <c r="D1583" t="inlineStr">
        <is>
          <t>Pasir Indah</t>
        </is>
      </c>
      <c r="E1583" t="inlineStr">
        <is>
          <t>marcus</t>
        </is>
      </c>
      <c r="F1583" t="inlineStr">
        <is>
          <t>Routine</t>
        </is>
      </c>
      <c r="G1583" t="inlineStr">
        <is>
          <t>NONE</t>
        </is>
      </c>
      <c r="H1583" t="inlineStr">
        <is>
          <t>Compliant</t>
        </is>
      </c>
      <c r="I1583" s="6" t="n"/>
      <c r="J1583" s="6" t="n"/>
      <c r="K1583">
        <f>IF(J1583="","",J1583-B1583)</f>
        <v/>
      </c>
      <c r="L1583">
        <f>IF(H1583="Compliant","N/A",IF(J1583&lt;&gt;"","Closed",IF(I1583&lt;DATE(2026,9,30),"OVERDUE","Open")))</f>
        <v/>
      </c>
    </row>
    <row r="1584">
      <c r="A1584" t="inlineStr">
        <is>
          <t>INSP-2026-1583</t>
        </is>
      </c>
      <c r="B1584" s="6" t="n">
        <v>46255</v>
      </c>
      <c r="C1584" t="inlineStr">
        <is>
          <t>U-PI606-01-07</t>
        </is>
      </c>
      <c r="D1584" t="inlineStr">
        <is>
          <t>Pasir Indah</t>
        </is>
      </c>
      <c r="E1584" t="inlineStr">
        <is>
          <t>marcus</t>
        </is>
      </c>
      <c r="F1584" t="inlineStr">
        <is>
          <t>Complaint-driven</t>
        </is>
      </c>
      <c r="G1584" t="inlineStr">
        <is>
          <t>NONE</t>
        </is>
      </c>
      <c r="H1584" t="inlineStr">
        <is>
          <t>Compliant</t>
        </is>
      </c>
      <c r="I1584" s="6" t="n"/>
      <c r="J1584" s="6" t="n"/>
      <c r="K1584">
        <f>IF(J1584="","",J1584-B1584)</f>
        <v/>
      </c>
      <c r="L1584">
        <f>IF(H1584="Compliant","N/A",IF(J1584&lt;&gt;"","Closed",IF(I1584&lt;DATE(2026,9,30),"OVERDUE","Open")))</f>
        <v/>
      </c>
    </row>
    <row r="1585">
      <c r="A1585" t="inlineStr">
        <is>
          <t>INSP-2026-1584</t>
        </is>
      </c>
      <c r="B1585" s="6" t="n">
        <v>46255</v>
      </c>
      <c r="C1585" t="inlineStr">
        <is>
          <t>U-BV231-01-08</t>
        </is>
      </c>
      <c r="D1585" t="inlineStr">
        <is>
          <t>Bayshore Vale</t>
        </is>
      </c>
      <c r="E1585" t="inlineStr">
        <is>
          <t>M. Lim</t>
        </is>
      </c>
      <c r="F1585" t="inlineStr">
        <is>
          <t>Routine</t>
        </is>
      </c>
      <c r="G1585" t="inlineStr">
        <is>
          <t>NONE</t>
        </is>
      </c>
      <c r="H1585" t="inlineStr">
        <is>
          <t>Compliant</t>
        </is>
      </c>
      <c r="I1585" s="6" t="n"/>
      <c r="J1585" s="6" t="n"/>
      <c r="K1585">
        <f>IF(J1585="","",J1585-B1585)</f>
        <v/>
      </c>
      <c r="L1585">
        <f>IF(H1585="Compliant","N/A",IF(J1585&lt;&gt;"","Closed",IF(I1585&lt;DATE(2026,9,30),"OVERDUE","Open")))</f>
        <v/>
      </c>
    </row>
    <row r="1586">
      <c r="A1586" t="inlineStr">
        <is>
          <t>INSP-2026-1585</t>
        </is>
      </c>
      <c r="B1586" s="6" t="n">
        <v>46256</v>
      </c>
      <c r="C1586" t="inlineStr">
        <is>
          <t>U-KR372-01-05</t>
        </is>
      </c>
      <c r="D1586" t="inlineStr">
        <is>
          <t>Kebun Raya</t>
        </is>
      </c>
      <c r="E1586" t="inlineStr">
        <is>
          <t>Benjamin Ho</t>
        </is>
      </c>
      <c r="F1586" t="inlineStr">
        <is>
          <t>Routine</t>
        </is>
      </c>
      <c r="G1586" t="inlineStr">
        <is>
          <t>NONE</t>
        </is>
      </c>
      <c r="H1586" t="inlineStr">
        <is>
          <t>Compliant</t>
        </is>
      </c>
      <c r="I1586" s="6" t="n"/>
      <c r="J1586" s="6" t="n"/>
      <c r="K1586">
        <f>IF(J1586="","",J1586-B1586)</f>
        <v/>
      </c>
      <c r="L1586">
        <f>IF(H1586="Compliant","N/A",IF(J1586&lt;&gt;"","Closed",IF(I1586&lt;DATE(2026,9,30),"OVERDUE","Open")))</f>
        <v/>
      </c>
    </row>
    <row r="1587">
      <c r="A1587" t="inlineStr">
        <is>
          <t>INSP-2026-1586</t>
        </is>
      </c>
      <c r="B1587" s="6" t="n">
        <v>46256</v>
      </c>
      <c r="C1587" t="inlineStr">
        <is>
          <t>U-CD185-02-04</t>
        </is>
      </c>
      <c r="D1587" t="inlineStr">
        <is>
          <t>Cendana</t>
        </is>
      </c>
      <c r="E1587" t="inlineStr">
        <is>
          <t>Marcus Lim</t>
        </is>
      </c>
      <c r="F1587" t="inlineStr">
        <is>
          <t>Routine</t>
        </is>
      </c>
      <c r="G1587" t="inlineStr">
        <is>
          <t>DISPLAY_ENCROACH</t>
        </is>
      </c>
      <c r="H1587" t="inlineStr">
        <is>
          <t>Minor Breach</t>
        </is>
      </c>
      <c r="I1587" s="6" t="n">
        <v>46270</v>
      </c>
      <c r="J1587" s="6" t="n"/>
      <c r="K1587">
        <f>IF(J1587="","",J1587-B1587)</f>
        <v/>
      </c>
      <c r="L1587">
        <f>IF(H1587="Compliant","N/A",IF(J1587&lt;&gt;"","Closed",IF(I1587&lt;DATE(2026,9,30),"OVERDUE","Open")))</f>
        <v/>
      </c>
    </row>
    <row r="1588">
      <c r="A1588" t="inlineStr">
        <is>
          <t>INSP-2026-1587</t>
        </is>
      </c>
      <c r="B1588" s="6" t="n">
        <v>46256</v>
      </c>
      <c r="C1588" t="inlineStr">
        <is>
          <t>U-KR359-01-02</t>
        </is>
      </c>
      <c r="D1588" t="inlineStr">
        <is>
          <t>Kebun Raya</t>
        </is>
      </c>
      <c r="E1588" t="inlineStr">
        <is>
          <t>Daniel Ong</t>
        </is>
      </c>
      <c r="F1588" t="inlineStr">
        <is>
          <t>Routine</t>
        </is>
      </c>
      <c r="G1588" t="inlineStr">
        <is>
          <t>NONE</t>
        </is>
      </c>
      <c r="H1588" t="inlineStr">
        <is>
          <t>Compliant</t>
        </is>
      </c>
      <c r="I1588" s="6" t="n"/>
      <c r="J1588" s="6" t="n"/>
      <c r="K1588">
        <f>IF(J1588="","",J1588-B1588)</f>
        <v/>
      </c>
      <c r="L1588">
        <f>IF(H1588="Compliant","N/A",IF(J1588&lt;&gt;"","Closed",IF(I1588&lt;DATE(2026,9,30),"OVERDUE","Open")))</f>
        <v/>
      </c>
    </row>
    <row r="1589">
      <c r="A1589" t="inlineStr">
        <is>
          <t>INSP-2026-1588</t>
        </is>
      </c>
      <c r="B1589" s="6" t="n">
        <v>46256</v>
      </c>
      <c r="C1589" t="inlineStr">
        <is>
          <t>U-RH491-01-03</t>
        </is>
      </c>
      <c r="D1589" t="inlineStr">
        <is>
          <t>Rimba Heights</t>
        </is>
      </c>
      <c r="E1589" t="inlineStr">
        <is>
          <t>daniel ong</t>
        </is>
      </c>
      <c r="F1589" t="inlineStr">
        <is>
          <t>Routine</t>
        </is>
      </c>
      <c r="G1589" t="inlineStr">
        <is>
          <t>NONE</t>
        </is>
      </c>
      <c r="H1589" t="inlineStr">
        <is>
          <t>Compliant</t>
        </is>
      </c>
      <c r="I1589" s="6" t="n"/>
      <c r="J1589" s="6" t="n"/>
      <c r="K1589">
        <f>IF(J1589="","",J1589-B1589)</f>
        <v/>
      </c>
      <c r="L1589">
        <f>IF(H1589="Compliant","N/A",IF(J1589&lt;&gt;"","Closed",IF(I1589&lt;DATE(2026,9,30),"OVERDUE","Open")))</f>
        <v/>
      </c>
    </row>
    <row r="1590">
      <c r="A1590" t="inlineStr">
        <is>
          <t>INSP-2026-1589</t>
        </is>
      </c>
      <c r="B1590" s="6" t="n">
        <v>46257</v>
      </c>
      <c r="C1590" t="inlineStr">
        <is>
          <t>U-BV230-02-08</t>
        </is>
      </c>
      <c r="D1590" t="inlineStr">
        <is>
          <t>Bayshore Vale</t>
        </is>
      </c>
      <c r="E1590" t="inlineStr">
        <is>
          <t>D. Ong</t>
        </is>
      </c>
      <c r="F1590" t="inlineStr">
        <is>
          <t>Routine</t>
        </is>
      </c>
      <c r="G1590" t="inlineStr">
        <is>
          <t>NONE</t>
        </is>
      </c>
      <c r="H1590" t="inlineStr">
        <is>
          <t>Compliant</t>
        </is>
      </c>
      <c r="I1590" s="6" t="n"/>
      <c r="J1590" s="6" t="n"/>
      <c r="K1590">
        <f>IF(J1590="","",J1590-B1590)</f>
        <v/>
      </c>
      <c r="L1590">
        <f>IF(H1590="Compliant","N/A",IF(J1590&lt;&gt;"","Closed",IF(I1590&lt;DATE(2026,9,30),"OVERDUE","Open")))</f>
        <v/>
      </c>
    </row>
    <row r="1591">
      <c r="A1591" t="inlineStr">
        <is>
          <t>INSP-2026-1590</t>
        </is>
      </c>
      <c r="B1591" s="6" t="n">
        <v>46257</v>
      </c>
      <c r="C1591" t="inlineStr">
        <is>
          <t>U-ST590-01-02</t>
        </is>
      </c>
      <c r="D1591" t="inlineStr">
        <is>
          <t>Sungai Tinggi</t>
        </is>
      </c>
      <c r="E1591" t="inlineStr">
        <is>
          <t>Ben Ho</t>
        </is>
      </c>
      <c r="F1591" t="inlineStr">
        <is>
          <t>Routine</t>
        </is>
      </c>
      <c r="G1591" t="inlineStr">
        <is>
          <t>STRUCTURAL_DEFECT</t>
        </is>
      </c>
      <c r="H1591" t="inlineStr">
        <is>
          <t>Major Breach</t>
        </is>
      </c>
      <c r="I1591" s="6" t="n">
        <v>46264</v>
      </c>
      <c r="J1591" s="6" t="n">
        <v>46259</v>
      </c>
      <c r="K1591">
        <f>IF(J1591="","",J1591-B1591)</f>
        <v/>
      </c>
      <c r="L1591">
        <f>IF(H1591="Compliant","N/A",IF(J1591&lt;&gt;"","Closed",IF(I1591&lt;DATE(2026,9,30),"OVERDUE","Open")))</f>
        <v/>
      </c>
    </row>
    <row r="1592">
      <c r="A1592" t="inlineStr">
        <is>
          <t>INSP-2026-1591</t>
        </is>
      </c>
      <c r="B1592" s="6" t="n">
        <v>46257</v>
      </c>
      <c r="C1592" t="inlineStr">
        <is>
          <t>U-RH471-01-04</t>
        </is>
      </c>
      <c r="D1592" t="inlineStr">
        <is>
          <t>Rimba Heights</t>
        </is>
      </c>
      <c r="E1592" t="inlineStr">
        <is>
          <t>D. Ong</t>
        </is>
      </c>
      <c r="F1592" t="inlineStr">
        <is>
          <t>Routine</t>
        </is>
      </c>
      <c r="G1592" t="inlineStr">
        <is>
          <t>NONE</t>
        </is>
      </c>
      <c r="H1592" t="inlineStr">
        <is>
          <t>Compliant</t>
        </is>
      </c>
      <c r="I1592" s="6" t="n"/>
      <c r="J1592" s="6" t="n"/>
      <c r="K1592">
        <f>IF(J1592="","",J1592-B1592)</f>
        <v/>
      </c>
      <c r="L1592">
        <f>IF(H1592="Compliant","N/A",IF(J1592&lt;&gt;"","Closed",IF(I1592&lt;DATE(2026,9,30),"OVERDUE","Open")))</f>
        <v/>
      </c>
    </row>
    <row r="1593">
      <c r="A1593" t="inlineStr">
        <is>
          <t>INSP-2026-1592</t>
        </is>
      </c>
      <c r="B1593" s="6" t="n">
        <v>46257</v>
      </c>
      <c r="C1593" t="inlineStr">
        <is>
          <t>U-CD118-01-04</t>
        </is>
      </c>
      <c r="D1593" t="inlineStr">
        <is>
          <t>Cendana</t>
        </is>
      </c>
      <c r="E1593" t="inlineStr">
        <is>
          <t>Daniel Ong</t>
        </is>
      </c>
      <c r="F1593" t="inlineStr">
        <is>
          <t>Routine</t>
        </is>
      </c>
      <c r="G1593" t="inlineStr">
        <is>
          <t>NONE</t>
        </is>
      </c>
      <c r="H1593" t="inlineStr">
        <is>
          <t>Compliant</t>
        </is>
      </c>
      <c r="I1593" s="6" t="n"/>
      <c r="J1593" s="6" t="n"/>
      <c r="K1593">
        <f>IF(J1593="","",J1593-B1593)</f>
        <v/>
      </c>
      <c r="L1593">
        <f>IF(H1593="Compliant","N/A",IF(J1593&lt;&gt;"","Closed",IF(I1593&lt;DATE(2026,9,30),"OVERDUE","Open")))</f>
        <v/>
      </c>
    </row>
    <row r="1594">
      <c r="A1594" t="inlineStr">
        <is>
          <t>INSP-2026-1593</t>
        </is>
      </c>
      <c r="B1594" s="6" t="n">
        <v>46258</v>
      </c>
      <c r="C1594" t="inlineStr">
        <is>
          <t>U-KR359-01-10</t>
        </is>
      </c>
      <c r="D1594" t="inlineStr">
        <is>
          <t>Kebun Raya</t>
        </is>
      </c>
      <c r="E1594" t="inlineStr">
        <is>
          <t>daniel ong</t>
        </is>
      </c>
      <c r="F1594" t="inlineStr">
        <is>
          <t>Routine</t>
        </is>
      </c>
      <c r="G1594" t="inlineStr">
        <is>
          <t>DISPLAY_ENCROACH</t>
        </is>
      </c>
      <c r="H1594" t="inlineStr">
        <is>
          <t>Minor Breach</t>
        </is>
      </c>
      <c r="I1594" s="6" t="n">
        <v>46272</v>
      </c>
      <c r="J1594" s="6" t="n"/>
      <c r="K1594">
        <f>IF(J1594="","",J1594-B1594)</f>
        <v/>
      </c>
      <c r="L1594">
        <f>IF(H1594="Compliant","N/A",IF(J1594&lt;&gt;"","Closed",IF(I1594&lt;DATE(2026,9,30),"OVERDUE","Open")))</f>
        <v/>
      </c>
    </row>
    <row r="1595">
      <c r="A1595" t="inlineStr">
        <is>
          <t>INSP-2026-1594</t>
        </is>
      </c>
      <c r="B1595" s="6" t="n">
        <v>46258</v>
      </c>
      <c r="C1595" t="inlineStr">
        <is>
          <t>U-BV231-02-09</t>
        </is>
      </c>
      <c r="D1595" t="inlineStr">
        <is>
          <t>Bayshore Vale</t>
        </is>
      </c>
      <c r="E1595" t="inlineStr">
        <is>
          <t>Marcus Lim</t>
        </is>
      </c>
      <c r="F1595" t="inlineStr">
        <is>
          <t>Routine</t>
        </is>
      </c>
      <c r="G1595" t="inlineStr">
        <is>
          <t>DISPLAY_ENCROACH</t>
        </is>
      </c>
      <c r="H1595" t="inlineStr">
        <is>
          <t>Minor Breach</t>
        </is>
      </c>
      <c r="I1595" s="6" t="n">
        <v>46272</v>
      </c>
      <c r="J1595" s="6" t="n"/>
      <c r="K1595">
        <f>IF(J1595="","",J1595-B1595)</f>
        <v/>
      </c>
      <c r="L1595">
        <f>IF(H1595="Compliant","N/A",IF(J1595&lt;&gt;"","Closed",IF(I1595&lt;DATE(2026,9,30),"OVERDUE","Open")))</f>
        <v/>
      </c>
    </row>
    <row r="1596">
      <c r="A1596" t="inlineStr">
        <is>
          <t>INSP-2026-1595</t>
        </is>
      </c>
      <c r="B1596" s="6" t="n">
        <v>46258</v>
      </c>
      <c r="C1596" t="inlineStr">
        <is>
          <t>U-CD131-01-01</t>
        </is>
      </c>
      <c r="D1596" t="inlineStr">
        <is>
          <t>Cendana</t>
        </is>
      </c>
      <c r="E1596" t="inlineStr">
        <is>
          <t>daniel ong</t>
        </is>
      </c>
      <c r="F1596" t="inlineStr">
        <is>
          <t>Routine</t>
        </is>
      </c>
      <c r="G1596" t="inlineStr">
        <is>
          <t>DISPLAY_ENCROACH</t>
        </is>
      </c>
      <c r="H1596" t="inlineStr">
        <is>
          <t>Minor Breach</t>
        </is>
      </c>
      <c r="I1596" s="6" t="n">
        <v>46272</v>
      </c>
      <c r="J1596" s="6" t="n">
        <v>46282</v>
      </c>
      <c r="K1596">
        <f>IF(J1596="","",J1596-B1596)</f>
        <v/>
      </c>
      <c r="L1596">
        <f>IF(H1596="Compliant","N/A",IF(J1596&lt;&gt;"","Closed",IF(I1596&lt;DATE(2026,9,30),"OVERDUE","Open")))</f>
        <v/>
      </c>
    </row>
    <row r="1597">
      <c r="A1597" t="inlineStr">
        <is>
          <t>INSP-2026-1596</t>
        </is>
      </c>
      <c r="B1597" s="6" t="n">
        <v>46258</v>
      </c>
      <c r="C1597" t="inlineStr">
        <is>
          <t>U-CD105-01-11</t>
        </is>
      </c>
      <c r="D1597" t="inlineStr">
        <is>
          <t>Cendana</t>
        </is>
      </c>
      <c r="E1597" t="inlineStr">
        <is>
          <t>M. Lim</t>
        </is>
      </c>
      <c r="F1597" t="inlineStr">
        <is>
          <t>Routine</t>
        </is>
      </c>
      <c r="G1597" t="inlineStr">
        <is>
          <t>NONE</t>
        </is>
      </c>
      <c r="H1597" t="inlineStr">
        <is>
          <t>Compliant</t>
        </is>
      </c>
      <c r="I1597" s="6" t="n"/>
      <c r="J1597" s="6" t="n"/>
      <c r="K1597">
        <f>IF(J1597="","",J1597-B1597)</f>
        <v/>
      </c>
      <c r="L1597">
        <f>IF(H1597="Compliant","N/A",IF(J1597&lt;&gt;"","Closed",IF(I1597&lt;DATE(2026,9,30),"OVERDUE","Open")))</f>
        <v/>
      </c>
    </row>
    <row r="1598">
      <c r="A1598" t="inlineStr">
        <is>
          <t>INSP-2026-1597</t>
        </is>
      </c>
      <c r="B1598" s="6" t="n">
        <v>46259</v>
      </c>
      <c r="C1598" t="inlineStr">
        <is>
          <t>U-RH455-01-06</t>
        </is>
      </c>
      <c r="D1598" t="inlineStr">
        <is>
          <t>Rimba Heights</t>
        </is>
      </c>
      <c r="E1598" t="inlineStr">
        <is>
          <t>Daniel Ong</t>
        </is>
      </c>
      <c r="F1598" t="inlineStr">
        <is>
          <t>Routine</t>
        </is>
      </c>
      <c r="G1598" t="inlineStr">
        <is>
          <t>NONE</t>
        </is>
      </c>
      <c r="H1598" t="inlineStr">
        <is>
          <t>Compliant</t>
        </is>
      </c>
      <c r="I1598" s="6" t="n"/>
      <c r="J1598" s="6" t="n"/>
      <c r="K1598">
        <f>IF(J1598="","",J1598-B1598)</f>
        <v/>
      </c>
      <c r="L1598">
        <f>IF(H1598="Compliant","N/A",IF(J1598&lt;&gt;"","Closed",IF(I1598&lt;DATE(2026,9,30),"OVERDUE","Open")))</f>
        <v/>
      </c>
    </row>
    <row r="1599">
      <c r="A1599" t="inlineStr">
        <is>
          <t>INSP-2026-1598</t>
        </is>
      </c>
      <c r="B1599" s="6" t="n">
        <v>46259</v>
      </c>
      <c r="C1599" t="inlineStr">
        <is>
          <t>U-KR345-01-06</t>
        </is>
      </c>
      <c r="D1599" t="inlineStr">
        <is>
          <t>Kebun Raya</t>
        </is>
      </c>
      <c r="E1599" t="inlineStr">
        <is>
          <t>B. Ho</t>
        </is>
      </c>
      <c r="F1599" t="inlineStr">
        <is>
          <t>Follow-up</t>
        </is>
      </c>
      <c r="G1599" t="inlineStr">
        <is>
          <t>NONE</t>
        </is>
      </c>
      <c r="H1599" t="inlineStr">
        <is>
          <t>Compliant</t>
        </is>
      </c>
      <c r="I1599" s="6" t="n"/>
      <c r="J1599" s="6" t="n"/>
      <c r="K1599">
        <f>IF(J1599="","",J1599-B1599)</f>
        <v/>
      </c>
      <c r="L1599">
        <f>IF(H1599="Compliant","N/A",IF(J1599&lt;&gt;"","Closed",IF(I1599&lt;DATE(2026,9,30),"OVERDUE","Open")))</f>
        <v/>
      </c>
    </row>
    <row r="1600">
      <c r="A1600" t="inlineStr">
        <is>
          <t>INSP-2026-1599</t>
        </is>
      </c>
      <c r="B1600" s="6" t="n">
        <v>46259</v>
      </c>
      <c r="C1600" t="inlineStr">
        <is>
          <t>U-BV273-01-01</t>
        </is>
      </c>
      <c r="D1600" t="inlineStr">
        <is>
          <t>Bayshore Vale</t>
        </is>
      </c>
      <c r="E1600" t="inlineStr">
        <is>
          <t>D. Ong</t>
        </is>
      </c>
      <c r="F1600" t="inlineStr">
        <is>
          <t>Routine</t>
        </is>
      </c>
      <c r="G1600" t="inlineStr">
        <is>
          <t>NONE</t>
        </is>
      </c>
      <c r="H1600" t="inlineStr">
        <is>
          <t>Compliant</t>
        </is>
      </c>
      <c r="I1600" s="6" t="n"/>
      <c r="J1600" s="6" t="n"/>
      <c r="K1600">
        <f>IF(J1600="","",J1600-B1600)</f>
        <v/>
      </c>
      <c r="L1600">
        <f>IF(H1600="Compliant","N/A",IF(J1600&lt;&gt;"","Closed",IF(I1600&lt;DATE(2026,9,30),"OVERDUE","Open")))</f>
        <v/>
      </c>
    </row>
    <row r="1601">
      <c r="A1601" t="inlineStr">
        <is>
          <t>INSP-2026-1600</t>
        </is>
      </c>
      <c r="B1601" s="6" t="n">
        <v>46259</v>
      </c>
      <c r="C1601" t="inlineStr">
        <is>
          <t>U-KR372-01-03</t>
        </is>
      </c>
      <c r="D1601" t="inlineStr">
        <is>
          <t>Kebun Raya</t>
        </is>
      </c>
      <c r="E1601" t="inlineStr">
        <is>
          <t>Daniel O.</t>
        </is>
      </c>
      <c r="F1601" t="inlineStr">
        <is>
          <t>Routine</t>
        </is>
      </c>
      <c r="G1601" t="inlineStr">
        <is>
          <t>NONE</t>
        </is>
      </c>
      <c r="H1601" t="inlineStr">
        <is>
          <t>Compliant</t>
        </is>
      </c>
      <c r="I1601" s="6" t="n"/>
      <c r="J1601" s="6" t="n"/>
      <c r="K1601">
        <f>IF(J1601="","",J1601-B1601)</f>
        <v/>
      </c>
      <c r="L1601">
        <f>IF(H1601="Compliant","N/A",IF(J1601&lt;&gt;"","Closed",IF(I1601&lt;DATE(2026,9,30),"OVERDUE","Open")))</f>
        <v/>
      </c>
    </row>
    <row r="1602">
      <c r="A1602" t="inlineStr">
        <is>
          <t>INSP-2026-1601</t>
        </is>
      </c>
      <c r="B1602" s="6" t="n">
        <v>46259</v>
      </c>
      <c r="C1602" t="inlineStr">
        <is>
          <t>U-ST591-01-06</t>
        </is>
      </c>
      <c r="D1602" t="inlineStr">
        <is>
          <t>Sungai Tinggi</t>
        </is>
      </c>
      <c r="E1602" t="inlineStr">
        <is>
          <t>D. Ong</t>
        </is>
      </c>
      <c r="F1602" t="inlineStr">
        <is>
          <t>Routine</t>
        </is>
      </c>
      <c r="G1602" t="inlineStr">
        <is>
          <t>NONE</t>
        </is>
      </c>
      <c r="H1602" t="inlineStr">
        <is>
          <t>Compliant</t>
        </is>
      </c>
      <c r="I1602" s="6" t="n"/>
      <c r="J1602" s="6" t="n"/>
      <c r="K1602">
        <f>IF(J1602="","",J1602-B1602)</f>
        <v/>
      </c>
      <c r="L1602">
        <f>IF(H1602="Compliant","N/A",IF(J1602&lt;&gt;"","Closed",IF(I1602&lt;DATE(2026,9,30),"OVERDUE","Open")))</f>
        <v/>
      </c>
    </row>
    <row r="1603">
      <c r="A1603" t="inlineStr">
        <is>
          <t>INSP-2026-1602</t>
        </is>
      </c>
      <c r="B1603" s="6" t="n">
        <v>46259</v>
      </c>
      <c r="C1603" t="inlineStr">
        <is>
          <t>U-CD152-01-07</t>
        </is>
      </c>
      <c r="D1603" t="inlineStr">
        <is>
          <t>Cendana</t>
        </is>
      </c>
      <c r="E1603" t="inlineStr">
        <is>
          <t>Daniel O.</t>
        </is>
      </c>
      <c r="F1603" t="inlineStr">
        <is>
          <t>Routine</t>
        </is>
      </c>
      <c r="G1603" t="inlineStr">
        <is>
          <t>NONE</t>
        </is>
      </c>
      <c r="H1603" t="inlineStr">
        <is>
          <t>Compliant</t>
        </is>
      </c>
      <c r="I1603" s="6" t="n"/>
      <c r="J1603" s="6" t="n"/>
      <c r="K1603">
        <f>IF(J1603="","",J1603-B1603)</f>
        <v/>
      </c>
      <c r="L1603">
        <f>IF(H1603="Compliant","N/A",IF(J1603&lt;&gt;"","Closed",IF(I1603&lt;DATE(2026,9,30),"OVERDUE","Open")))</f>
        <v/>
      </c>
    </row>
    <row r="1604">
      <c r="A1604" t="inlineStr">
        <is>
          <t>INSP-2026-1603</t>
        </is>
      </c>
      <c r="B1604" s="6" t="n">
        <v>46259</v>
      </c>
      <c r="C1604" t="inlineStr">
        <is>
          <t>U-PI657-02-01</t>
        </is>
      </c>
      <c r="D1604" t="inlineStr">
        <is>
          <t>Pasir Indah</t>
        </is>
      </c>
      <c r="E1604" t="inlineStr">
        <is>
          <t>Daniel Ong</t>
        </is>
      </c>
      <c r="F1604" t="inlineStr">
        <is>
          <t>Routine</t>
        </is>
      </c>
      <c r="G1604" t="inlineStr">
        <is>
          <t>NONE</t>
        </is>
      </c>
      <c r="H1604" t="inlineStr">
        <is>
          <t>Compliant</t>
        </is>
      </c>
      <c r="I1604" s="6" t="n"/>
      <c r="J1604" s="6" t="n"/>
      <c r="K1604">
        <f>IF(J1604="","",J1604-B1604)</f>
        <v/>
      </c>
      <c r="L1604">
        <f>IF(H1604="Compliant","N/A",IF(J1604&lt;&gt;"","Closed",IF(I1604&lt;DATE(2026,9,30),"OVERDUE","Open")))</f>
        <v/>
      </c>
    </row>
    <row r="1605">
      <c r="A1605" t="inlineStr">
        <is>
          <t>INSP-2026-1604</t>
        </is>
      </c>
      <c r="B1605" s="6" t="n">
        <v>46260</v>
      </c>
      <c r="C1605" t="inlineStr">
        <is>
          <t>U-PI651-01-03</t>
        </is>
      </c>
      <c r="D1605" t="inlineStr">
        <is>
          <t>Pasir Indah</t>
        </is>
      </c>
      <c r="E1605" t="inlineStr">
        <is>
          <t>Marcus Lim</t>
        </is>
      </c>
      <c r="F1605" t="inlineStr">
        <is>
          <t>Routine</t>
        </is>
      </c>
      <c r="G1605" t="inlineStr">
        <is>
          <t>NONE</t>
        </is>
      </c>
      <c r="H1605" t="inlineStr">
        <is>
          <t>Compliant</t>
        </is>
      </c>
      <c r="I1605" s="6" t="n"/>
      <c r="J1605" s="6" t="n"/>
      <c r="K1605">
        <f>IF(J1605="","",J1605-B1605)</f>
        <v/>
      </c>
      <c r="L1605">
        <f>IF(H1605="Compliant","N/A",IF(J1605&lt;&gt;"","Closed",IF(I1605&lt;DATE(2026,9,30),"OVERDUE","Open")))</f>
        <v/>
      </c>
    </row>
    <row r="1606">
      <c r="A1606" t="inlineStr">
        <is>
          <t>INSP-2026-1605</t>
        </is>
      </c>
      <c r="B1606" s="6" t="n">
        <v>46260</v>
      </c>
      <c r="C1606" t="inlineStr">
        <is>
          <t>U-RH437-01-03</t>
        </is>
      </c>
      <c r="D1606" t="inlineStr">
        <is>
          <t>Rimba Heights</t>
        </is>
      </c>
      <c r="E1606" t="inlineStr">
        <is>
          <t>Daniel O.</t>
        </is>
      </c>
      <c r="F1606" t="inlineStr">
        <is>
          <t>Follow-up</t>
        </is>
      </c>
      <c r="G1606" t="inlineStr">
        <is>
          <t>NONE</t>
        </is>
      </c>
      <c r="H1606" t="inlineStr">
        <is>
          <t>Compliant</t>
        </is>
      </c>
      <c r="I1606" s="6" t="n"/>
      <c r="J1606" s="6" t="n"/>
      <c r="K1606">
        <f>IF(J1606="","",J1606-B1606)</f>
        <v/>
      </c>
      <c r="L1606">
        <f>IF(H1606="Compliant","N/A",IF(J1606&lt;&gt;"","Closed",IF(I1606&lt;DATE(2026,9,30),"OVERDUE","Open")))</f>
        <v/>
      </c>
    </row>
    <row r="1607">
      <c r="A1607" t="inlineStr">
        <is>
          <t>INSP-2026-1606</t>
        </is>
      </c>
      <c r="B1607" s="6" t="n">
        <v>46260</v>
      </c>
      <c r="C1607" t="inlineStr">
        <is>
          <t>U-PI684-01-09</t>
        </is>
      </c>
      <c r="D1607" t="inlineStr">
        <is>
          <t>Pasir Indah</t>
        </is>
      </c>
      <c r="E1607" t="inlineStr">
        <is>
          <t>Marcus Lim</t>
        </is>
      </c>
      <c r="F1607" t="inlineStr">
        <is>
          <t>Routine</t>
        </is>
      </c>
      <c r="G1607" t="inlineStr">
        <is>
          <t>UNAPPROVED_AA</t>
        </is>
      </c>
      <c r="H1607" t="inlineStr">
        <is>
          <t>Minor Breach</t>
        </is>
      </c>
      <c r="I1607" s="6" t="n">
        <v>46274</v>
      </c>
      <c r="J1607" s="6" t="n">
        <v>46274</v>
      </c>
      <c r="K1607">
        <f>IF(J1607="","",J1607-B1607)</f>
        <v/>
      </c>
      <c r="L1607">
        <f>IF(H1607="Compliant","N/A",IF(J1607&lt;&gt;"","Closed",IF(I1607&lt;DATE(2026,9,30),"OVERDUE","Open")))</f>
        <v/>
      </c>
    </row>
    <row r="1608">
      <c r="A1608" t="inlineStr">
        <is>
          <t>INSP-2026-1607</t>
        </is>
      </c>
      <c r="B1608" s="6" t="n">
        <v>46260</v>
      </c>
      <c r="C1608" t="inlineStr">
        <is>
          <t>U-ST590-01-05</t>
        </is>
      </c>
      <c r="D1608" t="inlineStr">
        <is>
          <t>Sungai Tinggi</t>
        </is>
      </c>
      <c r="E1608" t="inlineStr">
        <is>
          <t>daniel ong</t>
        </is>
      </c>
      <c r="F1608" t="inlineStr">
        <is>
          <t>Routine</t>
        </is>
      </c>
      <c r="G1608" t="inlineStr">
        <is>
          <t>NONE</t>
        </is>
      </c>
      <c r="H1608" t="inlineStr">
        <is>
          <t>Compliant</t>
        </is>
      </c>
      <c r="I1608" s="6" t="n"/>
      <c r="J1608" s="6" t="n"/>
      <c r="K1608">
        <f>IF(J1608="","",J1608-B1608)</f>
        <v/>
      </c>
      <c r="L1608">
        <f>IF(H1608="Compliant","N/A",IF(J1608&lt;&gt;"","Closed",IF(I1608&lt;DATE(2026,9,30),"OVERDUE","Open")))</f>
        <v/>
      </c>
    </row>
    <row r="1609">
      <c r="A1609" t="inlineStr">
        <is>
          <t>INSP-2026-1608</t>
        </is>
      </c>
      <c r="B1609" s="6" t="n">
        <v>46260</v>
      </c>
      <c r="C1609" t="inlineStr">
        <is>
          <t>U-RH434-01-02</t>
        </is>
      </c>
      <c r="D1609" t="inlineStr">
        <is>
          <t>Rimba Heights</t>
        </is>
      </c>
      <c r="E1609" t="inlineStr">
        <is>
          <t>daniel ong</t>
        </is>
      </c>
      <c r="F1609" t="inlineStr">
        <is>
          <t>Routine</t>
        </is>
      </c>
      <c r="G1609" t="inlineStr">
        <is>
          <t>NONE</t>
        </is>
      </c>
      <c r="H1609" t="inlineStr">
        <is>
          <t>Compliant</t>
        </is>
      </c>
      <c r="I1609" s="6" t="n"/>
      <c r="J1609" s="6" t="n"/>
      <c r="K1609">
        <f>IF(J1609="","",J1609-B1609)</f>
        <v/>
      </c>
      <c r="L1609">
        <f>IF(H1609="Compliant","N/A",IF(J1609&lt;&gt;"","Closed",IF(I1609&lt;DATE(2026,9,30),"OVERDUE","Open")))</f>
        <v/>
      </c>
    </row>
    <row r="1610">
      <c r="A1610" t="inlineStr">
        <is>
          <t>INSP-2026-1609</t>
        </is>
      </c>
      <c r="B1610" s="6" t="n">
        <v>46260</v>
      </c>
      <c r="C1610" t="inlineStr">
        <is>
          <t>U-PI648-01-03</t>
        </is>
      </c>
      <c r="D1610" t="inlineStr">
        <is>
          <t>Pasir Indah</t>
        </is>
      </c>
      <c r="E1610" t="inlineStr">
        <is>
          <t>D. Ong</t>
        </is>
      </c>
      <c r="F1610" t="inlineStr">
        <is>
          <t>Routine</t>
        </is>
      </c>
      <c r="G1610" t="inlineStr">
        <is>
          <t>FIRE_SAFETY</t>
        </is>
      </c>
      <c r="H1610" t="inlineStr">
        <is>
          <t>Major Breach</t>
        </is>
      </c>
      <c r="I1610" s="6" t="n">
        <v>46267</v>
      </c>
      <c r="J1610" s="6" t="n">
        <v>46274</v>
      </c>
      <c r="K1610">
        <f>IF(J1610="","",J1610-B1610)</f>
        <v/>
      </c>
      <c r="L1610">
        <f>IF(H1610="Compliant","N/A",IF(J1610&lt;&gt;"","Closed",IF(I1610&lt;DATE(2026,9,30),"OVERDUE","Open")))</f>
        <v/>
      </c>
    </row>
    <row r="1611">
      <c r="A1611" t="inlineStr">
        <is>
          <t>INSP-2026-1610</t>
        </is>
      </c>
      <c r="B1611" s="6" t="n">
        <v>46261</v>
      </c>
      <c r="C1611" t="inlineStr">
        <is>
          <t>U-BV271-02-01</t>
        </is>
      </c>
      <c r="D1611" t="inlineStr">
        <is>
          <t>Bayshore Vale</t>
        </is>
      </c>
      <c r="E1611" t="inlineStr">
        <is>
          <t>marcus</t>
        </is>
      </c>
      <c r="F1611" t="inlineStr">
        <is>
          <t>Routine</t>
        </is>
      </c>
      <c r="G1611" t="inlineStr">
        <is>
          <t>DISPLAY_ENCROACH</t>
        </is>
      </c>
      <c r="H1611" t="inlineStr">
        <is>
          <t>Minor Breach</t>
        </is>
      </c>
      <c r="I1611" s="6" t="n">
        <v>46275</v>
      </c>
      <c r="J1611" s="6" t="n">
        <v>46278</v>
      </c>
      <c r="K1611">
        <f>IF(J1611="","",J1611-B1611)</f>
        <v/>
      </c>
      <c r="L1611">
        <f>IF(H1611="Compliant","N/A",IF(J1611&lt;&gt;"","Closed",IF(I1611&lt;DATE(2026,9,30),"OVERDUE","Open")))</f>
        <v/>
      </c>
    </row>
    <row r="1612">
      <c r="A1612" t="inlineStr">
        <is>
          <t>INSP-2026-1611</t>
        </is>
      </c>
      <c r="B1612" s="6" t="n">
        <v>46261</v>
      </c>
      <c r="C1612" t="inlineStr">
        <is>
          <t>U-KR327-01-01</t>
        </is>
      </c>
      <c r="D1612" t="inlineStr">
        <is>
          <t>Kebun Raya</t>
        </is>
      </c>
      <c r="E1612" t="inlineStr">
        <is>
          <t>Daniel O.</t>
        </is>
      </c>
      <c r="F1612" t="inlineStr">
        <is>
          <t>Follow-up</t>
        </is>
      </c>
      <c r="G1612" t="inlineStr">
        <is>
          <t>DISPLAY_ENCROACH</t>
        </is>
      </c>
      <c r="H1612" t="inlineStr">
        <is>
          <t>Minor Breach</t>
        </is>
      </c>
      <c r="I1612" s="6" t="n">
        <v>46275</v>
      </c>
      <c r="J1612" s="6" t="n">
        <v>46275</v>
      </c>
      <c r="K1612">
        <f>IF(J1612="","",J1612-B1612)</f>
        <v/>
      </c>
      <c r="L1612">
        <f>IF(H1612="Compliant","N/A",IF(J1612&lt;&gt;"","Closed",IF(I1612&lt;DATE(2026,9,30),"OVERDUE","Open")))</f>
        <v/>
      </c>
    </row>
    <row r="1613">
      <c r="A1613" t="inlineStr">
        <is>
          <t>INSP-2026-1612</t>
        </is>
      </c>
      <c r="B1613" s="6" t="n">
        <v>46261</v>
      </c>
      <c r="C1613" t="inlineStr">
        <is>
          <t>U-RH438-01-07</t>
        </is>
      </c>
      <c r="D1613" t="inlineStr">
        <is>
          <t>Rimba Heights</t>
        </is>
      </c>
      <c r="E1613" t="inlineStr">
        <is>
          <t>Benjamin Ho</t>
        </is>
      </c>
      <c r="F1613" t="inlineStr">
        <is>
          <t>Complaint-driven</t>
        </is>
      </c>
      <c r="G1613" t="inlineStr">
        <is>
          <t>NONE</t>
        </is>
      </c>
      <c r="H1613" t="inlineStr">
        <is>
          <t>Compliant</t>
        </is>
      </c>
      <c r="I1613" s="6" t="n"/>
      <c r="J1613" s="6" t="n"/>
      <c r="K1613">
        <f>IF(J1613="","",J1613-B1613)</f>
        <v/>
      </c>
      <c r="L1613">
        <f>IF(H1613="Compliant","N/A",IF(J1613&lt;&gt;"","Closed",IF(I1613&lt;DATE(2026,9,30),"OVERDUE","Open")))</f>
        <v/>
      </c>
    </row>
    <row r="1614">
      <c r="A1614" t="inlineStr">
        <is>
          <t>INSP-2026-1613</t>
        </is>
      </c>
      <c r="B1614" s="6" t="n">
        <v>46261</v>
      </c>
      <c r="C1614" t="inlineStr">
        <is>
          <t>U-PI648-01-08</t>
        </is>
      </c>
      <c r="D1614" t="inlineStr">
        <is>
          <t>Pasir Indah</t>
        </is>
      </c>
      <c r="E1614" t="inlineStr">
        <is>
          <t>M. Lim</t>
        </is>
      </c>
      <c r="F1614" t="inlineStr">
        <is>
          <t>Follow-up</t>
        </is>
      </c>
      <c r="G1614" t="inlineStr">
        <is>
          <t>DISPLAY_ENCROACH</t>
        </is>
      </c>
      <c r="H1614" t="inlineStr">
        <is>
          <t>Minor Breach</t>
        </is>
      </c>
      <c r="I1614" s="6" t="n">
        <v>46275</v>
      </c>
      <c r="J1614" s="6" t="n">
        <v>46275</v>
      </c>
      <c r="K1614">
        <f>IF(J1614="","",J1614-B1614)</f>
        <v/>
      </c>
      <c r="L1614">
        <f>IF(H1614="Compliant","N/A",IF(J1614&lt;&gt;"","Closed",IF(I1614&lt;DATE(2026,9,30),"OVERDUE","Open")))</f>
        <v/>
      </c>
    </row>
    <row r="1615">
      <c r="A1615" t="inlineStr">
        <is>
          <t>INSP-2026-1614</t>
        </is>
      </c>
      <c r="B1615" s="6" t="n">
        <v>46261</v>
      </c>
      <c r="C1615" t="inlineStr">
        <is>
          <t>U-PI601-01-04</t>
        </is>
      </c>
      <c r="D1615" t="inlineStr">
        <is>
          <t>Pasir Indah</t>
        </is>
      </c>
      <c r="E1615" t="inlineStr">
        <is>
          <t>marcus</t>
        </is>
      </c>
      <c r="F1615" t="inlineStr">
        <is>
          <t>Routine</t>
        </is>
      </c>
      <c r="G1615" t="inlineStr">
        <is>
          <t>NONE</t>
        </is>
      </c>
      <c r="H1615" t="inlineStr">
        <is>
          <t>Compliant</t>
        </is>
      </c>
      <c r="I1615" s="6" t="n"/>
      <c r="J1615" s="6" t="n"/>
      <c r="K1615">
        <f>IF(J1615="","",J1615-B1615)</f>
        <v/>
      </c>
      <c r="L1615">
        <f>IF(H1615="Compliant","N/A",IF(J1615&lt;&gt;"","Closed",IF(I1615&lt;DATE(2026,9,30),"OVERDUE","Open")))</f>
        <v/>
      </c>
    </row>
    <row r="1616">
      <c r="A1616" t="inlineStr">
        <is>
          <t>INSP-2026-1615</t>
        </is>
      </c>
      <c r="B1616" s="6" t="n">
        <v>46261</v>
      </c>
      <c r="C1616" t="inlineStr">
        <is>
          <t>U-PI679-01-03</t>
        </is>
      </c>
      <c r="D1616" t="inlineStr">
        <is>
          <t>Pasir Indah</t>
        </is>
      </c>
      <c r="E1616" t="inlineStr">
        <is>
          <t>marcus</t>
        </is>
      </c>
      <c r="F1616" t="inlineStr">
        <is>
          <t>Routine</t>
        </is>
      </c>
      <c r="G1616" t="inlineStr">
        <is>
          <t>NONE</t>
        </is>
      </c>
      <c r="H1616" t="inlineStr">
        <is>
          <t>Compliant</t>
        </is>
      </c>
      <c r="I1616" s="6" t="n"/>
      <c r="J1616" s="6" t="n"/>
      <c r="K1616">
        <f>IF(J1616="","",J1616-B1616)</f>
        <v/>
      </c>
      <c r="L1616">
        <f>IF(H1616="Compliant","N/A",IF(J1616&lt;&gt;"","Closed",IF(I1616&lt;DATE(2026,9,30),"OVERDUE","Open")))</f>
        <v/>
      </c>
    </row>
    <row r="1617">
      <c r="A1617" t="inlineStr">
        <is>
          <t>INSP-2026-1616</t>
        </is>
      </c>
      <c r="B1617" s="6" t="n">
        <v>46261</v>
      </c>
      <c r="C1617" t="inlineStr">
        <is>
          <t>U-PI642-01-01</t>
        </is>
      </c>
      <c r="D1617" t="inlineStr">
        <is>
          <t>Pasir Indah</t>
        </is>
      </c>
      <c r="E1617" t="inlineStr">
        <is>
          <t>Daniel O.</t>
        </is>
      </c>
      <c r="F1617" t="inlineStr">
        <is>
          <t>Complaint-driven</t>
        </is>
      </c>
      <c r="G1617" t="inlineStr">
        <is>
          <t>NONE</t>
        </is>
      </c>
      <c r="H1617" t="inlineStr">
        <is>
          <t>Compliant</t>
        </is>
      </c>
      <c r="I1617" s="6" t="n"/>
      <c r="J1617" s="6" t="n"/>
      <c r="K1617">
        <f>IF(J1617="","",J1617-B1617)</f>
        <v/>
      </c>
      <c r="L1617">
        <f>IF(H1617="Compliant","N/A",IF(J1617&lt;&gt;"","Closed",IF(I1617&lt;DATE(2026,9,30),"OVERDUE","Open")))</f>
        <v/>
      </c>
    </row>
    <row r="1618">
      <c r="A1618" t="inlineStr">
        <is>
          <t>INSP-2026-1617</t>
        </is>
      </c>
      <c r="B1618" s="6" t="n">
        <v>46261</v>
      </c>
      <c r="C1618" t="inlineStr">
        <is>
          <t>U-CD129-01-04</t>
        </is>
      </c>
      <c r="D1618" t="inlineStr">
        <is>
          <t>Cendana</t>
        </is>
      </c>
      <c r="E1618" t="inlineStr">
        <is>
          <t>M. Lim</t>
        </is>
      </c>
      <c r="F1618" t="inlineStr">
        <is>
          <t>Routine</t>
        </is>
      </c>
      <c r="G1618" t="inlineStr">
        <is>
          <t>NONE</t>
        </is>
      </c>
      <c r="H1618" t="inlineStr">
        <is>
          <t>Compliant</t>
        </is>
      </c>
      <c r="I1618" s="6" t="n"/>
      <c r="J1618" s="6" t="n"/>
      <c r="K1618">
        <f>IF(J1618="","",J1618-B1618)</f>
        <v/>
      </c>
      <c r="L1618">
        <f>IF(H1618="Compliant","N/A",IF(J1618&lt;&gt;"","Closed",IF(I1618&lt;DATE(2026,9,30),"OVERDUE","Open")))</f>
        <v/>
      </c>
    </row>
    <row r="1619">
      <c r="A1619" t="inlineStr">
        <is>
          <t>INSP-2026-1618</t>
        </is>
      </c>
      <c r="B1619" s="6" t="n">
        <v>46262</v>
      </c>
      <c r="C1619" t="inlineStr">
        <is>
          <t>U-RH464-01-09</t>
        </is>
      </c>
      <c r="D1619" t="inlineStr">
        <is>
          <t>Rimba Heights</t>
        </is>
      </c>
      <c r="E1619" t="inlineStr">
        <is>
          <t>D. Ong</t>
        </is>
      </c>
      <c r="F1619" t="inlineStr">
        <is>
          <t>Routine</t>
        </is>
      </c>
      <c r="G1619" t="inlineStr">
        <is>
          <t>NONE</t>
        </is>
      </c>
      <c r="H1619" t="inlineStr">
        <is>
          <t>Compliant</t>
        </is>
      </c>
      <c r="I1619" s="6" t="n"/>
      <c r="J1619" s="6" t="n"/>
      <c r="K1619">
        <f>IF(J1619="","",J1619-B1619)</f>
        <v/>
      </c>
      <c r="L1619">
        <f>IF(H1619="Compliant","N/A",IF(J1619&lt;&gt;"","Closed",IF(I1619&lt;DATE(2026,9,30),"OVERDUE","Open")))</f>
        <v/>
      </c>
    </row>
    <row r="1620">
      <c r="A1620" t="inlineStr">
        <is>
          <t>INSP-2026-1619</t>
        </is>
      </c>
      <c r="B1620" s="6" t="n">
        <v>46262</v>
      </c>
      <c r="C1620" t="inlineStr">
        <is>
          <t>U-RH450-02-06</t>
        </is>
      </c>
      <c r="D1620" t="inlineStr">
        <is>
          <t>Rimba Heights</t>
        </is>
      </c>
      <c r="E1620" t="inlineStr">
        <is>
          <t>Daniel O.</t>
        </is>
      </c>
      <c r="F1620" t="inlineStr">
        <is>
          <t>Routine</t>
        </is>
      </c>
      <c r="G1620" t="inlineStr">
        <is>
          <t>NONE</t>
        </is>
      </c>
      <c r="H1620" t="inlineStr">
        <is>
          <t>Compliant</t>
        </is>
      </c>
      <c r="I1620" s="6" t="n"/>
      <c r="J1620" s="6" t="n"/>
      <c r="K1620">
        <f>IF(J1620="","",J1620-B1620)</f>
        <v/>
      </c>
      <c r="L1620">
        <f>IF(H1620="Compliant","N/A",IF(J1620&lt;&gt;"","Closed",IF(I1620&lt;DATE(2026,9,30),"OVERDUE","Open")))</f>
        <v/>
      </c>
    </row>
    <row r="1621">
      <c r="A1621" t="inlineStr">
        <is>
          <t>INSP-2026-1620</t>
        </is>
      </c>
      <c r="B1621" s="6" t="n">
        <v>46262</v>
      </c>
      <c r="C1621" t="inlineStr">
        <is>
          <t>U-CD105-01-06</t>
        </is>
      </c>
      <c r="D1621" t="inlineStr">
        <is>
          <t>Cendana</t>
        </is>
      </c>
      <c r="E1621" t="inlineStr">
        <is>
          <t>D. Ong</t>
        </is>
      </c>
      <c r="F1621" t="inlineStr">
        <is>
          <t>Routine</t>
        </is>
      </c>
      <c r="G1621" t="inlineStr">
        <is>
          <t>UNAUTH_SUBLET</t>
        </is>
      </c>
      <c r="H1621" t="inlineStr">
        <is>
          <t>Major Breach</t>
        </is>
      </c>
      <c r="I1621" s="6" t="n">
        <v>46269</v>
      </c>
      <c r="J1621" s="6" t="n">
        <v>46275</v>
      </c>
      <c r="K1621">
        <f>IF(J1621="","",J1621-B1621)</f>
        <v/>
      </c>
      <c r="L1621">
        <f>IF(H1621="Compliant","N/A",IF(J1621&lt;&gt;"","Closed",IF(I1621&lt;DATE(2026,9,30),"OVERDUE","Open")))</f>
        <v/>
      </c>
    </row>
    <row r="1622">
      <c r="A1622" t="inlineStr">
        <is>
          <t>INSP-2026-1621</t>
        </is>
      </c>
      <c r="B1622" s="6" t="n">
        <v>46262</v>
      </c>
      <c r="C1622" t="inlineStr">
        <is>
          <t>U-CD189-01-06</t>
        </is>
      </c>
      <c r="D1622" t="inlineStr">
        <is>
          <t>Cendana</t>
        </is>
      </c>
      <c r="E1622" t="inlineStr">
        <is>
          <t>D. Ong</t>
        </is>
      </c>
      <c r="F1622" t="inlineStr">
        <is>
          <t>Complaint-driven</t>
        </is>
      </c>
      <c r="G1622" t="inlineStr">
        <is>
          <t>NONE</t>
        </is>
      </c>
      <c r="H1622" t="inlineStr">
        <is>
          <t>Compliant</t>
        </is>
      </c>
      <c r="I1622" s="6" t="n"/>
      <c r="J1622" s="6" t="n"/>
      <c r="K1622">
        <f>IF(J1622="","",J1622-B1622)</f>
        <v/>
      </c>
      <c r="L1622">
        <f>IF(H1622="Compliant","N/A",IF(J1622&lt;&gt;"","Closed",IF(I1622&lt;DATE(2026,9,30),"OVERDUE","Open")))</f>
        <v/>
      </c>
    </row>
    <row r="1623">
      <c r="A1623" t="inlineStr">
        <is>
          <t>INSP-2026-1622</t>
        </is>
      </c>
      <c r="B1623" s="6" t="n">
        <v>46262</v>
      </c>
      <c r="C1623" t="inlineStr">
        <is>
          <t>U-KR323-01-01</t>
        </is>
      </c>
      <c r="D1623" t="inlineStr">
        <is>
          <t>Kebun Raya</t>
        </is>
      </c>
      <c r="E1623" t="inlineStr">
        <is>
          <t>Daniel Ong</t>
        </is>
      </c>
      <c r="F1623" t="inlineStr">
        <is>
          <t>Routine</t>
        </is>
      </c>
      <c r="G1623" t="inlineStr">
        <is>
          <t>NONE</t>
        </is>
      </c>
      <c r="H1623" t="inlineStr">
        <is>
          <t>Compliant</t>
        </is>
      </c>
      <c r="I1623" s="6" t="n"/>
      <c r="J1623" s="6" t="n"/>
      <c r="K1623">
        <f>IF(J1623="","",J1623-B1623)</f>
        <v/>
      </c>
      <c r="L1623">
        <f>IF(H1623="Compliant","N/A",IF(J1623&lt;&gt;"","Closed",IF(I1623&lt;DATE(2026,9,30),"OVERDUE","Open")))</f>
        <v/>
      </c>
    </row>
    <row r="1624">
      <c r="A1624" t="inlineStr">
        <is>
          <t>INSP-2026-1623</t>
        </is>
      </c>
      <c r="B1624" s="6" t="n">
        <v>46263</v>
      </c>
      <c r="C1624" t="inlineStr">
        <is>
          <t>U-PI627-01-34</t>
        </is>
      </c>
      <c r="D1624" t="inlineStr">
        <is>
          <t>Pasir Indah</t>
        </is>
      </c>
      <c r="E1624" t="inlineStr">
        <is>
          <t>Marcus Lim</t>
        </is>
      </c>
      <c r="F1624" t="inlineStr">
        <is>
          <t>Routine</t>
        </is>
      </c>
      <c r="G1624" t="inlineStr">
        <is>
          <t>NONE</t>
        </is>
      </c>
      <c r="H1624" t="inlineStr">
        <is>
          <t>Compliant</t>
        </is>
      </c>
      <c r="I1624" s="6" t="n"/>
      <c r="J1624" s="6" t="n"/>
      <c r="K1624">
        <f>IF(J1624="","",J1624-B1624)</f>
        <v/>
      </c>
      <c r="L1624">
        <f>IF(H1624="Compliant","N/A",IF(J1624&lt;&gt;"","Closed",IF(I1624&lt;DATE(2026,9,30),"OVERDUE","Open")))</f>
        <v/>
      </c>
    </row>
    <row r="1625">
      <c r="A1625" t="inlineStr">
        <is>
          <t>INSP-2026-1624</t>
        </is>
      </c>
      <c r="B1625" s="6" t="n">
        <v>46263</v>
      </c>
      <c r="C1625" t="inlineStr">
        <is>
          <t>U-ST535-01-03</t>
        </is>
      </c>
      <c r="D1625" t="inlineStr">
        <is>
          <t>Sungai Tinggi</t>
        </is>
      </c>
      <c r="E1625" t="inlineStr">
        <is>
          <t>Daniel Ong</t>
        </is>
      </c>
      <c r="F1625" t="inlineStr">
        <is>
          <t>Routine</t>
        </is>
      </c>
      <c r="G1625" t="inlineStr">
        <is>
          <t>NONE</t>
        </is>
      </c>
      <c r="H1625" t="inlineStr">
        <is>
          <t>Compliant</t>
        </is>
      </c>
      <c r="I1625" s="6" t="n"/>
      <c r="J1625" s="6" t="n"/>
      <c r="K1625">
        <f>IF(J1625="","",J1625-B1625)</f>
        <v/>
      </c>
      <c r="L1625">
        <f>IF(H1625="Compliant","N/A",IF(J1625&lt;&gt;"","Closed",IF(I1625&lt;DATE(2026,9,30),"OVERDUE","Open")))</f>
        <v/>
      </c>
    </row>
    <row r="1626">
      <c r="A1626" t="inlineStr">
        <is>
          <t>INSP-2026-1625</t>
        </is>
      </c>
      <c r="B1626" s="6" t="n">
        <v>46263</v>
      </c>
      <c r="C1626" t="inlineStr">
        <is>
          <t>U-PI626-01-05</t>
        </is>
      </c>
      <c r="D1626" t="inlineStr">
        <is>
          <t>Pasir Indah</t>
        </is>
      </c>
      <c r="E1626" t="inlineStr">
        <is>
          <t>D. Ong</t>
        </is>
      </c>
      <c r="F1626" t="inlineStr">
        <is>
          <t>Routine</t>
        </is>
      </c>
      <c r="G1626" t="inlineStr">
        <is>
          <t>STRUCTURAL_DEFECT</t>
        </is>
      </c>
      <c r="H1626" t="inlineStr">
        <is>
          <t>Major Breach</t>
        </is>
      </c>
      <c r="I1626" s="6" t="n">
        <v>46270</v>
      </c>
      <c r="J1626" s="6" t="n">
        <v>46270</v>
      </c>
      <c r="K1626">
        <f>IF(J1626="","",J1626-B1626)</f>
        <v/>
      </c>
      <c r="L1626">
        <f>IF(H1626="Compliant","N/A",IF(J1626&lt;&gt;"","Closed",IF(I1626&lt;DATE(2026,9,30),"OVERDUE","Open")))</f>
        <v/>
      </c>
    </row>
    <row r="1627">
      <c r="A1627" t="inlineStr">
        <is>
          <t>INSP-2026-1626</t>
        </is>
      </c>
      <c r="B1627" s="6" t="n">
        <v>46263</v>
      </c>
      <c r="C1627" t="inlineStr">
        <is>
          <t>U-PI614-01-10</t>
        </is>
      </c>
      <c r="D1627" t="inlineStr">
        <is>
          <t>Pasir Indah</t>
        </is>
      </c>
      <c r="E1627" t="inlineStr">
        <is>
          <t>Marcus Lim</t>
        </is>
      </c>
      <c r="F1627" t="inlineStr">
        <is>
          <t>Complaint-driven</t>
        </is>
      </c>
      <c r="G1627" t="inlineStr">
        <is>
          <t>NONE</t>
        </is>
      </c>
      <c r="H1627" t="inlineStr">
        <is>
          <t>Compliant</t>
        </is>
      </c>
      <c r="I1627" s="6" t="n"/>
      <c r="J1627" s="6" t="n"/>
      <c r="K1627">
        <f>IF(J1627="","",J1627-B1627)</f>
        <v/>
      </c>
      <c r="L1627">
        <f>IF(H1627="Compliant","N/A",IF(J1627&lt;&gt;"","Closed",IF(I1627&lt;DATE(2026,9,30),"OVERDUE","Open")))</f>
        <v/>
      </c>
    </row>
    <row r="1628">
      <c r="A1628" t="inlineStr">
        <is>
          <t>INSP-2026-1627</t>
        </is>
      </c>
      <c r="B1628" s="6" t="n">
        <v>46263</v>
      </c>
      <c r="C1628" t="inlineStr">
        <is>
          <t>U-KR362-01-03</t>
        </is>
      </c>
      <c r="D1628" t="inlineStr">
        <is>
          <t>Kebun Raya</t>
        </is>
      </c>
      <c r="E1628" t="inlineStr">
        <is>
          <t>Ben Ho</t>
        </is>
      </c>
      <c r="F1628" t="inlineStr">
        <is>
          <t>Routine</t>
        </is>
      </c>
      <c r="G1628" t="inlineStr">
        <is>
          <t>STRUCTURAL_DEFECT</t>
        </is>
      </c>
      <c r="H1628" t="inlineStr">
        <is>
          <t>Major Breach</t>
        </is>
      </c>
      <c r="I1628" s="6" t="n">
        <v>46270</v>
      </c>
      <c r="J1628" s="6" t="n"/>
      <c r="K1628">
        <f>IF(J1628="","",J1628-B1628)</f>
        <v/>
      </c>
      <c r="L1628">
        <f>IF(H1628="Compliant","N/A",IF(J1628&lt;&gt;"","Closed",IF(I1628&lt;DATE(2026,9,30),"OVERDUE","Open")))</f>
        <v/>
      </c>
    </row>
    <row r="1629">
      <c r="A1629" t="inlineStr">
        <is>
          <t>INSP-2026-1628</t>
        </is>
      </c>
      <c r="B1629" s="6" t="n">
        <v>46264</v>
      </c>
      <c r="C1629" t="inlineStr">
        <is>
          <t>U-ST528-01-07</t>
        </is>
      </c>
      <c r="D1629" t="inlineStr">
        <is>
          <t>Sungai Tinggi</t>
        </is>
      </c>
      <c r="E1629" t="inlineStr">
        <is>
          <t>Daniel Ong</t>
        </is>
      </c>
      <c r="F1629" t="inlineStr">
        <is>
          <t>Routine</t>
        </is>
      </c>
      <c r="G1629" t="inlineStr">
        <is>
          <t>NONE</t>
        </is>
      </c>
      <c r="H1629" t="inlineStr">
        <is>
          <t>Compliant</t>
        </is>
      </c>
      <c r="I1629" s="6" t="n"/>
      <c r="J1629" s="6" t="n"/>
      <c r="K1629">
        <f>IF(J1629="","",J1629-B1629)</f>
        <v/>
      </c>
      <c r="L1629">
        <f>IF(H1629="Compliant","N/A",IF(J1629&lt;&gt;"","Closed",IF(I1629&lt;DATE(2026,9,30),"OVERDUE","Open")))</f>
        <v/>
      </c>
    </row>
    <row r="1630">
      <c r="A1630" t="inlineStr">
        <is>
          <t>INSP-2026-1629</t>
        </is>
      </c>
      <c r="B1630" s="6" t="n">
        <v>46264</v>
      </c>
      <c r="C1630" t="inlineStr">
        <is>
          <t>U-CD120-01-12</t>
        </is>
      </c>
      <c r="D1630" t="inlineStr">
        <is>
          <t>Cendana</t>
        </is>
      </c>
      <c r="E1630" t="inlineStr">
        <is>
          <t>M. Lim</t>
        </is>
      </c>
      <c r="F1630" t="inlineStr">
        <is>
          <t>Routine</t>
        </is>
      </c>
      <c r="G1630" t="inlineStr">
        <is>
          <t>FIRE_SAFETY</t>
        </is>
      </c>
      <c r="H1630" t="inlineStr">
        <is>
          <t>Major Breach</t>
        </is>
      </c>
      <c r="I1630" s="6" t="n">
        <v>46271</v>
      </c>
      <c r="J1630" s="6" t="n">
        <v>46269</v>
      </c>
      <c r="K1630">
        <f>IF(J1630="","",J1630-B1630)</f>
        <v/>
      </c>
      <c r="L1630">
        <f>IF(H1630="Compliant","N/A",IF(J1630&lt;&gt;"","Closed",IF(I1630&lt;DATE(2026,9,30),"OVERDUE","Open")))</f>
        <v/>
      </c>
    </row>
    <row r="1631">
      <c r="A1631" t="inlineStr">
        <is>
          <t>INSP-2026-1630</t>
        </is>
      </c>
      <c r="B1631" s="6" t="n">
        <v>46264</v>
      </c>
      <c r="C1631" t="inlineStr">
        <is>
          <t>U-KR345-01-12</t>
        </is>
      </c>
      <c r="D1631" t="inlineStr">
        <is>
          <t>Kebun Raya</t>
        </is>
      </c>
      <c r="E1631" t="inlineStr">
        <is>
          <t>Ben Ho</t>
        </is>
      </c>
      <c r="F1631" t="inlineStr">
        <is>
          <t>Routine</t>
        </is>
      </c>
      <c r="G1631" t="inlineStr">
        <is>
          <t>NONE</t>
        </is>
      </c>
      <c r="H1631" t="inlineStr">
        <is>
          <t>Compliant</t>
        </is>
      </c>
      <c r="I1631" s="6" t="n"/>
      <c r="J1631" s="6" t="n"/>
      <c r="K1631">
        <f>IF(J1631="","",J1631-B1631)</f>
        <v/>
      </c>
      <c r="L1631">
        <f>IF(H1631="Compliant","N/A",IF(J1631&lt;&gt;"","Closed",IF(I1631&lt;DATE(2026,9,30),"OVERDUE","Open")))</f>
        <v/>
      </c>
    </row>
    <row r="1632">
      <c r="A1632" t="inlineStr">
        <is>
          <t>INSP-2026-1631</t>
        </is>
      </c>
      <c r="B1632" s="6" t="n">
        <v>46264</v>
      </c>
      <c r="C1632" t="inlineStr">
        <is>
          <t>U-CD118-01-21</t>
        </is>
      </c>
      <c r="D1632" t="inlineStr">
        <is>
          <t>Cendana</t>
        </is>
      </c>
      <c r="E1632" t="inlineStr">
        <is>
          <t>daniel ong</t>
        </is>
      </c>
      <c r="F1632" t="inlineStr">
        <is>
          <t>Routine</t>
        </is>
      </c>
      <c r="G1632" t="inlineStr">
        <is>
          <t>NONE</t>
        </is>
      </c>
      <c r="H1632" t="inlineStr">
        <is>
          <t>Compliant</t>
        </is>
      </c>
      <c r="I1632" s="6" t="n"/>
      <c r="J1632" s="6" t="n"/>
      <c r="K1632">
        <f>IF(J1632="","",J1632-B1632)</f>
        <v/>
      </c>
      <c r="L1632">
        <f>IF(H1632="Compliant","N/A",IF(J1632&lt;&gt;"","Closed",IF(I1632&lt;DATE(2026,9,30),"OVERDUE","Open")))</f>
        <v/>
      </c>
    </row>
    <row r="1633">
      <c r="A1633" t="inlineStr">
        <is>
          <t>INSP-2026-1632</t>
        </is>
      </c>
      <c r="B1633" s="6" t="n">
        <v>46264</v>
      </c>
      <c r="C1633" t="inlineStr">
        <is>
          <t>U-BV284-01-03</t>
        </is>
      </c>
      <c r="D1633" t="inlineStr">
        <is>
          <t>Bayshore Vale</t>
        </is>
      </c>
      <c r="E1633" t="inlineStr">
        <is>
          <t>daniel ong</t>
        </is>
      </c>
      <c r="F1633" t="inlineStr">
        <is>
          <t>Routine</t>
        </is>
      </c>
      <c r="G1633" t="inlineStr">
        <is>
          <t>NONE</t>
        </is>
      </c>
      <c r="H1633" t="inlineStr">
        <is>
          <t>Compliant</t>
        </is>
      </c>
      <c r="I1633" s="6" t="n"/>
      <c r="J1633" s="6" t="n"/>
      <c r="K1633">
        <f>IF(J1633="","",J1633-B1633)</f>
        <v/>
      </c>
      <c r="L1633">
        <f>IF(H1633="Compliant","N/A",IF(J1633&lt;&gt;"","Closed",IF(I1633&lt;DATE(2026,9,30),"OVERDUE","Open")))</f>
        <v/>
      </c>
    </row>
    <row r="1634">
      <c r="A1634" t="inlineStr">
        <is>
          <t>INSP-2026-1633</t>
        </is>
      </c>
      <c r="B1634" s="6" t="n">
        <v>46264</v>
      </c>
      <c r="C1634" t="inlineStr">
        <is>
          <t>U-BV214-01-25</t>
        </is>
      </c>
      <c r="D1634" t="inlineStr">
        <is>
          <t>Bayshore Vale</t>
        </is>
      </c>
      <c r="E1634" t="inlineStr">
        <is>
          <t>daniel ong</t>
        </is>
      </c>
      <c r="F1634" t="inlineStr">
        <is>
          <t>Routine</t>
        </is>
      </c>
      <c r="G1634" t="inlineStr">
        <is>
          <t>HYGIENE</t>
        </is>
      </c>
      <c r="H1634" t="inlineStr">
        <is>
          <t>Minor Breach</t>
        </is>
      </c>
      <c r="I1634" s="6" t="n">
        <v>46278</v>
      </c>
      <c r="J1634" s="6" t="n">
        <v>46275</v>
      </c>
      <c r="K1634">
        <f>IF(J1634="","",J1634-B1634)</f>
        <v/>
      </c>
      <c r="L1634">
        <f>IF(H1634="Compliant","N/A",IF(J1634&lt;&gt;"","Closed",IF(I1634&lt;DATE(2026,9,30),"OVERDUE","Open")))</f>
        <v/>
      </c>
    </row>
    <row r="1635">
      <c r="A1635" t="inlineStr">
        <is>
          <t>INSP-2026-1634</t>
        </is>
      </c>
      <c r="B1635" s="6" t="n">
        <v>46264</v>
      </c>
      <c r="C1635" t="inlineStr">
        <is>
          <t>U-CD190-01-08</t>
        </is>
      </c>
      <c r="D1635" t="inlineStr">
        <is>
          <t>Cendana</t>
        </is>
      </c>
      <c r="E1635" t="inlineStr">
        <is>
          <t>Marcus Lim</t>
        </is>
      </c>
      <c r="F1635" t="inlineStr">
        <is>
          <t>Complaint-driven</t>
        </is>
      </c>
      <c r="G1635" t="inlineStr">
        <is>
          <t>NONE</t>
        </is>
      </c>
      <c r="H1635" t="inlineStr">
        <is>
          <t>Compliant</t>
        </is>
      </c>
      <c r="I1635" s="6" t="n"/>
      <c r="J1635" s="6" t="n"/>
      <c r="K1635">
        <f>IF(J1635="","",J1635-B1635)</f>
        <v/>
      </c>
      <c r="L1635">
        <f>IF(H1635="Compliant","N/A",IF(J1635&lt;&gt;"","Closed",IF(I1635&lt;DATE(2026,9,30),"OVERDUE","Open")))</f>
        <v/>
      </c>
    </row>
    <row r="1636">
      <c r="A1636" t="inlineStr">
        <is>
          <t>INSP-2026-1635</t>
        </is>
      </c>
      <c r="B1636" s="6" t="n">
        <v>46264</v>
      </c>
      <c r="C1636" t="inlineStr">
        <is>
          <t>U-PI675-01-03</t>
        </is>
      </c>
      <c r="D1636" t="inlineStr">
        <is>
          <t>Pasir Indah</t>
        </is>
      </c>
      <c r="E1636" t="inlineStr">
        <is>
          <t>Marcus Lim</t>
        </is>
      </c>
      <c r="F1636" t="inlineStr">
        <is>
          <t>Routine</t>
        </is>
      </c>
      <c r="G1636" t="inlineStr">
        <is>
          <t>UNAUTH_TRADE</t>
        </is>
      </c>
      <c r="H1636" t="inlineStr">
        <is>
          <t>Major Breach</t>
        </is>
      </c>
      <c r="I1636" s="6" t="n">
        <v>46271</v>
      </c>
      <c r="J1636" s="6" t="n">
        <v>46275</v>
      </c>
      <c r="K1636">
        <f>IF(J1636="","",J1636-B1636)</f>
        <v/>
      </c>
      <c r="L1636">
        <f>IF(H1636="Compliant","N/A",IF(J1636&lt;&gt;"","Closed",IF(I1636&lt;DATE(2026,9,30),"OVERDUE","Open")))</f>
        <v/>
      </c>
    </row>
    <row r="1637">
      <c r="A1637" t="inlineStr">
        <is>
          <t>INSP-2026-1636</t>
        </is>
      </c>
      <c r="B1637" s="6" t="n">
        <v>46264</v>
      </c>
      <c r="C1637" t="inlineStr">
        <is>
          <t>U-BV237-01-01</t>
        </is>
      </c>
      <c r="D1637" t="inlineStr">
        <is>
          <t>Bayshore Vale</t>
        </is>
      </c>
      <c r="E1637" t="inlineStr">
        <is>
          <t>D. Ong</t>
        </is>
      </c>
      <c r="F1637" t="inlineStr">
        <is>
          <t>Routine</t>
        </is>
      </c>
      <c r="G1637" t="inlineStr">
        <is>
          <t>NONE</t>
        </is>
      </c>
      <c r="H1637" t="inlineStr">
        <is>
          <t>Compliant</t>
        </is>
      </c>
      <c r="I1637" s="6" t="n"/>
      <c r="J1637" s="6" t="n"/>
      <c r="K1637">
        <f>IF(J1637="","",J1637-B1637)</f>
        <v/>
      </c>
      <c r="L1637">
        <f>IF(H1637="Compliant","N/A",IF(J1637&lt;&gt;"","Closed",IF(I1637&lt;DATE(2026,9,30),"OVERDUE","Open")))</f>
        <v/>
      </c>
    </row>
    <row r="1638">
      <c r="A1638" t="inlineStr">
        <is>
          <t>INSP-2026-1637</t>
        </is>
      </c>
      <c r="B1638" s="6" t="n">
        <v>46264</v>
      </c>
      <c r="C1638" t="inlineStr">
        <is>
          <t>U-PI678-01-07</t>
        </is>
      </c>
      <c r="D1638" t="inlineStr">
        <is>
          <t>Pasir Indah</t>
        </is>
      </c>
      <c r="E1638" t="inlineStr">
        <is>
          <t>Daniel O.</t>
        </is>
      </c>
      <c r="F1638" t="inlineStr">
        <is>
          <t>Routine</t>
        </is>
      </c>
      <c r="G1638" t="inlineStr">
        <is>
          <t>NONE</t>
        </is>
      </c>
      <c r="H1638" t="inlineStr">
        <is>
          <t>Compliant</t>
        </is>
      </c>
      <c r="I1638" s="6" t="n"/>
      <c r="J1638" s="6" t="n"/>
      <c r="K1638">
        <f>IF(J1638="","",J1638-B1638)</f>
        <v/>
      </c>
      <c r="L1638">
        <f>IF(H1638="Compliant","N/A",IF(J1638&lt;&gt;"","Closed",IF(I1638&lt;DATE(2026,9,30),"OVERDUE","Open")))</f>
        <v/>
      </c>
    </row>
    <row r="1639">
      <c r="A1639" t="inlineStr">
        <is>
          <t>INSP-2026-1638</t>
        </is>
      </c>
      <c r="B1639" s="6" t="n">
        <v>46264</v>
      </c>
      <c r="C1639" t="inlineStr">
        <is>
          <t>U-BV215-01-03</t>
        </is>
      </c>
      <c r="D1639" t="inlineStr">
        <is>
          <t>Bayshore Vale</t>
        </is>
      </c>
      <c r="E1639" t="inlineStr">
        <is>
          <t>daniel ong</t>
        </is>
      </c>
      <c r="F1639" t="inlineStr">
        <is>
          <t>Routine</t>
        </is>
      </c>
      <c r="G1639" t="inlineStr">
        <is>
          <t>NONE</t>
        </is>
      </c>
      <c r="H1639" t="inlineStr">
        <is>
          <t>Compliant</t>
        </is>
      </c>
      <c r="I1639" s="6" t="n"/>
      <c r="J1639" s="6" t="n"/>
      <c r="K1639">
        <f>IF(J1639="","",J1639-B1639)</f>
        <v/>
      </c>
      <c r="L1639">
        <f>IF(H1639="Compliant","N/A",IF(J1639&lt;&gt;"","Closed",IF(I1639&lt;DATE(2026,9,30),"OVERDUE","Open")))</f>
        <v/>
      </c>
    </row>
    <row r="1640">
      <c r="A1640" t="inlineStr">
        <is>
          <t>INSP-2026-1639</t>
        </is>
      </c>
      <c r="B1640" s="6" t="n">
        <v>46264</v>
      </c>
      <c r="C1640" t="inlineStr">
        <is>
          <t>U-RH484-01-06</t>
        </is>
      </c>
      <c r="D1640" t="inlineStr">
        <is>
          <t>Rimba Heights</t>
        </is>
      </c>
      <c r="E1640" t="inlineStr">
        <is>
          <t>Daniel O.</t>
        </is>
      </c>
      <c r="F1640" t="inlineStr">
        <is>
          <t>Complaint-driven</t>
        </is>
      </c>
      <c r="G1640" t="inlineStr">
        <is>
          <t>UNAPPROVED_AA</t>
        </is>
      </c>
      <c r="H1640" t="inlineStr">
        <is>
          <t>Minor Breach</t>
        </is>
      </c>
      <c r="I1640" s="6" t="n">
        <v>46278</v>
      </c>
      <c r="J1640" s="6" t="n">
        <v>46273</v>
      </c>
      <c r="K1640">
        <f>IF(J1640="","",J1640-B1640)</f>
        <v/>
      </c>
      <c r="L1640">
        <f>IF(H1640="Compliant","N/A",IF(J1640&lt;&gt;"","Closed",IF(I1640&lt;DATE(2026,9,30),"OVERDUE","Open")))</f>
        <v/>
      </c>
    </row>
    <row r="1641">
      <c r="A1641" t="inlineStr">
        <is>
          <t>INSP-2026-1640</t>
        </is>
      </c>
      <c r="B1641" s="6" t="n">
        <v>46265</v>
      </c>
      <c r="C1641" t="inlineStr">
        <is>
          <t>U-ST590-01-03</t>
        </is>
      </c>
      <c r="D1641" t="inlineStr">
        <is>
          <t>Sungai Tinggi</t>
        </is>
      </c>
      <c r="E1641" t="inlineStr">
        <is>
          <t>Daniel Ong</t>
        </is>
      </c>
      <c r="F1641" t="inlineStr">
        <is>
          <t>Complaint-driven</t>
        </is>
      </c>
      <c r="G1641" t="inlineStr">
        <is>
          <t>NONE</t>
        </is>
      </c>
      <c r="H1641" t="inlineStr">
        <is>
          <t>Compliant</t>
        </is>
      </c>
      <c r="I1641" s="6" t="n"/>
      <c r="J1641" s="6" t="n"/>
      <c r="K1641">
        <f>IF(J1641="","",J1641-B1641)</f>
        <v/>
      </c>
      <c r="L1641">
        <f>IF(H1641="Compliant","N/A",IF(J1641&lt;&gt;"","Closed",IF(I1641&lt;DATE(2026,9,30),"OVERDUE","Open")))</f>
        <v/>
      </c>
    </row>
    <row r="1642">
      <c r="A1642" t="inlineStr">
        <is>
          <t>INSP-2026-1641</t>
        </is>
      </c>
      <c r="B1642" s="6" t="n">
        <v>46265</v>
      </c>
      <c r="C1642" t="inlineStr">
        <is>
          <t>U-BV283-01-03</t>
        </is>
      </c>
      <c r="D1642" t="inlineStr">
        <is>
          <t>Bayshore Vale</t>
        </is>
      </c>
      <c r="E1642" t="inlineStr">
        <is>
          <t>Daniel Ong</t>
        </is>
      </c>
      <c r="F1642" t="inlineStr">
        <is>
          <t>Complaint-driven</t>
        </is>
      </c>
      <c r="G1642" t="inlineStr">
        <is>
          <t>NONE</t>
        </is>
      </c>
      <c r="H1642" t="inlineStr">
        <is>
          <t>Compliant</t>
        </is>
      </c>
      <c r="I1642" s="6" t="n"/>
      <c r="J1642" s="6" t="n"/>
      <c r="K1642">
        <f>IF(J1642="","",J1642-B1642)</f>
        <v/>
      </c>
      <c r="L1642">
        <f>IF(H1642="Compliant","N/A",IF(J1642&lt;&gt;"","Closed",IF(I1642&lt;DATE(2026,9,30),"OVERDUE","Open")))</f>
        <v/>
      </c>
    </row>
    <row r="1643">
      <c r="A1643" t="inlineStr">
        <is>
          <t>INSP-2026-1642</t>
        </is>
      </c>
      <c r="B1643" s="6" t="n">
        <v>46265</v>
      </c>
      <c r="C1643" t="inlineStr">
        <is>
          <t>U-PI651-01-01</t>
        </is>
      </c>
      <c r="D1643" t="inlineStr">
        <is>
          <t>Pasir Indah</t>
        </is>
      </c>
      <c r="E1643" t="inlineStr">
        <is>
          <t>M. Lim</t>
        </is>
      </c>
      <c r="F1643" t="inlineStr">
        <is>
          <t>Routine</t>
        </is>
      </c>
      <c r="G1643" t="inlineStr">
        <is>
          <t>STRUCTURAL_DEFECT</t>
        </is>
      </c>
      <c r="H1643" t="inlineStr">
        <is>
          <t>Major Breach</t>
        </is>
      </c>
      <c r="I1643" s="6" t="n">
        <v>46272</v>
      </c>
      <c r="J1643" s="6" t="n">
        <v>46279</v>
      </c>
      <c r="K1643">
        <f>IF(J1643="","",J1643-B1643)</f>
        <v/>
      </c>
      <c r="L1643">
        <f>IF(H1643="Compliant","N/A",IF(J1643&lt;&gt;"","Closed",IF(I1643&lt;DATE(2026,9,30),"OVERDUE","Open")))</f>
        <v/>
      </c>
    </row>
    <row r="1644">
      <c r="A1644" t="inlineStr">
        <is>
          <t>INSP-2026-1643</t>
        </is>
      </c>
      <c r="B1644" s="6" t="n">
        <v>46265</v>
      </c>
      <c r="C1644" t="inlineStr">
        <is>
          <t>U-BV283-01-08</t>
        </is>
      </c>
      <c r="D1644" t="inlineStr">
        <is>
          <t>Bayshore Vale</t>
        </is>
      </c>
      <c r="E1644" t="inlineStr">
        <is>
          <t>marcus</t>
        </is>
      </c>
      <c r="F1644" t="inlineStr">
        <is>
          <t>Routine</t>
        </is>
      </c>
      <c r="G1644" t="inlineStr">
        <is>
          <t>HYGIENE</t>
        </is>
      </c>
      <c r="H1644" t="inlineStr">
        <is>
          <t>Minor Breach</t>
        </is>
      </c>
      <c r="I1644" s="6" t="n">
        <v>46279</v>
      </c>
      <c r="J1644" s="6" t="n"/>
      <c r="K1644">
        <f>IF(J1644="","",J1644-B1644)</f>
        <v/>
      </c>
      <c r="L1644">
        <f>IF(H1644="Compliant","N/A",IF(J1644&lt;&gt;"","Closed",IF(I1644&lt;DATE(2026,9,30),"OVERDUE","Open")))</f>
        <v/>
      </c>
    </row>
    <row r="1645">
      <c r="A1645" t="inlineStr">
        <is>
          <t>INSP-2026-1644</t>
        </is>
      </c>
      <c r="B1645" s="6" t="n">
        <v>46265</v>
      </c>
      <c r="C1645" t="inlineStr">
        <is>
          <t>U-PI627-01-24</t>
        </is>
      </c>
      <c r="D1645" t="inlineStr">
        <is>
          <t>Pasir Indah</t>
        </is>
      </c>
      <c r="E1645" t="inlineStr">
        <is>
          <t>Daniel Ong</t>
        </is>
      </c>
      <c r="F1645" t="inlineStr">
        <is>
          <t>Routine</t>
        </is>
      </c>
      <c r="G1645" t="inlineStr">
        <is>
          <t>NONE</t>
        </is>
      </c>
      <c r="H1645" t="inlineStr">
        <is>
          <t>Compliant</t>
        </is>
      </c>
      <c r="I1645" s="6" t="n"/>
      <c r="J1645" s="6" t="n"/>
      <c r="K1645">
        <f>IF(J1645="","",J1645-B1645)</f>
        <v/>
      </c>
      <c r="L1645">
        <f>IF(H1645="Compliant","N/A",IF(J1645&lt;&gt;"","Closed",IF(I1645&lt;DATE(2026,9,30),"OVERDUE","Open")))</f>
        <v/>
      </c>
    </row>
    <row r="1646">
      <c r="A1646" t="inlineStr">
        <is>
          <t>INSP-2026-1645</t>
        </is>
      </c>
      <c r="B1646" s="6" t="n">
        <v>46265</v>
      </c>
      <c r="C1646" t="inlineStr">
        <is>
          <t>U-KR333-01-08</t>
        </is>
      </c>
      <c r="D1646" t="inlineStr">
        <is>
          <t>Kebun Raya</t>
        </is>
      </c>
      <c r="E1646" t="inlineStr">
        <is>
          <t>B. Ho</t>
        </is>
      </c>
      <c r="F1646" t="inlineStr">
        <is>
          <t>Follow-up</t>
        </is>
      </c>
      <c r="G1646" t="inlineStr">
        <is>
          <t>NONE</t>
        </is>
      </c>
      <c r="H1646" t="inlineStr">
        <is>
          <t>Compliant</t>
        </is>
      </c>
      <c r="I1646" s="6" t="n"/>
      <c r="J1646" s="6" t="n"/>
      <c r="K1646">
        <f>IF(J1646="","",J1646-B1646)</f>
        <v/>
      </c>
      <c r="L1646">
        <f>IF(H1646="Compliant","N/A",IF(J1646&lt;&gt;"","Closed",IF(I1646&lt;DATE(2026,9,30),"OVERDUE","Open")))</f>
        <v/>
      </c>
    </row>
    <row r="1647">
      <c r="A1647" t="inlineStr">
        <is>
          <t>INSP-2026-1646</t>
        </is>
      </c>
      <c r="B1647" s="6" t="n">
        <v>46265</v>
      </c>
      <c r="C1647" t="inlineStr">
        <is>
          <t>U-BV204-01-06</t>
        </is>
      </c>
      <c r="D1647" t="inlineStr">
        <is>
          <t>Bayshore Vale</t>
        </is>
      </c>
      <c r="E1647" t="inlineStr">
        <is>
          <t>Daniel O.</t>
        </is>
      </c>
      <c r="F1647" t="inlineStr">
        <is>
          <t>Follow-up</t>
        </is>
      </c>
      <c r="G1647" t="inlineStr">
        <is>
          <t>UNAUTH_TRADE</t>
        </is>
      </c>
      <c r="H1647" t="inlineStr">
        <is>
          <t>Major Breach</t>
        </is>
      </c>
      <c r="I1647" s="6" t="n">
        <v>46272</v>
      </c>
      <c r="J1647" s="6" t="n">
        <v>46280</v>
      </c>
      <c r="K1647">
        <f>IF(J1647="","",J1647-B1647)</f>
        <v/>
      </c>
      <c r="L1647">
        <f>IF(H1647="Compliant","N/A",IF(J1647&lt;&gt;"","Closed",IF(I1647&lt;DATE(2026,9,30),"OVERDUE","Open")))</f>
        <v/>
      </c>
    </row>
    <row r="1648">
      <c r="A1648" t="inlineStr">
        <is>
          <t>INSP-2026-1647</t>
        </is>
      </c>
      <c r="B1648" s="6" t="n">
        <v>46265</v>
      </c>
      <c r="C1648" t="inlineStr">
        <is>
          <t>U-CD185-01-02</t>
        </is>
      </c>
      <c r="D1648" t="inlineStr">
        <is>
          <t>Cendana</t>
        </is>
      </c>
      <c r="E1648" t="inlineStr">
        <is>
          <t>D. Ong</t>
        </is>
      </c>
      <c r="F1648" t="inlineStr">
        <is>
          <t>Routine</t>
        </is>
      </c>
      <c r="G1648" t="inlineStr">
        <is>
          <t>DISPLAY_ENCROACH</t>
        </is>
      </c>
      <c r="H1648" t="inlineStr">
        <is>
          <t>Minor Breach</t>
        </is>
      </c>
      <c r="I1648" s="6" t="n">
        <v>46279</v>
      </c>
      <c r="J1648" s="6" t="n">
        <v>46285</v>
      </c>
      <c r="K1648">
        <f>IF(J1648="","",J1648-B1648)</f>
        <v/>
      </c>
      <c r="L1648">
        <f>IF(H1648="Compliant","N/A",IF(J1648&lt;&gt;"","Closed",IF(I1648&lt;DATE(2026,9,30),"OVERDUE","Open")))</f>
        <v/>
      </c>
    </row>
    <row r="1649">
      <c r="A1649" t="inlineStr">
        <is>
          <t>INSP-2026-1648</t>
        </is>
      </c>
      <c r="B1649" s="6" t="n">
        <v>46265</v>
      </c>
      <c r="C1649" t="inlineStr">
        <is>
          <t>U-ST589-01-05</t>
        </is>
      </c>
      <c r="D1649" t="inlineStr">
        <is>
          <t>Sungai Tinggi</t>
        </is>
      </c>
      <c r="E1649" t="inlineStr">
        <is>
          <t>daniel ong</t>
        </is>
      </c>
      <c r="F1649" t="inlineStr">
        <is>
          <t>Routine</t>
        </is>
      </c>
      <c r="G1649" t="inlineStr">
        <is>
          <t>FIRE_SAFETY</t>
        </is>
      </c>
      <c r="H1649" t="inlineStr">
        <is>
          <t>Major Breach</t>
        </is>
      </c>
      <c r="I1649" s="6" t="n">
        <v>46272</v>
      </c>
      <c r="J1649" s="6" t="n"/>
      <c r="K1649">
        <f>IF(J1649="","",J1649-B1649)</f>
        <v/>
      </c>
      <c r="L1649">
        <f>IF(H1649="Compliant","N/A",IF(J1649&lt;&gt;"","Closed",IF(I1649&lt;DATE(2026,9,30),"OVERDUE","Open")))</f>
        <v/>
      </c>
    </row>
    <row r="1650">
      <c r="A1650" t="inlineStr">
        <is>
          <t>INSP-2026-1649</t>
        </is>
      </c>
      <c r="B1650" s="6" t="n">
        <v>46266</v>
      </c>
      <c r="C1650" t="inlineStr">
        <is>
          <t>U-KR372-01-10</t>
        </is>
      </c>
      <c r="D1650" t="inlineStr">
        <is>
          <t>Kebun Raya</t>
        </is>
      </c>
      <c r="E1650" t="inlineStr">
        <is>
          <t>Benjamin Ho</t>
        </is>
      </c>
      <c r="F1650" t="inlineStr">
        <is>
          <t>Routine</t>
        </is>
      </c>
      <c r="G1650" t="inlineStr">
        <is>
          <t>NONE</t>
        </is>
      </c>
      <c r="H1650" t="inlineStr">
        <is>
          <t>Compliant</t>
        </is>
      </c>
      <c r="I1650" s="6" t="n"/>
      <c r="J1650" s="6" t="n"/>
      <c r="K1650">
        <f>IF(J1650="","",J1650-B1650)</f>
        <v/>
      </c>
      <c r="L1650">
        <f>IF(H1650="Compliant","N/A",IF(J1650&lt;&gt;"","Closed",IF(I1650&lt;DATE(2026,9,30),"OVERDUE","Open")))</f>
        <v/>
      </c>
    </row>
    <row r="1651">
      <c r="A1651" t="inlineStr">
        <is>
          <t>INSP-2026-1650</t>
        </is>
      </c>
      <c r="B1651" s="6" t="n">
        <v>46266</v>
      </c>
      <c r="C1651" t="inlineStr">
        <is>
          <t>U-RH401-01-09</t>
        </is>
      </c>
      <c r="D1651" t="inlineStr">
        <is>
          <t>Rimba Heights</t>
        </is>
      </c>
      <c r="E1651" t="inlineStr">
        <is>
          <t>Benjamin Ho</t>
        </is>
      </c>
      <c r="F1651" t="inlineStr">
        <is>
          <t>Routine</t>
        </is>
      </c>
      <c r="G1651" t="inlineStr">
        <is>
          <t>NONE</t>
        </is>
      </c>
      <c r="H1651" t="inlineStr">
        <is>
          <t>Compliant</t>
        </is>
      </c>
      <c r="I1651" s="6" t="n"/>
      <c r="J1651" s="6" t="n"/>
      <c r="K1651">
        <f>IF(J1651="","",J1651-B1651)</f>
        <v/>
      </c>
      <c r="L1651">
        <f>IF(H1651="Compliant","N/A",IF(J1651&lt;&gt;"","Closed",IF(I1651&lt;DATE(2026,9,30),"OVERDUE","Open")))</f>
        <v/>
      </c>
    </row>
    <row r="1652">
      <c r="A1652" t="inlineStr">
        <is>
          <t>INSP-2026-1651</t>
        </is>
      </c>
      <c r="B1652" s="6" t="n">
        <v>46266</v>
      </c>
      <c r="C1652" t="inlineStr">
        <is>
          <t>U-BV271-01-11</t>
        </is>
      </c>
      <c r="D1652" t="inlineStr">
        <is>
          <t>Bayshore Vale</t>
        </is>
      </c>
      <c r="E1652" t="inlineStr">
        <is>
          <t>marcus</t>
        </is>
      </c>
      <c r="F1652" t="inlineStr">
        <is>
          <t>Routine</t>
        </is>
      </c>
      <c r="G1652" t="inlineStr">
        <is>
          <t>STRUCTURAL_DEFECT</t>
        </is>
      </c>
      <c r="H1652" t="inlineStr">
        <is>
          <t>Major Breach</t>
        </is>
      </c>
      <c r="I1652" s="6" t="n">
        <v>46273</v>
      </c>
      <c r="J1652" s="6" t="n">
        <v>46275</v>
      </c>
      <c r="K1652">
        <f>IF(J1652="","",J1652-B1652)</f>
        <v/>
      </c>
      <c r="L1652">
        <f>IF(H1652="Compliant","N/A",IF(J1652&lt;&gt;"","Closed",IF(I1652&lt;DATE(2026,9,30),"OVERDUE","Open")))</f>
        <v/>
      </c>
    </row>
    <row r="1653">
      <c r="A1653" t="inlineStr">
        <is>
          <t>INSP-2026-1652</t>
        </is>
      </c>
      <c r="B1653" s="6" t="n">
        <v>46267</v>
      </c>
      <c r="C1653" t="inlineStr">
        <is>
          <t>U-ST506-01-04</t>
        </is>
      </c>
      <c r="D1653" t="inlineStr">
        <is>
          <t>Sungai Tinggi</t>
        </is>
      </c>
      <c r="E1653" t="inlineStr">
        <is>
          <t>Benjamin Ho</t>
        </is>
      </c>
      <c r="F1653" t="inlineStr">
        <is>
          <t>Routine</t>
        </is>
      </c>
      <c r="G1653" t="inlineStr">
        <is>
          <t>NONE</t>
        </is>
      </c>
      <c r="H1653" t="inlineStr">
        <is>
          <t>Compliant</t>
        </is>
      </c>
      <c r="I1653" s="6" t="n"/>
      <c r="J1653" s="6" t="n"/>
      <c r="K1653">
        <f>IF(J1653="","",J1653-B1653)</f>
        <v/>
      </c>
      <c r="L1653">
        <f>IF(H1653="Compliant","N/A",IF(J1653&lt;&gt;"","Closed",IF(I1653&lt;DATE(2026,9,30),"OVERDUE","Open")))</f>
        <v/>
      </c>
    </row>
    <row r="1654">
      <c r="A1654" t="inlineStr">
        <is>
          <t>INSP-2026-1653</t>
        </is>
      </c>
      <c r="B1654" s="6" t="n">
        <v>46267</v>
      </c>
      <c r="C1654" t="inlineStr">
        <is>
          <t>U-PI693-01-06</t>
        </is>
      </c>
      <c r="D1654" t="inlineStr">
        <is>
          <t>Pasir Indah</t>
        </is>
      </c>
      <c r="E1654" t="inlineStr">
        <is>
          <t>D. Ong</t>
        </is>
      </c>
      <c r="F1654" t="inlineStr">
        <is>
          <t>Routine</t>
        </is>
      </c>
      <c r="G1654" t="inlineStr">
        <is>
          <t>NONE</t>
        </is>
      </c>
      <c r="H1654" t="inlineStr">
        <is>
          <t>Compliant</t>
        </is>
      </c>
      <c r="I1654" s="6" t="n"/>
      <c r="J1654" s="6" t="n"/>
      <c r="K1654">
        <f>IF(J1654="","",J1654-B1654)</f>
        <v/>
      </c>
      <c r="L1654">
        <f>IF(H1654="Compliant","N/A",IF(J1654&lt;&gt;"","Closed",IF(I1654&lt;DATE(2026,9,30),"OVERDUE","Open")))</f>
        <v/>
      </c>
    </row>
    <row r="1655">
      <c r="A1655" t="inlineStr">
        <is>
          <t>INSP-2026-1654</t>
        </is>
      </c>
      <c r="B1655" s="6" t="n">
        <v>46267</v>
      </c>
      <c r="C1655" t="inlineStr">
        <is>
          <t>U-ST507-01-06</t>
        </is>
      </c>
      <c r="D1655" t="inlineStr">
        <is>
          <t>Sungai Tinggi</t>
        </is>
      </c>
      <c r="E1655" t="inlineStr">
        <is>
          <t>Daniel O.</t>
        </is>
      </c>
      <c r="F1655" t="inlineStr">
        <is>
          <t>Routine</t>
        </is>
      </c>
      <c r="G1655" t="inlineStr">
        <is>
          <t>NONE</t>
        </is>
      </c>
      <c r="H1655" t="inlineStr">
        <is>
          <t>Compliant</t>
        </is>
      </c>
      <c r="I1655" s="6" t="n"/>
      <c r="J1655" s="6" t="n"/>
      <c r="K1655">
        <f>IF(J1655="","",J1655-B1655)</f>
        <v/>
      </c>
      <c r="L1655">
        <f>IF(H1655="Compliant","N/A",IF(J1655&lt;&gt;"","Closed",IF(I1655&lt;DATE(2026,9,30),"OVERDUE","Open")))</f>
        <v/>
      </c>
    </row>
    <row r="1656">
      <c r="A1656" t="inlineStr">
        <is>
          <t>INSP-2026-1655</t>
        </is>
      </c>
      <c r="B1656" s="6" t="n">
        <v>46268</v>
      </c>
      <c r="C1656" t="inlineStr">
        <is>
          <t>U-BV279-01-05</t>
        </is>
      </c>
      <c r="D1656" t="inlineStr">
        <is>
          <t>Bayshore Vale</t>
        </is>
      </c>
      <c r="E1656" t="inlineStr">
        <is>
          <t>D. Ong</t>
        </is>
      </c>
      <c r="F1656" t="inlineStr">
        <is>
          <t>Routine</t>
        </is>
      </c>
      <c r="G1656" t="inlineStr">
        <is>
          <t>NONE</t>
        </is>
      </c>
      <c r="H1656" t="inlineStr">
        <is>
          <t>Compliant</t>
        </is>
      </c>
      <c r="I1656" s="6" t="n"/>
      <c r="J1656" s="6" t="n"/>
      <c r="K1656">
        <f>IF(J1656="","",J1656-B1656)</f>
        <v/>
      </c>
      <c r="L1656">
        <f>IF(H1656="Compliant","N/A",IF(J1656&lt;&gt;"","Closed",IF(I1656&lt;DATE(2026,9,30),"OVERDUE","Open")))</f>
        <v/>
      </c>
    </row>
    <row r="1657">
      <c r="A1657" t="inlineStr">
        <is>
          <t>INSP-2026-1656</t>
        </is>
      </c>
      <c r="B1657" s="6" t="n">
        <v>46268</v>
      </c>
      <c r="C1657" t="inlineStr">
        <is>
          <t>U-CD190-02-04</t>
        </is>
      </c>
      <c r="D1657" t="inlineStr">
        <is>
          <t>Cendana</t>
        </is>
      </c>
      <c r="E1657" t="inlineStr">
        <is>
          <t>Daniel O.</t>
        </is>
      </c>
      <c r="F1657" t="inlineStr">
        <is>
          <t>Follow-up</t>
        </is>
      </c>
      <c r="G1657" t="inlineStr">
        <is>
          <t>NONE</t>
        </is>
      </c>
      <c r="H1657" t="inlineStr">
        <is>
          <t>Compliant</t>
        </is>
      </c>
      <c r="I1657" s="6" t="n"/>
      <c r="J1657" s="6" t="n"/>
      <c r="K1657">
        <f>IF(J1657="","",J1657-B1657)</f>
        <v/>
      </c>
      <c r="L1657">
        <f>IF(H1657="Compliant","N/A",IF(J1657&lt;&gt;"","Closed",IF(I1657&lt;DATE(2026,9,30),"OVERDUE","Open")))</f>
        <v/>
      </c>
    </row>
    <row r="1658">
      <c r="A1658" t="inlineStr">
        <is>
          <t>INSP-2026-1657</t>
        </is>
      </c>
      <c r="B1658" s="6" t="n">
        <v>46268</v>
      </c>
      <c r="C1658" t="inlineStr">
        <is>
          <t>U-KR341-01-04</t>
        </is>
      </c>
      <c r="D1658" t="inlineStr">
        <is>
          <t>Kebun Raya</t>
        </is>
      </c>
      <c r="E1658" t="inlineStr">
        <is>
          <t>Daniel O.</t>
        </is>
      </c>
      <c r="F1658" t="inlineStr">
        <is>
          <t>Routine</t>
        </is>
      </c>
      <c r="G1658" t="inlineStr">
        <is>
          <t>NONE</t>
        </is>
      </c>
      <c r="H1658" t="inlineStr">
        <is>
          <t>Compliant</t>
        </is>
      </c>
      <c r="I1658" s="6" t="n"/>
      <c r="J1658" s="6" t="n"/>
      <c r="K1658">
        <f>IF(J1658="","",J1658-B1658)</f>
        <v/>
      </c>
      <c r="L1658">
        <f>IF(H1658="Compliant","N/A",IF(J1658&lt;&gt;"","Closed",IF(I1658&lt;DATE(2026,9,30),"OVERDUE","Open")))</f>
        <v/>
      </c>
    </row>
    <row r="1659">
      <c r="A1659" t="inlineStr">
        <is>
          <t>INSP-2026-1658</t>
        </is>
      </c>
      <c r="B1659" s="6" t="n">
        <v>46268</v>
      </c>
      <c r="C1659" t="inlineStr">
        <is>
          <t>U-KR353-01-09</t>
        </is>
      </c>
      <c r="D1659" t="inlineStr">
        <is>
          <t>Kebun Raya</t>
        </is>
      </c>
      <c r="E1659" t="inlineStr">
        <is>
          <t>B. Ho</t>
        </is>
      </c>
      <c r="F1659" t="inlineStr">
        <is>
          <t>Routine</t>
        </is>
      </c>
      <c r="G1659" t="inlineStr">
        <is>
          <t>NONE</t>
        </is>
      </c>
      <c r="H1659" t="inlineStr">
        <is>
          <t>Compliant</t>
        </is>
      </c>
      <c r="I1659" s="6" t="n"/>
      <c r="J1659" s="6" t="n"/>
      <c r="K1659">
        <f>IF(J1659="","",J1659-B1659)</f>
        <v/>
      </c>
      <c r="L1659">
        <f>IF(H1659="Compliant","N/A",IF(J1659&lt;&gt;"","Closed",IF(I1659&lt;DATE(2026,9,30),"OVERDUE","Open")))</f>
        <v/>
      </c>
    </row>
    <row r="1660">
      <c r="A1660" t="inlineStr">
        <is>
          <t>INSP-2026-1659</t>
        </is>
      </c>
      <c r="B1660" s="6" t="n">
        <v>46268</v>
      </c>
      <c r="C1660" t="inlineStr">
        <is>
          <t>U-CD120-01-06</t>
        </is>
      </c>
      <c r="D1660" t="inlineStr">
        <is>
          <t>Cendana</t>
        </is>
      </c>
      <c r="E1660" t="inlineStr">
        <is>
          <t>marcus</t>
        </is>
      </c>
      <c r="F1660" t="inlineStr">
        <is>
          <t>Follow-up</t>
        </is>
      </c>
      <c r="G1660" t="inlineStr">
        <is>
          <t>NONE</t>
        </is>
      </c>
      <c r="H1660" t="inlineStr">
        <is>
          <t>Compliant</t>
        </is>
      </c>
      <c r="I1660" s="6" t="n"/>
      <c r="J1660" s="6" t="n"/>
      <c r="K1660">
        <f>IF(J1660="","",J1660-B1660)</f>
        <v/>
      </c>
      <c r="L1660">
        <f>IF(H1660="Compliant","N/A",IF(J1660&lt;&gt;"","Closed",IF(I1660&lt;DATE(2026,9,30),"OVERDUE","Open")))</f>
        <v/>
      </c>
    </row>
    <row r="1661">
      <c r="A1661" t="inlineStr">
        <is>
          <t>INSP-2026-1660</t>
        </is>
      </c>
      <c r="B1661" s="6" t="n">
        <v>46268</v>
      </c>
      <c r="C1661" t="inlineStr">
        <is>
          <t>U-CD174-01-08</t>
        </is>
      </c>
      <c r="D1661" t="inlineStr">
        <is>
          <t>Cendana</t>
        </is>
      </c>
      <c r="E1661" t="inlineStr">
        <is>
          <t>marcus</t>
        </is>
      </c>
      <c r="F1661" t="inlineStr">
        <is>
          <t>Routine</t>
        </is>
      </c>
      <c r="G1661" t="inlineStr">
        <is>
          <t>NONE</t>
        </is>
      </c>
      <c r="H1661" t="inlineStr">
        <is>
          <t>Compliant</t>
        </is>
      </c>
      <c r="I1661" s="6" t="n"/>
      <c r="J1661" s="6" t="n"/>
      <c r="K1661">
        <f>IF(J1661="","",J1661-B1661)</f>
        <v/>
      </c>
      <c r="L1661">
        <f>IF(H1661="Compliant","N/A",IF(J1661&lt;&gt;"","Closed",IF(I1661&lt;DATE(2026,9,30),"OVERDUE","Open")))</f>
        <v/>
      </c>
    </row>
    <row r="1662">
      <c r="A1662" t="inlineStr">
        <is>
          <t>INSP-2026-1661</t>
        </is>
      </c>
      <c r="B1662" s="6" t="n">
        <v>46269</v>
      </c>
      <c r="C1662" t="inlineStr">
        <is>
          <t>U-ST596-01-01</t>
        </is>
      </c>
      <c r="D1662" t="inlineStr">
        <is>
          <t>Sungai Tinggi</t>
        </is>
      </c>
      <c r="E1662" t="inlineStr">
        <is>
          <t>daniel ong</t>
        </is>
      </c>
      <c r="F1662" t="inlineStr">
        <is>
          <t>Routine</t>
        </is>
      </c>
      <c r="G1662" t="inlineStr">
        <is>
          <t>NONE</t>
        </is>
      </c>
      <c r="H1662" t="inlineStr">
        <is>
          <t>Compliant</t>
        </is>
      </c>
      <c r="I1662" s="6" t="n"/>
      <c r="J1662" s="6" t="n"/>
      <c r="K1662">
        <f>IF(J1662="","",J1662-B1662)</f>
        <v/>
      </c>
      <c r="L1662">
        <f>IF(H1662="Compliant","N/A",IF(J1662&lt;&gt;"","Closed",IF(I1662&lt;DATE(2026,9,30),"OVERDUE","Open")))</f>
        <v/>
      </c>
    </row>
    <row r="1663">
      <c r="A1663" t="inlineStr">
        <is>
          <t>INSP-2026-1662</t>
        </is>
      </c>
      <c r="B1663" s="6" t="n">
        <v>46269</v>
      </c>
      <c r="C1663" t="inlineStr">
        <is>
          <t>U-CD135-01-03</t>
        </is>
      </c>
      <c r="D1663" t="inlineStr">
        <is>
          <t>Cendana</t>
        </is>
      </c>
      <c r="E1663" t="inlineStr">
        <is>
          <t>D. Ong</t>
        </is>
      </c>
      <c r="F1663" t="inlineStr">
        <is>
          <t>Routine</t>
        </is>
      </c>
      <c r="G1663" t="inlineStr">
        <is>
          <t>NONE</t>
        </is>
      </c>
      <c r="H1663" t="inlineStr">
        <is>
          <t>Compliant</t>
        </is>
      </c>
      <c r="I1663" s="6" t="n"/>
      <c r="J1663" s="6" t="n"/>
      <c r="K1663">
        <f>IF(J1663="","",J1663-B1663)</f>
        <v/>
      </c>
      <c r="L1663">
        <f>IF(H1663="Compliant","N/A",IF(J1663&lt;&gt;"","Closed",IF(I1663&lt;DATE(2026,9,30),"OVERDUE","Open")))</f>
        <v/>
      </c>
    </row>
    <row r="1664">
      <c r="A1664" t="inlineStr">
        <is>
          <t>INSP-2026-1663</t>
        </is>
      </c>
      <c r="B1664" s="6" t="n">
        <v>46269</v>
      </c>
      <c r="C1664" t="inlineStr">
        <is>
          <t>U-PI651-01-01</t>
        </is>
      </c>
      <c r="D1664" t="inlineStr">
        <is>
          <t>Pasir Indah</t>
        </is>
      </c>
      <c r="E1664" t="inlineStr">
        <is>
          <t>M. Lim</t>
        </is>
      </c>
      <c r="F1664" t="inlineStr">
        <is>
          <t>Routine</t>
        </is>
      </c>
      <c r="G1664" t="inlineStr">
        <is>
          <t>NONE</t>
        </is>
      </c>
      <c r="H1664" t="inlineStr">
        <is>
          <t>Compliant</t>
        </is>
      </c>
      <c r="I1664" s="6" t="n"/>
      <c r="J1664" s="6" t="n"/>
      <c r="K1664">
        <f>IF(J1664="","",J1664-B1664)</f>
        <v/>
      </c>
      <c r="L1664">
        <f>IF(H1664="Compliant","N/A",IF(J1664&lt;&gt;"","Closed",IF(I1664&lt;DATE(2026,9,30),"OVERDUE","Open")))</f>
        <v/>
      </c>
    </row>
    <row r="1665">
      <c r="A1665" t="inlineStr">
        <is>
          <t>INSP-2026-1664</t>
        </is>
      </c>
      <c r="B1665" s="6" t="n">
        <v>46269</v>
      </c>
      <c r="C1665" t="inlineStr">
        <is>
          <t>U-BV233-01-03</t>
        </is>
      </c>
      <c r="D1665" t="inlineStr">
        <is>
          <t>Bayshore Vale</t>
        </is>
      </c>
      <c r="E1665" t="inlineStr">
        <is>
          <t>Daniel Ong</t>
        </is>
      </c>
      <c r="F1665" t="inlineStr">
        <is>
          <t>Follow-up</t>
        </is>
      </c>
      <c r="G1665" t="inlineStr">
        <is>
          <t>NONE</t>
        </is>
      </c>
      <c r="H1665" t="inlineStr">
        <is>
          <t>Compliant</t>
        </is>
      </c>
      <c r="I1665" s="6" t="n"/>
      <c r="J1665" s="6" t="n"/>
      <c r="K1665">
        <f>IF(J1665="","",J1665-B1665)</f>
        <v/>
      </c>
      <c r="L1665">
        <f>IF(H1665="Compliant","N/A",IF(J1665&lt;&gt;"","Closed",IF(I1665&lt;DATE(2026,9,30),"OVERDUE","Open")))</f>
        <v/>
      </c>
    </row>
    <row r="1666">
      <c r="A1666" t="inlineStr">
        <is>
          <t>INSP-2026-1665</t>
        </is>
      </c>
      <c r="B1666" s="6" t="n">
        <v>46269</v>
      </c>
      <c r="C1666" t="inlineStr">
        <is>
          <t>U-PI615-01-06</t>
        </is>
      </c>
      <c r="D1666" t="inlineStr">
        <is>
          <t>Pasir Indah</t>
        </is>
      </c>
      <c r="E1666" t="inlineStr">
        <is>
          <t>daniel ong</t>
        </is>
      </c>
      <c r="F1666" t="inlineStr">
        <is>
          <t>Routine</t>
        </is>
      </c>
      <c r="G1666" t="inlineStr">
        <is>
          <t>NONE</t>
        </is>
      </c>
      <c r="H1666" t="inlineStr">
        <is>
          <t>Compliant</t>
        </is>
      </c>
      <c r="I1666" s="6" t="n"/>
      <c r="J1666" s="6" t="n"/>
      <c r="K1666">
        <f>IF(J1666="","",J1666-B1666)</f>
        <v/>
      </c>
      <c r="L1666">
        <f>IF(H1666="Compliant","N/A",IF(J1666&lt;&gt;"","Closed",IF(I1666&lt;DATE(2026,9,30),"OVERDUE","Open")))</f>
        <v/>
      </c>
    </row>
    <row r="1667">
      <c r="A1667" t="inlineStr">
        <is>
          <t>INSP-2026-1666</t>
        </is>
      </c>
      <c r="B1667" s="6" t="n">
        <v>46269</v>
      </c>
      <c r="C1667" t="inlineStr">
        <is>
          <t>U-BV283-01-05</t>
        </is>
      </c>
      <c r="D1667" t="inlineStr">
        <is>
          <t>Bayshore Vale</t>
        </is>
      </c>
      <c r="E1667" t="inlineStr">
        <is>
          <t>marcus</t>
        </is>
      </c>
      <c r="F1667" t="inlineStr">
        <is>
          <t>Routine</t>
        </is>
      </c>
      <c r="G1667" t="inlineStr">
        <is>
          <t>NONE</t>
        </is>
      </c>
      <c r="H1667" t="inlineStr">
        <is>
          <t>Compliant</t>
        </is>
      </c>
      <c r="I1667" s="6" t="n"/>
      <c r="J1667" s="6" t="n"/>
      <c r="K1667">
        <f>IF(J1667="","",J1667-B1667)</f>
        <v/>
      </c>
      <c r="L1667">
        <f>IF(H1667="Compliant","N/A",IF(J1667&lt;&gt;"","Closed",IF(I1667&lt;DATE(2026,9,30),"OVERDUE","Open")))</f>
        <v/>
      </c>
    </row>
    <row r="1668">
      <c r="A1668" t="inlineStr">
        <is>
          <t>INSP-2026-1667</t>
        </is>
      </c>
      <c r="B1668" s="6" t="n">
        <v>46269</v>
      </c>
      <c r="C1668" t="inlineStr">
        <is>
          <t>U-ST593-01-05</t>
        </is>
      </c>
      <c r="D1668" t="inlineStr">
        <is>
          <t>Sungai Tinggi</t>
        </is>
      </c>
      <c r="E1668" t="inlineStr">
        <is>
          <t>D. Ong</t>
        </is>
      </c>
      <c r="F1668" t="inlineStr">
        <is>
          <t>Routine</t>
        </is>
      </c>
      <c r="G1668" t="inlineStr">
        <is>
          <t>UNAPPROVED_AA</t>
        </is>
      </c>
      <c r="H1668" t="inlineStr">
        <is>
          <t>Minor Breach</t>
        </is>
      </c>
      <c r="I1668" s="6" t="n">
        <v>46283</v>
      </c>
      <c r="J1668" s="6" t="n"/>
      <c r="K1668">
        <f>IF(J1668="","",J1668-B1668)</f>
        <v/>
      </c>
      <c r="L1668">
        <f>IF(H1668="Compliant","N/A",IF(J1668&lt;&gt;"","Closed",IF(I1668&lt;DATE(2026,9,30),"OVERDUE","Open")))</f>
        <v/>
      </c>
    </row>
    <row r="1669">
      <c r="A1669" t="inlineStr">
        <is>
          <t>INSP-2026-1668</t>
        </is>
      </c>
      <c r="B1669" s="6" t="n">
        <v>46269</v>
      </c>
      <c r="C1669" t="inlineStr">
        <is>
          <t>U-BV256-01-04</t>
        </is>
      </c>
      <c r="D1669" t="inlineStr">
        <is>
          <t>Bayshore Vale</t>
        </is>
      </c>
      <c r="E1669" t="inlineStr">
        <is>
          <t>marcus</t>
        </is>
      </c>
      <c r="F1669" t="inlineStr">
        <is>
          <t>Routine</t>
        </is>
      </c>
      <c r="G1669" t="inlineStr">
        <is>
          <t>NONE</t>
        </is>
      </c>
      <c r="H1669" t="inlineStr">
        <is>
          <t>Compliant</t>
        </is>
      </c>
      <c r="I1669" s="6" t="n"/>
      <c r="J1669" s="6" t="n"/>
      <c r="K1669">
        <f>IF(J1669="","",J1669-B1669)</f>
        <v/>
      </c>
      <c r="L1669">
        <f>IF(H1669="Compliant","N/A",IF(J1669&lt;&gt;"","Closed",IF(I1669&lt;DATE(2026,9,30),"OVERDUE","Open")))</f>
        <v/>
      </c>
    </row>
    <row r="1670">
      <c r="A1670" t="inlineStr">
        <is>
          <t>INSP-2026-1669</t>
        </is>
      </c>
      <c r="B1670" s="6" t="n">
        <v>46269</v>
      </c>
      <c r="C1670" t="inlineStr">
        <is>
          <t>U-BV279-01-06</t>
        </is>
      </c>
      <c r="D1670" t="inlineStr">
        <is>
          <t>Bayshore Vale</t>
        </is>
      </c>
      <c r="E1670" t="inlineStr">
        <is>
          <t>daniel ong</t>
        </is>
      </c>
      <c r="F1670" t="inlineStr">
        <is>
          <t>Routine</t>
        </is>
      </c>
      <c r="G1670" t="inlineStr">
        <is>
          <t>NONE</t>
        </is>
      </c>
      <c r="H1670" t="inlineStr">
        <is>
          <t>Compliant</t>
        </is>
      </c>
      <c r="I1670" s="6" t="n"/>
      <c r="J1670" s="6" t="n"/>
      <c r="K1670">
        <f>IF(J1670="","",J1670-B1670)</f>
        <v/>
      </c>
      <c r="L1670">
        <f>IF(H1670="Compliant","N/A",IF(J1670&lt;&gt;"","Closed",IF(I1670&lt;DATE(2026,9,30),"OVERDUE","Open")))</f>
        <v/>
      </c>
    </row>
    <row r="1671">
      <c r="A1671" t="inlineStr">
        <is>
          <t>INSP-2026-1670</t>
        </is>
      </c>
      <c r="B1671" s="6" t="n">
        <v>46269</v>
      </c>
      <c r="C1671" t="inlineStr">
        <is>
          <t>U-CD152-01-01</t>
        </is>
      </c>
      <c r="D1671" t="inlineStr">
        <is>
          <t>Cendana</t>
        </is>
      </c>
      <c r="E1671" t="inlineStr">
        <is>
          <t>Daniel Ong</t>
        </is>
      </c>
      <c r="F1671" t="inlineStr">
        <is>
          <t>Complaint-driven</t>
        </is>
      </c>
      <c r="G1671" t="inlineStr">
        <is>
          <t>HYGIENE</t>
        </is>
      </c>
      <c r="H1671" t="inlineStr">
        <is>
          <t>Minor Breach</t>
        </is>
      </c>
      <c r="I1671" s="6" t="n">
        <v>46283</v>
      </c>
      <c r="J1671" s="6" t="n">
        <v>46283</v>
      </c>
      <c r="K1671">
        <f>IF(J1671="","",J1671-B1671)</f>
        <v/>
      </c>
      <c r="L1671">
        <f>IF(H1671="Compliant","N/A",IF(J1671&lt;&gt;"","Closed",IF(I1671&lt;DATE(2026,9,30),"OVERDUE","Open")))</f>
        <v/>
      </c>
    </row>
    <row r="1672">
      <c r="A1672" t="inlineStr">
        <is>
          <t>INSP-2026-1671</t>
        </is>
      </c>
      <c r="B1672" s="6" t="n">
        <v>46269</v>
      </c>
      <c r="C1672" t="inlineStr">
        <is>
          <t>U-RH463-01-02</t>
        </is>
      </c>
      <c r="D1672" t="inlineStr">
        <is>
          <t>Rimba Heights</t>
        </is>
      </c>
      <c r="E1672" t="inlineStr">
        <is>
          <t>Benjamin Ho</t>
        </is>
      </c>
      <c r="F1672" t="inlineStr">
        <is>
          <t>Routine</t>
        </is>
      </c>
      <c r="G1672" t="inlineStr">
        <is>
          <t>NONE</t>
        </is>
      </c>
      <c r="H1672" t="inlineStr">
        <is>
          <t>Compliant</t>
        </is>
      </c>
      <c r="I1672" s="6" t="n"/>
      <c r="J1672" s="6" t="n"/>
      <c r="K1672">
        <f>IF(J1672="","",J1672-B1672)</f>
        <v/>
      </c>
      <c r="L1672">
        <f>IF(H1672="Compliant","N/A",IF(J1672&lt;&gt;"","Closed",IF(I1672&lt;DATE(2026,9,30),"OVERDUE","Open")))</f>
        <v/>
      </c>
    </row>
    <row r="1673">
      <c r="A1673" t="inlineStr">
        <is>
          <t>INSP-2026-1672</t>
        </is>
      </c>
      <c r="B1673" s="6" t="n">
        <v>46269</v>
      </c>
      <c r="C1673" t="inlineStr">
        <is>
          <t>U-PI626-01-13</t>
        </is>
      </c>
      <c r="D1673" t="inlineStr">
        <is>
          <t>Pasir Indah</t>
        </is>
      </c>
      <c r="E1673" t="inlineStr">
        <is>
          <t>Daniel Ong</t>
        </is>
      </c>
      <c r="F1673" t="inlineStr">
        <is>
          <t>Routine</t>
        </is>
      </c>
      <c r="G1673" t="inlineStr">
        <is>
          <t>NONE</t>
        </is>
      </c>
      <c r="H1673" t="inlineStr">
        <is>
          <t>Compliant</t>
        </is>
      </c>
      <c r="I1673" s="6" t="n"/>
      <c r="J1673" s="6" t="n"/>
      <c r="K1673">
        <f>IF(J1673="","",J1673-B1673)</f>
        <v/>
      </c>
      <c r="L1673">
        <f>IF(H1673="Compliant","N/A",IF(J1673&lt;&gt;"","Closed",IF(I1673&lt;DATE(2026,9,30),"OVERDUE","Open")))</f>
        <v/>
      </c>
    </row>
    <row r="1674">
      <c r="A1674" t="inlineStr">
        <is>
          <t>INSP-2026-1673</t>
        </is>
      </c>
      <c r="B1674" s="6" t="n">
        <v>46269</v>
      </c>
      <c r="C1674" t="inlineStr">
        <is>
          <t>U-KR353-01-01</t>
        </is>
      </c>
      <c r="D1674" t="inlineStr">
        <is>
          <t>Kebun Raya</t>
        </is>
      </c>
      <c r="E1674" t="inlineStr">
        <is>
          <t>Benjamin Ho</t>
        </is>
      </c>
      <c r="F1674" t="inlineStr">
        <is>
          <t>Routine</t>
        </is>
      </c>
      <c r="G1674" t="inlineStr">
        <is>
          <t>NONE</t>
        </is>
      </c>
      <c r="H1674" t="inlineStr">
        <is>
          <t>Compliant</t>
        </is>
      </c>
      <c r="I1674" s="6" t="n"/>
      <c r="J1674" s="6" t="n"/>
      <c r="K1674">
        <f>IF(J1674="","",J1674-B1674)</f>
        <v/>
      </c>
      <c r="L1674">
        <f>IF(H1674="Compliant","N/A",IF(J1674&lt;&gt;"","Closed",IF(I1674&lt;DATE(2026,9,30),"OVERDUE","Open")))</f>
        <v/>
      </c>
    </row>
    <row r="1675">
      <c r="A1675" t="inlineStr">
        <is>
          <t>INSP-2026-1674</t>
        </is>
      </c>
      <c r="B1675" s="6" t="n">
        <v>46269</v>
      </c>
      <c r="C1675" t="inlineStr">
        <is>
          <t>U-RH455-01-18</t>
        </is>
      </c>
      <c r="D1675" t="inlineStr">
        <is>
          <t>Rimba Heights</t>
        </is>
      </c>
      <c r="E1675" t="inlineStr">
        <is>
          <t>Daniel Ong</t>
        </is>
      </c>
      <c r="F1675" t="inlineStr">
        <is>
          <t>Routine</t>
        </is>
      </c>
      <c r="G1675" t="inlineStr">
        <is>
          <t>NONE</t>
        </is>
      </c>
      <c r="H1675" t="inlineStr">
        <is>
          <t>Compliant</t>
        </is>
      </c>
      <c r="I1675" s="6" t="n"/>
      <c r="J1675" s="6" t="n"/>
      <c r="K1675">
        <f>IF(J1675="","",J1675-B1675)</f>
        <v/>
      </c>
      <c r="L1675">
        <f>IF(H1675="Compliant","N/A",IF(J1675&lt;&gt;"","Closed",IF(I1675&lt;DATE(2026,9,30),"OVERDUE","Open")))</f>
        <v/>
      </c>
    </row>
    <row r="1676">
      <c r="A1676" t="inlineStr">
        <is>
          <t>INSP-2026-1675</t>
        </is>
      </c>
      <c r="B1676" s="6" t="n">
        <v>46269</v>
      </c>
      <c r="C1676" t="inlineStr">
        <is>
          <t>U-PI668-01-09</t>
        </is>
      </c>
      <c r="D1676" t="inlineStr">
        <is>
          <t>Pasir Indah</t>
        </is>
      </c>
      <c r="E1676" t="inlineStr">
        <is>
          <t>M. Lim</t>
        </is>
      </c>
      <c r="F1676" t="inlineStr">
        <is>
          <t>Routine</t>
        </is>
      </c>
      <c r="G1676" t="inlineStr">
        <is>
          <t>NONE</t>
        </is>
      </c>
      <c r="H1676" t="inlineStr">
        <is>
          <t>Compliant</t>
        </is>
      </c>
      <c r="I1676" s="6" t="n"/>
      <c r="J1676" s="6" t="n"/>
      <c r="K1676">
        <f>IF(J1676="","",J1676-B1676)</f>
        <v/>
      </c>
      <c r="L1676">
        <f>IF(H1676="Compliant","N/A",IF(J1676&lt;&gt;"","Closed",IF(I1676&lt;DATE(2026,9,30),"OVERDUE","Open")))</f>
        <v/>
      </c>
    </row>
    <row r="1677">
      <c r="A1677" t="inlineStr">
        <is>
          <t>INSP-2026-1676</t>
        </is>
      </c>
      <c r="B1677" s="6" t="n">
        <v>46270</v>
      </c>
      <c r="C1677" t="inlineStr">
        <is>
          <t>U-BV215-01-02</t>
        </is>
      </c>
      <c r="D1677" t="inlineStr">
        <is>
          <t>Bayshore Vale</t>
        </is>
      </c>
      <c r="E1677" t="inlineStr">
        <is>
          <t>D. Ong</t>
        </is>
      </c>
      <c r="F1677" t="inlineStr">
        <is>
          <t>Routine</t>
        </is>
      </c>
      <c r="G1677" t="inlineStr">
        <is>
          <t>DISPLAY_ENCROACH</t>
        </is>
      </c>
      <c r="H1677" t="inlineStr">
        <is>
          <t>Minor Breach</t>
        </is>
      </c>
      <c r="I1677" s="6" t="n">
        <v>46284</v>
      </c>
      <c r="J1677" s="6" t="n">
        <v>46284</v>
      </c>
      <c r="K1677">
        <f>IF(J1677="","",J1677-B1677)</f>
        <v/>
      </c>
      <c r="L1677">
        <f>IF(H1677="Compliant","N/A",IF(J1677&lt;&gt;"","Closed",IF(I1677&lt;DATE(2026,9,30),"OVERDUE","Open")))</f>
        <v/>
      </c>
    </row>
    <row r="1678">
      <c r="A1678" t="inlineStr">
        <is>
          <t>INSP-2026-1677</t>
        </is>
      </c>
      <c r="B1678" s="6" t="n">
        <v>46270</v>
      </c>
      <c r="C1678" t="inlineStr">
        <is>
          <t>U-ST583-01-03</t>
        </is>
      </c>
      <c r="D1678" t="inlineStr">
        <is>
          <t>Sungai Tinggi</t>
        </is>
      </c>
      <c r="E1678" t="inlineStr">
        <is>
          <t>Benjamin Ho</t>
        </is>
      </c>
      <c r="F1678" t="inlineStr">
        <is>
          <t>Routine</t>
        </is>
      </c>
      <c r="G1678" t="inlineStr">
        <is>
          <t>NONE</t>
        </is>
      </c>
      <c r="H1678" t="inlineStr">
        <is>
          <t>Compliant</t>
        </is>
      </c>
      <c r="I1678" s="6" t="n"/>
      <c r="J1678" s="6" t="n"/>
      <c r="K1678">
        <f>IF(J1678="","",J1678-B1678)</f>
        <v/>
      </c>
      <c r="L1678">
        <f>IF(H1678="Compliant","N/A",IF(J1678&lt;&gt;"","Closed",IF(I1678&lt;DATE(2026,9,30),"OVERDUE","Open")))</f>
        <v/>
      </c>
    </row>
    <row r="1679">
      <c r="A1679" t="inlineStr">
        <is>
          <t>INSP-2026-1678</t>
        </is>
      </c>
      <c r="B1679" s="6" t="n">
        <v>46270</v>
      </c>
      <c r="C1679" t="inlineStr">
        <is>
          <t>U-BV256-01-03</t>
        </is>
      </c>
      <c r="D1679" t="inlineStr">
        <is>
          <t>Bayshore Vale</t>
        </is>
      </c>
      <c r="E1679" t="inlineStr">
        <is>
          <t>D. Ong</t>
        </is>
      </c>
      <c r="F1679" t="inlineStr">
        <is>
          <t>Routine</t>
        </is>
      </c>
      <c r="G1679" t="inlineStr">
        <is>
          <t>NONE</t>
        </is>
      </c>
      <c r="H1679" t="inlineStr">
        <is>
          <t>Compliant</t>
        </is>
      </c>
      <c r="I1679" s="6" t="n"/>
      <c r="J1679" s="6" t="n"/>
      <c r="K1679">
        <f>IF(J1679="","",J1679-B1679)</f>
        <v/>
      </c>
      <c r="L1679">
        <f>IF(H1679="Compliant","N/A",IF(J1679&lt;&gt;"","Closed",IF(I1679&lt;DATE(2026,9,30),"OVERDUE","Open")))</f>
        <v/>
      </c>
    </row>
    <row r="1680">
      <c r="A1680" t="inlineStr">
        <is>
          <t>INSP-2026-1679</t>
        </is>
      </c>
      <c r="B1680" s="6" t="n">
        <v>46270</v>
      </c>
      <c r="C1680" t="inlineStr">
        <is>
          <t>U-CD109-01-14</t>
        </is>
      </c>
      <c r="D1680" t="inlineStr">
        <is>
          <t>Cendana</t>
        </is>
      </c>
      <c r="E1680" t="inlineStr">
        <is>
          <t>Daniel O.</t>
        </is>
      </c>
      <c r="F1680" t="inlineStr">
        <is>
          <t>Routine</t>
        </is>
      </c>
      <c r="G1680" t="inlineStr">
        <is>
          <t>NONE</t>
        </is>
      </c>
      <c r="H1680" t="inlineStr">
        <is>
          <t>Compliant</t>
        </is>
      </c>
      <c r="I1680" s="6" t="n"/>
      <c r="J1680" s="6" t="n"/>
      <c r="K1680">
        <f>IF(J1680="","",J1680-B1680)</f>
        <v/>
      </c>
      <c r="L1680">
        <f>IF(H1680="Compliant","N/A",IF(J1680&lt;&gt;"","Closed",IF(I1680&lt;DATE(2026,9,30),"OVERDUE","Open")))</f>
        <v/>
      </c>
    </row>
    <row r="1681">
      <c r="A1681" t="inlineStr">
        <is>
          <t>INSP-2026-1680</t>
        </is>
      </c>
      <c r="B1681" s="6" t="n">
        <v>46270</v>
      </c>
      <c r="C1681" t="inlineStr">
        <is>
          <t>U-PI651-01-06</t>
        </is>
      </c>
      <c r="D1681" t="inlineStr">
        <is>
          <t>Pasir Indah</t>
        </is>
      </c>
      <c r="E1681" t="inlineStr">
        <is>
          <t>D. Ong</t>
        </is>
      </c>
      <c r="F1681" t="inlineStr">
        <is>
          <t>Routine</t>
        </is>
      </c>
      <c r="G1681" t="inlineStr">
        <is>
          <t>NONE</t>
        </is>
      </c>
      <c r="H1681" t="inlineStr">
        <is>
          <t>Compliant</t>
        </is>
      </c>
      <c r="I1681" s="6" t="n"/>
      <c r="J1681" s="6" t="n"/>
      <c r="K1681">
        <f>IF(J1681="","",J1681-B1681)</f>
        <v/>
      </c>
      <c r="L1681">
        <f>IF(H1681="Compliant","N/A",IF(J1681&lt;&gt;"","Closed",IF(I1681&lt;DATE(2026,9,30),"OVERDUE","Open")))</f>
        <v/>
      </c>
    </row>
    <row r="1682">
      <c r="A1682" t="inlineStr">
        <is>
          <t>INSP-2026-1681</t>
        </is>
      </c>
      <c r="B1682" s="6" t="n">
        <v>46270</v>
      </c>
      <c r="C1682" t="inlineStr">
        <is>
          <t>U-ST564-01-11</t>
        </is>
      </c>
      <c r="D1682" t="inlineStr">
        <is>
          <t>Sungai Tinggi</t>
        </is>
      </c>
      <c r="E1682" t="inlineStr">
        <is>
          <t>Ben Ho</t>
        </is>
      </c>
      <c r="F1682" t="inlineStr">
        <is>
          <t>Routine</t>
        </is>
      </c>
      <c r="G1682" t="inlineStr">
        <is>
          <t>NONE</t>
        </is>
      </c>
      <c r="H1682" t="inlineStr">
        <is>
          <t>Compliant</t>
        </is>
      </c>
      <c r="I1682" s="6" t="n"/>
      <c r="J1682" s="6" t="n"/>
      <c r="K1682">
        <f>IF(J1682="","",J1682-B1682)</f>
        <v/>
      </c>
      <c r="L1682">
        <f>IF(H1682="Compliant","N/A",IF(J1682&lt;&gt;"","Closed",IF(I1682&lt;DATE(2026,9,30),"OVERDUE","Open")))</f>
        <v/>
      </c>
    </row>
    <row r="1683">
      <c r="A1683" t="inlineStr">
        <is>
          <t>INSP-2026-1682</t>
        </is>
      </c>
      <c r="B1683" s="6" t="n">
        <v>46271</v>
      </c>
      <c r="C1683" t="inlineStr">
        <is>
          <t>U-ST513-01-01</t>
        </is>
      </c>
      <c r="D1683" t="inlineStr">
        <is>
          <t>Sungai Tinggi</t>
        </is>
      </c>
      <c r="E1683" t="inlineStr">
        <is>
          <t>daniel ong</t>
        </is>
      </c>
      <c r="F1683" t="inlineStr">
        <is>
          <t>Routine</t>
        </is>
      </c>
      <c r="G1683" t="inlineStr">
        <is>
          <t>NONE</t>
        </is>
      </c>
      <c r="H1683" t="inlineStr">
        <is>
          <t>Compliant</t>
        </is>
      </c>
      <c r="I1683" s="6" t="n"/>
      <c r="J1683" s="6" t="n"/>
      <c r="K1683">
        <f>IF(J1683="","",J1683-B1683)</f>
        <v/>
      </c>
      <c r="L1683">
        <f>IF(H1683="Compliant","N/A",IF(J1683&lt;&gt;"","Closed",IF(I1683&lt;DATE(2026,9,30),"OVERDUE","Open")))</f>
        <v/>
      </c>
    </row>
    <row r="1684">
      <c r="A1684" t="inlineStr">
        <is>
          <t>INSP-2026-1683</t>
        </is>
      </c>
      <c r="B1684" s="6" t="n">
        <v>46271</v>
      </c>
      <c r="C1684" t="inlineStr">
        <is>
          <t>U-PI627-01-19</t>
        </is>
      </c>
      <c r="D1684" t="inlineStr">
        <is>
          <t>Pasir Indah</t>
        </is>
      </c>
      <c r="E1684" t="inlineStr">
        <is>
          <t>Marcus Lim</t>
        </is>
      </c>
      <c r="F1684" t="inlineStr">
        <is>
          <t>Routine</t>
        </is>
      </c>
      <c r="G1684" t="inlineStr">
        <is>
          <t>NONE</t>
        </is>
      </c>
      <c r="H1684" t="inlineStr">
        <is>
          <t>Compliant</t>
        </is>
      </c>
      <c r="I1684" s="6" t="n"/>
      <c r="J1684" s="6" t="n"/>
      <c r="K1684">
        <f>IF(J1684="","",J1684-B1684)</f>
        <v/>
      </c>
      <c r="L1684">
        <f>IF(H1684="Compliant","N/A",IF(J1684&lt;&gt;"","Closed",IF(I1684&lt;DATE(2026,9,30),"OVERDUE","Open")))</f>
        <v/>
      </c>
    </row>
    <row r="1685">
      <c r="A1685" t="inlineStr">
        <is>
          <t>INSP-2026-1684</t>
        </is>
      </c>
      <c r="B1685" s="6" t="n">
        <v>46271</v>
      </c>
      <c r="C1685" t="inlineStr">
        <is>
          <t>U-ST593-01-04</t>
        </is>
      </c>
      <c r="D1685" t="inlineStr">
        <is>
          <t>Sungai Tinggi</t>
        </is>
      </c>
      <c r="E1685" t="inlineStr">
        <is>
          <t>Benjamin Ho</t>
        </is>
      </c>
      <c r="F1685" t="inlineStr">
        <is>
          <t>Complaint-driven</t>
        </is>
      </c>
      <c r="G1685" t="inlineStr">
        <is>
          <t>NONE</t>
        </is>
      </c>
      <c r="H1685" t="inlineStr">
        <is>
          <t>Compliant</t>
        </is>
      </c>
      <c r="I1685" s="6" t="n"/>
      <c r="J1685" s="6" t="n"/>
      <c r="K1685">
        <f>IF(J1685="","",J1685-B1685)</f>
        <v/>
      </c>
      <c r="L1685">
        <f>IF(H1685="Compliant","N/A",IF(J1685&lt;&gt;"","Closed",IF(I1685&lt;DATE(2026,9,30),"OVERDUE","Open")))</f>
        <v/>
      </c>
    </row>
    <row r="1686">
      <c r="A1686" t="inlineStr">
        <is>
          <t>INSP-2026-1685</t>
        </is>
      </c>
      <c r="B1686" s="6" t="n">
        <v>46271</v>
      </c>
      <c r="C1686" t="inlineStr">
        <is>
          <t>U-RH491-01-07</t>
        </is>
      </c>
      <c r="D1686" t="inlineStr">
        <is>
          <t>Rimba Heights</t>
        </is>
      </c>
      <c r="E1686" t="inlineStr">
        <is>
          <t>Daniel Ong</t>
        </is>
      </c>
      <c r="F1686" t="inlineStr">
        <is>
          <t>Complaint-driven</t>
        </is>
      </c>
      <c r="G1686" t="inlineStr">
        <is>
          <t>NONE</t>
        </is>
      </c>
      <c r="H1686" t="inlineStr">
        <is>
          <t>Compliant</t>
        </is>
      </c>
      <c r="I1686" s="6" t="n"/>
      <c r="J1686" s="6" t="n"/>
      <c r="K1686">
        <f>IF(J1686="","",J1686-B1686)</f>
        <v/>
      </c>
      <c r="L1686">
        <f>IF(H1686="Compliant","N/A",IF(J1686&lt;&gt;"","Closed",IF(I1686&lt;DATE(2026,9,30),"OVERDUE","Open")))</f>
        <v/>
      </c>
    </row>
    <row r="1687">
      <c r="A1687" t="inlineStr">
        <is>
          <t>INSP-2026-1686</t>
        </is>
      </c>
      <c r="B1687" s="6" t="n">
        <v>46271</v>
      </c>
      <c r="C1687" t="inlineStr">
        <is>
          <t>U-BV215-01-10</t>
        </is>
      </c>
      <c r="D1687" t="inlineStr">
        <is>
          <t>Bayshore Vale</t>
        </is>
      </c>
      <c r="E1687" t="inlineStr">
        <is>
          <t>D. Ong</t>
        </is>
      </c>
      <c r="F1687" t="inlineStr">
        <is>
          <t>Routine</t>
        </is>
      </c>
      <c r="G1687" t="inlineStr">
        <is>
          <t>NONE</t>
        </is>
      </c>
      <c r="H1687" t="inlineStr">
        <is>
          <t>Compliant</t>
        </is>
      </c>
      <c r="I1687" s="6" t="n"/>
      <c r="J1687" s="6" t="n"/>
      <c r="K1687">
        <f>IF(J1687="","",J1687-B1687)</f>
        <v/>
      </c>
      <c r="L1687">
        <f>IF(H1687="Compliant","N/A",IF(J1687&lt;&gt;"","Closed",IF(I1687&lt;DATE(2026,9,30),"OVERDUE","Open")))</f>
        <v/>
      </c>
    </row>
    <row r="1688">
      <c r="A1688" t="inlineStr">
        <is>
          <t>INSP-2026-1687</t>
        </is>
      </c>
      <c r="B1688" s="6" t="n">
        <v>46271</v>
      </c>
      <c r="C1688" t="inlineStr">
        <is>
          <t>U-KR356-01-10</t>
        </is>
      </c>
      <c r="D1688" t="inlineStr">
        <is>
          <t>Kebun Raya</t>
        </is>
      </c>
      <c r="E1688" t="inlineStr">
        <is>
          <t>Benjamin Ho</t>
        </is>
      </c>
      <c r="F1688" t="inlineStr">
        <is>
          <t>Complaint-driven</t>
        </is>
      </c>
      <c r="G1688" t="inlineStr">
        <is>
          <t>NONE</t>
        </is>
      </c>
      <c r="H1688" t="inlineStr">
        <is>
          <t>Compliant</t>
        </is>
      </c>
      <c r="I1688" s="6" t="n"/>
      <c r="J1688" s="6" t="n"/>
      <c r="K1688">
        <f>IF(J1688="","",J1688-B1688)</f>
        <v/>
      </c>
      <c r="L1688">
        <f>IF(H1688="Compliant","N/A",IF(J1688&lt;&gt;"","Closed",IF(I1688&lt;DATE(2026,9,30),"OVERDUE","Open")))</f>
        <v/>
      </c>
    </row>
    <row r="1689">
      <c r="A1689" t="inlineStr">
        <is>
          <t>INSP-2026-1688</t>
        </is>
      </c>
      <c r="B1689" s="6" t="n">
        <v>46271</v>
      </c>
      <c r="C1689" t="inlineStr">
        <is>
          <t>U-RH455-01-17</t>
        </is>
      </c>
      <c r="D1689" t="inlineStr">
        <is>
          <t>Rimba Heights</t>
        </is>
      </c>
      <c r="E1689" t="inlineStr">
        <is>
          <t>daniel ong</t>
        </is>
      </c>
      <c r="F1689" t="inlineStr">
        <is>
          <t>Routine</t>
        </is>
      </c>
      <c r="G1689" t="inlineStr">
        <is>
          <t>NONE</t>
        </is>
      </c>
      <c r="H1689" t="inlineStr">
        <is>
          <t>Compliant</t>
        </is>
      </c>
      <c r="I1689" s="6" t="n"/>
      <c r="J1689" s="6" t="n"/>
      <c r="K1689">
        <f>IF(J1689="","",J1689-B1689)</f>
        <v/>
      </c>
      <c r="L1689">
        <f>IF(H1689="Compliant","N/A",IF(J1689&lt;&gt;"","Closed",IF(I1689&lt;DATE(2026,9,30),"OVERDUE","Open")))</f>
        <v/>
      </c>
    </row>
    <row r="1690">
      <c r="A1690" t="inlineStr">
        <is>
          <t>INSP-2026-1689</t>
        </is>
      </c>
      <c r="B1690" s="6" t="n">
        <v>46271</v>
      </c>
      <c r="C1690" t="inlineStr">
        <is>
          <t>U-RH407-01-01</t>
        </is>
      </c>
      <c r="D1690" t="inlineStr">
        <is>
          <t>Rimba Heights</t>
        </is>
      </c>
      <c r="E1690" t="inlineStr">
        <is>
          <t>D. Ong</t>
        </is>
      </c>
      <c r="F1690" t="inlineStr">
        <is>
          <t>Routine</t>
        </is>
      </c>
      <c r="G1690" t="inlineStr">
        <is>
          <t>DISPLAY_ENCROACH</t>
        </is>
      </c>
      <c r="H1690" t="inlineStr">
        <is>
          <t>Minor Breach</t>
        </is>
      </c>
      <c r="I1690" s="6" t="n">
        <v>46285</v>
      </c>
      <c r="J1690" s="6" t="n">
        <v>46291</v>
      </c>
      <c r="K1690">
        <f>IF(J1690="","",J1690-B1690)</f>
        <v/>
      </c>
      <c r="L1690">
        <f>IF(H1690="Compliant","N/A",IF(J1690&lt;&gt;"","Closed",IF(I1690&lt;DATE(2026,9,30),"OVERDUE","Open")))</f>
        <v/>
      </c>
    </row>
    <row r="1691">
      <c r="A1691" t="inlineStr">
        <is>
          <t>INSP-2026-1690</t>
        </is>
      </c>
      <c r="B1691" s="6" t="n">
        <v>46272</v>
      </c>
      <c r="C1691" t="inlineStr">
        <is>
          <t>U-CD109-01-12</t>
        </is>
      </c>
      <c r="D1691" t="inlineStr">
        <is>
          <t>Cendana</t>
        </is>
      </c>
      <c r="E1691" t="inlineStr">
        <is>
          <t>Daniel Ong</t>
        </is>
      </c>
      <c r="F1691" t="inlineStr">
        <is>
          <t>Routine</t>
        </is>
      </c>
      <c r="G1691" t="inlineStr">
        <is>
          <t>NONE</t>
        </is>
      </c>
      <c r="H1691" t="inlineStr">
        <is>
          <t>Compliant</t>
        </is>
      </c>
      <c r="I1691" s="6" t="n"/>
      <c r="J1691" s="6" t="n"/>
      <c r="K1691">
        <f>IF(J1691="","",J1691-B1691)</f>
        <v/>
      </c>
      <c r="L1691">
        <f>IF(H1691="Compliant","N/A",IF(J1691&lt;&gt;"","Closed",IF(I1691&lt;DATE(2026,9,30),"OVERDUE","Open")))</f>
        <v/>
      </c>
    </row>
    <row r="1692">
      <c r="A1692" t="inlineStr">
        <is>
          <t>INSP-2026-1691</t>
        </is>
      </c>
      <c r="B1692" s="6" t="n">
        <v>46272</v>
      </c>
      <c r="C1692" t="inlineStr">
        <is>
          <t>U-KR345-01-11</t>
        </is>
      </c>
      <c r="D1692" t="inlineStr">
        <is>
          <t>Kebun Raya</t>
        </is>
      </c>
      <c r="E1692" t="inlineStr">
        <is>
          <t>Daniel O.</t>
        </is>
      </c>
      <c r="F1692" t="inlineStr">
        <is>
          <t>Routine</t>
        </is>
      </c>
      <c r="G1692" t="inlineStr">
        <is>
          <t>NONE</t>
        </is>
      </c>
      <c r="H1692" t="inlineStr">
        <is>
          <t>Compliant</t>
        </is>
      </c>
      <c r="I1692" s="6" t="n"/>
      <c r="J1692" s="6" t="n"/>
      <c r="K1692">
        <f>IF(J1692="","",J1692-B1692)</f>
        <v/>
      </c>
      <c r="L1692">
        <f>IF(H1692="Compliant","N/A",IF(J1692&lt;&gt;"","Closed",IF(I1692&lt;DATE(2026,9,30),"OVERDUE","Open")))</f>
        <v/>
      </c>
    </row>
    <row r="1693">
      <c r="A1693" t="inlineStr">
        <is>
          <t>INSP-2026-1692</t>
        </is>
      </c>
      <c r="B1693" s="6" t="n">
        <v>46272</v>
      </c>
      <c r="C1693" t="inlineStr">
        <is>
          <t>U-KR369-01-02</t>
        </is>
      </c>
      <c r="D1693" t="inlineStr">
        <is>
          <t>Kebun Raya</t>
        </is>
      </c>
      <c r="E1693" t="inlineStr">
        <is>
          <t>D. Ong</t>
        </is>
      </c>
      <c r="F1693" t="inlineStr">
        <is>
          <t>Routine</t>
        </is>
      </c>
      <c r="G1693" t="inlineStr">
        <is>
          <t>NONE</t>
        </is>
      </c>
      <c r="H1693" t="inlineStr">
        <is>
          <t>Compliant</t>
        </is>
      </c>
      <c r="I1693" s="6" t="n"/>
      <c r="J1693" s="6" t="n"/>
      <c r="K1693">
        <f>IF(J1693="","",J1693-B1693)</f>
        <v/>
      </c>
      <c r="L1693">
        <f>IF(H1693="Compliant","N/A",IF(J1693&lt;&gt;"","Closed",IF(I1693&lt;DATE(2026,9,30),"OVERDUE","Open")))</f>
        <v/>
      </c>
    </row>
    <row r="1694">
      <c r="A1694" t="inlineStr">
        <is>
          <t>INSP-2026-1693</t>
        </is>
      </c>
      <c r="B1694" s="6" t="n">
        <v>46272</v>
      </c>
      <c r="C1694" t="inlineStr">
        <is>
          <t>U-PI634-01-02</t>
        </is>
      </c>
      <c r="D1694" t="inlineStr">
        <is>
          <t>Pasir Indah</t>
        </is>
      </c>
      <c r="E1694" t="inlineStr">
        <is>
          <t>Daniel Ong</t>
        </is>
      </c>
      <c r="F1694" t="inlineStr">
        <is>
          <t>Routine</t>
        </is>
      </c>
      <c r="G1694" t="inlineStr">
        <is>
          <t>NONE</t>
        </is>
      </c>
      <c r="H1694" t="inlineStr">
        <is>
          <t>Compliant</t>
        </is>
      </c>
      <c r="I1694" s="6" t="n"/>
      <c r="J1694" s="6" t="n"/>
      <c r="K1694">
        <f>IF(J1694="","",J1694-B1694)</f>
        <v/>
      </c>
      <c r="L1694">
        <f>IF(H1694="Compliant","N/A",IF(J1694&lt;&gt;"","Closed",IF(I1694&lt;DATE(2026,9,30),"OVERDUE","Open")))</f>
        <v/>
      </c>
    </row>
    <row r="1695">
      <c r="A1695" t="inlineStr">
        <is>
          <t>INSP-2026-1694</t>
        </is>
      </c>
      <c r="B1695" s="6" t="n">
        <v>46272</v>
      </c>
      <c r="C1695" t="inlineStr">
        <is>
          <t>U-RH463-01-05</t>
        </is>
      </c>
      <c r="D1695" t="inlineStr">
        <is>
          <t>Rimba Heights</t>
        </is>
      </c>
      <c r="E1695" t="inlineStr">
        <is>
          <t>B. Ho</t>
        </is>
      </c>
      <c r="F1695" t="inlineStr">
        <is>
          <t>Routine</t>
        </is>
      </c>
      <c r="G1695" t="inlineStr">
        <is>
          <t>UNAUTH_SUBLET</t>
        </is>
      </c>
      <c r="H1695" t="inlineStr">
        <is>
          <t>Major Breach</t>
        </is>
      </c>
      <c r="I1695" s="6" t="n">
        <v>46279</v>
      </c>
      <c r="J1695" s="6" t="n"/>
      <c r="K1695">
        <f>IF(J1695="","",J1695-B1695)</f>
        <v/>
      </c>
      <c r="L1695">
        <f>IF(H1695="Compliant","N/A",IF(J1695&lt;&gt;"","Closed",IF(I1695&lt;DATE(2026,9,30),"OVERDUE","Open")))</f>
        <v/>
      </c>
    </row>
    <row r="1696">
      <c r="A1696" t="inlineStr">
        <is>
          <t>INSP-2026-1695</t>
        </is>
      </c>
      <c r="B1696" s="6" t="n">
        <v>46272</v>
      </c>
      <c r="C1696" t="inlineStr">
        <is>
          <t>U-CD185-01-02</t>
        </is>
      </c>
      <c r="D1696" t="inlineStr">
        <is>
          <t>Cendana</t>
        </is>
      </c>
      <c r="E1696" t="inlineStr">
        <is>
          <t>Marcus Lim</t>
        </is>
      </c>
      <c r="F1696" t="inlineStr">
        <is>
          <t>Routine</t>
        </is>
      </c>
      <c r="G1696" t="inlineStr">
        <is>
          <t>NONE</t>
        </is>
      </c>
      <c r="H1696" t="inlineStr">
        <is>
          <t>Compliant</t>
        </is>
      </c>
      <c r="I1696" s="6" t="n"/>
      <c r="J1696" s="6" t="n"/>
      <c r="K1696">
        <f>IF(J1696="","",J1696-B1696)</f>
        <v/>
      </c>
      <c r="L1696">
        <f>IF(H1696="Compliant","N/A",IF(J1696&lt;&gt;"","Closed",IF(I1696&lt;DATE(2026,9,30),"OVERDUE","Open")))</f>
        <v/>
      </c>
    </row>
    <row r="1697">
      <c r="A1697" t="inlineStr">
        <is>
          <t>INSP-2026-1696</t>
        </is>
      </c>
      <c r="B1697" s="6" t="n">
        <v>46273</v>
      </c>
      <c r="C1697" t="inlineStr">
        <is>
          <t>U-BV231-01-03</t>
        </is>
      </c>
      <c r="D1697" t="inlineStr">
        <is>
          <t>Bayshore Vale</t>
        </is>
      </c>
      <c r="E1697" t="inlineStr">
        <is>
          <t>marcus</t>
        </is>
      </c>
      <c r="F1697" t="inlineStr">
        <is>
          <t>Routine</t>
        </is>
      </c>
      <c r="G1697" t="inlineStr">
        <is>
          <t>HYGIENE</t>
        </is>
      </c>
      <c r="H1697" t="inlineStr">
        <is>
          <t>Minor Breach</t>
        </is>
      </c>
      <c r="I1697" s="6" t="n">
        <v>46287</v>
      </c>
      <c r="J1697" s="6" t="n"/>
      <c r="K1697">
        <f>IF(J1697="","",J1697-B1697)</f>
        <v/>
      </c>
      <c r="L1697">
        <f>IF(H1697="Compliant","N/A",IF(J1697&lt;&gt;"","Closed",IF(I1697&lt;DATE(2026,9,30),"OVERDUE","Open")))</f>
        <v/>
      </c>
    </row>
    <row r="1698">
      <c r="A1698" t="inlineStr">
        <is>
          <t>INSP-2026-1697</t>
        </is>
      </c>
      <c r="B1698" s="6" t="n">
        <v>46273</v>
      </c>
      <c r="C1698" t="inlineStr">
        <is>
          <t>U-RH476-01-05</t>
        </is>
      </c>
      <c r="D1698" t="inlineStr">
        <is>
          <t>Rimba Heights</t>
        </is>
      </c>
      <c r="E1698" t="inlineStr">
        <is>
          <t>D. Ong</t>
        </is>
      </c>
      <c r="F1698" t="inlineStr">
        <is>
          <t>Routine</t>
        </is>
      </c>
      <c r="G1698" t="inlineStr">
        <is>
          <t>NONE</t>
        </is>
      </c>
      <c r="H1698" t="inlineStr">
        <is>
          <t>Compliant</t>
        </is>
      </c>
      <c r="I1698" s="6" t="n"/>
      <c r="J1698" s="6" t="n"/>
      <c r="K1698">
        <f>IF(J1698="","",J1698-B1698)</f>
        <v/>
      </c>
      <c r="L1698">
        <f>IF(H1698="Compliant","N/A",IF(J1698&lt;&gt;"","Closed",IF(I1698&lt;DATE(2026,9,30),"OVERDUE","Open")))</f>
        <v/>
      </c>
    </row>
    <row r="1699">
      <c r="A1699" t="inlineStr">
        <is>
          <t>INSP-2026-1698</t>
        </is>
      </c>
      <c r="B1699" s="6" t="n">
        <v>46273</v>
      </c>
      <c r="C1699" t="inlineStr">
        <is>
          <t>U-ST512-01-08</t>
        </is>
      </c>
      <c r="D1699" t="inlineStr">
        <is>
          <t>Sungai Tinggi</t>
        </is>
      </c>
      <c r="E1699" t="inlineStr">
        <is>
          <t>B. Ho</t>
        </is>
      </c>
      <c r="F1699" t="inlineStr">
        <is>
          <t>Routine</t>
        </is>
      </c>
      <c r="G1699" t="inlineStr">
        <is>
          <t>NONE</t>
        </is>
      </c>
      <c r="H1699" t="inlineStr">
        <is>
          <t>Compliant</t>
        </is>
      </c>
      <c r="I1699" s="6" t="n"/>
      <c r="J1699" s="6" t="n"/>
      <c r="K1699">
        <f>IF(J1699="","",J1699-B1699)</f>
        <v/>
      </c>
      <c r="L1699">
        <f>IF(H1699="Compliant","N/A",IF(J1699&lt;&gt;"","Closed",IF(I1699&lt;DATE(2026,9,30),"OVERDUE","Open")))</f>
        <v/>
      </c>
    </row>
    <row r="1700">
      <c r="A1700" t="inlineStr">
        <is>
          <t>INSP-2026-1699</t>
        </is>
      </c>
      <c r="B1700" s="6" t="n">
        <v>46273</v>
      </c>
      <c r="C1700" t="inlineStr">
        <is>
          <t>U-KR323-01-08</t>
        </is>
      </c>
      <c r="D1700" t="inlineStr">
        <is>
          <t>Kebun Raya</t>
        </is>
      </c>
      <c r="E1700" t="inlineStr">
        <is>
          <t>B. Ho</t>
        </is>
      </c>
      <c r="F1700" t="inlineStr">
        <is>
          <t>Routine</t>
        </is>
      </c>
      <c r="G1700" t="inlineStr">
        <is>
          <t>DISPLAY_ENCROACH</t>
        </is>
      </c>
      <c r="H1700" t="inlineStr">
        <is>
          <t>Minor Breach</t>
        </is>
      </c>
      <c r="I1700" s="6" t="n">
        <v>46287</v>
      </c>
      <c r="J1700" s="6" t="n"/>
      <c r="K1700">
        <f>IF(J1700="","",J1700-B1700)</f>
        <v/>
      </c>
      <c r="L1700">
        <f>IF(H1700="Compliant","N/A",IF(J1700&lt;&gt;"","Closed",IF(I1700&lt;DATE(2026,9,30),"OVERDUE","Open")))</f>
        <v/>
      </c>
    </row>
    <row r="1701">
      <c r="A1701" t="inlineStr">
        <is>
          <t>INSP-2026-1700</t>
        </is>
      </c>
      <c r="B1701" s="6" t="n">
        <v>46274</v>
      </c>
      <c r="C1701" t="inlineStr">
        <is>
          <t>U-PI614-01-02</t>
        </is>
      </c>
      <c r="D1701" t="inlineStr">
        <is>
          <t>Pasir Indah</t>
        </is>
      </c>
      <c r="E1701" t="inlineStr">
        <is>
          <t>Daniel O.</t>
        </is>
      </c>
      <c r="F1701" t="inlineStr">
        <is>
          <t>Routine</t>
        </is>
      </c>
      <c r="G1701" t="inlineStr">
        <is>
          <t>HYGIENE</t>
        </is>
      </c>
      <c r="H1701" t="inlineStr">
        <is>
          <t>Minor Breach</t>
        </is>
      </c>
      <c r="I1701" s="6" t="n">
        <v>46288</v>
      </c>
      <c r="J1701" s="6" t="n"/>
      <c r="K1701">
        <f>IF(J1701="","",J1701-B1701)</f>
        <v/>
      </c>
      <c r="L1701">
        <f>IF(H1701="Compliant","N/A",IF(J1701&lt;&gt;"","Closed",IF(I1701&lt;DATE(2026,9,30),"OVERDUE","Open")))</f>
        <v/>
      </c>
    </row>
    <row r="1702">
      <c r="A1702" t="inlineStr">
        <is>
          <t>INSP-2026-1701</t>
        </is>
      </c>
      <c r="B1702" s="6" t="n">
        <v>46274</v>
      </c>
      <c r="C1702" t="inlineStr">
        <is>
          <t>U-KR358-01-05</t>
        </is>
      </c>
      <c r="D1702" t="inlineStr">
        <is>
          <t>Kebun Raya</t>
        </is>
      </c>
      <c r="E1702" t="inlineStr">
        <is>
          <t>Daniel O.</t>
        </is>
      </c>
      <c r="F1702" t="inlineStr">
        <is>
          <t>Follow-up</t>
        </is>
      </c>
      <c r="G1702" t="inlineStr">
        <is>
          <t>UNAUTH_TRADE</t>
        </is>
      </c>
      <c r="H1702" t="inlineStr">
        <is>
          <t>Major Breach</t>
        </is>
      </c>
      <c r="I1702" s="6" t="n">
        <v>46281</v>
      </c>
      <c r="J1702" s="6" t="n">
        <v>46286</v>
      </c>
      <c r="K1702">
        <f>IF(J1702="","",J1702-B1702)</f>
        <v/>
      </c>
      <c r="L1702">
        <f>IF(H1702="Compliant","N/A",IF(J1702&lt;&gt;"","Closed",IF(I1702&lt;DATE(2026,9,30),"OVERDUE","Open")))</f>
        <v/>
      </c>
    </row>
    <row r="1703">
      <c r="A1703" t="inlineStr">
        <is>
          <t>INSP-2026-1702</t>
        </is>
      </c>
      <c r="B1703" s="6" t="n">
        <v>46274</v>
      </c>
      <c r="C1703" t="inlineStr">
        <is>
          <t>U-KR372-01-11</t>
        </is>
      </c>
      <c r="D1703" t="inlineStr">
        <is>
          <t>Kebun Raya</t>
        </is>
      </c>
      <c r="E1703" t="inlineStr">
        <is>
          <t>daniel ong</t>
        </is>
      </c>
      <c r="F1703" t="inlineStr">
        <is>
          <t>Routine</t>
        </is>
      </c>
      <c r="G1703" t="inlineStr">
        <is>
          <t>DISPLAY_ENCROACH</t>
        </is>
      </c>
      <c r="H1703" t="inlineStr">
        <is>
          <t>Minor Breach</t>
        </is>
      </c>
      <c r="I1703" s="6" t="n">
        <v>46288</v>
      </c>
      <c r="J1703" s="6" t="n"/>
      <c r="K1703">
        <f>IF(J1703="","",J1703-B1703)</f>
        <v/>
      </c>
      <c r="L1703">
        <f>IF(H1703="Compliant","N/A",IF(J1703&lt;&gt;"","Closed",IF(I1703&lt;DATE(2026,9,30),"OVERDUE","Open")))</f>
        <v/>
      </c>
    </row>
    <row r="1704">
      <c r="A1704" t="inlineStr">
        <is>
          <t>INSP-2026-1703</t>
        </is>
      </c>
      <c r="B1704" s="6" t="n">
        <v>46274</v>
      </c>
      <c r="C1704" t="inlineStr">
        <is>
          <t>U-BV229-01-12</t>
        </is>
      </c>
      <c r="D1704" t="inlineStr">
        <is>
          <t>Bayshore Vale</t>
        </is>
      </c>
      <c r="E1704" t="inlineStr">
        <is>
          <t>daniel ong</t>
        </is>
      </c>
      <c r="F1704" t="inlineStr">
        <is>
          <t>Routine</t>
        </is>
      </c>
      <c r="G1704" t="inlineStr">
        <is>
          <t>HYGIENE</t>
        </is>
      </c>
      <c r="H1704" t="inlineStr">
        <is>
          <t>Minor Breach</t>
        </is>
      </c>
      <c r="I1704" s="6" t="n">
        <v>46288</v>
      </c>
      <c r="J1704" s="6" t="n"/>
      <c r="K1704">
        <f>IF(J1704="","",J1704-B1704)</f>
        <v/>
      </c>
      <c r="L1704">
        <f>IF(H1704="Compliant","N/A",IF(J1704&lt;&gt;"","Closed",IF(I1704&lt;DATE(2026,9,30),"OVERDUE","Open")))</f>
        <v/>
      </c>
    </row>
    <row r="1705">
      <c r="A1705" t="inlineStr">
        <is>
          <t>INSP-2026-1704</t>
        </is>
      </c>
      <c r="B1705" s="6" t="n">
        <v>46274</v>
      </c>
      <c r="C1705" t="inlineStr">
        <is>
          <t>U-ST593-01-06</t>
        </is>
      </c>
      <c r="D1705" t="inlineStr">
        <is>
          <t>Sungai Tinggi</t>
        </is>
      </c>
      <c r="E1705" t="inlineStr">
        <is>
          <t>Benjamin Ho</t>
        </is>
      </c>
      <c r="F1705" t="inlineStr">
        <is>
          <t>Routine</t>
        </is>
      </c>
      <c r="G1705" t="inlineStr">
        <is>
          <t>NONE</t>
        </is>
      </c>
      <c r="H1705" t="inlineStr">
        <is>
          <t>Compliant</t>
        </is>
      </c>
      <c r="I1705" s="6" t="n"/>
      <c r="J1705" s="6" t="n"/>
      <c r="K1705">
        <f>IF(J1705="","",J1705-B1705)</f>
        <v/>
      </c>
      <c r="L1705">
        <f>IF(H1705="Compliant","N/A",IF(J1705&lt;&gt;"","Closed",IF(I1705&lt;DATE(2026,9,30),"OVERDUE","Open")))</f>
        <v/>
      </c>
    </row>
    <row r="1706">
      <c r="A1706" t="inlineStr">
        <is>
          <t>INSP-2026-1705</t>
        </is>
      </c>
      <c r="B1706" s="6" t="n">
        <v>46275</v>
      </c>
      <c r="C1706" t="inlineStr">
        <is>
          <t>U-ST507-01-03</t>
        </is>
      </c>
      <c r="D1706" t="inlineStr">
        <is>
          <t>Sungai Tinggi</t>
        </is>
      </c>
      <c r="E1706" t="inlineStr">
        <is>
          <t>B. Ho</t>
        </is>
      </c>
      <c r="F1706" t="inlineStr">
        <is>
          <t>Routine</t>
        </is>
      </c>
      <c r="G1706" t="inlineStr">
        <is>
          <t>NONE</t>
        </is>
      </c>
      <c r="H1706" t="inlineStr">
        <is>
          <t>Compliant</t>
        </is>
      </c>
      <c r="I1706" s="6" t="n"/>
      <c r="J1706" s="6" t="n"/>
      <c r="K1706">
        <f>IF(J1706="","",J1706-B1706)</f>
        <v/>
      </c>
      <c r="L1706">
        <f>IF(H1706="Compliant","N/A",IF(J1706&lt;&gt;"","Closed",IF(I1706&lt;DATE(2026,9,30),"OVERDUE","Open")))</f>
        <v/>
      </c>
    </row>
    <row r="1707">
      <c r="A1707" t="inlineStr">
        <is>
          <t>INSP-2026-1706</t>
        </is>
      </c>
      <c r="B1707" s="6" t="n">
        <v>46275</v>
      </c>
      <c r="C1707" t="inlineStr">
        <is>
          <t>U-PI634-01-12</t>
        </is>
      </c>
      <c r="D1707" t="inlineStr">
        <is>
          <t>Pasir Indah</t>
        </is>
      </c>
      <c r="E1707" t="inlineStr">
        <is>
          <t>daniel ong</t>
        </is>
      </c>
      <c r="F1707" t="inlineStr">
        <is>
          <t>Routine</t>
        </is>
      </c>
      <c r="G1707" t="inlineStr">
        <is>
          <t>UNAUTH_TRADE</t>
        </is>
      </c>
      <c r="H1707" t="inlineStr">
        <is>
          <t>Major Breach</t>
        </is>
      </c>
      <c r="I1707" s="6" t="n">
        <v>46282</v>
      </c>
      <c r="J1707" s="6" t="n">
        <v>46289</v>
      </c>
      <c r="K1707">
        <f>IF(J1707="","",J1707-B1707)</f>
        <v/>
      </c>
      <c r="L1707">
        <f>IF(H1707="Compliant","N/A",IF(J1707&lt;&gt;"","Closed",IF(I1707&lt;DATE(2026,9,30),"OVERDUE","Open")))</f>
        <v/>
      </c>
    </row>
    <row r="1708">
      <c r="A1708" t="inlineStr">
        <is>
          <t>INSP-2026-1707</t>
        </is>
      </c>
      <c r="B1708" s="6" t="n">
        <v>46275</v>
      </c>
      <c r="C1708" t="inlineStr">
        <is>
          <t>U-BV214-01-10</t>
        </is>
      </c>
      <c r="D1708" t="inlineStr">
        <is>
          <t>Bayshore Vale</t>
        </is>
      </c>
      <c r="E1708" t="inlineStr">
        <is>
          <t>Daniel Ong</t>
        </is>
      </c>
      <c r="F1708" t="inlineStr">
        <is>
          <t>Routine</t>
        </is>
      </c>
      <c r="G1708" t="inlineStr">
        <is>
          <t>HYGIENE</t>
        </is>
      </c>
      <c r="H1708" t="inlineStr">
        <is>
          <t>Minor Breach</t>
        </is>
      </c>
      <c r="I1708" s="6" t="n">
        <v>46289</v>
      </c>
      <c r="J1708" s="6" t="n"/>
      <c r="K1708">
        <f>IF(J1708="","",J1708-B1708)</f>
        <v/>
      </c>
      <c r="L1708">
        <f>IF(H1708="Compliant","N/A",IF(J1708&lt;&gt;"","Closed",IF(I1708&lt;DATE(2026,9,30),"OVERDUE","Open")))</f>
        <v/>
      </c>
    </row>
    <row r="1709">
      <c r="A1709" t="inlineStr">
        <is>
          <t>INSP-2026-1708</t>
        </is>
      </c>
      <c r="B1709" s="6" t="n">
        <v>46276</v>
      </c>
      <c r="C1709" t="inlineStr">
        <is>
          <t>U-KR305-01-12</t>
        </is>
      </c>
      <c r="D1709" t="inlineStr">
        <is>
          <t>Kebun Raya</t>
        </is>
      </c>
      <c r="E1709" t="inlineStr">
        <is>
          <t>D. Ong</t>
        </is>
      </c>
      <c r="F1709" t="inlineStr">
        <is>
          <t>Complaint-driven</t>
        </is>
      </c>
      <c r="G1709" t="inlineStr">
        <is>
          <t>NONE</t>
        </is>
      </c>
      <c r="H1709" t="inlineStr">
        <is>
          <t>Compliant</t>
        </is>
      </c>
      <c r="I1709" s="6" t="n"/>
      <c r="J1709" s="6" t="n"/>
      <c r="K1709">
        <f>IF(J1709="","",J1709-B1709)</f>
        <v/>
      </c>
      <c r="L1709">
        <f>IF(H1709="Compliant","N/A",IF(J1709&lt;&gt;"","Closed",IF(I1709&lt;DATE(2026,9,30),"OVERDUE","Open")))</f>
        <v/>
      </c>
    </row>
    <row r="1710">
      <c r="A1710" t="inlineStr">
        <is>
          <t>INSP-2026-1709</t>
        </is>
      </c>
      <c r="B1710" s="6" t="n">
        <v>46276</v>
      </c>
      <c r="C1710" t="inlineStr">
        <is>
          <t>U-RH473-01-04</t>
        </is>
      </c>
      <c r="D1710" t="inlineStr">
        <is>
          <t>Rimba Heights</t>
        </is>
      </c>
      <c r="E1710" t="inlineStr">
        <is>
          <t>Benjamin Ho</t>
        </is>
      </c>
      <c r="F1710" t="inlineStr">
        <is>
          <t>Routine</t>
        </is>
      </c>
      <c r="G1710" t="inlineStr">
        <is>
          <t>UNAPPROVED_AA</t>
        </is>
      </c>
      <c r="H1710" t="inlineStr">
        <is>
          <t>Minor Breach</t>
        </is>
      </c>
      <c r="I1710" s="6" t="n">
        <v>46290</v>
      </c>
      <c r="J1710" s="6" t="n"/>
      <c r="K1710">
        <f>IF(J1710="","",J1710-B1710)</f>
        <v/>
      </c>
      <c r="L1710">
        <f>IF(H1710="Compliant","N/A",IF(J1710&lt;&gt;"","Closed",IF(I1710&lt;DATE(2026,9,30),"OVERDUE","Open")))</f>
        <v/>
      </c>
    </row>
    <row r="1711">
      <c r="A1711" t="inlineStr">
        <is>
          <t>INSP-2026-1710</t>
        </is>
      </c>
      <c r="B1711" s="6" t="n">
        <v>46276</v>
      </c>
      <c r="C1711" t="inlineStr">
        <is>
          <t>U-ST501-02-02</t>
        </is>
      </c>
      <c r="D1711" t="inlineStr">
        <is>
          <t>Sungai Tinggi</t>
        </is>
      </c>
      <c r="E1711" t="inlineStr">
        <is>
          <t>daniel ong</t>
        </is>
      </c>
      <c r="F1711" t="inlineStr">
        <is>
          <t>Routine</t>
        </is>
      </c>
      <c r="G1711" t="inlineStr">
        <is>
          <t>NONE</t>
        </is>
      </c>
      <c r="H1711" t="inlineStr">
        <is>
          <t>Compliant</t>
        </is>
      </c>
      <c r="I1711" s="6" t="n"/>
      <c r="J1711" s="6" t="n"/>
      <c r="K1711">
        <f>IF(J1711="","",J1711-B1711)</f>
        <v/>
      </c>
      <c r="L1711">
        <f>IF(H1711="Compliant","N/A",IF(J1711&lt;&gt;"","Closed",IF(I1711&lt;DATE(2026,9,30),"OVERDUE","Open")))</f>
        <v/>
      </c>
    </row>
    <row r="1712">
      <c r="A1712" t="inlineStr">
        <is>
          <t>INSP-2026-1711</t>
        </is>
      </c>
      <c r="B1712" s="6" t="n">
        <v>46276</v>
      </c>
      <c r="C1712" t="inlineStr">
        <is>
          <t>U-RH434-01-05</t>
        </is>
      </c>
      <c r="D1712" t="inlineStr">
        <is>
          <t>Rimba Heights</t>
        </is>
      </c>
      <c r="E1712" t="inlineStr">
        <is>
          <t>Daniel Ong</t>
        </is>
      </c>
      <c r="F1712" t="inlineStr">
        <is>
          <t>Routine</t>
        </is>
      </c>
      <c r="G1712" t="inlineStr">
        <is>
          <t>NONE</t>
        </is>
      </c>
      <c r="H1712" t="inlineStr">
        <is>
          <t>Compliant</t>
        </is>
      </c>
      <c r="I1712" s="6" t="n"/>
      <c r="J1712" s="6" t="n"/>
      <c r="K1712">
        <f>IF(J1712="","",J1712-B1712)</f>
        <v/>
      </c>
      <c r="L1712">
        <f>IF(H1712="Compliant","N/A",IF(J1712&lt;&gt;"","Closed",IF(I1712&lt;DATE(2026,9,30),"OVERDUE","Open")))</f>
        <v/>
      </c>
    </row>
    <row r="1713">
      <c r="A1713" t="inlineStr">
        <is>
          <t>INSP-2026-1712</t>
        </is>
      </c>
      <c r="B1713" s="6" t="n">
        <v>46276</v>
      </c>
      <c r="C1713" t="inlineStr">
        <is>
          <t>U-BV204-01-03</t>
        </is>
      </c>
      <c r="D1713" t="inlineStr">
        <is>
          <t>Bayshore Vale</t>
        </is>
      </c>
      <c r="E1713" t="inlineStr">
        <is>
          <t>M. Lim</t>
        </is>
      </c>
      <c r="F1713" t="inlineStr">
        <is>
          <t>Routine</t>
        </is>
      </c>
      <c r="G1713" t="inlineStr">
        <is>
          <t>FIRE_SAFETY</t>
        </is>
      </c>
      <c r="H1713" t="inlineStr">
        <is>
          <t>Major Breach</t>
        </is>
      </c>
      <c r="I1713" s="6" t="n">
        <v>46283</v>
      </c>
      <c r="J1713" s="6" t="n">
        <v>46288</v>
      </c>
      <c r="K1713">
        <f>IF(J1713="","",J1713-B1713)</f>
        <v/>
      </c>
      <c r="L1713">
        <f>IF(H1713="Compliant","N/A",IF(J1713&lt;&gt;"","Closed",IF(I1713&lt;DATE(2026,9,30),"OVERDUE","Open")))</f>
        <v/>
      </c>
    </row>
    <row r="1714">
      <c r="A1714" t="inlineStr">
        <is>
          <t>INSP-2026-1713</t>
        </is>
      </c>
      <c r="B1714" s="6" t="n">
        <v>46276</v>
      </c>
      <c r="C1714" t="inlineStr">
        <is>
          <t>U-CD108-01-10</t>
        </is>
      </c>
      <c r="D1714" t="inlineStr">
        <is>
          <t>Cendana</t>
        </is>
      </c>
      <c r="E1714" t="inlineStr">
        <is>
          <t>Marcus Lim</t>
        </is>
      </c>
      <c r="F1714" t="inlineStr">
        <is>
          <t>Routine</t>
        </is>
      </c>
      <c r="G1714" t="inlineStr">
        <is>
          <t>NONE</t>
        </is>
      </c>
      <c r="H1714" t="inlineStr">
        <is>
          <t>Compliant</t>
        </is>
      </c>
      <c r="I1714" s="6" t="n"/>
      <c r="J1714" s="6" t="n"/>
      <c r="K1714">
        <f>IF(J1714="","",J1714-B1714)</f>
        <v/>
      </c>
      <c r="L1714">
        <f>IF(H1714="Compliant","N/A",IF(J1714&lt;&gt;"","Closed",IF(I1714&lt;DATE(2026,9,30),"OVERDUE","Open")))</f>
        <v/>
      </c>
    </row>
    <row r="1715">
      <c r="A1715" t="inlineStr">
        <is>
          <t>INSP-2026-1714</t>
        </is>
      </c>
      <c r="B1715" s="6" t="n">
        <v>46277</v>
      </c>
      <c r="C1715" t="inlineStr">
        <is>
          <t>U-BV205-01-11</t>
        </is>
      </c>
      <c r="D1715" t="inlineStr">
        <is>
          <t>Bayshore Vale</t>
        </is>
      </c>
      <c r="E1715" t="inlineStr">
        <is>
          <t>Marcus Lim</t>
        </is>
      </c>
      <c r="F1715" t="inlineStr">
        <is>
          <t>Routine</t>
        </is>
      </c>
      <c r="G1715" t="inlineStr">
        <is>
          <t>NONE</t>
        </is>
      </c>
      <c r="H1715" t="inlineStr">
        <is>
          <t>Compliant</t>
        </is>
      </c>
      <c r="I1715" s="6" t="n"/>
      <c r="J1715" s="6" t="n"/>
      <c r="K1715">
        <f>IF(J1715="","",J1715-B1715)</f>
        <v/>
      </c>
      <c r="L1715">
        <f>IF(H1715="Compliant","N/A",IF(J1715&lt;&gt;"","Closed",IF(I1715&lt;DATE(2026,9,30),"OVERDUE","Open")))</f>
        <v/>
      </c>
    </row>
    <row r="1716">
      <c r="A1716" t="inlineStr">
        <is>
          <t>INSP-2026-1715</t>
        </is>
      </c>
      <c r="B1716" s="6" t="n">
        <v>46277</v>
      </c>
      <c r="C1716" t="inlineStr">
        <is>
          <t>U-ST507-01-01</t>
        </is>
      </c>
      <c r="D1716" t="inlineStr">
        <is>
          <t>Sungai Tinggi</t>
        </is>
      </c>
      <c r="E1716" t="inlineStr">
        <is>
          <t>Daniel Ong</t>
        </is>
      </c>
      <c r="F1716" t="inlineStr">
        <is>
          <t>Routine</t>
        </is>
      </c>
      <c r="G1716" t="inlineStr">
        <is>
          <t>NONE</t>
        </is>
      </c>
      <c r="H1716" t="inlineStr">
        <is>
          <t>Compliant</t>
        </is>
      </c>
      <c r="I1716" s="6" t="n"/>
      <c r="J1716" s="6" t="n"/>
      <c r="K1716">
        <f>IF(J1716="","",J1716-B1716)</f>
        <v/>
      </c>
      <c r="L1716">
        <f>IF(H1716="Compliant","N/A",IF(J1716&lt;&gt;"","Closed",IF(I1716&lt;DATE(2026,9,30),"OVERDUE","Open")))</f>
        <v/>
      </c>
    </row>
    <row r="1717">
      <c r="A1717" t="inlineStr">
        <is>
          <t>INSP-2026-1716</t>
        </is>
      </c>
      <c r="B1717" s="6" t="n">
        <v>46277</v>
      </c>
      <c r="C1717" t="inlineStr">
        <is>
          <t>U-PI684-01-04</t>
        </is>
      </c>
      <c r="D1717" t="inlineStr">
        <is>
          <t>Pasir Indah</t>
        </is>
      </c>
      <c r="E1717" t="inlineStr">
        <is>
          <t>marcus</t>
        </is>
      </c>
      <c r="F1717" t="inlineStr">
        <is>
          <t>Routine</t>
        </is>
      </c>
      <c r="G1717" t="inlineStr">
        <is>
          <t>UNAUTH_SUBLET</t>
        </is>
      </c>
      <c r="H1717" t="inlineStr">
        <is>
          <t>Major Breach</t>
        </is>
      </c>
      <c r="I1717" s="6" t="n">
        <v>46284</v>
      </c>
      <c r="J1717" s="6" t="n">
        <v>46283</v>
      </c>
      <c r="K1717">
        <f>IF(J1717="","",J1717-B1717)</f>
        <v/>
      </c>
      <c r="L1717">
        <f>IF(H1717="Compliant","N/A",IF(J1717&lt;&gt;"","Closed",IF(I1717&lt;DATE(2026,9,30),"OVERDUE","Open")))</f>
        <v/>
      </c>
    </row>
    <row r="1718">
      <c r="A1718" t="inlineStr">
        <is>
          <t>INSP-2026-1717</t>
        </is>
      </c>
      <c r="B1718" s="6" t="n">
        <v>46277</v>
      </c>
      <c r="C1718" t="inlineStr">
        <is>
          <t>U-CD160-01-02</t>
        </is>
      </c>
      <c r="D1718" t="inlineStr">
        <is>
          <t>Cendana</t>
        </is>
      </c>
      <c r="E1718" t="inlineStr">
        <is>
          <t>daniel ong</t>
        </is>
      </c>
      <c r="F1718" t="inlineStr">
        <is>
          <t>Routine</t>
        </is>
      </c>
      <c r="G1718" t="inlineStr">
        <is>
          <t>NONE</t>
        </is>
      </c>
      <c r="H1718" t="inlineStr">
        <is>
          <t>Compliant</t>
        </is>
      </c>
      <c r="I1718" s="6" t="n"/>
      <c r="J1718" s="6" t="n"/>
      <c r="K1718">
        <f>IF(J1718="","",J1718-B1718)</f>
        <v/>
      </c>
      <c r="L1718">
        <f>IF(H1718="Compliant","N/A",IF(J1718&lt;&gt;"","Closed",IF(I1718&lt;DATE(2026,9,30),"OVERDUE","Open")))</f>
        <v/>
      </c>
    </row>
    <row r="1719">
      <c r="A1719" t="inlineStr">
        <is>
          <t>INSP-2026-1718</t>
        </is>
      </c>
      <c r="B1719" s="6" t="n">
        <v>46277</v>
      </c>
      <c r="C1719" t="inlineStr">
        <is>
          <t>U-CD133-01-10</t>
        </is>
      </c>
      <c r="D1719" t="inlineStr">
        <is>
          <t>Cendana</t>
        </is>
      </c>
      <c r="E1719" t="inlineStr">
        <is>
          <t>M. Lim</t>
        </is>
      </c>
      <c r="F1719" t="inlineStr">
        <is>
          <t>Follow-up</t>
        </is>
      </c>
      <c r="G1719" t="inlineStr">
        <is>
          <t>DISPLAY_ENCROACH</t>
        </is>
      </c>
      <c r="H1719" t="inlineStr">
        <is>
          <t>Minor Breach</t>
        </is>
      </c>
      <c r="I1719" s="6" t="n">
        <v>46291</v>
      </c>
      <c r="J1719" s="6" t="n"/>
      <c r="K1719">
        <f>IF(J1719="","",J1719-B1719)</f>
        <v/>
      </c>
      <c r="L1719">
        <f>IF(H1719="Compliant","N/A",IF(J1719&lt;&gt;"","Closed",IF(I1719&lt;DATE(2026,9,30),"OVERDUE","Open")))</f>
        <v/>
      </c>
    </row>
    <row r="1720">
      <c r="A1720" t="inlineStr">
        <is>
          <t>INSP-2026-1719</t>
        </is>
      </c>
      <c r="B1720" s="6" t="n">
        <v>46277</v>
      </c>
      <c r="C1720" t="inlineStr">
        <is>
          <t>U-KR359-01-06</t>
        </is>
      </c>
      <c r="D1720" t="inlineStr">
        <is>
          <t>Kebun Raya</t>
        </is>
      </c>
      <c r="E1720" t="inlineStr">
        <is>
          <t>Daniel Ong</t>
        </is>
      </c>
      <c r="F1720" t="inlineStr">
        <is>
          <t>Routine</t>
        </is>
      </c>
      <c r="G1720" t="inlineStr">
        <is>
          <t>NONE</t>
        </is>
      </c>
      <c r="H1720" t="inlineStr">
        <is>
          <t>Compliant</t>
        </is>
      </c>
      <c r="I1720" s="6" t="n"/>
      <c r="J1720" s="6" t="n"/>
      <c r="K1720">
        <f>IF(J1720="","",J1720-B1720)</f>
        <v/>
      </c>
      <c r="L1720">
        <f>IF(H1720="Compliant","N/A",IF(J1720&lt;&gt;"","Closed",IF(I1720&lt;DATE(2026,9,30),"OVERDUE","Open")))</f>
        <v/>
      </c>
    </row>
    <row r="1721">
      <c r="A1721" t="inlineStr">
        <is>
          <t>INSP-2026-1720</t>
        </is>
      </c>
      <c r="B1721" s="6" t="n">
        <v>46278</v>
      </c>
      <c r="C1721" t="inlineStr">
        <is>
          <t>U-RH466-01-03</t>
        </is>
      </c>
      <c r="D1721" t="inlineStr">
        <is>
          <t>Rimba Heights</t>
        </is>
      </c>
      <c r="E1721" t="inlineStr">
        <is>
          <t>Benjamin Ho</t>
        </is>
      </c>
      <c r="F1721" t="inlineStr">
        <is>
          <t>Routine</t>
        </is>
      </c>
      <c r="G1721" t="inlineStr">
        <is>
          <t>HYGIENE</t>
        </is>
      </c>
      <c r="H1721" t="inlineStr">
        <is>
          <t>Minor Breach</t>
        </is>
      </c>
      <c r="I1721" s="6" t="n">
        <v>46292</v>
      </c>
      <c r="J1721" s="6" t="n"/>
      <c r="K1721">
        <f>IF(J1721="","",J1721-B1721)</f>
        <v/>
      </c>
      <c r="L1721">
        <f>IF(H1721="Compliant","N/A",IF(J1721&lt;&gt;"","Closed",IF(I1721&lt;DATE(2026,9,30),"OVERDUE","Open")))</f>
        <v/>
      </c>
    </row>
    <row r="1722">
      <c r="A1722" t="inlineStr">
        <is>
          <t>INSP-2026-1721</t>
        </is>
      </c>
      <c r="B1722" s="6" t="n">
        <v>46278</v>
      </c>
      <c r="C1722" t="inlineStr">
        <is>
          <t>U-BV229-01-13</t>
        </is>
      </c>
      <c r="D1722" t="inlineStr">
        <is>
          <t>Bayshore Vale</t>
        </is>
      </c>
      <c r="E1722" t="inlineStr">
        <is>
          <t>Marcus Lim</t>
        </is>
      </c>
      <c r="F1722" t="inlineStr">
        <is>
          <t>Routine</t>
        </is>
      </c>
      <c r="G1722" t="inlineStr">
        <is>
          <t>DISPLAY_ENCROACH</t>
        </is>
      </c>
      <c r="H1722" t="inlineStr">
        <is>
          <t>Minor Breach</t>
        </is>
      </c>
      <c r="I1722" s="6" t="n">
        <v>46292</v>
      </c>
      <c r="J1722" s="6" t="n"/>
      <c r="K1722">
        <f>IF(J1722="","",J1722-B1722)</f>
        <v/>
      </c>
      <c r="L1722">
        <f>IF(H1722="Compliant","N/A",IF(J1722&lt;&gt;"","Closed",IF(I1722&lt;DATE(2026,9,30),"OVERDUE","Open")))</f>
        <v/>
      </c>
    </row>
    <row r="1723">
      <c r="A1723" t="inlineStr">
        <is>
          <t>INSP-2026-1722</t>
        </is>
      </c>
      <c r="B1723" s="6" t="n">
        <v>46278</v>
      </c>
      <c r="C1723" t="inlineStr">
        <is>
          <t>U-KR345-01-07</t>
        </is>
      </c>
      <c r="D1723" t="inlineStr">
        <is>
          <t>Kebun Raya</t>
        </is>
      </c>
      <c r="E1723" t="inlineStr">
        <is>
          <t>Daniel O.</t>
        </is>
      </c>
      <c r="F1723" t="inlineStr">
        <is>
          <t>Routine</t>
        </is>
      </c>
      <c r="G1723" t="inlineStr">
        <is>
          <t>NONE</t>
        </is>
      </c>
      <c r="H1723" t="inlineStr">
        <is>
          <t>Compliant</t>
        </is>
      </c>
      <c r="I1723" s="6" t="n"/>
      <c r="J1723" s="6" t="n"/>
      <c r="K1723">
        <f>IF(J1723="","",J1723-B1723)</f>
        <v/>
      </c>
      <c r="L1723">
        <f>IF(H1723="Compliant","N/A",IF(J1723&lt;&gt;"","Closed",IF(I1723&lt;DATE(2026,9,30),"OVERDUE","Open")))</f>
        <v/>
      </c>
    </row>
    <row r="1724">
      <c r="A1724" t="inlineStr">
        <is>
          <t>INSP-2026-1723</t>
        </is>
      </c>
      <c r="B1724" s="6" t="n">
        <v>46278</v>
      </c>
      <c r="C1724" t="inlineStr">
        <is>
          <t>U-KR356-01-09</t>
        </is>
      </c>
      <c r="D1724" t="inlineStr">
        <is>
          <t>Kebun Raya</t>
        </is>
      </c>
      <c r="E1724" t="inlineStr">
        <is>
          <t>D. Ong</t>
        </is>
      </c>
      <c r="F1724" t="inlineStr">
        <is>
          <t>Routine</t>
        </is>
      </c>
      <c r="G1724" t="inlineStr">
        <is>
          <t>NONE</t>
        </is>
      </c>
      <c r="H1724" t="inlineStr">
        <is>
          <t>Compliant</t>
        </is>
      </c>
      <c r="I1724" s="6" t="n"/>
      <c r="J1724" s="6" t="n"/>
      <c r="K1724">
        <f>IF(J1724="","",J1724-B1724)</f>
        <v/>
      </c>
      <c r="L1724">
        <f>IF(H1724="Compliant","N/A",IF(J1724&lt;&gt;"","Closed",IF(I1724&lt;DATE(2026,9,30),"OVERDUE","Open")))</f>
        <v/>
      </c>
    </row>
    <row r="1725">
      <c r="A1725" t="inlineStr">
        <is>
          <t>INSP-2026-1724</t>
        </is>
      </c>
      <c r="B1725" s="6" t="n">
        <v>46278</v>
      </c>
      <c r="C1725" t="inlineStr">
        <is>
          <t>U-KR305-01-10</t>
        </is>
      </c>
      <c r="D1725" t="inlineStr">
        <is>
          <t>Kebun Raya</t>
        </is>
      </c>
      <c r="E1725" t="inlineStr">
        <is>
          <t>D. Ong</t>
        </is>
      </c>
      <c r="F1725" t="inlineStr">
        <is>
          <t>Follow-up</t>
        </is>
      </c>
      <c r="G1725" t="inlineStr">
        <is>
          <t>UNAUTH_TRADE</t>
        </is>
      </c>
      <c r="H1725" t="inlineStr">
        <is>
          <t>Major Breach</t>
        </is>
      </c>
      <c r="I1725" s="6" t="n">
        <v>46285</v>
      </c>
      <c r="J1725" s="6" t="n">
        <v>46290</v>
      </c>
      <c r="K1725">
        <f>IF(J1725="","",J1725-B1725)</f>
        <v/>
      </c>
      <c r="L1725">
        <f>IF(H1725="Compliant","N/A",IF(J1725&lt;&gt;"","Closed",IF(I1725&lt;DATE(2026,9,30),"OVERDUE","Open")))</f>
        <v/>
      </c>
    </row>
    <row r="1726">
      <c r="A1726" t="inlineStr">
        <is>
          <t>INSP-2026-1725</t>
        </is>
      </c>
      <c r="B1726" s="6" t="n">
        <v>46278</v>
      </c>
      <c r="C1726" t="inlineStr">
        <is>
          <t>U-BV271-01-06</t>
        </is>
      </c>
      <c r="D1726" t="inlineStr">
        <is>
          <t>Bayshore Vale</t>
        </is>
      </c>
      <c r="E1726" t="inlineStr">
        <is>
          <t>M. Lim</t>
        </is>
      </c>
      <c r="F1726" t="inlineStr">
        <is>
          <t>Routine</t>
        </is>
      </c>
      <c r="G1726" t="inlineStr">
        <is>
          <t>NONE</t>
        </is>
      </c>
      <c r="H1726" t="inlineStr">
        <is>
          <t>Compliant</t>
        </is>
      </c>
      <c r="I1726" s="6" t="n"/>
      <c r="J1726" s="6" t="n"/>
      <c r="K1726">
        <f>IF(J1726="","",J1726-B1726)</f>
        <v/>
      </c>
      <c r="L1726">
        <f>IF(H1726="Compliant","N/A",IF(J1726&lt;&gt;"","Closed",IF(I1726&lt;DATE(2026,9,30),"OVERDUE","Open")))</f>
        <v/>
      </c>
    </row>
    <row r="1727">
      <c r="A1727" t="inlineStr">
        <is>
          <t>INSP-2026-1726</t>
        </is>
      </c>
      <c r="B1727" s="6" t="n">
        <v>46278</v>
      </c>
      <c r="C1727" t="inlineStr">
        <is>
          <t>U-KR341-01-09</t>
        </is>
      </c>
      <c r="D1727" t="inlineStr">
        <is>
          <t>Kebun Raya</t>
        </is>
      </c>
      <c r="E1727" t="inlineStr">
        <is>
          <t>Ben Ho</t>
        </is>
      </c>
      <c r="F1727" t="inlineStr">
        <is>
          <t>Routine</t>
        </is>
      </c>
      <c r="G1727" t="inlineStr">
        <is>
          <t>DISPLAY_ENCROACH</t>
        </is>
      </c>
      <c r="H1727" t="inlineStr">
        <is>
          <t>Minor Breach</t>
        </is>
      </c>
      <c r="I1727" s="6" t="n">
        <v>46292</v>
      </c>
      <c r="J1727" s="6" t="n"/>
      <c r="K1727">
        <f>IF(J1727="","",J1727-B1727)</f>
        <v/>
      </c>
      <c r="L1727">
        <f>IF(H1727="Compliant","N/A",IF(J1727&lt;&gt;"","Closed",IF(I1727&lt;DATE(2026,9,30),"OVERDUE","Open")))</f>
        <v/>
      </c>
    </row>
    <row r="1728">
      <c r="A1728" t="inlineStr">
        <is>
          <t>INSP-2026-1727</t>
        </is>
      </c>
      <c r="B1728" s="6" t="n">
        <v>46278</v>
      </c>
      <c r="C1728" t="inlineStr">
        <is>
          <t>U-ST501-01-08</t>
        </is>
      </c>
      <c r="D1728" t="inlineStr">
        <is>
          <t>Sungai Tinggi</t>
        </is>
      </c>
      <c r="E1728" t="inlineStr">
        <is>
          <t>daniel ong</t>
        </is>
      </c>
      <c r="F1728" t="inlineStr">
        <is>
          <t>Complaint-driven</t>
        </is>
      </c>
      <c r="G1728" t="inlineStr">
        <is>
          <t>NONE</t>
        </is>
      </c>
      <c r="H1728" t="inlineStr">
        <is>
          <t>Compliant</t>
        </is>
      </c>
      <c r="I1728" s="6" t="n"/>
      <c r="J1728" s="6" t="n"/>
      <c r="K1728">
        <f>IF(J1728="","",J1728-B1728)</f>
        <v/>
      </c>
      <c r="L1728">
        <f>IF(H1728="Compliant","N/A",IF(J1728&lt;&gt;"","Closed",IF(I1728&lt;DATE(2026,9,30),"OVERDUE","Open")))</f>
        <v/>
      </c>
    </row>
    <row r="1729">
      <c r="A1729" t="inlineStr">
        <is>
          <t>INSP-2026-1728</t>
        </is>
      </c>
      <c r="B1729" s="6" t="n">
        <v>46278</v>
      </c>
      <c r="C1729" t="inlineStr">
        <is>
          <t>U-ST564-01-05</t>
        </is>
      </c>
      <c r="D1729" t="inlineStr">
        <is>
          <t>Sungai Tinggi</t>
        </is>
      </c>
      <c r="E1729" t="inlineStr">
        <is>
          <t>Daniel O.</t>
        </is>
      </c>
      <c r="F1729" t="inlineStr">
        <is>
          <t>Routine</t>
        </is>
      </c>
      <c r="G1729" t="inlineStr">
        <is>
          <t>NONE</t>
        </is>
      </c>
      <c r="H1729" t="inlineStr">
        <is>
          <t>Compliant</t>
        </is>
      </c>
      <c r="I1729" s="6" t="n"/>
      <c r="J1729" s="6" t="n"/>
      <c r="K1729">
        <f>IF(J1729="","",J1729-B1729)</f>
        <v/>
      </c>
      <c r="L1729">
        <f>IF(H1729="Compliant","N/A",IF(J1729&lt;&gt;"","Closed",IF(I1729&lt;DATE(2026,9,30),"OVERDUE","Open")))</f>
        <v/>
      </c>
    </row>
    <row r="1730">
      <c r="A1730" t="inlineStr">
        <is>
          <t>INSP-2026-1729</t>
        </is>
      </c>
      <c r="B1730" s="6" t="n">
        <v>46278</v>
      </c>
      <c r="C1730" t="inlineStr">
        <is>
          <t>U-BV216-01-07</t>
        </is>
      </c>
      <c r="D1730" t="inlineStr">
        <is>
          <t>Bayshore Vale</t>
        </is>
      </c>
      <c r="E1730" t="inlineStr">
        <is>
          <t>Marcus Lim</t>
        </is>
      </c>
      <c r="F1730" t="inlineStr">
        <is>
          <t>Routine</t>
        </is>
      </c>
      <c r="G1730" t="inlineStr">
        <is>
          <t>NONE</t>
        </is>
      </c>
      <c r="H1730" t="inlineStr">
        <is>
          <t>Compliant</t>
        </is>
      </c>
      <c r="I1730" s="6" t="n"/>
      <c r="J1730" s="6" t="n"/>
      <c r="K1730">
        <f>IF(J1730="","",J1730-B1730)</f>
        <v/>
      </c>
      <c r="L1730">
        <f>IF(H1730="Compliant","N/A",IF(J1730&lt;&gt;"","Closed",IF(I1730&lt;DATE(2026,9,30),"OVERDUE","Open")))</f>
        <v/>
      </c>
    </row>
    <row r="1731">
      <c r="A1731" t="inlineStr">
        <is>
          <t>INSP-2026-1730</t>
        </is>
      </c>
      <c r="B1731" s="6" t="n">
        <v>46278</v>
      </c>
      <c r="C1731" t="inlineStr">
        <is>
          <t>U-ST544-01-01</t>
        </is>
      </c>
      <c r="D1731" t="inlineStr">
        <is>
          <t>Sungai Tinggi</t>
        </is>
      </c>
      <c r="E1731" t="inlineStr">
        <is>
          <t>D. Ong</t>
        </is>
      </c>
      <c r="F1731" t="inlineStr">
        <is>
          <t>Complaint-driven</t>
        </is>
      </c>
      <c r="G1731" t="inlineStr">
        <is>
          <t>NONE</t>
        </is>
      </c>
      <c r="H1731" t="inlineStr">
        <is>
          <t>Compliant</t>
        </is>
      </c>
      <c r="I1731" s="6" t="n"/>
      <c r="J1731" s="6" t="n"/>
      <c r="K1731">
        <f>IF(J1731="","",J1731-B1731)</f>
        <v/>
      </c>
      <c r="L1731">
        <f>IF(H1731="Compliant","N/A",IF(J1731&lt;&gt;"","Closed",IF(I1731&lt;DATE(2026,9,30),"OVERDUE","Open")))</f>
        <v/>
      </c>
    </row>
    <row r="1732">
      <c r="A1732" t="inlineStr">
        <is>
          <t>INSP-2026-1731</t>
        </is>
      </c>
      <c r="B1732" s="6" t="n">
        <v>46278</v>
      </c>
      <c r="C1732" t="inlineStr">
        <is>
          <t>U-CD142-01-09</t>
        </is>
      </c>
      <c r="D1732" t="inlineStr">
        <is>
          <t>Cendana</t>
        </is>
      </c>
      <c r="E1732" t="inlineStr">
        <is>
          <t>Daniel Ong</t>
        </is>
      </c>
      <c r="F1732" t="inlineStr">
        <is>
          <t>Routine</t>
        </is>
      </c>
      <c r="G1732" t="inlineStr">
        <is>
          <t>NONE</t>
        </is>
      </c>
      <c r="H1732" t="inlineStr">
        <is>
          <t>Compliant</t>
        </is>
      </c>
      <c r="I1732" s="6" t="n"/>
      <c r="J1732" s="6" t="n"/>
      <c r="K1732">
        <f>IF(J1732="","",J1732-B1732)</f>
        <v/>
      </c>
      <c r="L1732">
        <f>IF(H1732="Compliant","N/A",IF(J1732&lt;&gt;"","Closed",IF(I1732&lt;DATE(2026,9,30),"OVERDUE","Open")))</f>
        <v/>
      </c>
    </row>
    <row r="1733">
      <c r="A1733" t="inlineStr">
        <is>
          <t>INSP-2026-1732</t>
        </is>
      </c>
      <c r="B1733" s="6" t="n">
        <v>46278</v>
      </c>
      <c r="C1733" t="inlineStr">
        <is>
          <t>U-ST512-01-26</t>
        </is>
      </c>
      <c r="D1733" t="inlineStr">
        <is>
          <t>Sungai Tinggi</t>
        </is>
      </c>
      <c r="E1733" t="inlineStr">
        <is>
          <t>Benjamin Ho</t>
        </is>
      </c>
      <c r="F1733" t="inlineStr">
        <is>
          <t>Follow-up</t>
        </is>
      </c>
      <c r="G1733" t="inlineStr">
        <is>
          <t>NONE</t>
        </is>
      </c>
      <c r="H1733" t="inlineStr">
        <is>
          <t>Compliant</t>
        </is>
      </c>
      <c r="I1733" s="6" t="n"/>
      <c r="J1733" s="6" t="n"/>
      <c r="K1733">
        <f>IF(J1733="","",J1733-B1733)</f>
        <v/>
      </c>
      <c r="L1733">
        <f>IF(H1733="Compliant","N/A",IF(J1733&lt;&gt;"","Closed",IF(I1733&lt;DATE(2026,9,30),"OVERDUE","Open")))</f>
        <v/>
      </c>
    </row>
    <row r="1734">
      <c r="A1734" t="inlineStr">
        <is>
          <t>INSP-2026-1733</t>
        </is>
      </c>
      <c r="B1734" s="6" t="n">
        <v>46279</v>
      </c>
      <c r="C1734" t="inlineStr">
        <is>
          <t>U-PI667-01-14</t>
        </is>
      </c>
      <c r="D1734" t="inlineStr">
        <is>
          <t>Pasir Indah</t>
        </is>
      </c>
      <c r="E1734" t="inlineStr">
        <is>
          <t>Daniel Ong</t>
        </is>
      </c>
      <c r="F1734" t="inlineStr">
        <is>
          <t>Routine</t>
        </is>
      </c>
      <c r="G1734" t="inlineStr">
        <is>
          <t>FIRE_SAFETY</t>
        </is>
      </c>
      <c r="H1734" t="inlineStr">
        <is>
          <t>Major Breach</t>
        </is>
      </c>
      <c r="I1734" s="6" t="n">
        <v>46286</v>
      </c>
      <c r="J1734" s="6" t="n"/>
      <c r="K1734">
        <f>IF(J1734="","",J1734-B1734)</f>
        <v/>
      </c>
      <c r="L1734">
        <f>IF(H1734="Compliant","N/A",IF(J1734&lt;&gt;"","Closed",IF(I1734&lt;DATE(2026,9,30),"OVERDUE","Open")))</f>
        <v/>
      </c>
    </row>
    <row r="1735">
      <c r="A1735" t="inlineStr">
        <is>
          <t>INSP-2026-1734</t>
        </is>
      </c>
      <c r="B1735" s="6" t="n">
        <v>46279</v>
      </c>
      <c r="C1735" t="inlineStr">
        <is>
          <t>U-ST590-01-04</t>
        </is>
      </c>
      <c r="D1735" t="inlineStr">
        <is>
          <t>Sungai Tinggi</t>
        </is>
      </c>
      <c r="E1735" t="inlineStr">
        <is>
          <t>D. Ong</t>
        </is>
      </c>
      <c r="F1735" t="inlineStr">
        <is>
          <t>Routine</t>
        </is>
      </c>
      <c r="G1735" t="inlineStr">
        <is>
          <t>NONE</t>
        </is>
      </c>
      <c r="H1735" t="inlineStr">
        <is>
          <t>Compliant</t>
        </is>
      </c>
      <c r="I1735" s="6" t="n"/>
      <c r="J1735" s="6" t="n"/>
      <c r="K1735">
        <f>IF(J1735="","",J1735-B1735)</f>
        <v/>
      </c>
      <c r="L1735">
        <f>IF(H1735="Compliant","N/A",IF(J1735&lt;&gt;"","Closed",IF(I1735&lt;DATE(2026,9,30),"OVERDUE","Open")))</f>
        <v/>
      </c>
    </row>
    <row r="1736">
      <c r="A1736" t="inlineStr">
        <is>
          <t>INSP-2026-1735</t>
        </is>
      </c>
      <c r="B1736" s="6" t="n">
        <v>46279</v>
      </c>
      <c r="C1736" t="inlineStr">
        <is>
          <t>U-BV266-01-07</t>
        </is>
      </c>
      <c r="D1736" t="inlineStr">
        <is>
          <t>Bayshore Vale</t>
        </is>
      </c>
      <c r="E1736" t="inlineStr">
        <is>
          <t>D. Ong</t>
        </is>
      </c>
      <c r="F1736" t="inlineStr">
        <is>
          <t>Routine</t>
        </is>
      </c>
      <c r="G1736" t="inlineStr">
        <is>
          <t>NONE</t>
        </is>
      </c>
      <c r="H1736" t="inlineStr">
        <is>
          <t>Compliant</t>
        </is>
      </c>
      <c r="I1736" s="6" t="n"/>
      <c r="J1736" s="6" t="n"/>
      <c r="K1736">
        <f>IF(J1736="","",J1736-B1736)</f>
        <v/>
      </c>
      <c r="L1736">
        <f>IF(H1736="Compliant","N/A",IF(J1736&lt;&gt;"","Closed",IF(I1736&lt;DATE(2026,9,30),"OVERDUE","Open")))</f>
        <v/>
      </c>
    </row>
    <row r="1737">
      <c r="A1737" t="inlineStr">
        <is>
          <t>INSP-2026-1736</t>
        </is>
      </c>
      <c r="B1737" s="6" t="n">
        <v>46279</v>
      </c>
      <c r="C1737" t="inlineStr">
        <is>
          <t>U-RH466-02-02</t>
        </is>
      </c>
      <c r="D1737" t="inlineStr">
        <is>
          <t>Rimba Heights</t>
        </is>
      </c>
      <c r="E1737" t="inlineStr">
        <is>
          <t>B. Ho</t>
        </is>
      </c>
      <c r="F1737" t="inlineStr">
        <is>
          <t>Routine</t>
        </is>
      </c>
      <c r="G1737" t="inlineStr">
        <is>
          <t>NONE</t>
        </is>
      </c>
      <c r="H1737" t="inlineStr">
        <is>
          <t>Compliant</t>
        </is>
      </c>
      <c r="I1737" s="6" t="n"/>
      <c r="J1737" s="6" t="n"/>
      <c r="K1737">
        <f>IF(J1737="","",J1737-B1737)</f>
        <v/>
      </c>
      <c r="L1737">
        <f>IF(H1737="Compliant","N/A",IF(J1737&lt;&gt;"","Closed",IF(I1737&lt;DATE(2026,9,30),"OVERDUE","Open")))</f>
        <v/>
      </c>
    </row>
    <row r="1738">
      <c r="A1738" t="inlineStr">
        <is>
          <t>INSP-2026-1737</t>
        </is>
      </c>
      <c r="B1738" s="6" t="n">
        <v>46279</v>
      </c>
      <c r="C1738" t="inlineStr">
        <is>
          <t>U-CD136-01-03</t>
        </is>
      </c>
      <c r="D1738" t="inlineStr">
        <is>
          <t>Cendana</t>
        </is>
      </c>
      <c r="E1738" t="inlineStr">
        <is>
          <t>Daniel O.</t>
        </is>
      </c>
      <c r="F1738" t="inlineStr">
        <is>
          <t>Follow-up</t>
        </is>
      </c>
      <c r="G1738" t="inlineStr">
        <is>
          <t>NONE</t>
        </is>
      </c>
      <c r="H1738" t="inlineStr">
        <is>
          <t>Compliant</t>
        </is>
      </c>
      <c r="I1738" s="6" t="n"/>
      <c r="J1738" s="6" t="n"/>
      <c r="K1738">
        <f>IF(J1738="","",J1738-B1738)</f>
        <v/>
      </c>
      <c r="L1738">
        <f>IF(H1738="Compliant","N/A",IF(J1738&lt;&gt;"","Closed",IF(I1738&lt;DATE(2026,9,30),"OVERDUE","Open")))</f>
        <v/>
      </c>
    </row>
    <row r="1739">
      <c r="A1739" t="inlineStr">
        <is>
          <t>INSP-2026-1738</t>
        </is>
      </c>
      <c r="B1739" s="6" t="n">
        <v>46279</v>
      </c>
      <c r="C1739" t="inlineStr">
        <is>
          <t>U-KR317-02-10</t>
        </is>
      </c>
      <c r="D1739" t="inlineStr">
        <is>
          <t>Kebun Raya</t>
        </is>
      </c>
      <c r="E1739" t="inlineStr">
        <is>
          <t>B. Ho</t>
        </is>
      </c>
      <c r="F1739" t="inlineStr">
        <is>
          <t>Routine</t>
        </is>
      </c>
      <c r="G1739" t="inlineStr">
        <is>
          <t>NONE</t>
        </is>
      </c>
      <c r="H1739" t="inlineStr">
        <is>
          <t>Compliant</t>
        </is>
      </c>
      <c r="I1739" s="6" t="n"/>
      <c r="J1739" s="6" t="n"/>
      <c r="K1739">
        <f>IF(J1739="","",J1739-B1739)</f>
        <v/>
      </c>
      <c r="L1739">
        <f>IF(H1739="Compliant","N/A",IF(J1739&lt;&gt;"","Closed",IF(I1739&lt;DATE(2026,9,30),"OVERDUE","Open")))</f>
        <v/>
      </c>
    </row>
    <row r="1740">
      <c r="A1740" t="inlineStr">
        <is>
          <t>INSP-2026-1739</t>
        </is>
      </c>
      <c r="B1740" s="6" t="n">
        <v>46279</v>
      </c>
      <c r="C1740" t="inlineStr">
        <is>
          <t>U-KR333-01-05</t>
        </is>
      </c>
      <c r="D1740" t="inlineStr">
        <is>
          <t>Kebun Raya</t>
        </is>
      </c>
      <c r="E1740" t="inlineStr">
        <is>
          <t>Benjamin Ho</t>
        </is>
      </c>
      <c r="F1740" t="inlineStr">
        <is>
          <t>Routine</t>
        </is>
      </c>
      <c r="G1740" t="inlineStr">
        <is>
          <t>HYGIENE</t>
        </is>
      </c>
      <c r="H1740" t="inlineStr">
        <is>
          <t>Minor Breach</t>
        </is>
      </c>
      <c r="I1740" s="6" t="n">
        <v>46293</v>
      </c>
      <c r="J1740" s="6" t="n"/>
      <c r="K1740">
        <f>IF(J1740="","",J1740-B1740)</f>
        <v/>
      </c>
      <c r="L1740">
        <f>IF(H1740="Compliant","N/A",IF(J1740&lt;&gt;"","Closed",IF(I1740&lt;DATE(2026,9,30),"OVERDUE","Open")))</f>
        <v/>
      </c>
    </row>
    <row r="1741">
      <c r="A1741" t="inlineStr">
        <is>
          <t>INSP-2026-1740</t>
        </is>
      </c>
      <c r="B1741" s="6" t="n">
        <v>46279</v>
      </c>
      <c r="C1741" t="inlineStr">
        <is>
          <t>U-KR305-01-04</t>
        </is>
      </c>
      <c r="D1741" t="inlineStr">
        <is>
          <t>Kebun Raya</t>
        </is>
      </c>
      <c r="E1741" t="inlineStr">
        <is>
          <t>B. Ho</t>
        </is>
      </c>
      <c r="F1741" t="inlineStr">
        <is>
          <t>Follow-up</t>
        </is>
      </c>
      <c r="G1741" t="inlineStr">
        <is>
          <t>NONE</t>
        </is>
      </c>
      <c r="H1741" t="inlineStr">
        <is>
          <t>Compliant</t>
        </is>
      </c>
      <c r="I1741" s="6" t="n"/>
      <c r="J1741" s="6" t="n"/>
      <c r="K1741">
        <f>IF(J1741="","",J1741-B1741)</f>
        <v/>
      </c>
      <c r="L1741">
        <f>IF(H1741="Compliant","N/A",IF(J1741&lt;&gt;"","Closed",IF(I1741&lt;DATE(2026,9,30),"OVERDUE","Open")))</f>
        <v/>
      </c>
    </row>
    <row r="1742">
      <c r="A1742" t="inlineStr">
        <is>
          <t>INSP-2026-1741</t>
        </is>
      </c>
      <c r="B1742" s="6" t="n">
        <v>46279</v>
      </c>
      <c r="C1742" t="inlineStr">
        <is>
          <t>U-PI626-01-11</t>
        </is>
      </c>
      <c r="D1742" t="inlineStr">
        <is>
          <t>Pasir Indah</t>
        </is>
      </c>
      <c r="E1742" t="inlineStr">
        <is>
          <t>marcus</t>
        </is>
      </c>
      <c r="F1742" t="inlineStr">
        <is>
          <t>Routine</t>
        </is>
      </c>
      <c r="G1742" t="inlineStr">
        <is>
          <t>NONE</t>
        </is>
      </c>
      <c r="H1742" t="inlineStr">
        <is>
          <t>Compliant</t>
        </is>
      </c>
      <c r="I1742" s="6" t="n"/>
      <c r="J1742" s="6" t="n"/>
      <c r="K1742">
        <f>IF(J1742="","",J1742-B1742)</f>
        <v/>
      </c>
      <c r="L1742">
        <f>IF(H1742="Compliant","N/A",IF(J1742&lt;&gt;"","Closed",IF(I1742&lt;DATE(2026,9,30),"OVERDUE","Open")))</f>
        <v/>
      </c>
    </row>
    <row r="1743">
      <c r="A1743" t="inlineStr">
        <is>
          <t>INSP-2026-1742</t>
        </is>
      </c>
      <c r="B1743" s="6" t="n">
        <v>46280</v>
      </c>
      <c r="C1743" t="inlineStr">
        <is>
          <t>U-KR372-01-06</t>
        </is>
      </c>
      <c r="D1743" t="inlineStr">
        <is>
          <t>Kebun Raya</t>
        </is>
      </c>
      <c r="E1743" t="inlineStr">
        <is>
          <t>D. Ong</t>
        </is>
      </c>
      <c r="F1743" t="inlineStr">
        <is>
          <t>Routine</t>
        </is>
      </c>
      <c r="G1743" t="inlineStr">
        <is>
          <t>NONE</t>
        </is>
      </c>
      <c r="H1743" t="inlineStr">
        <is>
          <t>Compliant</t>
        </is>
      </c>
      <c r="I1743" s="6" t="n"/>
      <c r="J1743" s="6" t="n"/>
      <c r="K1743">
        <f>IF(J1743="","",J1743-B1743)</f>
        <v/>
      </c>
      <c r="L1743">
        <f>IF(H1743="Compliant","N/A",IF(J1743&lt;&gt;"","Closed",IF(I1743&lt;DATE(2026,9,30),"OVERDUE","Open")))</f>
        <v/>
      </c>
    </row>
    <row r="1744">
      <c r="A1744" t="inlineStr">
        <is>
          <t>INSP-2026-1743</t>
        </is>
      </c>
      <c r="B1744" s="6" t="n">
        <v>46280</v>
      </c>
      <c r="C1744" t="inlineStr">
        <is>
          <t>U-RH455-01-08</t>
        </is>
      </c>
      <c r="D1744" t="inlineStr">
        <is>
          <t>Rimba Heights</t>
        </is>
      </c>
      <c r="E1744" t="inlineStr">
        <is>
          <t>Daniel Ong</t>
        </is>
      </c>
      <c r="F1744" t="inlineStr">
        <is>
          <t>Routine</t>
        </is>
      </c>
      <c r="G1744" t="inlineStr">
        <is>
          <t>NONE</t>
        </is>
      </c>
      <c r="H1744" t="inlineStr">
        <is>
          <t>Compliant</t>
        </is>
      </c>
      <c r="I1744" s="6" t="n"/>
      <c r="J1744" s="6" t="n"/>
      <c r="K1744">
        <f>IF(J1744="","",J1744-B1744)</f>
        <v/>
      </c>
      <c r="L1744">
        <f>IF(H1744="Compliant","N/A",IF(J1744&lt;&gt;"","Closed",IF(I1744&lt;DATE(2026,9,30),"OVERDUE","Open")))</f>
        <v/>
      </c>
    </row>
    <row r="1745">
      <c r="A1745" t="inlineStr">
        <is>
          <t>INSP-2026-1744</t>
        </is>
      </c>
      <c r="B1745" s="6" t="n">
        <v>46280</v>
      </c>
      <c r="C1745" t="inlineStr">
        <is>
          <t>U-RH485-01-04</t>
        </is>
      </c>
      <c r="D1745" t="inlineStr">
        <is>
          <t>Rimba Heights</t>
        </is>
      </c>
      <c r="E1745" t="inlineStr">
        <is>
          <t>D. Ong</t>
        </is>
      </c>
      <c r="F1745" t="inlineStr">
        <is>
          <t>Complaint-driven</t>
        </is>
      </c>
      <c r="G1745" t="inlineStr">
        <is>
          <t>NONE</t>
        </is>
      </c>
      <c r="H1745" t="inlineStr">
        <is>
          <t>Compliant</t>
        </is>
      </c>
      <c r="I1745" s="6" t="n"/>
      <c r="J1745" s="6" t="n"/>
      <c r="K1745">
        <f>IF(J1745="","",J1745-B1745)</f>
        <v/>
      </c>
      <c r="L1745">
        <f>IF(H1745="Compliant","N/A",IF(J1745&lt;&gt;"","Closed",IF(I1745&lt;DATE(2026,9,30),"OVERDUE","Open")))</f>
        <v/>
      </c>
    </row>
    <row r="1746">
      <c r="A1746" t="inlineStr">
        <is>
          <t>INSP-2026-1745</t>
        </is>
      </c>
      <c r="B1746" s="6" t="n">
        <v>46280</v>
      </c>
      <c r="C1746" t="inlineStr">
        <is>
          <t>U-BV271-01-09</t>
        </is>
      </c>
      <c r="D1746" t="inlineStr">
        <is>
          <t>Bayshore Vale</t>
        </is>
      </c>
      <c r="E1746" t="inlineStr">
        <is>
          <t>Daniel O.</t>
        </is>
      </c>
      <c r="F1746" t="inlineStr">
        <is>
          <t>Routine</t>
        </is>
      </c>
      <c r="G1746" t="inlineStr">
        <is>
          <t>NONE</t>
        </is>
      </c>
      <c r="H1746" t="inlineStr">
        <is>
          <t>Compliant</t>
        </is>
      </c>
      <c r="I1746" s="6" t="n"/>
      <c r="J1746" s="6" t="n"/>
      <c r="K1746">
        <f>IF(J1746="","",J1746-B1746)</f>
        <v/>
      </c>
      <c r="L1746">
        <f>IF(H1746="Compliant","N/A",IF(J1746&lt;&gt;"","Closed",IF(I1746&lt;DATE(2026,9,30),"OVERDUE","Open")))</f>
        <v/>
      </c>
    </row>
    <row r="1747">
      <c r="A1747" t="inlineStr">
        <is>
          <t>INSP-2026-1746</t>
        </is>
      </c>
      <c r="B1747" s="6" t="n">
        <v>46280</v>
      </c>
      <c r="C1747" t="inlineStr">
        <is>
          <t>U-KR386-01-05</t>
        </is>
      </c>
      <c r="D1747" t="inlineStr">
        <is>
          <t>Kebun Raya</t>
        </is>
      </c>
      <c r="E1747" t="inlineStr">
        <is>
          <t>Ben Ho</t>
        </is>
      </c>
      <c r="F1747" t="inlineStr">
        <is>
          <t>Complaint-driven</t>
        </is>
      </c>
      <c r="G1747" t="inlineStr">
        <is>
          <t>DISPLAY_ENCROACH</t>
        </is>
      </c>
      <c r="H1747" t="inlineStr">
        <is>
          <t>Minor Breach</t>
        </is>
      </c>
      <c r="I1747" s="6" t="n">
        <v>46294</v>
      </c>
      <c r="J1747" s="6" t="n"/>
      <c r="K1747">
        <f>IF(J1747="","",J1747-B1747)</f>
        <v/>
      </c>
      <c r="L1747">
        <f>IF(H1747="Compliant","N/A",IF(J1747&lt;&gt;"","Closed",IF(I1747&lt;DATE(2026,9,30),"OVERDUE","Open")))</f>
        <v/>
      </c>
    </row>
    <row r="1748">
      <c r="A1748" t="inlineStr">
        <is>
          <t>INSP-2026-1747</t>
        </is>
      </c>
      <c r="B1748" s="6" t="n">
        <v>46281</v>
      </c>
      <c r="C1748" t="inlineStr">
        <is>
          <t>U-ST501-01-07</t>
        </is>
      </c>
      <c r="D1748" t="inlineStr">
        <is>
          <t>Sungai Tinggi</t>
        </is>
      </c>
      <c r="E1748" t="inlineStr">
        <is>
          <t>D. Ong</t>
        </is>
      </c>
      <c r="F1748" t="inlineStr">
        <is>
          <t>Complaint-driven</t>
        </is>
      </c>
      <c r="G1748" t="inlineStr">
        <is>
          <t>NONE</t>
        </is>
      </c>
      <c r="H1748" t="inlineStr">
        <is>
          <t>Compliant</t>
        </is>
      </c>
      <c r="I1748" s="6" t="n"/>
      <c r="J1748" s="6" t="n"/>
      <c r="K1748">
        <f>IF(J1748="","",J1748-B1748)</f>
        <v/>
      </c>
      <c r="L1748">
        <f>IF(H1748="Compliant","N/A",IF(J1748&lt;&gt;"","Closed",IF(I1748&lt;DATE(2026,9,30),"OVERDUE","Open")))</f>
        <v/>
      </c>
    </row>
    <row r="1749">
      <c r="A1749" t="inlineStr">
        <is>
          <t>INSP-2026-1748</t>
        </is>
      </c>
      <c r="B1749" s="6" t="n">
        <v>46281</v>
      </c>
      <c r="C1749" t="inlineStr">
        <is>
          <t>U-CD118-01-28</t>
        </is>
      </c>
      <c r="D1749" t="inlineStr">
        <is>
          <t>Cendana</t>
        </is>
      </c>
      <c r="E1749" t="inlineStr">
        <is>
          <t>Daniel Ong</t>
        </is>
      </c>
      <c r="F1749" t="inlineStr">
        <is>
          <t>Routine</t>
        </is>
      </c>
      <c r="G1749" t="inlineStr">
        <is>
          <t>NONE</t>
        </is>
      </c>
      <c r="H1749" t="inlineStr">
        <is>
          <t>Compliant</t>
        </is>
      </c>
      <c r="I1749" s="6" t="n"/>
      <c r="J1749" s="6" t="n"/>
      <c r="K1749">
        <f>IF(J1749="","",J1749-B1749)</f>
        <v/>
      </c>
      <c r="L1749">
        <f>IF(H1749="Compliant","N/A",IF(J1749&lt;&gt;"","Closed",IF(I1749&lt;DATE(2026,9,30),"OVERDUE","Open")))</f>
        <v/>
      </c>
    </row>
    <row r="1750">
      <c r="A1750" t="inlineStr">
        <is>
          <t>INSP-2026-1749</t>
        </is>
      </c>
      <c r="B1750" s="6" t="n">
        <v>46281</v>
      </c>
      <c r="C1750" t="inlineStr">
        <is>
          <t>U-KR345-01-12</t>
        </is>
      </c>
      <c r="D1750" t="inlineStr">
        <is>
          <t>Kebun Raya</t>
        </is>
      </c>
      <c r="E1750" t="inlineStr">
        <is>
          <t>D. Ong</t>
        </is>
      </c>
      <c r="F1750" t="inlineStr">
        <is>
          <t>Routine</t>
        </is>
      </c>
      <c r="G1750" t="inlineStr">
        <is>
          <t>NONE</t>
        </is>
      </c>
      <c r="H1750" t="inlineStr">
        <is>
          <t>Compliant</t>
        </is>
      </c>
      <c r="I1750" s="6" t="n"/>
      <c r="J1750" s="6" t="n"/>
      <c r="K1750">
        <f>IF(J1750="","",J1750-B1750)</f>
        <v/>
      </c>
      <c r="L1750">
        <f>IF(H1750="Compliant","N/A",IF(J1750&lt;&gt;"","Closed",IF(I1750&lt;DATE(2026,9,30),"OVERDUE","Open")))</f>
        <v/>
      </c>
    </row>
    <row r="1751">
      <c r="A1751" t="inlineStr">
        <is>
          <t>INSP-2026-1750</t>
        </is>
      </c>
      <c r="B1751" s="6" t="n">
        <v>46281</v>
      </c>
      <c r="C1751" t="inlineStr">
        <is>
          <t>U-BV266-01-01</t>
        </is>
      </c>
      <c r="D1751" t="inlineStr">
        <is>
          <t>Bayshore Vale</t>
        </is>
      </c>
      <c r="E1751" t="inlineStr">
        <is>
          <t>Daniel Ong</t>
        </is>
      </c>
      <c r="F1751" t="inlineStr">
        <is>
          <t>Routine</t>
        </is>
      </c>
      <c r="G1751" t="inlineStr">
        <is>
          <t>NONE</t>
        </is>
      </c>
      <c r="H1751" t="inlineStr">
        <is>
          <t>Compliant</t>
        </is>
      </c>
      <c r="I1751" s="6" t="n"/>
      <c r="J1751" s="6" t="n"/>
      <c r="K1751">
        <f>IF(J1751="","",J1751-B1751)</f>
        <v/>
      </c>
      <c r="L1751">
        <f>IF(H1751="Compliant","N/A",IF(J1751&lt;&gt;"","Closed",IF(I1751&lt;DATE(2026,9,30),"OVERDUE","Open")))</f>
        <v/>
      </c>
    </row>
    <row r="1752">
      <c r="A1752" t="inlineStr">
        <is>
          <t>INSP-2026-1751</t>
        </is>
      </c>
      <c r="B1752" s="6" t="n">
        <v>46281</v>
      </c>
      <c r="C1752" t="inlineStr">
        <is>
          <t>U-RH491-01-05</t>
        </is>
      </c>
      <c r="D1752" t="inlineStr">
        <is>
          <t>Rimba Heights</t>
        </is>
      </c>
      <c r="E1752" t="inlineStr">
        <is>
          <t>D. Ong</t>
        </is>
      </c>
      <c r="F1752" t="inlineStr">
        <is>
          <t>Routine</t>
        </is>
      </c>
      <c r="G1752" t="inlineStr">
        <is>
          <t>HYGIENE</t>
        </is>
      </c>
      <c r="H1752" t="inlineStr">
        <is>
          <t>Minor Breach</t>
        </is>
      </c>
      <c r="I1752" s="6" t="n">
        <v>46295</v>
      </c>
      <c r="J1752" s="6" t="n"/>
      <c r="K1752">
        <f>IF(J1752="","",J1752-B1752)</f>
        <v/>
      </c>
      <c r="L1752">
        <f>IF(H1752="Compliant","N/A",IF(J1752&lt;&gt;"","Closed",IF(I1752&lt;DATE(2026,9,30),"OVERDUE","Open")))</f>
        <v/>
      </c>
    </row>
    <row r="1753">
      <c r="A1753" t="inlineStr">
        <is>
          <t>INSP-2026-1752</t>
        </is>
      </c>
      <c r="B1753" s="6" t="n">
        <v>46281</v>
      </c>
      <c r="C1753" t="inlineStr">
        <is>
          <t>U-KR305-01-24</t>
        </is>
      </c>
      <c r="D1753" t="inlineStr">
        <is>
          <t>Kebun Raya</t>
        </is>
      </c>
      <c r="E1753" t="inlineStr">
        <is>
          <t>D. Ong</t>
        </is>
      </c>
      <c r="F1753" t="inlineStr">
        <is>
          <t>Follow-up</t>
        </is>
      </c>
      <c r="G1753" t="inlineStr">
        <is>
          <t>UNAUTH_SUBLET</t>
        </is>
      </c>
      <c r="H1753" t="inlineStr">
        <is>
          <t>Major Breach</t>
        </is>
      </c>
      <c r="I1753" s="6" t="n">
        <v>46288</v>
      </c>
      <c r="J1753" s="6" t="n"/>
      <c r="K1753">
        <f>IF(J1753="","",J1753-B1753)</f>
        <v/>
      </c>
      <c r="L1753">
        <f>IF(H1753="Compliant","N/A",IF(J1753&lt;&gt;"","Closed",IF(I1753&lt;DATE(2026,9,30),"OVERDUE","Open")))</f>
        <v/>
      </c>
    </row>
    <row r="1754">
      <c r="A1754" t="inlineStr">
        <is>
          <t>INSP-2026-1753</t>
        </is>
      </c>
      <c r="B1754" s="6" t="n">
        <v>46281</v>
      </c>
      <c r="C1754" t="inlineStr">
        <is>
          <t>U-ST528-01-05</t>
        </is>
      </c>
      <c r="D1754" t="inlineStr">
        <is>
          <t>Sungai Tinggi</t>
        </is>
      </c>
      <c r="E1754" t="inlineStr">
        <is>
          <t>Ben Ho</t>
        </is>
      </c>
      <c r="F1754" t="inlineStr">
        <is>
          <t>Routine</t>
        </is>
      </c>
      <c r="G1754" t="inlineStr">
        <is>
          <t>NONE</t>
        </is>
      </c>
      <c r="H1754" t="inlineStr">
        <is>
          <t>Compliant</t>
        </is>
      </c>
      <c r="I1754" s="6" t="n"/>
      <c r="J1754" s="6" t="n"/>
      <c r="K1754">
        <f>IF(J1754="","",J1754-B1754)</f>
        <v/>
      </c>
      <c r="L1754">
        <f>IF(H1754="Compliant","N/A",IF(J1754&lt;&gt;"","Closed",IF(I1754&lt;DATE(2026,9,30),"OVERDUE","Open")))</f>
        <v/>
      </c>
    </row>
    <row r="1755">
      <c r="A1755" t="inlineStr">
        <is>
          <t>INSP-2026-1754</t>
        </is>
      </c>
      <c r="B1755" s="6" t="n">
        <v>46281</v>
      </c>
      <c r="C1755" t="inlineStr">
        <is>
          <t>U-BV233-01-05</t>
        </is>
      </c>
      <c r="D1755" t="inlineStr">
        <is>
          <t>Bayshore Vale</t>
        </is>
      </c>
      <c r="E1755" t="inlineStr">
        <is>
          <t>Daniel O.</t>
        </is>
      </c>
      <c r="F1755" t="inlineStr">
        <is>
          <t>Routine</t>
        </is>
      </c>
      <c r="G1755" t="inlineStr">
        <is>
          <t>NONE</t>
        </is>
      </c>
      <c r="H1755" t="inlineStr">
        <is>
          <t>Compliant</t>
        </is>
      </c>
      <c r="I1755" s="6" t="n"/>
      <c r="J1755" s="6" t="n"/>
      <c r="K1755">
        <f>IF(J1755="","",J1755-B1755)</f>
        <v/>
      </c>
      <c r="L1755">
        <f>IF(H1755="Compliant","N/A",IF(J1755&lt;&gt;"","Closed",IF(I1755&lt;DATE(2026,9,30),"OVERDUE","Open")))</f>
        <v/>
      </c>
    </row>
    <row r="1756">
      <c r="A1756" t="inlineStr">
        <is>
          <t>INSP-2026-1755</t>
        </is>
      </c>
      <c r="B1756" s="6" t="n">
        <v>46282</v>
      </c>
      <c r="C1756" t="inlineStr">
        <is>
          <t>U-BV256-01-09</t>
        </is>
      </c>
      <c r="D1756" t="inlineStr">
        <is>
          <t>Bayshore Vale</t>
        </is>
      </c>
      <c r="E1756" t="inlineStr">
        <is>
          <t>Daniel Ong</t>
        </is>
      </c>
      <c r="F1756" t="inlineStr">
        <is>
          <t>Routine</t>
        </is>
      </c>
      <c r="G1756" t="inlineStr">
        <is>
          <t>HYGIENE</t>
        </is>
      </c>
      <c r="H1756" t="inlineStr">
        <is>
          <t>Minor Breach</t>
        </is>
      </c>
      <c r="I1756" s="6" t="n">
        <v>46296</v>
      </c>
      <c r="J1756" s="6" t="n"/>
      <c r="K1756">
        <f>IF(J1756="","",J1756-B1756)</f>
        <v/>
      </c>
      <c r="L1756">
        <f>IF(H1756="Compliant","N/A",IF(J1756&lt;&gt;"","Closed",IF(I1756&lt;DATE(2026,9,30),"OVERDUE","Open")))</f>
        <v/>
      </c>
    </row>
    <row r="1757">
      <c r="A1757" t="inlineStr">
        <is>
          <t>INSP-2026-1756</t>
        </is>
      </c>
      <c r="B1757" s="6" t="n">
        <v>46282</v>
      </c>
      <c r="C1757" t="inlineStr">
        <is>
          <t>U-KR356-02-04</t>
        </is>
      </c>
      <c r="D1757" t="inlineStr">
        <is>
          <t>Kebun Raya</t>
        </is>
      </c>
      <c r="E1757" t="inlineStr">
        <is>
          <t>Ben Ho</t>
        </is>
      </c>
      <c r="F1757" t="inlineStr">
        <is>
          <t>Routine</t>
        </is>
      </c>
      <c r="G1757" t="inlineStr">
        <is>
          <t>NONE</t>
        </is>
      </c>
      <c r="H1757" t="inlineStr">
        <is>
          <t>Compliant</t>
        </is>
      </c>
      <c r="I1757" s="6" t="n"/>
      <c r="J1757" s="6" t="n"/>
      <c r="K1757">
        <f>IF(J1757="","",J1757-B1757)</f>
        <v/>
      </c>
      <c r="L1757">
        <f>IF(H1757="Compliant","N/A",IF(J1757&lt;&gt;"","Closed",IF(I1757&lt;DATE(2026,9,30),"OVERDUE","Open")))</f>
        <v/>
      </c>
    </row>
    <row r="1758">
      <c r="A1758" t="inlineStr">
        <is>
          <t>INSP-2026-1757</t>
        </is>
      </c>
      <c r="B1758" s="6" t="n">
        <v>46282</v>
      </c>
      <c r="C1758" t="inlineStr">
        <is>
          <t>U-PI625-01-07</t>
        </is>
      </c>
      <c r="D1758" t="inlineStr">
        <is>
          <t>Pasir Indah</t>
        </is>
      </c>
      <c r="E1758" t="inlineStr">
        <is>
          <t>daniel ong</t>
        </is>
      </c>
      <c r="F1758" t="inlineStr">
        <is>
          <t>Routine</t>
        </is>
      </c>
      <c r="G1758" t="inlineStr">
        <is>
          <t>NONE</t>
        </is>
      </c>
      <c r="H1758" t="inlineStr">
        <is>
          <t>Compliant</t>
        </is>
      </c>
      <c r="I1758" s="6" t="n"/>
      <c r="J1758" s="6" t="n"/>
      <c r="K1758">
        <f>IF(J1758="","",J1758-B1758)</f>
        <v/>
      </c>
      <c r="L1758">
        <f>IF(H1758="Compliant","N/A",IF(J1758&lt;&gt;"","Closed",IF(I1758&lt;DATE(2026,9,30),"OVERDUE","Open")))</f>
        <v/>
      </c>
    </row>
    <row r="1759">
      <c r="A1759" t="inlineStr">
        <is>
          <t>INSP-2026-1758</t>
        </is>
      </c>
      <c r="B1759" s="6" t="n">
        <v>46282</v>
      </c>
      <c r="C1759" t="inlineStr">
        <is>
          <t>U-ST566-01-02</t>
        </is>
      </c>
      <c r="D1759" t="inlineStr">
        <is>
          <t>Sungai Tinggi</t>
        </is>
      </c>
      <c r="E1759" t="inlineStr">
        <is>
          <t>D. Ong</t>
        </is>
      </c>
      <c r="F1759" t="inlineStr">
        <is>
          <t>Routine</t>
        </is>
      </c>
      <c r="G1759" t="inlineStr">
        <is>
          <t>NONE</t>
        </is>
      </c>
      <c r="H1759" t="inlineStr">
        <is>
          <t>Compliant</t>
        </is>
      </c>
      <c r="I1759" s="6" t="n"/>
      <c r="J1759" s="6" t="n"/>
      <c r="K1759">
        <f>IF(J1759="","",J1759-B1759)</f>
        <v/>
      </c>
      <c r="L1759">
        <f>IF(H1759="Compliant","N/A",IF(J1759&lt;&gt;"","Closed",IF(I1759&lt;DATE(2026,9,30),"OVERDUE","Open")))</f>
        <v/>
      </c>
    </row>
    <row r="1760">
      <c r="A1760" t="inlineStr">
        <is>
          <t>INSP-2026-1759</t>
        </is>
      </c>
      <c r="B1760" s="6" t="n">
        <v>46282</v>
      </c>
      <c r="C1760" t="inlineStr">
        <is>
          <t>U-CD135-01-01</t>
        </is>
      </c>
      <c r="D1760" t="inlineStr">
        <is>
          <t>Cendana</t>
        </is>
      </c>
      <c r="E1760" t="inlineStr">
        <is>
          <t>marcus</t>
        </is>
      </c>
      <c r="F1760" t="inlineStr">
        <is>
          <t>Routine</t>
        </is>
      </c>
      <c r="G1760" t="inlineStr">
        <is>
          <t>NONE</t>
        </is>
      </c>
      <c r="H1760" t="inlineStr">
        <is>
          <t>Compliant</t>
        </is>
      </c>
      <c r="I1760" s="6" t="n"/>
      <c r="J1760" s="6" t="n"/>
      <c r="K1760">
        <f>IF(J1760="","",J1760-B1760)</f>
        <v/>
      </c>
      <c r="L1760">
        <f>IF(H1760="Compliant","N/A",IF(J1760&lt;&gt;"","Closed",IF(I1760&lt;DATE(2026,9,30),"OVERDUE","Open")))</f>
        <v/>
      </c>
    </row>
    <row r="1761">
      <c r="A1761" t="inlineStr">
        <is>
          <t>INSP-2026-1760</t>
        </is>
      </c>
      <c r="B1761" s="6" t="n">
        <v>46282</v>
      </c>
      <c r="C1761" t="inlineStr">
        <is>
          <t>U-CD136-01-08</t>
        </is>
      </c>
      <c r="D1761" t="inlineStr">
        <is>
          <t>Cendana</t>
        </is>
      </c>
      <c r="E1761" t="inlineStr">
        <is>
          <t>D. Ong</t>
        </is>
      </c>
      <c r="F1761" t="inlineStr">
        <is>
          <t>Routine</t>
        </is>
      </c>
      <c r="G1761" t="inlineStr">
        <is>
          <t>NONE</t>
        </is>
      </c>
      <c r="H1761" t="inlineStr">
        <is>
          <t>Compliant</t>
        </is>
      </c>
      <c r="I1761" s="6" t="n"/>
      <c r="J1761" s="6" t="n"/>
      <c r="K1761">
        <f>IF(J1761="","",J1761-B1761)</f>
        <v/>
      </c>
      <c r="L1761">
        <f>IF(H1761="Compliant","N/A",IF(J1761&lt;&gt;"","Closed",IF(I1761&lt;DATE(2026,9,30),"OVERDUE","Open")))</f>
        <v/>
      </c>
    </row>
    <row r="1762">
      <c r="A1762" t="inlineStr">
        <is>
          <t>INSP-2026-1761</t>
        </is>
      </c>
      <c r="B1762" s="6" t="n">
        <v>46283</v>
      </c>
      <c r="C1762" t="inlineStr">
        <is>
          <t>U-CD194-01-01</t>
        </is>
      </c>
      <c r="D1762" t="inlineStr">
        <is>
          <t>Cendana</t>
        </is>
      </c>
      <c r="E1762" t="inlineStr">
        <is>
          <t>M. Lim</t>
        </is>
      </c>
      <c r="F1762" t="inlineStr">
        <is>
          <t>Routine</t>
        </is>
      </c>
      <c r="G1762" t="inlineStr">
        <is>
          <t>NONE</t>
        </is>
      </c>
      <c r="H1762" t="inlineStr">
        <is>
          <t>Compliant</t>
        </is>
      </c>
      <c r="I1762" s="6" t="n"/>
      <c r="J1762" s="6" t="n"/>
      <c r="K1762">
        <f>IF(J1762="","",J1762-B1762)</f>
        <v/>
      </c>
      <c r="L1762">
        <f>IF(H1762="Compliant","N/A",IF(J1762&lt;&gt;"","Closed",IF(I1762&lt;DATE(2026,9,30),"OVERDUE","Open")))</f>
        <v/>
      </c>
    </row>
    <row r="1763">
      <c r="A1763" t="inlineStr">
        <is>
          <t>INSP-2026-1762</t>
        </is>
      </c>
      <c r="B1763" s="6" t="n">
        <v>46283</v>
      </c>
      <c r="C1763" t="inlineStr">
        <is>
          <t>U-BV216-01-08</t>
        </is>
      </c>
      <c r="D1763" t="inlineStr">
        <is>
          <t>Bayshore Vale</t>
        </is>
      </c>
      <c r="E1763" t="inlineStr">
        <is>
          <t>marcus</t>
        </is>
      </c>
      <c r="F1763" t="inlineStr">
        <is>
          <t>Follow-up</t>
        </is>
      </c>
      <c r="G1763" t="inlineStr">
        <is>
          <t>NONE</t>
        </is>
      </c>
      <c r="H1763" t="inlineStr">
        <is>
          <t>Compliant</t>
        </is>
      </c>
      <c r="I1763" s="6" t="n"/>
      <c r="J1763" s="6" t="n"/>
      <c r="K1763">
        <f>IF(J1763="","",J1763-B1763)</f>
        <v/>
      </c>
      <c r="L1763">
        <f>IF(H1763="Compliant","N/A",IF(J1763&lt;&gt;"","Closed",IF(I1763&lt;DATE(2026,9,30),"OVERDUE","Open")))</f>
        <v/>
      </c>
    </row>
    <row r="1764">
      <c r="A1764" t="inlineStr">
        <is>
          <t>INSP-2026-1763</t>
        </is>
      </c>
      <c r="B1764" s="6" t="n">
        <v>46283</v>
      </c>
      <c r="C1764" t="inlineStr">
        <is>
          <t>U-PI605-01-03</t>
        </is>
      </c>
      <c r="D1764" t="inlineStr">
        <is>
          <t>Pasir Indah</t>
        </is>
      </c>
      <c r="E1764" t="inlineStr">
        <is>
          <t>Daniel Ong</t>
        </is>
      </c>
      <c r="F1764" t="inlineStr">
        <is>
          <t>Complaint-driven</t>
        </is>
      </c>
      <c r="G1764" t="inlineStr">
        <is>
          <t>HYGIENE</t>
        </is>
      </c>
      <c r="H1764" t="inlineStr">
        <is>
          <t>Minor Breach</t>
        </is>
      </c>
      <c r="I1764" s="6" t="n">
        <v>46297</v>
      </c>
      <c r="J1764" s="6" t="n"/>
      <c r="K1764">
        <f>IF(J1764="","",J1764-B1764)</f>
        <v/>
      </c>
      <c r="L1764">
        <f>IF(H1764="Compliant","N/A",IF(J1764&lt;&gt;"","Closed",IF(I1764&lt;DATE(2026,9,30),"OVERDUE","Open")))</f>
        <v/>
      </c>
    </row>
    <row r="1765">
      <c r="A1765" t="inlineStr">
        <is>
          <t>INSP-2026-1764</t>
        </is>
      </c>
      <c r="B1765" s="6" t="n">
        <v>46283</v>
      </c>
      <c r="C1765" t="inlineStr">
        <is>
          <t>U-CD160-01-08</t>
        </is>
      </c>
      <c r="D1765" t="inlineStr">
        <is>
          <t>Cendana</t>
        </is>
      </c>
      <c r="E1765" t="inlineStr">
        <is>
          <t>daniel ong</t>
        </is>
      </c>
      <c r="F1765" t="inlineStr">
        <is>
          <t>Routine</t>
        </is>
      </c>
      <c r="G1765" t="inlineStr">
        <is>
          <t>NONE</t>
        </is>
      </c>
      <c r="H1765" t="inlineStr">
        <is>
          <t>Compliant</t>
        </is>
      </c>
      <c r="I1765" s="6" t="n"/>
      <c r="J1765" s="6" t="n"/>
      <c r="K1765">
        <f>IF(J1765="","",J1765-B1765)</f>
        <v/>
      </c>
      <c r="L1765">
        <f>IF(H1765="Compliant","N/A",IF(J1765&lt;&gt;"","Closed",IF(I1765&lt;DATE(2026,9,30),"OVERDUE","Open")))</f>
        <v/>
      </c>
    </row>
    <row r="1766">
      <c r="A1766" t="inlineStr">
        <is>
          <t>INSP-2026-1765</t>
        </is>
      </c>
      <c r="B1766" s="6" t="n">
        <v>46283</v>
      </c>
      <c r="C1766" t="inlineStr">
        <is>
          <t>U-CD120-01-05</t>
        </is>
      </c>
      <c r="D1766" t="inlineStr">
        <is>
          <t>Cendana</t>
        </is>
      </c>
      <c r="E1766" t="inlineStr">
        <is>
          <t>D. Ong</t>
        </is>
      </c>
      <c r="F1766" t="inlineStr">
        <is>
          <t>Routine</t>
        </is>
      </c>
      <c r="G1766" t="inlineStr">
        <is>
          <t>NONE</t>
        </is>
      </c>
      <c r="H1766" t="inlineStr">
        <is>
          <t>Compliant</t>
        </is>
      </c>
      <c r="I1766" s="6" t="n"/>
      <c r="J1766" s="6" t="n"/>
      <c r="K1766">
        <f>IF(J1766="","",J1766-B1766)</f>
        <v/>
      </c>
      <c r="L1766">
        <f>IF(H1766="Compliant","N/A",IF(J1766&lt;&gt;"","Closed",IF(I1766&lt;DATE(2026,9,30),"OVERDUE","Open")))</f>
        <v/>
      </c>
    </row>
    <row r="1767">
      <c r="A1767" t="inlineStr">
        <is>
          <t>INSP-2026-1766</t>
        </is>
      </c>
      <c r="B1767" s="6" t="n">
        <v>46283</v>
      </c>
      <c r="C1767" t="inlineStr">
        <is>
          <t>U-RH438-01-01</t>
        </is>
      </c>
      <c r="D1767" t="inlineStr">
        <is>
          <t>Rimba Heights</t>
        </is>
      </c>
      <c r="E1767" t="inlineStr">
        <is>
          <t>B. Ho</t>
        </is>
      </c>
      <c r="F1767" t="inlineStr">
        <is>
          <t>Routine</t>
        </is>
      </c>
      <c r="G1767" t="inlineStr">
        <is>
          <t>NONE</t>
        </is>
      </c>
      <c r="H1767" t="inlineStr">
        <is>
          <t>Compliant</t>
        </is>
      </c>
      <c r="I1767" s="6" t="n"/>
      <c r="J1767" s="6" t="n"/>
      <c r="K1767">
        <f>IF(J1767="","",J1767-B1767)</f>
        <v/>
      </c>
      <c r="L1767">
        <f>IF(H1767="Compliant","N/A",IF(J1767&lt;&gt;"","Closed",IF(I1767&lt;DATE(2026,9,30),"OVERDUE","Open")))</f>
        <v/>
      </c>
    </row>
    <row r="1768">
      <c r="A1768" t="inlineStr">
        <is>
          <t>INSP-2026-1767</t>
        </is>
      </c>
      <c r="B1768" s="6" t="n">
        <v>46283</v>
      </c>
      <c r="C1768" t="inlineStr">
        <is>
          <t>U-CD153-01-06</t>
        </is>
      </c>
      <c r="D1768" t="inlineStr">
        <is>
          <t>Cendana</t>
        </is>
      </c>
      <c r="E1768" t="inlineStr">
        <is>
          <t>D. Ong</t>
        </is>
      </c>
      <c r="F1768" t="inlineStr">
        <is>
          <t>Routine</t>
        </is>
      </c>
      <c r="G1768" t="inlineStr">
        <is>
          <t>DISPLAY_ENCROACH</t>
        </is>
      </c>
      <c r="H1768" t="inlineStr">
        <is>
          <t>Minor Breach</t>
        </is>
      </c>
      <c r="I1768" s="6" t="n">
        <v>46297</v>
      </c>
      <c r="J1768" s="6" t="n"/>
      <c r="K1768">
        <f>IF(J1768="","",J1768-B1768)</f>
        <v/>
      </c>
      <c r="L1768">
        <f>IF(H1768="Compliant","N/A",IF(J1768&lt;&gt;"","Closed",IF(I1768&lt;DATE(2026,9,30),"OVERDUE","Open")))</f>
        <v/>
      </c>
    </row>
    <row r="1769">
      <c r="A1769" t="inlineStr">
        <is>
          <t>INSP-2026-1768</t>
        </is>
      </c>
      <c r="B1769" s="6" t="n">
        <v>46283</v>
      </c>
      <c r="C1769" t="inlineStr">
        <is>
          <t>U-CD160-01-01</t>
        </is>
      </c>
      <c r="D1769" t="inlineStr">
        <is>
          <t>Cendana</t>
        </is>
      </c>
      <c r="E1769" t="inlineStr">
        <is>
          <t>marcus</t>
        </is>
      </c>
      <c r="F1769" t="inlineStr">
        <is>
          <t>Routine</t>
        </is>
      </c>
      <c r="G1769" t="inlineStr">
        <is>
          <t>DISPLAY_ENCROACH</t>
        </is>
      </c>
      <c r="H1769" t="inlineStr">
        <is>
          <t>Minor Breach</t>
        </is>
      </c>
      <c r="I1769" s="6" t="n">
        <v>46297</v>
      </c>
      <c r="J1769" s="6" t="n"/>
      <c r="K1769">
        <f>IF(J1769="","",J1769-B1769)</f>
        <v/>
      </c>
      <c r="L1769">
        <f>IF(H1769="Compliant","N/A",IF(J1769&lt;&gt;"","Closed",IF(I1769&lt;DATE(2026,9,30),"OVERDUE","Open")))</f>
        <v/>
      </c>
    </row>
    <row r="1770">
      <c r="A1770" t="inlineStr">
        <is>
          <t>INSP-2026-1769</t>
        </is>
      </c>
      <c r="B1770" s="6" t="n">
        <v>46283</v>
      </c>
      <c r="C1770" t="inlineStr">
        <is>
          <t>U-CD174-01-03</t>
        </is>
      </c>
      <c r="D1770" t="inlineStr">
        <is>
          <t>Cendana</t>
        </is>
      </c>
      <c r="E1770" t="inlineStr">
        <is>
          <t>Daniel Ong</t>
        </is>
      </c>
      <c r="F1770" t="inlineStr">
        <is>
          <t>Routine</t>
        </is>
      </c>
      <c r="G1770" t="inlineStr">
        <is>
          <t>UNAUTH_TRADE</t>
        </is>
      </c>
      <c r="H1770" t="inlineStr">
        <is>
          <t>Major Breach</t>
        </is>
      </c>
      <c r="I1770" s="6" t="n">
        <v>46290</v>
      </c>
      <c r="J1770" s="6" t="n"/>
      <c r="K1770">
        <f>IF(J1770="","",J1770-B1770)</f>
        <v/>
      </c>
      <c r="L1770">
        <f>IF(H1770="Compliant","N/A",IF(J1770&lt;&gt;"","Closed",IF(I1770&lt;DATE(2026,9,30),"OVERDUE","Open")))</f>
        <v/>
      </c>
    </row>
    <row r="1771">
      <c r="A1771" t="inlineStr">
        <is>
          <t>INSP-2026-1770</t>
        </is>
      </c>
      <c r="B1771" s="6" t="n">
        <v>46283</v>
      </c>
      <c r="C1771" t="inlineStr">
        <is>
          <t>U-KR359-01-08</t>
        </is>
      </c>
      <c r="D1771" t="inlineStr">
        <is>
          <t>Kebun Raya</t>
        </is>
      </c>
      <c r="E1771" t="inlineStr">
        <is>
          <t>daniel ong</t>
        </is>
      </c>
      <c r="F1771" t="inlineStr">
        <is>
          <t>Routine</t>
        </is>
      </c>
      <c r="G1771" t="inlineStr">
        <is>
          <t>FIRE_SAFETY</t>
        </is>
      </c>
      <c r="H1771" t="inlineStr">
        <is>
          <t>Major Breach</t>
        </is>
      </c>
      <c r="I1771" s="6" t="n">
        <v>46290</v>
      </c>
      <c r="J1771" s="6" t="n"/>
      <c r="K1771">
        <f>IF(J1771="","",J1771-B1771)</f>
        <v/>
      </c>
      <c r="L1771">
        <f>IF(H1771="Compliant","N/A",IF(J1771&lt;&gt;"","Closed",IF(I1771&lt;DATE(2026,9,30),"OVERDUE","Open")))</f>
        <v/>
      </c>
    </row>
    <row r="1772">
      <c r="A1772" t="inlineStr">
        <is>
          <t>INSP-2026-1771</t>
        </is>
      </c>
      <c r="B1772" s="6" t="n">
        <v>46283</v>
      </c>
      <c r="C1772" t="inlineStr">
        <is>
          <t>U-KR323-01-05</t>
        </is>
      </c>
      <c r="D1772" t="inlineStr">
        <is>
          <t>Kebun Raya</t>
        </is>
      </c>
      <c r="E1772" t="inlineStr">
        <is>
          <t>B. Ho</t>
        </is>
      </c>
      <c r="F1772" t="inlineStr">
        <is>
          <t>Routine</t>
        </is>
      </c>
      <c r="G1772" t="inlineStr">
        <is>
          <t>NONE</t>
        </is>
      </c>
      <c r="H1772" t="inlineStr">
        <is>
          <t>Compliant</t>
        </is>
      </c>
      <c r="I1772" s="6" t="n"/>
      <c r="J1772" s="6" t="n"/>
      <c r="K1772">
        <f>IF(J1772="","",J1772-B1772)</f>
        <v/>
      </c>
      <c r="L1772">
        <f>IF(H1772="Compliant","N/A",IF(J1772&lt;&gt;"","Closed",IF(I1772&lt;DATE(2026,9,30),"OVERDUE","Open")))</f>
        <v/>
      </c>
    </row>
    <row r="1773">
      <c r="A1773" t="inlineStr">
        <is>
          <t>INSP-2026-1772</t>
        </is>
      </c>
      <c r="B1773" s="6" t="n">
        <v>46284</v>
      </c>
      <c r="C1773" t="inlineStr">
        <is>
          <t>U-BV233-01-02</t>
        </is>
      </c>
      <c r="D1773" t="inlineStr">
        <is>
          <t>Bayshore Vale</t>
        </is>
      </c>
      <c r="E1773" t="inlineStr">
        <is>
          <t>marcus</t>
        </is>
      </c>
      <c r="F1773" t="inlineStr">
        <is>
          <t>Follow-up</t>
        </is>
      </c>
      <c r="G1773" t="inlineStr">
        <is>
          <t>UNAUTH_TRADE</t>
        </is>
      </c>
      <c r="H1773" t="inlineStr">
        <is>
          <t>Major Breach</t>
        </is>
      </c>
      <c r="I1773" s="6" t="n">
        <v>46291</v>
      </c>
      <c r="J1773" s="6" t="n"/>
      <c r="K1773">
        <f>IF(J1773="","",J1773-B1773)</f>
        <v/>
      </c>
      <c r="L1773">
        <f>IF(H1773="Compliant","N/A",IF(J1773&lt;&gt;"","Closed",IF(I1773&lt;DATE(2026,9,30),"OVERDUE","Open")))</f>
        <v/>
      </c>
    </row>
    <row r="1774">
      <c r="A1774" t="inlineStr">
        <is>
          <t>INSP-2026-1773</t>
        </is>
      </c>
      <c r="B1774" s="6" t="n">
        <v>46284</v>
      </c>
      <c r="C1774" t="inlineStr">
        <is>
          <t>U-CD120-01-08</t>
        </is>
      </c>
      <c r="D1774" t="inlineStr">
        <is>
          <t>Cendana</t>
        </is>
      </c>
      <c r="E1774" t="inlineStr">
        <is>
          <t>Daniel O.</t>
        </is>
      </c>
      <c r="F1774" t="inlineStr">
        <is>
          <t>Follow-up</t>
        </is>
      </c>
      <c r="G1774" t="inlineStr">
        <is>
          <t>NONE</t>
        </is>
      </c>
      <c r="H1774" t="inlineStr">
        <is>
          <t>Compliant</t>
        </is>
      </c>
      <c r="I1774" s="6" t="n"/>
      <c r="J1774" s="6" t="n"/>
      <c r="K1774">
        <f>IF(J1774="","",J1774-B1774)</f>
        <v/>
      </c>
      <c r="L1774">
        <f>IF(H1774="Compliant","N/A",IF(J1774&lt;&gt;"","Closed",IF(I1774&lt;DATE(2026,9,30),"OVERDUE","Open")))</f>
        <v/>
      </c>
    </row>
    <row r="1775">
      <c r="A1775" t="inlineStr">
        <is>
          <t>INSP-2026-1774</t>
        </is>
      </c>
      <c r="B1775" s="6" t="n">
        <v>46284</v>
      </c>
      <c r="C1775" t="inlineStr">
        <is>
          <t>U-RH450-01-04</t>
        </is>
      </c>
      <c r="D1775" t="inlineStr">
        <is>
          <t>Rimba Heights</t>
        </is>
      </c>
      <c r="E1775" t="inlineStr">
        <is>
          <t>Benjamin Ho</t>
        </is>
      </c>
      <c r="F1775" t="inlineStr">
        <is>
          <t>Routine</t>
        </is>
      </c>
      <c r="G1775" t="inlineStr">
        <is>
          <t>NONE</t>
        </is>
      </c>
      <c r="H1775" t="inlineStr">
        <is>
          <t>Compliant</t>
        </is>
      </c>
      <c r="I1775" s="6" t="n"/>
      <c r="J1775" s="6" t="n"/>
      <c r="K1775">
        <f>IF(J1775="","",J1775-B1775)</f>
        <v/>
      </c>
      <c r="L1775">
        <f>IF(H1775="Compliant","N/A",IF(J1775&lt;&gt;"","Closed",IF(I1775&lt;DATE(2026,9,30),"OVERDUE","Open")))</f>
        <v/>
      </c>
    </row>
    <row r="1776">
      <c r="A1776" t="inlineStr">
        <is>
          <t>INSP-2026-1775</t>
        </is>
      </c>
      <c r="B1776" s="6" t="n">
        <v>46284</v>
      </c>
      <c r="C1776" t="inlineStr">
        <is>
          <t>U-KR345-01-05</t>
        </is>
      </c>
      <c r="D1776" t="inlineStr">
        <is>
          <t>Kebun Raya</t>
        </is>
      </c>
      <c r="E1776" t="inlineStr">
        <is>
          <t>B. Ho</t>
        </is>
      </c>
      <c r="F1776" t="inlineStr">
        <is>
          <t>Routine</t>
        </is>
      </c>
      <c r="G1776" t="inlineStr">
        <is>
          <t>HYGIENE</t>
        </is>
      </c>
      <c r="H1776" t="inlineStr">
        <is>
          <t>Minor Breach</t>
        </is>
      </c>
      <c r="I1776" s="6" t="n">
        <v>46298</v>
      </c>
      <c r="J1776" s="6" t="n"/>
      <c r="K1776">
        <f>IF(J1776="","",J1776-B1776)</f>
        <v/>
      </c>
      <c r="L1776">
        <f>IF(H1776="Compliant","N/A",IF(J1776&lt;&gt;"","Closed",IF(I1776&lt;DATE(2026,9,30),"OVERDUE","Open")))</f>
        <v/>
      </c>
    </row>
    <row r="1777">
      <c r="A1777" t="inlineStr">
        <is>
          <t>INSP-2026-1776</t>
        </is>
      </c>
      <c r="B1777" s="6" t="n">
        <v>46284</v>
      </c>
      <c r="C1777" t="inlineStr">
        <is>
          <t>U-BV214-01-08</t>
        </is>
      </c>
      <c r="D1777" t="inlineStr">
        <is>
          <t>Bayshore Vale</t>
        </is>
      </c>
      <c r="E1777" t="inlineStr">
        <is>
          <t>daniel ong</t>
        </is>
      </c>
      <c r="F1777" t="inlineStr">
        <is>
          <t>Routine</t>
        </is>
      </c>
      <c r="G1777" t="inlineStr">
        <is>
          <t>HYGIENE</t>
        </is>
      </c>
      <c r="H1777" t="inlineStr">
        <is>
          <t>Minor Breach</t>
        </is>
      </c>
      <c r="I1777" s="6" t="n">
        <v>46298</v>
      </c>
      <c r="J1777" s="6" t="n"/>
      <c r="K1777">
        <f>IF(J1777="","",J1777-B1777)</f>
        <v/>
      </c>
      <c r="L1777">
        <f>IF(H1777="Compliant","N/A",IF(J1777&lt;&gt;"","Closed",IF(I1777&lt;DATE(2026,9,30),"OVERDUE","Open")))</f>
        <v/>
      </c>
    </row>
    <row r="1778">
      <c r="A1778" t="inlineStr">
        <is>
          <t>INSP-2026-1777</t>
        </is>
      </c>
      <c r="B1778" s="6" t="n">
        <v>46284</v>
      </c>
      <c r="C1778" t="inlineStr">
        <is>
          <t>U-CD120-01-06</t>
        </is>
      </c>
      <c r="D1778" t="inlineStr">
        <is>
          <t>Cendana</t>
        </is>
      </c>
      <c r="E1778" t="inlineStr">
        <is>
          <t>M. Lim</t>
        </is>
      </c>
      <c r="F1778" t="inlineStr">
        <is>
          <t>Routine</t>
        </is>
      </c>
      <c r="G1778" t="inlineStr">
        <is>
          <t>UNAPPROVED_AA</t>
        </is>
      </c>
      <c r="H1778" t="inlineStr">
        <is>
          <t>Minor Breach</t>
        </is>
      </c>
      <c r="I1778" s="6" t="n">
        <v>46298</v>
      </c>
      <c r="J1778" s="6" t="n"/>
      <c r="K1778">
        <f>IF(J1778="","",J1778-B1778)</f>
        <v/>
      </c>
      <c r="L1778">
        <f>IF(H1778="Compliant","N/A",IF(J1778&lt;&gt;"","Closed",IF(I1778&lt;DATE(2026,9,30),"OVERDUE","Open")))</f>
        <v/>
      </c>
    </row>
    <row r="1779">
      <c r="A1779" t="inlineStr">
        <is>
          <t>INSP-2026-1778</t>
        </is>
      </c>
      <c r="B1779" s="6" t="n">
        <v>46284</v>
      </c>
      <c r="C1779" t="inlineStr">
        <is>
          <t>U-KR371-01-03</t>
        </is>
      </c>
      <c r="D1779" t="inlineStr">
        <is>
          <t>Kebun Raya</t>
        </is>
      </c>
      <c r="E1779" t="inlineStr">
        <is>
          <t>Daniel Ong</t>
        </is>
      </c>
      <c r="F1779" t="inlineStr">
        <is>
          <t>Routine</t>
        </is>
      </c>
      <c r="G1779" t="inlineStr">
        <is>
          <t>STRUCTURAL_DEFECT</t>
        </is>
      </c>
      <c r="H1779" t="inlineStr">
        <is>
          <t>Major Breach</t>
        </is>
      </c>
      <c r="I1779" s="6" t="n">
        <v>46291</v>
      </c>
      <c r="J1779" s="6" t="n"/>
      <c r="K1779">
        <f>IF(J1779="","",J1779-B1779)</f>
        <v/>
      </c>
      <c r="L1779">
        <f>IF(H1779="Compliant","N/A",IF(J1779&lt;&gt;"","Closed",IF(I1779&lt;DATE(2026,9,30),"OVERDUE","Open")))</f>
        <v/>
      </c>
    </row>
    <row r="1780">
      <c r="A1780" t="inlineStr">
        <is>
          <t>INSP-2026-1779</t>
        </is>
      </c>
      <c r="B1780" s="6" t="n">
        <v>46284</v>
      </c>
      <c r="C1780" t="inlineStr">
        <is>
          <t>U-CD118-01-32</t>
        </is>
      </c>
      <c r="D1780" t="inlineStr">
        <is>
          <t>Cendana</t>
        </is>
      </c>
      <c r="E1780" t="inlineStr">
        <is>
          <t>Daniel Ong</t>
        </is>
      </c>
      <c r="F1780" t="inlineStr">
        <is>
          <t>Routine</t>
        </is>
      </c>
      <c r="G1780" t="inlineStr">
        <is>
          <t>NONE</t>
        </is>
      </c>
      <c r="H1780" t="inlineStr">
        <is>
          <t>Compliant</t>
        </is>
      </c>
      <c r="I1780" s="6" t="n"/>
      <c r="J1780" s="6" t="n"/>
      <c r="K1780">
        <f>IF(J1780="","",J1780-B1780)</f>
        <v/>
      </c>
      <c r="L1780">
        <f>IF(H1780="Compliant","N/A",IF(J1780&lt;&gt;"","Closed",IF(I1780&lt;DATE(2026,9,30),"OVERDUE","Open")))</f>
        <v/>
      </c>
    </row>
    <row r="1781">
      <c r="A1781" t="inlineStr">
        <is>
          <t>INSP-2026-1780</t>
        </is>
      </c>
      <c r="B1781" s="6" t="n">
        <v>46284</v>
      </c>
      <c r="C1781" t="inlineStr">
        <is>
          <t>U-CD108-01-07</t>
        </is>
      </c>
      <c r="D1781" t="inlineStr">
        <is>
          <t>Cendana</t>
        </is>
      </c>
      <c r="E1781" t="inlineStr">
        <is>
          <t>Marcus Lim</t>
        </is>
      </c>
      <c r="F1781" t="inlineStr">
        <is>
          <t>Routine</t>
        </is>
      </c>
      <c r="G1781" t="inlineStr">
        <is>
          <t>NONE</t>
        </is>
      </c>
      <c r="H1781" t="inlineStr">
        <is>
          <t>Compliant</t>
        </is>
      </c>
      <c r="I1781" s="6" t="n"/>
      <c r="J1781" s="6" t="n"/>
      <c r="K1781">
        <f>IF(J1781="","",J1781-B1781)</f>
        <v/>
      </c>
      <c r="L1781">
        <f>IF(H1781="Compliant","N/A",IF(J1781&lt;&gt;"","Closed",IF(I1781&lt;DATE(2026,9,30),"OVERDUE","Open")))</f>
        <v/>
      </c>
    </row>
    <row r="1782">
      <c r="A1782" t="inlineStr">
        <is>
          <t>INSP-2026-1781</t>
        </is>
      </c>
      <c r="B1782" s="6" t="n">
        <v>46285</v>
      </c>
      <c r="C1782" t="inlineStr">
        <is>
          <t>U-ST545-01-07</t>
        </is>
      </c>
      <c r="D1782" t="inlineStr">
        <is>
          <t>Sungai Tinggi</t>
        </is>
      </c>
      <c r="E1782" t="inlineStr">
        <is>
          <t>Daniel Ong</t>
        </is>
      </c>
      <c r="F1782" t="inlineStr">
        <is>
          <t>Complaint-driven</t>
        </is>
      </c>
      <c r="G1782" t="inlineStr">
        <is>
          <t>UNAPPROVED_AA</t>
        </is>
      </c>
      <c r="H1782" t="inlineStr">
        <is>
          <t>Minor Breach</t>
        </is>
      </c>
      <c r="I1782" s="6" t="n">
        <v>46299</v>
      </c>
      <c r="J1782" s="6" t="n"/>
      <c r="K1782">
        <f>IF(J1782="","",J1782-B1782)</f>
        <v/>
      </c>
      <c r="L1782">
        <f>IF(H1782="Compliant","N/A",IF(J1782&lt;&gt;"","Closed",IF(I1782&lt;DATE(2026,9,30),"OVERDUE","Open")))</f>
        <v/>
      </c>
    </row>
    <row r="1783">
      <c r="A1783" t="inlineStr">
        <is>
          <t>INSP-2026-1782</t>
        </is>
      </c>
      <c r="B1783" s="6" t="n">
        <v>46285</v>
      </c>
      <c r="C1783" t="inlineStr">
        <is>
          <t>U-ST589-01-03</t>
        </is>
      </c>
      <c r="D1783" t="inlineStr">
        <is>
          <t>Sungai Tinggi</t>
        </is>
      </c>
      <c r="E1783" t="inlineStr">
        <is>
          <t>daniel ong</t>
        </is>
      </c>
      <c r="F1783" t="inlineStr">
        <is>
          <t>Routine</t>
        </is>
      </c>
      <c r="G1783" t="inlineStr">
        <is>
          <t>NONE</t>
        </is>
      </c>
      <c r="H1783" t="inlineStr">
        <is>
          <t>Compliant</t>
        </is>
      </c>
      <c r="I1783" s="6" t="n"/>
      <c r="J1783" s="6" t="n"/>
      <c r="K1783">
        <f>IF(J1783="","",J1783-B1783)</f>
        <v/>
      </c>
      <c r="L1783">
        <f>IF(H1783="Compliant","N/A",IF(J1783&lt;&gt;"","Closed",IF(I1783&lt;DATE(2026,9,30),"OVERDUE","Open")))</f>
        <v/>
      </c>
    </row>
    <row r="1784">
      <c r="A1784" t="inlineStr">
        <is>
          <t>INSP-2026-1783</t>
        </is>
      </c>
      <c r="B1784" s="6" t="n">
        <v>46285</v>
      </c>
      <c r="C1784" t="inlineStr">
        <is>
          <t>U-RH484-01-09</t>
        </is>
      </c>
      <c r="D1784" t="inlineStr">
        <is>
          <t>Rimba Heights</t>
        </is>
      </c>
      <c r="E1784" t="inlineStr">
        <is>
          <t>B. Ho</t>
        </is>
      </c>
      <c r="F1784" t="inlineStr">
        <is>
          <t>Routine</t>
        </is>
      </c>
      <c r="G1784" t="inlineStr">
        <is>
          <t>NONE</t>
        </is>
      </c>
      <c r="H1784" t="inlineStr">
        <is>
          <t>Compliant</t>
        </is>
      </c>
      <c r="I1784" s="6" t="n"/>
      <c r="J1784" s="6" t="n"/>
      <c r="K1784">
        <f>IF(J1784="","",J1784-B1784)</f>
        <v/>
      </c>
      <c r="L1784">
        <f>IF(H1784="Compliant","N/A",IF(J1784&lt;&gt;"","Closed",IF(I1784&lt;DATE(2026,9,30),"OVERDUE","Open")))</f>
        <v/>
      </c>
    </row>
    <row r="1785">
      <c r="A1785" t="inlineStr">
        <is>
          <t>INSP-2026-1784</t>
        </is>
      </c>
      <c r="B1785" s="6" t="n">
        <v>46285</v>
      </c>
      <c r="C1785" t="inlineStr">
        <is>
          <t>U-PI657-01-06</t>
        </is>
      </c>
      <c r="D1785" t="inlineStr">
        <is>
          <t>Pasir Indah</t>
        </is>
      </c>
      <c r="E1785" t="inlineStr">
        <is>
          <t>Daniel O.</t>
        </is>
      </c>
      <c r="F1785" t="inlineStr">
        <is>
          <t>Routine</t>
        </is>
      </c>
      <c r="G1785" t="inlineStr">
        <is>
          <t>DISPLAY_ENCROACH</t>
        </is>
      </c>
      <c r="H1785" t="inlineStr">
        <is>
          <t>Minor Breach</t>
        </is>
      </c>
      <c r="I1785" s="6" t="n">
        <v>46299</v>
      </c>
      <c r="J1785" s="6" t="n"/>
      <c r="K1785">
        <f>IF(J1785="","",J1785-B1785)</f>
        <v/>
      </c>
      <c r="L1785">
        <f>IF(H1785="Compliant","N/A",IF(J1785&lt;&gt;"","Closed",IF(I1785&lt;DATE(2026,9,30),"OVERDUE","Open")))</f>
        <v/>
      </c>
    </row>
    <row r="1786">
      <c r="A1786" t="inlineStr">
        <is>
          <t>INSP-2026-1785</t>
        </is>
      </c>
      <c r="B1786" s="6" t="n">
        <v>46285</v>
      </c>
      <c r="C1786" t="inlineStr">
        <is>
          <t>U-CD129-01-08</t>
        </is>
      </c>
      <c r="D1786" t="inlineStr">
        <is>
          <t>Cendana</t>
        </is>
      </c>
      <c r="E1786" t="inlineStr">
        <is>
          <t>Marcus Lim</t>
        </is>
      </c>
      <c r="F1786" t="inlineStr">
        <is>
          <t>Complaint-driven</t>
        </is>
      </c>
      <c r="G1786" t="inlineStr">
        <is>
          <t>NONE</t>
        </is>
      </c>
      <c r="H1786" t="inlineStr">
        <is>
          <t>Compliant</t>
        </is>
      </c>
      <c r="I1786" s="6" t="n"/>
      <c r="J1786" s="6" t="n"/>
      <c r="K1786">
        <f>IF(J1786="","",J1786-B1786)</f>
        <v/>
      </c>
      <c r="L1786">
        <f>IF(H1786="Compliant","N/A",IF(J1786&lt;&gt;"","Closed",IF(I1786&lt;DATE(2026,9,30),"OVERDUE","Open")))</f>
        <v/>
      </c>
    </row>
    <row r="1787">
      <c r="A1787" t="inlineStr">
        <is>
          <t>INSP-2026-1786</t>
        </is>
      </c>
      <c r="B1787" s="6" t="n">
        <v>46285</v>
      </c>
      <c r="C1787" t="inlineStr">
        <is>
          <t>U-RH491-01-02</t>
        </is>
      </c>
      <c r="D1787" t="inlineStr">
        <is>
          <t>Rimba Heights</t>
        </is>
      </c>
      <c r="E1787" t="inlineStr">
        <is>
          <t>Benjamin Ho</t>
        </is>
      </c>
      <c r="F1787" t="inlineStr">
        <is>
          <t>Routine</t>
        </is>
      </c>
      <c r="G1787" t="inlineStr">
        <is>
          <t>FIRE_SAFETY</t>
        </is>
      </c>
      <c r="H1787" t="inlineStr">
        <is>
          <t>Major Breach</t>
        </is>
      </c>
      <c r="I1787" s="6" t="n">
        <v>46292</v>
      </c>
      <c r="J1787" s="6" t="n"/>
      <c r="K1787">
        <f>IF(J1787="","",J1787-B1787)</f>
        <v/>
      </c>
      <c r="L1787">
        <f>IF(H1787="Compliant","N/A",IF(J1787&lt;&gt;"","Closed",IF(I1787&lt;DATE(2026,9,30),"OVERDUE","Open")))</f>
        <v/>
      </c>
    </row>
    <row r="1788">
      <c r="A1788" t="inlineStr">
        <is>
          <t>INSP-2026-1787</t>
        </is>
      </c>
      <c r="B1788" s="6" t="n">
        <v>46286</v>
      </c>
      <c r="C1788" t="inlineStr">
        <is>
          <t>U-RH437-01-07</t>
        </is>
      </c>
      <c r="D1788" t="inlineStr">
        <is>
          <t>Rimba Heights</t>
        </is>
      </c>
      <c r="E1788" t="inlineStr">
        <is>
          <t>Daniel O.</t>
        </is>
      </c>
      <c r="F1788" t="inlineStr">
        <is>
          <t>Routine</t>
        </is>
      </c>
      <c r="G1788" t="inlineStr">
        <is>
          <t>NONE</t>
        </is>
      </c>
      <c r="H1788" t="inlineStr">
        <is>
          <t>Compliant</t>
        </is>
      </c>
      <c r="I1788" s="6" t="n"/>
      <c r="J1788" s="6" t="n"/>
      <c r="K1788">
        <f>IF(J1788="","",J1788-B1788)</f>
        <v/>
      </c>
      <c r="L1788">
        <f>IF(H1788="Compliant","N/A",IF(J1788&lt;&gt;"","Closed",IF(I1788&lt;DATE(2026,9,30),"OVERDUE","Open")))</f>
        <v/>
      </c>
    </row>
    <row r="1789">
      <c r="A1789" t="inlineStr">
        <is>
          <t>INSP-2026-1788</t>
        </is>
      </c>
      <c r="B1789" s="6" t="n">
        <v>46286</v>
      </c>
      <c r="C1789" t="inlineStr">
        <is>
          <t>U-CD133-01-08</t>
        </is>
      </c>
      <c r="D1789" t="inlineStr">
        <is>
          <t>Cendana</t>
        </is>
      </c>
      <c r="E1789" t="inlineStr">
        <is>
          <t>Daniel O.</t>
        </is>
      </c>
      <c r="F1789" t="inlineStr">
        <is>
          <t>Routine</t>
        </is>
      </c>
      <c r="G1789" t="inlineStr">
        <is>
          <t>UNAPPROVED_AA</t>
        </is>
      </c>
      <c r="H1789" t="inlineStr">
        <is>
          <t>Minor Breach</t>
        </is>
      </c>
      <c r="I1789" s="6" t="n">
        <v>46300</v>
      </c>
      <c r="J1789" s="6" t="n"/>
      <c r="K1789">
        <f>IF(J1789="","",J1789-B1789)</f>
        <v/>
      </c>
      <c r="L1789">
        <f>IF(H1789="Compliant","N/A",IF(J1789&lt;&gt;"","Closed",IF(I1789&lt;DATE(2026,9,30),"OVERDUE","Open")))</f>
        <v/>
      </c>
    </row>
    <row r="1790">
      <c r="A1790" t="inlineStr">
        <is>
          <t>INSP-2026-1789</t>
        </is>
      </c>
      <c r="B1790" s="6" t="n">
        <v>46286</v>
      </c>
      <c r="C1790" t="inlineStr">
        <is>
          <t>U-KR359-01-05</t>
        </is>
      </c>
      <c r="D1790" t="inlineStr">
        <is>
          <t>Kebun Raya</t>
        </is>
      </c>
      <c r="E1790" t="inlineStr">
        <is>
          <t>Daniel Ong</t>
        </is>
      </c>
      <c r="F1790" t="inlineStr">
        <is>
          <t>Follow-up</t>
        </is>
      </c>
      <c r="G1790" t="inlineStr">
        <is>
          <t>NONE</t>
        </is>
      </c>
      <c r="H1790" t="inlineStr">
        <is>
          <t>Compliant</t>
        </is>
      </c>
      <c r="I1790" s="6" t="n"/>
      <c r="J1790" s="6" t="n"/>
      <c r="K1790">
        <f>IF(J1790="","",J1790-B1790)</f>
        <v/>
      </c>
      <c r="L1790">
        <f>IF(H1790="Compliant","N/A",IF(J1790&lt;&gt;"","Closed",IF(I1790&lt;DATE(2026,9,30),"OVERDUE","Open")))</f>
        <v/>
      </c>
    </row>
    <row r="1791">
      <c r="A1791" t="inlineStr">
        <is>
          <t>INSP-2026-1790</t>
        </is>
      </c>
      <c r="B1791" s="6" t="n">
        <v>46286</v>
      </c>
      <c r="C1791" t="inlineStr">
        <is>
          <t>U-KR317-01-04</t>
        </is>
      </c>
      <c r="D1791" t="inlineStr">
        <is>
          <t>Kebun Raya</t>
        </is>
      </c>
      <c r="E1791" t="inlineStr">
        <is>
          <t>Daniel Ong</t>
        </is>
      </c>
      <c r="F1791" t="inlineStr">
        <is>
          <t>Complaint-driven</t>
        </is>
      </c>
      <c r="G1791" t="inlineStr">
        <is>
          <t>NONE</t>
        </is>
      </c>
      <c r="H1791" t="inlineStr">
        <is>
          <t>Compliant</t>
        </is>
      </c>
      <c r="I1791" s="6" t="n"/>
      <c r="J1791" s="6" t="n"/>
      <c r="K1791">
        <f>IF(J1791="","",J1791-B1791)</f>
        <v/>
      </c>
      <c r="L1791">
        <f>IF(H1791="Compliant","N/A",IF(J1791&lt;&gt;"","Closed",IF(I1791&lt;DATE(2026,9,30),"OVERDUE","Open")))</f>
        <v/>
      </c>
    </row>
    <row r="1792">
      <c r="A1792" t="inlineStr">
        <is>
          <t>INSP-2026-1791</t>
        </is>
      </c>
      <c r="B1792" s="6" t="n">
        <v>46286</v>
      </c>
      <c r="C1792" t="inlineStr">
        <is>
          <t>U-PI644-02-05</t>
        </is>
      </c>
      <c r="D1792" t="inlineStr">
        <is>
          <t>Pasir Indah</t>
        </is>
      </c>
      <c r="E1792" t="inlineStr">
        <is>
          <t>marcus</t>
        </is>
      </c>
      <c r="F1792" t="inlineStr">
        <is>
          <t>Routine</t>
        </is>
      </c>
      <c r="G1792" t="inlineStr">
        <is>
          <t>NONE</t>
        </is>
      </c>
      <c r="H1792" t="inlineStr">
        <is>
          <t>Compliant</t>
        </is>
      </c>
      <c r="I1792" s="6" t="n"/>
      <c r="J1792" s="6" t="n"/>
      <c r="K1792">
        <f>IF(J1792="","",J1792-B1792)</f>
        <v/>
      </c>
      <c r="L1792">
        <f>IF(H1792="Compliant","N/A",IF(J1792&lt;&gt;"","Closed",IF(I1792&lt;DATE(2026,9,30),"OVERDUE","Open")))</f>
        <v/>
      </c>
    </row>
    <row r="1793">
      <c r="A1793" t="inlineStr">
        <is>
          <t>INSP-2026-1792</t>
        </is>
      </c>
      <c r="B1793" s="6" t="n">
        <v>46286</v>
      </c>
      <c r="C1793" t="inlineStr">
        <is>
          <t>U-PI668-01-10</t>
        </is>
      </c>
      <c r="D1793" t="inlineStr">
        <is>
          <t>Pasir Indah</t>
        </is>
      </c>
      <c r="E1793" t="inlineStr">
        <is>
          <t>M. Lim</t>
        </is>
      </c>
      <c r="F1793" t="inlineStr">
        <is>
          <t>Routine</t>
        </is>
      </c>
      <c r="G1793" t="inlineStr">
        <is>
          <t>NONE</t>
        </is>
      </c>
      <c r="H1793" t="inlineStr">
        <is>
          <t>Compliant</t>
        </is>
      </c>
      <c r="I1793" s="6" t="n"/>
      <c r="J1793" s="6" t="n"/>
      <c r="K1793">
        <f>IF(J1793="","",J1793-B1793)</f>
        <v/>
      </c>
      <c r="L1793">
        <f>IF(H1793="Compliant","N/A",IF(J1793&lt;&gt;"","Closed",IF(I1793&lt;DATE(2026,9,30),"OVERDUE","Open")))</f>
        <v/>
      </c>
    </row>
    <row r="1794">
      <c r="A1794" t="inlineStr">
        <is>
          <t>INSP-2026-1793</t>
        </is>
      </c>
      <c r="B1794" s="6" t="n">
        <v>46286</v>
      </c>
      <c r="C1794" t="inlineStr">
        <is>
          <t>U-BV214-01-30</t>
        </is>
      </c>
      <c r="D1794" t="inlineStr">
        <is>
          <t>Bayshore Vale</t>
        </is>
      </c>
      <c r="E1794" t="inlineStr">
        <is>
          <t>marcus</t>
        </is>
      </c>
      <c r="F1794" t="inlineStr">
        <is>
          <t>Routine</t>
        </is>
      </c>
      <c r="G1794" t="inlineStr">
        <is>
          <t>NONE</t>
        </is>
      </c>
      <c r="H1794" t="inlineStr">
        <is>
          <t>Compliant</t>
        </is>
      </c>
      <c r="I1794" s="6" t="n"/>
      <c r="J1794" s="6" t="n"/>
      <c r="K1794">
        <f>IF(J1794="","",J1794-B1794)</f>
        <v/>
      </c>
      <c r="L1794">
        <f>IF(H1794="Compliant","N/A",IF(J1794&lt;&gt;"","Closed",IF(I1794&lt;DATE(2026,9,30),"OVERDUE","Open")))</f>
        <v/>
      </c>
    </row>
    <row r="1795">
      <c r="A1795" t="inlineStr">
        <is>
          <t>INSP-2026-1794</t>
        </is>
      </c>
      <c r="B1795" s="6" t="n">
        <v>46286</v>
      </c>
      <c r="C1795" t="inlineStr">
        <is>
          <t>U-KR345-01-05</t>
        </is>
      </c>
      <c r="D1795" t="inlineStr">
        <is>
          <t>Kebun Raya</t>
        </is>
      </c>
      <c r="E1795" t="inlineStr">
        <is>
          <t>Ben Ho</t>
        </is>
      </c>
      <c r="F1795" t="inlineStr">
        <is>
          <t>Routine</t>
        </is>
      </c>
      <c r="G1795" t="inlineStr">
        <is>
          <t>HYGIENE</t>
        </is>
      </c>
      <c r="H1795" t="inlineStr">
        <is>
          <t>Minor Breach</t>
        </is>
      </c>
      <c r="I1795" s="6" t="n">
        <v>46300</v>
      </c>
      <c r="J1795" s="6" t="n"/>
      <c r="K1795">
        <f>IF(J1795="","",J1795-B1795)</f>
        <v/>
      </c>
      <c r="L1795">
        <f>IF(H1795="Compliant","N/A",IF(J1795&lt;&gt;"","Closed",IF(I1795&lt;DATE(2026,9,30),"OVERDUE","Open")))</f>
        <v/>
      </c>
    </row>
    <row r="1796">
      <c r="A1796" t="inlineStr">
        <is>
          <t>INSP-2026-1795</t>
        </is>
      </c>
      <c r="B1796" s="6" t="n">
        <v>46286</v>
      </c>
      <c r="C1796" t="inlineStr">
        <is>
          <t>U-PI679-01-01</t>
        </is>
      </c>
      <c r="D1796" t="inlineStr">
        <is>
          <t>Pasir Indah</t>
        </is>
      </c>
      <c r="E1796" t="inlineStr">
        <is>
          <t>M. Lim</t>
        </is>
      </c>
      <c r="F1796" t="inlineStr">
        <is>
          <t>Routine</t>
        </is>
      </c>
      <c r="G1796" t="inlineStr">
        <is>
          <t>NONE</t>
        </is>
      </c>
      <c r="H1796" t="inlineStr">
        <is>
          <t>Compliant</t>
        </is>
      </c>
      <c r="I1796" s="6" t="n"/>
      <c r="J1796" s="6" t="n"/>
      <c r="K1796">
        <f>IF(J1796="","",J1796-B1796)</f>
        <v/>
      </c>
      <c r="L1796">
        <f>IF(H1796="Compliant","N/A",IF(J1796&lt;&gt;"","Closed",IF(I1796&lt;DATE(2026,9,30),"OVERDUE","Open")))</f>
        <v/>
      </c>
    </row>
    <row r="1797">
      <c r="A1797" t="inlineStr">
        <is>
          <t>INSP-2026-1796</t>
        </is>
      </c>
      <c r="B1797" s="6" t="n">
        <v>46286</v>
      </c>
      <c r="C1797" t="inlineStr">
        <is>
          <t>U-KR358-01-08</t>
        </is>
      </c>
      <c r="D1797" t="inlineStr">
        <is>
          <t>Kebun Raya</t>
        </is>
      </c>
      <c r="E1797" t="inlineStr">
        <is>
          <t>Benjamin Ho</t>
        </is>
      </c>
      <c r="F1797" t="inlineStr">
        <is>
          <t>Complaint-driven</t>
        </is>
      </c>
      <c r="G1797" t="inlineStr">
        <is>
          <t>NONE</t>
        </is>
      </c>
      <c r="H1797" t="inlineStr">
        <is>
          <t>Compliant</t>
        </is>
      </c>
      <c r="I1797" s="6" t="n"/>
      <c r="J1797" s="6" t="n"/>
      <c r="K1797">
        <f>IF(J1797="","",J1797-B1797)</f>
        <v/>
      </c>
      <c r="L1797">
        <f>IF(H1797="Compliant","N/A",IF(J1797&lt;&gt;"","Closed",IF(I1797&lt;DATE(2026,9,30),"OVERDUE","Open")))</f>
        <v/>
      </c>
    </row>
    <row r="1798">
      <c r="A1798" t="inlineStr">
        <is>
          <t>INSP-2026-1797</t>
        </is>
      </c>
      <c r="B1798" s="6" t="n">
        <v>46286</v>
      </c>
      <c r="C1798" t="inlineStr">
        <is>
          <t>U-CD136-01-13</t>
        </is>
      </c>
      <c r="D1798" t="inlineStr">
        <is>
          <t>Cendana</t>
        </is>
      </c>
      <c r="E1798" t="inlineStr">
        <is>
          <t>Daniel Ong</t>
        </is>
      </c>
      <c r="F1798" t="inlineStr">
        <is>
          <t>Routine</t>
        </is>
      </c>
      <c r="G1798" t="inlineStr">
        <is>
          <t>NONE</t>
        </is>
      </c>
      <c r="H1798" t="inlineStr">
        <is>
          <t>Compliant</t>
        </is>
      </c>
      <c r="I1798" s="6" t="n"/>
      <c r="J1798" s="6" t="n"/>
      <c r="K1798">
        <f>IF(J1798="","",J1798-B1798)</f>
        <v/>
      </c>
      <c r="L1798">
        <f>IF(H1798="Compliant","N/A",IF(J1798&lt;&gt;"","Closed",IF(I1798&lt;DATE(2026,9,30),"OVERDUE","Open")))</f>
        <v/>
      </c>
    </row>
    <row r="1799">
      <c r="A1799" t="inlineStr">
        <is>
          <t>INSP-2026-1798</t>
        </is>
      </c>
      <c r="B1799" s="6" t="n">
        <v>46286</v>
      </c>
      <c r="C1799" t="inlineStr">
        <is>
          <t>U-RH476-01-07</t>
        </is>
      </c>
      <c r="D1799" t="inlineStr">
        <is>
          <t>Rimba Heights</t>
        </is>
      </c>
      <c r="E1799" t="inlineStr">
        <is>
          <t>D. Ong</t>
        </is>
      </c>
      <c r="F1799" t="inlineStr">
        <is>
          <t>Complaint-driven</t>
        </is>
      </c>
      <c r="G1799" t="inlineStr">
        <is>
          <t>UNAUTH_TRADE</t>
        </is>
      </c>
      <c r="H1799" t="inlineStr">
        <is>
          <t>Major Breach</t>
        </is>
      </c>
      <c r="I1799" s="6" t="n">
        <v>46293</v>
      </c>
      <c r="J1799" s="6" t="n"/>
      <c r="K1799">
        <f>IF(J1799="","",J1799-B1799)</f>
        <v/>
      </c>
      <c r="L1799">
        <f>IF(H1799="Compliant","N/A",IF(J1799&lt;&gt;"","Closed",IF(I1799&lt;DATE(2026,9,30),"OVERDUE","Open")))</f>
        <v/>
      </c>
    </row>
    <row r="1800">
      <c r="A1800" t="inlineStr">
        <is>
          <t>INSP-2026-1799</t>
        </is>
      </c>
      <c r="B1800" s="6" t="n">
        <v>46287</v>
      </c>
      <c r="C1800" t="inlineStr">
        <is>
          <t>U-KR379-01-07</t>
        </is>
      </c>
      <c r="D1800" t="inlineStr">
        <is>
          <t>Kebun Raya</t>
        </is>
      </c>
      <c r="E1800" t="inlineStr">
        <is>
          <t>Daniel Ong</t>
        </is>
      </c>
      <c r="F1800" t="inlineStr">
        <is>
          <t>Routine</t>
        </is>
      </c>
      <c r="G1800" t="inlineStr">
        <is>
          <t>NONE</t>
        </is>
      </c>
      <c r="H1800" t="inlineStr">
        <is>
          <t>Compliant</t>
        </is>
      </c>
      <c r="I1800" s="6" t="n"/>
      <c r="J1800" s="6" t="n"/>
      <c r="K1800">
        <f>IF(J1800="","",J1800-B1800)</f>
        <v/>
      </c>
      <c r="L1800">
        <f>IF(H1800="Compliant","N/A",IF(J1800&lt;&gt;"","Closed",IF(I1800&lt;DATE(2026,9,30),"OVERDUE","Open")))</f>
        <v/>
      </c>
    </row>
    <row r="1801">
      <c r="A1801" t="inlineStr">
        <is>
          <t>INSP-2026-1800</t>
        </is>
      </c>
      <c r="B1801" s="6" t="n">
        <v>46287</v>
      </c>
      <c r="C1801" t="inlineStr">
        <is>
          <t>U-KR335-01-11</t>
        </is>
      </c>
      <c r="D1801" t="inlineStr">
        <is>
          <t>Kebun Raya</t>
        </is>
      </c>
      <c r="E1801" t="inlineStr">
        <is>
          <t>Benjamin Ho</t>
        </is>
      </c>
      <c r="F1801" t="inlineStr">
        <is>
          <t>Routine</t>
        </is>
      </c>
      <c r="G1801" t="inlineStr">
        <is>
          <t>NONE</t>
        </is>
      </c>
      <c r="H1801" t="inlineStr">
        <is>
          <t>Compliant</t>
        </is>
      </c>
      <c r="I1801" s="6" t="n"/>
      <c r="J1801" s="6" t="n"/>
      <c r="K1801">
        <f>IF(J1801="","",J1801-B1801)</f>
        <v/>
      </c>
      <c r="L1801">
        <f>IF(H1801="Compliant","N/A",IF(J1801&lt;&gt;"","Closed",IF(I1801&lt;DATE(2026,9,30),"OVERDUE","Open")))</f>
        <v/>
      </c>
    </row>
    <row r="1802">
      <c r="A1802" t="inlineStr">
        <is>
          <t>INSP-2026-1801</t>
        </is>
      </c>
      <c r="B1802" s="6" t="n">
        <v>46287</v>
      </c>
      <c r="C1802" t="inlineStr">
        <is>
          <t>U-CD105-01-12</t>
        </is>
      </c>
      <c r="D1802" t="inlineStr">
        <is>
          <t>Cendana</t>
        </is>
      </c>
      <c r="E1802" t="inlineStr">
        <is>
          <t>Daniel O.</t>
        </is>
      </c>
      <c r="F1802" t="inlineStr">
        <is>
          <t>Routine</t>
        </is>
      </c>
      <c r="G1802" t="inlineStr">
        <is>
          <t>DISPLAY_ENCROACH</t>
        </is>
      </c>
      <c r="H1802" t="inlineStr">
        <is>
          <t>Minor Breach</t>
        </is>
      </c>
      <c r="I1802" s="6" t="n">
        <v>46301</v>
      </c>
      <c r="J1802" s="6" t="n"/>
      <c r="K1802">
        <f>IF(J1802="","",J1802-B1802)</f>
        <v/>
      </c>
      <c r="L1802">
        <f>IF(H1802="Compliant","N/A",IF(J1802&lt;&gt;"","Closed",IF(I1802&lt;DATE(2026,9,30),"OVERDUE","Open")))</f>
        <v/>
      </c>
    </row>
    <row r="1803">
      <c r="A1803" t="inlineStr">
        <is>
          <t>INSP-2026-1802</t>
        </is>
      </c>
      <c r="B1803" s="6" t="n">
        <v>46287</v>
      </c>
      <c r="C1803" t="inlineStr">
        <is>
          <t>U-RH437-01-06</t>
        </is>
      </c>
      <c r="D1803" t="inlineStr">
        <is>
          <t>Rimba Heights</t>
        </is>
      </c>
      <c r="E1803" t="inlineStr">
        <is>
          <t>Daniel Ong</t>
        </is>
      </c>
      <c r="F1803" t="inlineStr">
        <is>
          <t>Routine</t>
        </is>
      </c>
      <c r="G1803" t="inlineStr">
        <is>
          <t>STRUCTURAL_DEFECT</t>
        </is>
      </c>
      <c r="H1803" t="inlineStr">
        <is>
          <t>Major Breach</t>
        </is>
      </c>
      <c r="I1803" s="6" t="n">
        <v>46294</v>
      </c>
      <c r="J1803" s="6" t="n"/>
      <c r="K1803">
        <f>IF(J1803="","",J1803-B1803)</f>
        <v/>
      </c>
      <c r="L1803">
        <f>IF(H1803="Compliant","N/A",IF(J1803&lt;&gt;"","Closed",IF(I1803&lt;DATE(2026,9,30),"OVERDUE","Open")))</f>
        <v/>
      </c>
    </row>
    <row r="1804">
      <c r="A1804" t="inlineStr">
        <is>
          <t>INSP-2026-1803</t>
        </is>
      </c>
      <c r="B1804" s="6" t="n">
        <v>46287</v>
      </c>
      <c r="C1804" t="inlineStr">
        <is>
          <t>U-CD133-01-09</t>
        </is>
      </c>
      <c r="D1804" t="inlineStr">
        <is>
          <t>Cendana</t>
        </is>
      </c>
      <c r="E1804" t="inlineStr">
        <is>
          <t>D. Ong</t>
        </is>
      </c>
      <c r="F1804" t="inlineStr">
        <is>
          <t>Routine</t>
        </is>
      </c>
      <c r="G1804" t="inlineStr">
        <is>
          <t>NONE</t>
        </is>
      </c>
      <c r="H1804" t="inlineStr">
        <is>
          <t>Compliant</t>
        </is>
      </c>
      <c r="I1804" s="6" t="n"/>
      <c r="J1804" s="6" t="n"/>
      <c r="K1804">
        <f>IF(J1804="","",J1804-B1804)</f>
        <v/>
      </c>
      <c r="L1804">
        <f>IF(H1804="Compliant","N/A",IF(J1804&lt;&gt;"","Closed",IF(I1804&lt;DATE(2026,9,30),"OVERDUE","Open")))</f>
        <v/>
      </c>
    </row>
    <row r="1805">
      <c r="A1805" t="inlineStr">
        <is>
          <t>INSP-2026-1804</t>
        </is>
      </c>
      <c r="B1805" s="6" t="n">
        <v>46287</v>
      </c>
      <c r="C1805" t="inlineStr">
        <is>
          <t>U-PI605-01-05</t>
        </is>
      </c>
      <c r="D1805" t="inlineStr">
        <is>
          <t>Pasir Indah</t>
        </is>
      </c>
      <c r="E1805" t="inlineStr">
        <is>
          <t>Daniel O.</t>
        </is>
      </c>
      <c r="F1805" t="inlineStr">
        <is>
          <t>Routine</t>
        </is>
      </c>
      <c r="G1805" t="inlineStr">
        <is>
          <t>DISPLAY_ENCROACH</t>
        </is>
      </c>
      <c r="H1805" t="inlineStr">
        <is>
          <t>Minor Breach</t>
        </is>
      </c>
      <c r="I1805" s="6" t="n">
        <v>46301</v>
      </c>
      <c r="J1805" s="6" t="n"/>
      <c r="K1805">
        <f>IF(J1805="","",J1805-B1805)</f>
        <v/>
      </c>
      <c r="L1805">
        <f>IF(H1805="Compliant","N/A",IF(J1805&lt;&gt;"","Closed",IF(I1805&lt;DATE(2026,9,30),"OVERDUE","Open")))</f>
        <v/>
      </c>
    </row>
    <row r="1806">
      <c r="A1806" t="inlineStr">
        <is>
          <t>INSP-2026-1805</t>
        </is>
      </c>
      <c r="B1806" s="6" t="n">
        <v>46287</v>
      </c>
      <c r="C1806" t="inlineStr">
        <is>
          <t>U-BV230-01-09</t>
        </is>
      </c>
      <c r="D1806" t="inlineStr">
        <is>
          <t>Bayshore Vale</t>
        </is>
      </c>
      <c r="E1806" t="inlineStr">
        <is>
          <t>M. Lim</t>
        </is>
      </c>
      <c r="F1806" t="inlineStr">
        <is>
          <t>Routine</t>
        </is>
      </c>
      <c r="G1806" t="inlineStr">
        <is>
          <t>NONE</t>
        </is>
      </c>
      <c r="H1806" t="inlineStr">
        <is>
          <t>Compliant</t>
        </is>
      </c>
      <c r="I1806" s="6" t="n"/>
      <c r="J1806" s="6" t="n"/>
      <c r="K1806">
        <f>IF(J1806="","",J1806-B1806)</f>
        <v/>
      </c>
      <c r="L1806">
        <f>IF(H1806="Compliant","N/A",IF(J1806&lt;&gt;"","Closed",IF(I1806&lt;DATE(2026,9,30),"OVERDUE","Open")))</f>
        <v/>
      </c>
    </row>
    <row r="1807">
      <c r="A1807" t="inlineStr">
        <is>
          <t>INSP-2026-1806</t>
        </is>
      </c>
      <c r="B1807" s="6" t="n">
        <v>46287</v>
      </c>
      <c r="C1807" t="inlineStr">
        <is>
          <t>U-CD153-01-06</t>
        </is>
      </c>
      <c r="D1807" t="inlineStr">
        <is>
          <t>Cendana</t>
        </is>
      </c>
      <c r="E1807" t="inlineStr">
        <is>
          <t>Marcus Lim</t>
        </is>
      </c>
      <c r="F1807" t="inlineStr">
        <is>
          <t>Routine</t>
        </is>
      </c>
      <c r="G1807" t="inlineStr">
        <is>
          <t>UNAPPROVED_AA</t>
        </is>
      </c>
      <c r="H1807" t="inlineStr">
        <is>
          <t>Minor Breach</t>
        </is>
      </c>
      <c r="I1807" s="6" t="n">
        <v>46301</v>
      </c>
      <c r="J1807" s="6" t="n"/>
      <c r="K1807">
        <f>IF(J1807="","",J1807-B1807)</f>
        <v/>
      </c>
      <c r="L1807">
        <f>IF(H1807="Compliant","N/A",IF(J1807&lt;&gt;"","Closed",IF(I1807&lt;DATE(2026,9,30),"OVERDUE","Open")))</f>
        <v/>
      </c>
    </row>
    <row r="1808">
      <c r="A1808" t="inlineStr">
        <is>
          <t>INSP-2026-1807</t>
        </is>
      </c>
      <c r="B1808" s="6" t="n">
        <v>46287</v>
      </c>
      <c r="C1808" t="inlineStr">
        <is>
          <t>U-PI696-01-09</t>
        </is>
      </c>
      <c r="D1808" t="inlineStr">
        <is>
          <t>Pasir Indah</t>
        </is>
      </c>
      <c r="E1808" t="inlineStr">
        <is>
          <t>Marcus Lim</t>
        </is>
      </c>
      <c r="F1808" t="inlineStr">
        <is>
          <t>Routine</t>
        </is>
      </c>
      <c r="G1808" t="inlineStr">
        <is>
          <t>NONE</t>
        </is>
      </c>
      <c r="H1808" t="inlineStr">
        <is>
          <t>Compliant</t>
        </is>
      </c>
      <c r="I1808" s="6" t="n"/>
      <c r="J1808" s="6" t="n"/>
      <c r="K1808">
        <f>IF(J1808="","",J1808-B1808)</f>
        <v/>
      </c>
      <c r="L1808">
        <f>IF(H1808="Compliant","N/A",IF(J1808&lt;&gt;"","Closed",IF(I1808&lt;DATE(2026,9,30),"OVERDUE","Open")))</f>
        <v/>
      </c>
    </row>
    <row r="1809">
      <c r="A1809" t="inlineStr">
        <is>
          <t>INSP-2026-1808</t>
        </is>
      </c>
      <c r="B1809" s="6" t="n">
        <v>46288</v>
      </c>
      <c r="C1809" t="inlineStr">
        <is>
          <t>U-KR379-01-03</t>
        </is>
      </c>
      <c r="D1809" t="inlineStr">
        <is>
          <t>Kebun Raya</t>
        </is>
      </c>
      <c r="E1809" t="inlineStr">
        <is>
          <t>D. Ong</t>
        </is>
      </c>
      <c r="F1809" t="inlineStr">
        <is>
          <t>Routine</t>
        </is>
      </c>
      <c r="G1809" t="inlineStr">
        <is>
          <t>NONE</t>
        </is>
      </c>
      <c r="H1809" t="inlineStr">
        <is>
          <t>Compliant</t>
        </is>
      </c>
      <c r="I1809" s="6" t="n"/>
      <c r="J1809" s="6" t="n"/>
      <c r="K1809">
        <f>IF(J1809="","",J1809-B1809)</f>
        <v/>
      </c>
      <c r="L1809">
        <f>IF(H1809="Compliant","N/A",IF(J1809&lt;&gt;"","Closed",IF(I1809&lt;DATE(2026,9,30),"OVERDUE","Open")))</f>
        <v/>
      </c>
    </row>
    <row r="1810">
      <c r="A1810" t="inlineStr">
        <is>
          <t>INSP-2026-1809</t>
        </is>
      </c>
      <c r="B1810" s="6" t="n">
        <v>46288</v>
      </c>
      <c r="C1810" t="inlineStr">
        <is>
          <t>U-CD142-01-13</t>
        </is>
      </c>
      <c r="D1810" t="inlineStr">
        <is>
          <t>Cendana</t>
        </is>
      </c>
      <c r="E1810" t="inlineStr">
        <is>
          <t>D. Ong</t>
        </is>
      </c>
      <c r="F1810" t="inlineStr">
        <is>
          <t>Routine</t>
        </is>
      </c>
      <c r="G1810" t="inlineStr">
        <is>
          <t>NONE</t>
        </is>
      </c>
      <c r="H1810" t="inlineStr">
        <is>
          <t>Compliant</t>
        </is>
      </c>
      <c r="I1810" s="6" t="n"/>
      <c r="J1810" s="6" t="n"/>
      <c r="K1810">
        <f>IF(J1810="","",J1810-B1810)</f>
        <v/>
      </c>
      <c r="L1810">
        <f>IF(H1810="Compliant","N/A",IF(J1810&lt;&gt;"","Closed",IF(I1810&lt;DATE(2026,9,30),"OVERDUE","Open")))</f>
        <v/>
      </c>
    </row>
    <row r="1811">
      <c r="A1811" t="inlineStr">
        <is>
          <t>INSP-2026-1810</t>
        </is>
      </c>
      <c r="B1811" s="6" t="n">
        <v>46288</v>
      </c>
      <c r="C1811" t="inlineStr">
        <is>
          <t>U-KR372-01-11</t>
        </is>
      </c>
      <c r="D1811" t="inlineStr">
        <is>
          <t>Kebun Raya</t>
        </is>
      </c>
      <c r="E1811" t="inlineStr">
        <is>
          <t>Benjamin Ho</t>
        </is>
      </c>
      <c r="F1811" t="inlineStr">
        <is>
          <t>Routine</t>
        </is>
      </c>
      <c r="G1811" t="inlineStr">
        <is>
          <t>DISPLAY_ENCROACH</t>
        </is>
      </c>
      <c r="H1811" t="inlineStr">
        <is>
          <t>Minor Breach</t>
        </is>
      </c>
      <c r="I1811" s="6" t="n">
        <v>46302</v>
      </c>
      <c r="J1811" s="6" t="n"/>
      <c r="K1811">
        <f>IF(J1811="","",J1811-B1811)</f>
        <v/>
      </c>
      <c r="L1811">
        <f>IF(H1811="Compliant","N/A",IF(J1811&lt;&gt;"","Closed",IF(I1811&lt;DATE(2026,9,30),"OVERDUE","Open")))</f>
        <v/>
      </c>
    </row>
    <row r="1812">
      <c r="A1812" t="inlineStr">
        <is>
          <t>INSP-2026-1811</t>
        </is>
      </c>
      <c r="B1812" s="6" t="n">
        <v>46288</v>
      </c>
      <c r="C1812" t="inlineStr">
        <is>
          <t>U-BV266-01-08</t>
        </is>
      </c>
      <c r="D1812" t="inlineStr">
        <is>
          <t>Bayshore Vale</t>
        </is>
      </c>
      <c r="E1812" t="inlineStr">
        <is>
          <t>Daniel Ong</t>
        </is>
      </c>
      <c r="F1812" t="inlineStr">
        <is>
          <t>Routine</t>
        </is>
      </c>
      <c r="G1812" t="inlineStr">
        <is>
          <t>FIRE_SAFETY</t>
        </is>
      </c>
      <c r="H1812" t="inlineStr">
        <is>
          <t>Major Breach</t>
        </is>
      </c>
      <c r="I1812" s="6" t="n">
        <v>46295</v>
      </c>
      <c r="J1812" s="6" t="n"/>
      <c r="K1812">
        <f>IF(J1812="","",J1812-B1812)</f>
        <v/>
      </c>
      <c r="L1812">
        <f>IF(H1812="Compliant","N/A",IF(J1812&lt;&gt;"","Closed",IF(I1812&lt;DATE(2026,9,30),"OVERDUE","Open")))</f>
        <v/>
      </c>
    </row>
    <row r="1813">
      <c r="A1813" t="inlineStr">
        <is>
          <t>INSP-2026-1812</t>
        </is>
      </c>
      <c r="B1813" s="6" t="n">
        <v>46288</v>
      </c>
      <c r="C1813" t="inlineStr">
        <is>
          <t>U-KR386-01-01</t>
        </is>
      </c>
      <c r="D1813" t="inlineStr">
        <is>
          <t>Kebun Raya</t>
        </is>
      </c>
      <c r="E1813" t="inlineStr">
        <is>
          <t>B. Ho</t>
        </is>
      </c>
      <c r="F1813" t="inlineStr">
        <is>
          <t>Follow-up</t>
        </is>
      </c>
      <c r="G1813" t="inlineStr">
        <is>
          <t>NONE</t>
        </is>
      </c>
      <c r="H1813" t="inlineStr">
        <is>
          <t>Compliant</t>
        </is>
      </c>
      <c r="I1813" s="6" t="n"/>
      <c r="J1813" s="6" t="n"/>
      <c r="K1813">
        <f>IF(J1813="","",J1813-B1813)</f>
        <v/>
      </c>
      <c r="L1813">
        <f>IF(H1813="Compliant","N/A",IF(J1813&lt;&gt;"","Closed",IF(I1813&lt;DATE(2026,9,30),"OVERDUE","Open")))</f>
        <v/>
      </c>
    </row>
    <row r="1814">
      <c r="A1814" t="inlineStr">
        <is>
          <t>INSP-2026-1813</t>
        </is>
      </c>
      <c r="B1814" s="6" t="n">
        <v>46289</v>
      </c>
      <c r="C1814" t="inlineStr">
        <is>
          <t>U-KR333-01-09</t>
        </is>
      </c>
      <c r="D1814" t="inlineStr">
        <is>
          <t>Kebun Raya</t>
        </is>
      </c>
      <c r="E1814" t="inlineStr">
        <is>
          <t>Daniel O.</t>
        </is>
      </c>
      <c r="F1814" t="inlineStr">
        <is>
          <t>Routine</t>
        </is>
      </c>
      <c r="G1814" t="inlineStr">
        <is>
          <t>NONE</t>
        </is>
      </c>
      <c r="H1814" t="inlineStr">
        <is>
          <t>Compliant</t>
        </is>
      </c>
      <c r="I1814" s="6" t="n"/>
      <c r="J1814" s="6" t="n"/>
      <c r="K1814">
        <f>IF(J1814="","",J1814-B1814)</f>
        <v/>
      </c>
      <c r="L1814">
        <f>IF(H1814="Compliant","N/A",IF(J1814&lt;&gt;"","Closed",IF(I1814&lt;DATE(2026,9,30),"OVERDUE","Open")))</f>
        <v/>
      </c>
    </row>
    <row r="1815">
      <c r="A1815" t="inlineStr">
        <is>
          <t>INSP-2026-1814</t>
        </is>
      </c>
      <c r="B1815" s="6" t="n">
        <v>46289</v>
      </c>
      <c r="C1815" t="inlineStr">
        <is>
          <t>U-RH466-01-03</t>
        </is>
      </c>
      <c r="D1815" t="inlineStr">
        <is>
          <t>Rimba Heights</t>
        </is>
      </c>
      <c r="E1815" t="inlineStr">
        <is>
          <t>Ben Ho</t>
        </is>
      </c>
      <c r="F1815" t="inlineStr">
        <is>
          <t>Routine</t>
        </is>
      </c>
      <c r="G1815" t="inlineStr">
        <is>
          <t>NONE</t>
        </is>
      </c>
      <c r="H1815" t="inlineStr">
        <is>
          <t>Compliant</t>
        </is>
      </c>
      <c r="I1815" s="6" t="n"/>
      <c r="J1815" s="6" t="n"/>
      <c r="K1815">
        <f>IF(J1815="","",J1815-B1815)</f>
        <v/>
      </c>
      <c r="L1815">
        <f>IF(H1815="Compliant","N/A",IF(J1815&lt;&gt;"","Closed",IF(I1815&lt;DATE(2026,9,30),"OVERDUE","Open")))</f>
        <v/>
      </c>
    </row>
    <row r="1816">
      <c r="A1816" t="inlineStr">
        <is>
          <t>INSP-2026-1815</t>
        </is>
      </c>
      <c r="B1816" s="6" t="n">
        <v>46289</v>
      </c>
      <c r="C1816" t="inlineStr">
        <is>
          <t>U-RH428-01-08</t>
        </is>
      </c>
      <c r="D1816" t="inlineStr">
        <is>
          <t>Rimba Heights</t>
        </is>
      </c>
      <c r="E1816" t="inlineStr">
        <is>
          <t>Ben Ho</t>
        </is>
      </c>
      <c r="F1816" t="inlineStr">
        <is>
          <t>Follow-up</t>
        </is>
      </c>
      <c r="G1816" t="inlineStr">
        <is>
          <t>UNAUTH_TRADE</t>
        </is>
      </c>
      <c r="H1816" t="inlineStr">
        <is>
          <t>Major Breach</t>
        </is>
      </c>
      <c r="I1816" s="6" t="n">
        <v>46296</v>
      </c>
      <c r="J1816" s="6" t="n"/>
      <c r="K1816">
        <f>IF(J1816="","",J1816-B1816)</f>
        <v/>
      </c>
      <c r="L1816">
        <f>IF(H1816="Compliant","N/A",IF(J1816&lt;&gt;"","Closed",IF(I1816&lt;DATE(2026,9,30),"OVERDUE","Open")))</f>
        <v/>
      </c>
    </row>
    <row r="1817">
      <c r="A1817" t="inlineStr">
        <is>
          <t>INSP-2026-1816</t>
        </is>
      </c>
      <c r="B1817" s="6" t="n">
        <v>46289</v>
      </c>
      <c r="C1817" t="inlineStr">
        <is>
          <t>U-KR317-01-08</t>
        </is>
      </c>
      <c r="D1817" t="inlineStr">
        <is>
          <t>Kebun Raya</t>
        </is>
      </c>
      <c r="E1817" t="inlineStr">
        <is>
          <t>D. Ong</t>
        </is>
      </c>
      <c r="F1817" t="inlineStr">
        <is>
          <t>Routine</t>
        </is>
      </c>
      <c r="G1817" t="inlineStr">
        <is>
          <t>NONE</t>
        </is>
      </c>
      <c r="H1817" t="inlineStr">
        <is>
          <t>Compliant</t>
        </is>
      </c>
      <c r="I1817" s="6" t="n"/>
      <c r="J1817" s="6" t="n"/>
      <c r="K1817">
        <f>IF(J1817="","",J1817-B1817)</f>
        <v/>
      </c>
      <c r="L1817">
        <f>IF(H1817="Compliant","N/A",IF(J1817&lt;&gt;"","Closed",IF(I1817&lt;DATE(2026,9,30),"OVERDUE","Open")))</f>
        <v/>
      </c>
    </row>
    <row r="1818">
      <c r="A1818" t="inlineStr">
        <is>
          <t>INSP-2026-1817</t>
        </is>
      </c>
      <c r="B1818" s="6" t="n">
        <v>46289</v>
      </c>
      <c r="C1818" t="inlineStr">
        <is>
          <t>U-PI627-01-14</t>
        </is>
      </c>
      <c r="D1818" t="inlineStr">
        <is>
          <t>Pasir Indah</t>
        </is>
      </c>
      <c r="E1818" t="inlineStr">
        <is>
          <t>Daniel O.</t>
        </is>
      </c>
      <c r="F1818" t="inlineStr">
        <is>
          <t>Routine</t>
        </is>
      </c>
      <c r="G1818" t="inlineStr">
        <is>
          <t>DISPLAY_ENCROACH</t>
        </is>
      </c>
      <c r="H1818" t="inlineStr">
        <is>
          <t>Minor Breach</t>
        </is>
      </c>
      <c r="I1818" s="6" t="n">
        <v>46303</v>
      </c>
      <c r="J1818" s="6" t="n"/>
      <c r="K1818">
        <f>IF(J1818="","",J1818-B1818)</f>
        <v/>
      </c>
      <c r="L1818">
        <f>IF(H1818="Compliant","N/A",IF(J1818&lt;&gt;"","Closed",IF(I1818&lt;DATE(2026,9,30),"OVERDUE","Open")))</f>
        <v/>
      </c>
    </row>
    <row r="1819">
      <c r="A1819" t="inlineStr">
        <is>
          <t>INSP-2026-1818</t>
        </is>
      </c>
      <c r="B1819" s="6" t="n">
        <v>46289</v>
      </c>
      <c r="C1819" t="inlineStr">
        <is>
          <t>U-RH485-02-06</t>
        </is>
      </c>
      <c r="D1819" t="inlineStr">
        <is>
          <t>Rimba Heights</t>
        </is>
      </c>
      <c r="E1819" t="inlineStr">
        <is>
          <t>daniel ong</t>
        </is>
      </c>
      <c r="F1819" t="inlineStr">
        <is>
          <t>Routine</t>
        </is>
      </c>
      <c r="G1819" t="inlineStr">
        <is>
          <t>NONE</t>
        </is>
      </c>
      <c r="H1819" t="inlineStr">
        <is>
          <t>Compliant</t>
        </is>
      </c>
      <c r="I1819" s="6" t="n"/>
      <c r="J1819" s="6" t="n"/>
      <c r="K1819">
        <f>IF(J1819="","",J1819-B1819)</f>
        <v/>
      </c>
      <c r="L1819">
        <f>IF(H1819="Compliant","N/A",IF(J1819&lt;&gt;"","Closed",IF(I1819&lt;DATE(2026,9,30),"OVERDUE","Open")))</f>
        <v/>
      </c>
    </row>
    <row r="1820">
      <c r="A1820" t="inlineStr">
        <is>
          <t>INSP-2026-1819</t>
        </is>
      </c>
      <c r="B1820" s="6" t="n">
        <v>46289</v>
      </c>
      <c r="C1820" t="inlineStr">
        <is>
          <t>U-BV271-01-08</t>
        </is>
      </c>
      <c r="D1820" t="inlineStr">
        <is>
          <t>Bayshore Vale</t>
        </is>
      </c>
      <c r="E1820" t="inlineStr">
        <is>
          <t>M. Lim</t>
        </is>
      </c>
      <c r="F1820" t="inlineStr">
        <is>
          <t>Complaint-driven</t>
        </is>
      </c>
      <c r="G1820" t="inlineStr">
        <is>
          <t>NONE</t>
        </is>
      </c>
      <c r="H1820" t="inlineStr">
        <is>
          <t>Compliant</t>
        </is>
      </c>
      <c r="I1820" s="6" t="n"/>
      <c r="J1820" s="6" t="n"/>
      <c r="K1820">
        <f>IF(J1820="","",J1820-B1820)</f>
        <v/>
      </c>
      <c r="L1820">
        <f>IF(H1820="Compliant","N/A",IF(J1820&lt;&gt;"","Closed",IF(I1820&lt;DATE(2026,9,30),"OVERDUE","Open")))</f>
        <v/>
      </c>
    </row>
    <row r="1821">
      <c r="A1821" t="inlineStr">
        <is>
          <t>INSP-2026-1820</t>
        </is>
      </c>
      <c r="B1821" s="6" t="n">
        <v>46290</v>
      </c>
      <c r="C1821" t="inlineStr">
        <is>
          <t>U-PI642-01-07</t>
        </is>
      </c>
      <c r="D1821" t="inlineStr">
        <is>
          <t>Pasir Indah</t>
        </is>
      </c>
      <c r="E1821" t="inlineStr">
        <is>
          <t>daniel ong</t>
        </is>
      </c>
      <c r="F1821" t="inlineStr">
        <is>
          <t>Complaint-driven</t>
        </is>
      </c>
      <c r="G1821" t="inlineStr">
        <is>
          <t>NONE</t>
        </is>
      </c>
      <c r="H1821" t="inlineStr">
        <is>
          <t>Compliant</t>
        </is>
      </c>
      <c r="I1821" s="6" t="n"/>
      <c r="J1821" s="6" t="n"/>
      <c r="K1821">
        <f>IF(J1821="","",J1821-B1821)</f>
        <v/>
      </c>
      <c r="L1821">
        <f>IF(H1821="Compliant","N/A",IF(J1821&lt;&gt;"","Closed",IF(I1821&lt;DATE(2026,9,30),"OVERDUE","Open")))</f>
        <v/>
      </c>
    </row>
    <row r="1822">
      <c r="A1822" t="inlineStr">
        <is>
          <t>INSP-2026-1821</t>
        </is>
      </c>
      <c r="B1822" s="6" t="n">
        <v>46290</v>
      </c>
      <c r="C1822" t="inlineStr">
        <is>
          <t>U-CD108-01-01</t>
        </is>
      </c>
      <c r="D1822" t="inlineStr">
        <is>
          <t>Cendana</t>
        </is>
      </c>
      <c r="E1822" t="inlineStr">
        <is>
          <t>Daniel O.</t>
        </is>
      </c>
      <c r="F1822" t="inlineStr">
        <is>
          <t>Routine</t>
        </is>
      </c>
      <c r="G1822" t="inlineStr">
        <is>
          <t>HYGIENE</t>
        </is>
      </c>
      <c r="H1822" t="inlineStr">
        <is>
          <t>Minor Breach</t>
        </is>
      </c>
      <c r="I1822" s="6" t="n">
        <v>46304</v>
      </c>
      <c r="J1822" s="6" t="n"/>
      <c r="K1822">
        <f>IF(J1822="","",J1822-B1822)</f>
        <v/>
      </c>
      <c r="L1822">
        <f>IF(H1822="Compliant","N/A",IF(J1822&lt;&gt;"","Closed",IF(I1822&lt;DATE(2026,9,30),"OVERDUE","Open")))</f>
        <v/>
      </c>
    </row>
    <row r="1823">
      <c r="A1823" t="inlineStr">
        <is>
          <t>INSP-2026-1822</t>
        </is>
      </c>
      <c r="B1823" s="6" t="n">
        <v>46290</v>
      </c>
      <c r="C1823" t="inlineStr">
        <is>
          <t>U-ST528-01-13</t>
        </is>
      </c>
      <c r="D1823" t="inlineStr">
        <is>
          <t>Sungai Tinggi</t>
        </is>
      </c>
      <c r="E1823" t="inlineStr">
        <is>
          <t>Daniel O.</t>
        </is>
      </c>
      <c r="F1823" t="inlineStr">
        <is>
          <t>Routine</t>
        </is>
      </c>
      <c r="G1823" t="inlineStr">
        <is>
          <t>NONE</t>
        </is>
      </c>
      <c r="H1823" t="inlineStr">
        <is>
          <t>Compliant</t>
        </is>
      </c>
      <c r="I1823" s="6" t="n"/>
      <c r="J1823" s="6" t="n"/>
      <c r="K1823">
        <f>IF(J1823="","",J1823-B1823)</f>
        <v/>
      </c>
      <c r="L1823">
        <f>IF(H1823="Compliant","N/A",IF(J1823&lt;&gt;"","Closed",IF(I1823&lt;DATE(2026,9,30),"OVERDUE","Open")))</f>
        <v/>
      </c>
    </row>
    <row r="1824">
      <c r="A1824" t="inlineStr">
        <is>
          <t>INSP-2026-1823</t>
        </is>
      </c>
      <c r="B1824" s="6" t="n">
        <v>46290</v>
      </c>
      <c r="C1824" t="inlineStr">
        <is>
          <t>U-CD152-01-13</t>
        </is>
      </c>
      <c r="D1824" t="inlineStr">
        <is>
          <t>Cendana</t>
        </is>
      </c>
      <c r="E1824" t="inlineStr">
        <is>
          <t>Marcus Lim</t>
        </is>
      </c>
      <c r="F1824" t="inlineStr">
        <is>
          <t>Follow-up</t>
        </is>
      </c>
      <c r="G1824" t="inlineStr">
        <is>
          <t>NONE</t>
        </is>
      </c>
      <c r="H1824" t="inlineStr">
        <is>
          <t>Compliant</t>
        </is>
      </c>
      <c r="I1824" s="6" t="n"/>
      <c r="J1824" s="6" t="n"/>
      <c r="K1824">
        <f>IF(J1824="","",J1824-B1824)</f>
        <v/>
      </c>
      <c r="L1824">
        <f>IF(H1824="Compliant","N/A",IF(J1824&lt;&gt;"","Closed",IF(I1824&lt;DATE(2026,9,30),"OVERDUE","Open")))</f>
        <v/>
      </c>
    </row>
    <row r="1825">
      <c r="A1825" t="inlineStr">
        <is>
          <t>INSP-2026-1824</t>
        </is>
      </c>
      <c r="B1825" s="6" t="n">
        <v>46290</v>
      </c>
      <c r="C1825" t="inlineStr">
        <is>
          <t>U-ST538-01-04</t>
        </is>
      </c>
      <c r="D1825" t="inlineStr">
        <is>
          <t>Sungai Tinggi</t>
        </is>
      </c>
      <c r="E1825" t="inlineStr">
        <is>
          <t>Benjamin Ho</t>
        </is>
      </c>
      <c r="F1825" t="inlineStr">
        <is>
          <t>Routine</t>
        </is>
      </c>
      <c r="G1825" t="inlineStr">
        <is>
          <t>NONE</t>
        </is>
      </c>
      <c r="H1825" t="inlineStr">
        <is>
          <t>Compliant</t>
        </is>
      </c>
      <c r="I1825" s="6" t="n"/>
      <c r="J1825" s="6" t="n"/>
      <c r="K1825">
        <f>IF(J1825="","",J1825-B1825)</f>
        <v/>
      </c>
      <c r="L1825">
        <f>IF(H1825="Compliant","N/A",IF(J1825&lt;&gt;"","Closed",IF(I1825&lt;DATE(2026,9,30),"OVERDUE","Open")))</f>
        <v/>
      </c>
    </row>
    <row r="1826">
      <c r="A1826" t="inlineStr">
        <is>
          <t>INSP-2026-1825</t>
        </is>
      </c>
      <c r="B1826" s="6" t="n">
        <v>46290</v>
      </c>
      <c r="C1826" t="inlineStr">
        <is>
          <t>U-RH438-01-08</t>
        </is>
      </c>
      <c r="D1826" t="inlineStr">
        <is>
          <t>Rimba Heights</t>
        </is>
      </c>
      <c r="E1826" t="inlineStr">
        <is>
          <t>Benjamin Ho</t>
        </is>
      </c>
      <c r="F1826" t="inlineStr">
        <is>
          <t>Routine</t>
        </is>
      </c>
      <c r="G1826" t="inlineStr">
        <is>
          <t>NONE</t>
        </is>
      </c>
      <c r="H1826" t="inlineStr">
        <is>
          <t>Compliant</t>
        </is>
      </c>
      <c r="I1826" s="6" t="n"/>
      <c r="J1826" s="6" t="n"/>
      <c r="K1826">
        <f>IF(J1826="","",J1826-B1826)</f>
        <v/>
      </c>
      <c r="L1826">
        <f>IF(H1826="Compliant","N/A",IF(J1826&lt;&gt;"","Closed",IF(I1826&lt;DATE(2026,9,30),"OVERDUE","Open")))</f>
        <v/>
      </c>
    </row>
    <row r="1827">
      <c r="A1827" t="inlineStr">
        <is>
          <t>INSP-2026-1826</t>
        </is>
      </c>
      <c r="B1827" s="6" t="n">
        <v>46290</v>
      </c>
      <c r="C1827" t="inlineStr">
        <is>
          <t>U-CD152-01-12</t>
        </is>
      </c>
      <c r="D1827" t="inlineStr">
        <is>
          <t>Cendana</t>
        </is>
      </c>
      <c r="E1827" t="inlineStr">
        <is>
          <t>D. Ong</t>
        </is>
      </c>
      <c r="F1827" t="inlineStr">
        <is>
          <t>Routine</t>
        </is>
      </c>
      <c r="G1827" t="inlineStr">
        <is>
          <t>NONE</t>
        </is>
      </c>
      <c r="H1827" t="inlineStr">
        <is>
          <t>Compliant</t>
        </is>
      </c>
      <c r="I1827" s="6" t="n"/>
      <c r="J1827" s="6" t="n"/>
      <c r="K1827">
        <f>IF(J1827="","",J1827-B1827)</f>
        <v/>
      </c>
      <c r="L1827">
        <f>IF(H1827="Compliant","N/A",IF(J1827&lt;&gt;"","Closed",IF(I1827&lt;DATE(2026,9,30),"OVERDUE","Open")))</f>
        <v/>
      </c>
    </row>
    <row r="1828">
      <c r="A1828" t="inlineStr">
        <is>
          <t>INSP-2026-1827</t>
        </is>
      </c>
      <c r="B1828" s="6" t="n">
        <v>46290</v>
      </c>
      <c r="C1828" t="inlineStr">
        <is>
          <t>U-BV288-02-01</t>
        </is>
      </c>
      <c r="D1828" t="inlineStr">
        <is>
          <t>Bayshore Vale</t>
        </is>
      </c>
      <c r="E1828" t="inlineStr">
        <is>
          <t>Daniel Ong</t>
        </is>
      </c>
      <c r="F1828" t="inlineStr">
        <is>
          <t>Follow-up</t>
        </is>
      </c>
      <c r="G1828" t="inlineStr">
        <is>
          <t>NONE</t>
        </is>
      </c>
      <c r="H1828" t="inlineStr">
        <is>
          <t>Compliant</t>
        </is>
      </c>
      <c r="I1828" s="6" t="n"/>
      <c r="J1828" s="6" t="n"/>
      <c r="K1828">
        <f>IF(J1828="","",J1828-B1828)</f>
        <v/>
      </c>
      <c r="L1828">
        <f>IF(H1828="Compliant","N/A",IF(J1828&lt;&gt;"","Closed",IF(I1828&lt;DATE(2026,9,30),"OVERDUE","Open")))</f>
        <v/>
      </c>
    </row>
    <row r="1829">
      <c r="A1829" t="inlineStr">
        <is>
          <t>INSP-2026-1828</t>
        </is>
      </c>
      <c r="B1829" s="6" t="n">
        <v>46290</v>
      </c>
      <c r="C1829" t="inlineStr">
        <is>
          <t>U-PI644-01-04</t>
        </is>
      </c>
      <c r="D1829" t="inlineStr">
        <is>
          <t>Pasir Indah</t>
        </is>
      </c>
      <c r="E1829" t="inlineStr">
        <is>
          <t>marcus</t>
        </is>
      </c>
      <c r="F1829" t="inlineStr">
        <is>
          <t>Follow-up</t>
        </is>
      </c>
      <c r="G1829" t="inlineStr">
        <is>
          <t>NONE</t>
        </is>
      </c>
      <c r="H1829" t="inlineStr">
        <is>
          <t>Compliant</t>
        </is>
      </c>
      <c r="I1829" s="6" t="n"/>
      <c r="J1829" s="6" t="n"/>
      <c r="K1829">
        <f>IF(J1829="","",J1829-B1829)</f>
        <v/>
      </c>
      <c r="L1829">
        <f>IF(H1829="Compliant","N/A",IF(J1829&lt;&gt;"","Closed",IF(I1829&lt;DATE(2026,9,30),"OVERDUE","Open")))</f>
        <v/>
      </c>
    </row>
    <row r="1830">
      <c r="A1830" t="inlineStr">
        <is>
          <t>INSP-2026-1829</t>
        </is>
      </c>
      <c r="B1830" s="6" t="n">
        <v>46291</v>
      </c>
      <c r="C1830" t="inlineStr">
        <is>
          <t>U-ST513-01-04</t>
        </is>
      </c>
      <c r="D1830" t="inlineStr">
        <is>
          <t>Sungai Tinggi</t>
        </is>
      </c>
      <c r="E1830" t="inlineStr">
        <is>
          <t>daniel ong</t>
        </is>
      </c>
      <c r="F1830" t="inlineStr">
        <is>
          <t>Routine</t>
        </is>
      </c>
      <c r="G1830" t="inlineStr">
        <is>
          <t>NONE</t>
        </is>
      </c>
      <c r="H1830" t="inlineStr">
        <is>
          <t>Compliant</t>
        </is>
      </c>
      <c r="I1830" s="6" t="n"/>
      <c r="J1830" s="6" t="n"/>
      <c r="K1830">
        <f>IF(J1830="","",J1830-B1830)</f>
        <v/>
      </c>
      <c r="L1830">
        <f>IF(H1830="Compliant","N/A",IF(J1830&lt;&gt;"","Closed",IF(I1830&lt;DATE(2026,9,30),"OVERDUE","Open")))</f>
        <v/>
      </c>
    </row>
    <row r="1831">
      <c r="A1831" t="inlineStr">
        <is>
          <t>INSP-2026-1830</t>
        </is>
      </c>
      <c r="B1831" s="6" t="n">
        <v>46291</v>
      </c>
      <c r="C1831" t="inlineStr">
        <is>
          <t>U-PI646-01-04</t>
        </is>
      </c>
      <c r="D1831" t="inlineStr">
        <is>
          <t>Pasir Indah</t>
        </is>
      </c>
      <c r="E1831" t="inlineStr">
        <is>
          <t>daniel ong</t>
        </is>
      </c>
      <c r="F1831" t="inlineStr">
        <is>
          <t>Routine</t>
        </is>
      </c>
      <c r="G1831" t="inlineStr">
        <is>
          <t>NONE</t>
        </is>
      </c>
      <c r="H1831" t="inlineStr">
        <is>
          <t>Compliant</t>
        </is>
      </c>
      <c r="I1831" s="6" t="n"/>
      <c r="J1831" s="6" t="n"/>
      <c r="K1831">
        <f>IF(J1831="","",J1831-B1831)</f>
        <v/>
      </c>
      <c r="L1831">
        <f>IF(H1831="Compliant","N/A",IF(J1831&lt;&gt;"","Closed",IF(I1831&lt;DATE(2026,9,30),"OVERDUE","Open")))</f>
        <v/>
      </c>
    </row>
    <row r="1832">
      <c r="A1832" t="inlineStr">
        <is>
          <t>INSP-2026-1831</t>
        </is>
      </c>
      <c r="B1832" s="6" t="n">
        <v>46291</v>
      </c>
      <c r="C1832" t="inlineStr">
        <is>
          <t>U-CD131-02-08</t>
        </is>
      </c>
      <c r="D1832" t="inlineStr">
        <is>
          <t>Cendana</t>
        </is>
      </c>
      <c r="E1832" t="inlineStr">
        <is>
          <t>daniel ong</t>
        </is>
      </c>
      <c r="F1832" t="inlineStr">
        <is>
          <t>Routine</t>
        </is>
      </c>
      <c r="G1832" t="inlineStr">
        <is>
          <t>NONE</t>
        </is>
      </c>
      <c r="H1832" t="inlineStr">
        <is>
          <t>Compliant</t>
        </is>
      </c>
      <c r="I1832" s="6" t="n"/>
      <c r="J1832" s="6" t="n"/>
      <c r="K1832">
        <f>IF(J1832="","",J1832-B1832)</f>
        <v/>
      </c>
      <c r="L1832">
        <f>IF(H1832="Compliant","N/A",IF(J1832&lt;&gt;"","Closed",IF(I1832&lt;DATE(2026,9,30),"OVERDUE","Open")))</f>
        <v/>
      </c>
    </row>
    <row r="1833">
      <c r="A1833" t="inlineStr">
        <is>
          <t>INSP-2026-1832</t>
        </is>
      </c>
      <c r="B1833" s="6" t="n">
        <v>46291</v>
      </c>
      <c r="C1833" t="inlineStr">
        <is>
          <t>U-ST591-01-07</t>
        </is>
      </c>
      <c r="D1833" t="inlineStr">
        <is>
          <t>Sungai Tinggi</t>
        </is>
      </c>
      <c r="E1833" t="inlineStr">
        <is>
          <t>daniel ong</t>
        </is>
      </c>
      <c r="F1833" t="inlineStr">
        <is>
          <t>Routine</t>
        </is>
      </c>
      <c r="G1833" t="inlineStr">
        <is>
          <t>NONE</t>
        </is>
      </c>
      <c r="H1833" t="inlineStr">
        <is>
          <t>Compliant</t>
        </is>
      </c>
      <c r="I1833" s="6" t="n"/>
      <c r="J1833" s="6" t="n"/>
      <c r="K1833">
        <f>IF(J1833="","",J1833-B1833)</f>
        <v/>
      </c>
      <c r="L1833">
        <f>IF(H1833="Compliant","N/A",IF(J1833&lt;&gt;"","Closed",IF(I1833&lt;DATE(2026,9,30),"OVERDUE","Open")))</f>
        <v/>
      </c>
    </row>
    <row r="1834">
      <c r="A1834" t="inlineStr">
        <is>
          <t>INSP-2026-1833</t>
        </is>
      </c>
      <c r="B1834" s="6" t="n">
        <v>46291</v>
      </c>
      <c r="C1834" t="inlineStr">
        <is>
          <t>U-BV290-01-11</t>
        </is>
      </c>
      <c r="D1834" t="inlineStr">
        <is>
          <t>Bayshore Vale</t>
        </is>
      </c>
      <c r="E1834" t="inlineStr">
        <is>
          <t>M. Lim</t>
        </is>
      </c>
      <c r="F1834" t="inlineStr">
        <is>
          <t>Follow-up</t>
        </is>
      </c>
      <c r="G1834" t="inlineStr">
        <is>
          <t>NONE</t>
        </is>
      </c>
      <c r="H1834" t="inlineStr">
        <is>
          <t>Compliant</t>
        </is>
      </c>
      <c r="I1834" s="6" t="n"/>
      <c r="J1834" s="6" t="n"/>
      <c r="K1834">
        <f>IF(J1834="","",J1834-B1834)</f>
        <v/>
      </c>
      <c r="L1834">
        <f>IF(H1834="Compliant","N/A",IF(J1834&lt;&gt;"","Closed",IF(I1834&lt;DATE(2026,9,30),"OVERDUE","Open")))</f>
        <v/>
      </c>
    </row>
    <row r="1835">
      <c r="A1835" t="inlineStr">
        <is>
          <t>INSP-2026-1834</t>
        </is>
      </c>
      <c r="B1835" s="6" t="n">
        <v>46291</v>
      </c>
      <c r="C1835" t="inlineStr">
        <is>
          <t>U-PI642-01-09</t>
        </is>
      </c>
      <c r="D1835" t="inlineStr">
        <is>
          <t>Pasir Indah</t>
        </is>
      </c>
      <c r="E1835" t="inlineStr">
        <is>
          <t>D. Ong</t>
        </is>
      </c>
      <c r="F1835" t="inlineStr">
        <is>
          <t>Follow-up</t>
        </is>
      </c>
      <c r="G1835" t="inlineStr">
        <is>
          <t>DISPLAY_ENCROACH</t>
        </is>
      </c>
      <c r="H1835" t="inlineStr">
        <is>
          <t>Minor Breach</t>
        </is>
      </c>
      <c r="I1835" s="6" t="n">
        <v>46305</v>
      </c>
      <c r="J1835" s="6" t="n"/>
      <c r="K1835">
        <f>IF(J1835="","",J1835-B1835)</f>
        <v/>
      </c>
      <c r="L1835">
        <f>IF(H1835="Compliant","N/A",IF(J1835&lt;&gt;"","Closed",IF(I1835&lt;DATE(2026,9,30),"OVERDUE","Open")))</f>
        <v/>
      </c>
    </row>
    <row r="1836">
      <c r="A1836" t="inlineStr">
        <is>
          <t>INSP-2026-1835</t>
        </is>
      </c>
      <c r="B1836" s="6" t="n">
        <v>46291</v>
      </c>
      <c r="C1836" t="inlineStr">
        <is>
          <t>U-BV227-01-06</t>
        </is>
      </c>
      <c r="D1836" t="inlineStr">
        <is>
          <t>Bayshore Vale</t>
        </is>
      </c>
      <c r="E1836" t="inlineStr">
        <is>
          <t>Daniel Ong</t>
        </is>
      </c>
      <c r="F1836" t="inlineStr">
        <is>
          <t>Complaint-driven</t>
        </is>
      </c>
      <c r="G1836" t="inlineStr">
        <is>
          <t>NONE</t>
        </is>
      </c>
      <c r="H1836" t="inlineStr">
        <is>
          <t>Compliant</t>
        </is>
      </c>
      <c r="I1836" s="6" t="n"/>
      <c r="J1836" s="6" t="n"/>
      <c r="K1836">
        <f>IF(J1836="","",J1836-B1836)</f>
        <v/>
      </c>
      <c r="L1836">
        <f>IF(H1836="Compliant","N/A",IF(J1836&lt;&gt;"","Closed",IF(I1836&lt;DATE(2026,9,30),"OVERDUE","Open")))</f>
        <v/>
      </c>
    </row>
    <row r="1837">
      <c r="A1837" t="inlineStr">
        <is>
          <t>INSP-2026-1836</t>
        </is>
      </c>
      <c r="B1837" s="6" t="n">
        <v>46291</v>
      </c>
      <c r="C1837" t="inlineStr">
        <is>
          <t>U-PI627-01-32</t>
        </is>
      </c>
      <c r="D1837" t="inlineStr">
        <is>
          <t>Pasir Indah</t>
        </is>
      </c>
      <c r="E1837" t="inlineStr">
        <is>
          <t>marcus</t>
        </is>
      </c>
      <c r="F1837" t="inlineStr">
        <is>
          <t>Routine</t>
        </is>
      </c>
      <c r="G1837" t="inlineStr">
        <is>
          <t>NONE</t>
        </is>
      </c>
      <c r="H1837" t="inlineStr">
        <is>
          <t>Compliant</t>
        </is>
      </c>
      <c r="I1837" s="6" t="n"/>
      <c r="J1837" s="6" t="n"/>
      <c r="K1837">
        <f>IF(J1837="","",J1837-B1837)</f>
        <v/>
      </c>
      <c r="L1837">
        <f>IF(H1837="Compliant","N/A",IF(J1837&lt;&gt;"","Closed",IF(I1837&lt;DATE(2026,9,30),"OVERDUE","Open")))</f>
        <v/>
      </c>
    </row>
    <row r="1838">
      <c r="A1838" t="inlineStr">
        <is>
          <t>INSP-2026-1837</t>
        </is>
      </c>
      <c r="B1838" s="6" t="n">
        <v>46291</v>
      </c>
      <c r="C1838" t="inlineStr">
        <is>
          <t>U-PI605-01-05</t>
        </is>
      </c>
      <c r="D1838" t="inlineStr">
        <is>
          <t>Pasir Indah</t>
        </is>
      </c>
      <c r="E1838" t="inlineStr">
        <is>
          <t>Daniel Ong</t>
        </is>
      </c>
      <c r="F1838" t="inlineStr">
        <is>
          <t>Routine</t>
        </is>
      </c>
      <c r="G1838" t="inlineStr">
        <is>
          <t>NONE</t>
        </is>
      </c>
      <c r="H1838" t="inlineStr">
        <is>
          <t>Compliant</t>
        </is>
      </c>
      <c r="I1838" s="6" t="n"/>
      <c r="J1838" s="6" t="n"/>
      <c r="K1838">
        <f>IF(J1838="","",J1838-B1838)</f>
        <v/>
      </c>
      <c r="L1838">
        <f>IF(H1838="Compliant","N/A",IF(J1838&lt;&gt;"","Closed",IF(I1838&lt;DATE(2026,9,30),"OVERDUE","Open")))</f>
        <v/>
      </c>
    </row>
    <row r="1839">
      <c r="A1839" t="inlineStr">
        <is>
          <t>INSP-2026-1838</t>
        </is>
      </c>
      <c r="B1839" s="6" t="n">
        <v>46291</v>
      </c>
      <c r="C1839" t="inlineStr">
        <is>
          <t>U-RH484-01-08</t>
        </is>
      </c>
      <c r="D1839" t="inlineStr">
        <is>
          <t>Rimba Heights</t>
        </is>
      </c>
      <c r="E1839" t="inlineStr">
        <is>
          <t>Ben Ho</t>
        </is>
      </c>
      <c r="F1839" t="inlineStr">
        <is>
          <t>Complaint-driven</t>
        </is>
      </c>
      <c r="G1839" t="inlineStr">
        <is>
          <t>NONE</t>
        </is>
      </c>
      <c r="H1839" t="inlineStr">
        <is>
          <t>Compliant</t>
        </is>
      </c>
      <c r="I1839" s="6" t="n"/>
      <c r="J1839" s="6" t="n"/>
      <c r="K1839">
        <f>IF(J1839="","",J1839-B1839)</f>
        <v/>
      </c>
      <c r="L1839">
        <f>IF(H1839="Compliant","N/A",IF(J1839&lt;&gt;"","Closed",IF(I1839&lt;DATE(2026,9,30),"OVERDUE","Open")))</f>
        <v/>
      </c>
    </row>
    <row r="1840">
      <c r="A1840" t="inlineStr">
        <is>
          <t>INSP-2026-1839</t>
        </is>
      </c>
      <c r="B1840" s="6" t="n">
        <v>46292</v>
      </c>
      <c r="C1840" t="inlineStr">
        <is>
          <t>U-RH484-01-07</t>
        </is>
      </c>
      <c r="D1840" t="inlineStr">
        <is>
          <t>Rimba Heights</t>
        </is>
      </c>
      <c r="E1840" t="inlineStr">
        <is>
          <t>Daniel O.</t>
        </is>
      </c>
      <c r="F1840" t="inlineStr">
        <is>
          <t>Routine</t>
        </is>
      </c>
      <c r="G1840" t="inlineStr">
        <is>
          <t>DISPLAY_ENCROACH</t>
        </is>
      </c>
      <c r="H1840" t="inlineStr">
        <is>
          <t>Minor Breach</t>
        </is>
      </c>
      <c r="I1840" s="6" t="n">
        <v>46306</v>
      </c>
      <c r="J1840" s="6" t="n"/>
      <c r="K1840">
        <f>IF(J1840="","",J1840-B1840)</f>
        <v/>
      </c>
      <c r="L1840">
        <f>IF(H1840="Compliant","N/A",IF(J1840&lt;&gt;"","Closed",IF(I1840&lt;DATE(2026,9,30),"OVERDUE","Open")))</f>
        <v/>
      </c>
    </row>
    <row r="1841">
      <c r="A1841" t="inlineStr">
        <is>
          <t>INSP-2026-1840</t>
        </is>
      </c>
      <c r="B1841" s="6" t="n">
        <v>46292</v>
      </c>
      <c r="C1841" t="inlineStr">
        <is>
          <t>U-CD143-01-01</t>
        </is>
      </c>
      <c r="D1841" t="inlineStr">
        <is>
          <t>Cendana</t>
        </is>
      </c>
      <c r="E1841" t="inlineStr">
        <is>
          <t>M. Lim</t>
        </is>
      </c>
      <c r="F1841" t="inlineStr">
        <is>
          <t>Routine</t>
        </is>
      </c>
      <c r="G1841" t="inlineStr">
        <is>
          <t>STRUCTURAL_DEFECT</t>
        </is>
      </c>
      <c r="H1841" t="inlineStr">
        <is>
          <t>Major Breach</t>
        </is>
      </c>
      <c r="I1841" s="6" t="n">
        <v>46299</v>
      </c>
      <c r="J1841" s="6" t="n"/>
      <c r="K1841">
        <f>IF(J1841="","",J1841-B1841)</f>
        <v/>
      </c>
      <c r="L1841">
        <f>IF(H1841="Compliant","N/A",IF(J1841&lt;&gt;"","Closed",IF(I1841&lt;DATE(2026,9,30),"OVERDUE","Open")))</f>
        <v/>
      </c>
    </row>
    <row r="1842">
      <c r="A1842" t="inlineStr">
        <is>
          <t>INSP-2026-1841</t>
        </is>
      </c>
      <c r="B1842" s="6" t="n">
        <v>46292</v>
      </c>
      <c r="C1842" t="inlineStr">
        <is>
          <t>U-PI627-01-14</t>
        </is>
      </c>
      <c r="D1842" t="inlineStr">
        <is>
          <t>Pasir Indah</t>
        </is>
      </c>
      <c r="E1842" t="inlineStr">
        <is>
          <t>Marcus Lim</t>
        </is>
      </c>
      <c r="F1842" t="inlineStr">
        <is>
          <t>Routine</t>
        </is>
      </c>
      <c r="G1842" t="inlineStr">
        <is>
          <t>NONE</t>
        </is>
      </c>
      <c r="H1842" t="inlineStr">
        <is>
          <t>Compliant</t>
        </is>
      </c>
      <c r="I1842" s="6" t="n"/>
      <c r="J1842" s="6" t="n"/>
      <c r="K1842">
        <f>IF(J1842="","",J1842-B1842)</f>
        <v/>
      </c>
      <c r="L1842">
        <f>IF(H1842="Compliant","N/A",IF(J1842&lt;&gt;"","Closed",IF(I1842&lt;DATE(2026,9,30),"OVERDUE","Open")))</f>
        <v/>
      </c>
    </row>
    <row r="1843">
      <c r="A1843" t="inlineStr">
        <is>
          <t>INSP-2026-1842</t>
        </is>
      </c>
      <c r="B1843" s="6" t="n">
        <v>46292</v>
      </c>
      <c r="C1843" t="inlineStr">
        <is>
          <t>U-KR386-01-01</t>
        </is>
      </c>
      <c r="D1843" t="inlineStr">
        <is>
          <t>Kebun Raya</t>
        </is>
      </c>
      <c r="E1843" t="inlineStr">
        <is>
          <t>Daniel Ong</t>
        </is>
      </c>
      <c r="F1843" t="inlineStr">
        <is>
          <t>Routine</t>
        </is>
      </c>
      <c r="G1843" t="inlineStr">
        <is>
          <t>NONE</t>
        </is>
      </c>
      <c r="H1843" t="inlineStr">
        <is>
          <t>Compliant</t>
        </is>
      </c>
      <c r="I1843" s="6" t="n"/>
      <c r="J1843" s="6" t="n"/>
      <c r="K1843">
        <f>IF(J1843="","",J1843-B1843)</f>
        <v/>
      </c>
      <c r="L1843">
        <f>IF(H1843="Compliant","N/A",IF(J1843&lt;&gt;"","Closed",IF(I1843&lt;DATE(2026,9,30),"OVERDUE","Open")))</f>
        <v/>
      </c>
    </row>
    <row r="1844">
      <c r="A1844" t="inlineStr">
        <is>
          <t>INSP-2026-1843</t>
        </is>
      </c>
      <c r="B1844" s="6" t="n">
        <v>46293</v>
      </c>
      <c r="C1844" t="inlineStr">
        <is>
          <t>U-CD131-01-02</t>
        </is>
      </c>
      <c r="D1844" t="inlineStr">
        <is>
          <t>Cendana</t>
        </is>
      </c>
      <c r="E1844" t="inlineStr">
        <is>
          <t>Daniel O.</t>
        </is>
      </c>
      <c r="F1844" t="inlineStr">
        <is>
          <t>Routine</t>
        </is>
      </c>
      <c r="G1844" t="inlineStr">
        <is>
          <t>NONE</t>
        </is>
      </c>
      <c r="H1844" t="inlineStr">
        <is>
          <t>Compliant</t>
        </is>
      </c>
      <c r="I1844" s="6" t="n"/>
      <c r="J1844" s="6" t="n"/>
      <c r="K1844">
        <f>IF(J1844="","",J1844-B1844)</f>
        <v/>
      </c>
      <c r="L1844">
        <f>IF(H1844="Compliant","N/A",IF(J1844&lt;&gt;"","Closed",IF(I1844&lt;DATE(2026,9,30),"OVERDUE","Open")))</f>
        <v/>
      </c>
    </row>
    <row r="1845">
      <c r="A1845" t="inlineStr">
        <is>
          <t>INSP-2026-1844</t>
        </is>
      </c>
      <c r="B1845" s="6" t="n">
        <v>46293</v>
      </c>
      <c r="C1845" t="inlineStr">
        <is>
          <t>U-BV215-01-08</t>
        </is>
      </c>
      <c r="D1845" t="inlineStr">
        <is>
          <t>Bayshore Vale</t>
        </is>
      </c>
      <c r="E1845" t="inlineStr">
        <is>
          <t>marcus</t>
        </is>
      </c>
      <c r="F1845" t="inlineStr">
        <is>
          <t>Routine</t>
        </is>
      </c>
      <c r="G1845" t="inlineStr">
        <is>
          <t>DISPLAY_ENCROACH</t>
        </is>
      </c>
      <c r="H1845" t="inlineStr">
        <is>
          <t>Minor Breach</t>
        </is>
      </c>
      <c r="I1845" s="6" t="n">
        <v>46307</v>
      </c>
      <c r="J1845" s="6" t="n"/>
      <c r="K1845">
        <f>IF(J1845="","",J1845-B1845)</f>
        <v/>
      </c>
      <c r="L1845">
        <f>IF(H1845="Compliant","N/A",IF(J1845&lt;&gt;"","Closed",IF(I1845&lt;DATE(2026,9,30),"OVERDUE","Open")))</f>
        <v/>
      </c>
    </row>
    <row r="1846">
      <c r="A1846" t="inlineStr">
        <is>
          <t>INSP-2026-1845</t>
        </is>
      </c>
      <c r="B1846" s="6" t="n">
        <v>46293</v>
      </c>
      <c r="C1846" t="inlineStr">
        <is>
          <t>U-KR386-01-03</t>
        </is>
      </c>
      <c r="D1846" t="inlineStr">
        <is>
          <t>Kebun Raya</t>
        </is>
      </c>
      <c r="E1846" t="inlineStr">
        <is>
          <t>daniel ong</t>
        </is>
      </c>
      <c r="F1846" t="inlineStr">
        <is>
          <t>Follow-up</t>
        </is>
      </c>
      <c r="G1846" t="inlineStr">
        <is>
          <t>NONE</t>
        </is>
      </c>
      <c r="H1846" t="inlineStr">
        <is>
          <t>Compliant</t>
        </is>
      </c>
      <c r="I1846" s="6" t="n"/>
      <c r="J1846" s="6" t="n"/>
      <c r="K1846">
        <f>IF(J1846="","",J1846-B1846)</f>
        <v/>
      </c>
      <c r="L1846">
        <f>IF(H1846="Compliant","N/A",IF(J1846&lt;&gt;"","Closed",IF(I1846&lt;DATE(2026,9,30),"OVERDUE","Open")))</f>
        <v/>
      </c>
    </row>
    <row r="1847">
      <c r="A1847" t="inlineStr">
        <is>
          <t>INSP-2026-1846</t>
        </is>
      </c>
      <c r="B1847" s="6" t="n">
        <v>46293</v>
      </c>
      <c r="C1847" t="inlineStr">
        <is>
          <t>U-PI648-02-04</t>
        </is>
      </c>
      <c r="D1847" t="inlineStr">
        <is>
          <t>Pasir Indah</t>
        </is>
      </c>
      <c r="E1847" t="inlineStr">
        <is>
          <t>daniel ong</t>
        </is>
      </c>
      <c r="F1847" t="inlineStr">
        <is>
          <t>Routine</t>
        </is>
      </c>
      <c r="G1847" t="inlineStr">
        <is>
          <t>HYGIENE</t>
        </is>
      </c>
      <c r="H1847" t="inlineStr">
        <is>
          <t>Minor Breach</t>
        </is>
      </c>
      <c r="I1847" s="6" t="n">
        <v>46307</v>
      </c>
      <c r="J1847" s="6" t="n"/>
      <c r="K1847">
        <f>IF(J1847="","",J1847-B1847)</f>
        <v/>
      </c>
      <c r="L1847">
        <f>IF(H1847="Compliant","N/A",IF(J1847&lt;&gt;"","Closed",IF(I1847&lt;DATE(2026,9,30),"OVERDUE","Open")))</f>
        <v/>
      </c>
    </row>
    <row r="1848">
      <c r="A1848" t="inlineStr">
        <is>
          <t>INSP-2026-1847</t>
        </is>
      </c>
      <c r="B1848" s="6" t="n">
        <v>46293</v>
      </c>
      <c r="C1848" t="inlineStr">
        <is>
          <t>U-RH476-02-09</t>
        </is>
      </c>
      <c r="D1848" t="inlineStr">
        <is>
          <t>Rimba Heights</t>
        </is>
      </c>
      <c r="E1848" t="inlineStr">
        <is>
          <t>Daniel O.</t>
        </is>
      </c>
      <c r="F1848" t="inlineStr">
        <is>
          <t>Routine</t>
        </is>
      </c>
      <c r="G1848" t="inlineStr">
        <is>
          <t>NONE</t>
        </is>
      </c>
      <c r="H1848" t="inlineStr">
        <is>
          <t>Compliant</t>
        </is>
      </c>
      <c r="I1848" s="6" t="n"/>
      <c r="J1848" s="6" t="n"/>
      <c r="K1848">
        <f>IF(J1848="","",J1848-B1848)</f>
        <v/>
      </c>
      <c r="L1848">
        <f>IF(H1848="Compliant","N/A",IF(J1848&lt;&gt;"","Closed",IF(I1848&lt;DATE(2026,9,30),"OVERDUE","Open")))</f>
        <v/>
      </c>
    </row>
    <row r="1849">
      <c r="A1849" t="inlineStr">
        <is>
          <t>INSP-2026-1848</t>
        </is>
      </c>
      <c r="B1849" s="6" t="n">
        <v>46293</v>
      </c>
      <c r="C1849" t="inlineStr">
        <is>
          <t>U-CD119-01-05</t>
        </is>
      </c>
      <c r="D1849" t="inlineStr">
        <is>
          <t>Cendana</t>
        </is>
      </c>
      <c r="E1849" t="inlineStr">
        <is>
          <t>daniel ong</t>
        </is>
      </c>
      <c r="F1849" t="inlineStr">
        <is>
          <t>Routine</t>
        </is>
      </c>
      <c r="G1849" t="inlineStr">
        <is>
          <t>NONE</t>
        </is>
      </c>
      <c r="H1849" t="inlineStr">
        <is>
          <t>Compliant</t>
        </is>
      </c>
      <c r="I1849" s="6" t="n"/>
      <c r="J1849" s="6" t="n"/>
      <c r="K1849">
        <f>IF(J1849="","",J1849-B1849)</f>
        <v/>
      </c>
      <c r="L1849">
        <f>IF(H1849="Compliant","N/A",IF(J1849&lt;&gt;"","Closed",IF(I1849&lt;DATE(2026,9,30),"OVERDUE","Open")))</f>
        <v/>
      </c>
    </row>
    <row r="1850">
      <c r="A1850" t="inlineStr">
        <is>
          <t>INSP-2026-1849</t>
        </is>
      </c>
      <c r="B1850" s="6" t="n">
        <v>46293</v>
      </c>
      <c r="C1850" t="inlineStr">
        <is>
          <t>U-BV233-01-09</t>
        </is>
      </c>
      <c r="D1850" t="inlineStr">
        <is>
          <t>Bayshore Vale</t>
        </is>
      </c>
      <c r="E1850" t="inlineStr">
        <is>
          <t>D. Ong</t>
        </is>
      </c>
      <c r="F1850" t="inlineStr">
        <is>
          <t>Routine</t>
        </is>
      </c>
      <c r="G1850" t="inlineStr">
        <is>
          <t>NONE</t>
        </is>
      </c>
      <c r="H1850" t="inlineStr">
        <is>
          <t>Compliant</t>
        </is>
      </c>
      <c r="I1850" s="6" t="n"/>
      <c r="J1850" s="6" t="n"/>
      <c r="K1850">
        <f>IF(J1850="","",J1850-B1850)</f>
        <v/>
      </c>
      <c r="L1850">
        <f>IF(H1850="Compliant","N/A",IF(J1850&lt;&gt;"","Closed",IF(I1850&lt;DATE(2026,9,30),"OVERDUE","Open")))</f>
        <v/>
      </c>
    </row>
    <row r="1851">
      <c r="A1851" t="inlineStr">
        <is>
          <t>INSP-2026-1850</t>
        </is>
      </c>
      <c r="B1851" s="6" t="n">
        <v>46293</v>
      </c>
      <c r="C1851" t="inlineStr">
        <is>
          <t>U-ST512-01-06</t>
        </is>
      </c>
      <c r="D1851" t="inlineStr">
        <is>
          <t>Sungai Tinggi</t>
        </is>
      </c>
      <c r="E1851" t="inlineStr">
        <is>
          <t>Benjamin Ho</t>
        </is>
      </c>
      <c r="F1851" t="inlineStr">
        <is>
          <t>Follow-up</t>
        </is>
      </c>
      <c r="G1851" t="inlineStr">
        <is>
          <t>NONE</t>
        </is>
      </c>
      <c r="H1851" t="inlineStr">
        <is>
          <t>Compliant</t>
        </is>
      </c>
      <c r="I1851" s="6" t="n"/>
      <c r="J1851" s="6" t="n"/>
      <c r="K1851">
        <f>IF(J1851="","",J1851-B1851)</f>
        <v/>
      </c>
      <c r="L1851">
        <f>IF(H1851="Compliant","N/A",IF(J1851&lt;&gt;"","Closed",IF(I1851&lt;DATE(2026,9,30),"OVERDUE","Open")))</f>
        <v/>
      </c>
    </row>
    <row r="1852">
      <c r="A1852" t="inlineStr">
        <is>
          <t>INSP-2026-1851</t>
        </is>
      </c>
      <c r="B1852" s="6" t="n">
        <v>46293</v>
      </c>
      <c r="C1852" t="inlineStr">
        <is>
          <t>U-ST538-01-05</t>
        </is>
      </c>
      <c r="D1852" t="inlineStr">
        <is>
          <t>Sungai Tinggi</t>
        </is>
      </c>
      <c r="E1852" t="inlineStr">
        <is>
          <t>B. Ho</t>
        </is>
      </c>
      <c r="F1852" t="inlineStr">
        <is>
          <t>Routine</t>
        </is>
      </c>
      <c r="G1852" t="inlineStr">
        <is>
          <t>NONE</t>
        </is>
      </c>
      <c r="H1852" t="inlineStr">
        <is>
          <t>Compliant</t>
        </is>
      </c>
      <c r="I1852" s="6" t="n"/>
      <c r="J1852" s="6" t="n"/>
      <c r="K1852">
        <f>IF(J1852="","",J1852-B1852)</f>
        <v/>
      </c>
      <c r="L1852">
        <f>IF(H1852="Compliant","N/A",IF(J1852&lt;&gt;"","Closed",IF(I1852&lt;DATE(2026,9,30),"OVERDUE","Open")))</f>
        <v/>
      </c>
    </row>
    <row r="1853">
      <c r="A1853" t="inlineStr">
        <is>
          <t>INSP-2026-1852</t>
        </is>
      </c>
      <c r="B1853" s="6" t="n">
        <v>46293</v>
      </c>
      <c r="C1853" t="inlineStr">
        <is>
          <t>U-BV219-01-02</t>
        </is>
      </c>
      <c r="D1853" t="inlineStr">
        <is>
          <t>Bayshore Vale</t>
        </is>
      </c>
      <c r="E1853" t="inlineStr">
        <is>
          <t>M. Lim</t>
        </is>
      </c>
      <c r="F1853" t="inlineStr">
        <is>
          <t>Follow-up</t>
        </is>
      </c>
      <c r="G1853" t="inlineStr">
        <is>
          <t>NONE</t>
        </is>
      </c>
      <c r="H1853" t="inlineStr">
        <is>
          <t>Compliant</t>
        </is>
      </c>
      <c r="I1853" s="6" t="n"/>
      <c r="J1853" s="6" t="n"/>
      <c r="K1853">
        <f>IF(J1853="","",J1853-B1853)</f>
        <v/>
      </c>
      <c r="L1853">
        <f>IF(H1853="Compliant","N/A",IF(J1853&lt;&gt;"","Closed",IF(I1853&lt;DATE(2026,9,30),"OVERDUE","Open")))</f>
        <v/>
      </c>
    </row>
    <row r="1854">
      <c r="A1854" t="inlineStr">
        <is>
          <t>INSP-2026-1853</t>
        </is>
      </c>
      <c r="B1854" s="6" t="n">
        <v>46293</v>
      </c>
      <c r="C1854" t="inlineStr">
        <is>
          <t>U-CD108-01-11</t>
        </is>
      </c>
      <c r="D1854" t="inlineStr">
        <is>
          <t>Cendana</t>
        </is>
      </c>
      <c r="E1854" t="inlineStr">
        <is>
          <t>Marcus Lim</t>
        </is>
      </c>
      <c r="F1854" t="inlineStr">
        <is>
          <t>Routine</t>
        </is>
      </c>
      <c r="G1854" t="inlineStr">
        <is>
          <t>NONE</t>
        </is>
      </c>
      <c r="H1854" t="inlineStr">
        <is>
          <t>Compliant</t>
        </is>
      </c>
      <c r="I1854" s="6" t="n"/>
      <c r="J1854" s="6" t="n"/>
      <c r="K1854">
        <f>IF(J1854="","",J1854-B1854)</f>
        <v/>
      </c>
      <c r="L1854">
        <f>IF(H1854="Compliant","N/A",IF(J1854&lt;&gt;"","Closed",IF(I1854&lt;DATE(2026,9,30),"OVERDUE","Open")))</f>
        <v/>
      </c>
    </row>
    <row r="1855">
      <c r="A1855" t="inlineStr">
        <is>
          <t>INSP-2026-1854</t>
        </is>
      </c>
      <c r="B1855" s="6" t="n">
        <v>46293</v>
      </c>
      <c r="C1855" t="inlineStr">
        <is>
          <t>U-KR318-01-03</t>
        </is>
      </c>
      <c r="D1855" t="inlineStr">
        <is>
          <t>Kebun Raya</t>
        </is>
      </c>
      <c r="E1855" t="inlineStr">
        <is>
          <t>Daniel O.</t>
        </is>
      </c>
      <c r="F1855" t="inlineStr">
        <is>
          <t>Routine</t>
        </is>
      </c>
      <c r="G1855" t="inlineStr">
        <is>
          <t>NONE</t>
        </is>
      </c>
      <c r="H1855" t="inlineStr">
        <is>
          <t>Compliant</t>
        </is>
      </c>
      <c r="I1855" s="6" t="n"/>
      <c r="J1855" s="6" t="n"/>
      <c r="K1855">
        <f>IF(J1855="","",J1855-B1855)</f>
        <v/>
      </c>
      <c r="L1855">
        <f>IF(H1855="Compliant","N/A",IF(J1855&lt;&gt;"","Closed",IF(I1855&lt;DATE(2026,9,30),"OVERDUE","Open")))</f>
        <v/>
      </c>
    </row>
    <row r="1856">
      <c r="A1856" t="inlineStr">
        <is>
          <t>INSP-2026-1855</t>
        </is>
      </c>
      <c r="B1856" s="6" t="n">
        <v>46294</v>
      </c>
      <c r="C1856" t="inlineStr">
        <is>
          <t>U-KR333-01-09</t>
        </is>
      </c>
      <c r="D1856" t="inlineStr">
        <is>
          <t>Kebun Raya</t>
        </is>
      </c>
      <c r="E1856" t="inlineStr">
        <is>
          <t>Daniel Ong</t>
        </is>
      </c>
      <c r="F1856" t="inlineStr">
        <is>
          <t>Complaint-driven</t>
        </is>
      </c>
      <c r="G1856" t="inlineStr">
        <is>
          <t>NONE</t>
        </is>
      </c>
      <c r="H1856" t="inlineStr">
        <is>
          <t>Compliant</t>
        </is>
      </c>
      <c r="I1856" s="6" t="n"/>
      <c r="J1856" s="6" t="n"/>
      <c r="K1856">
        <f>IF(J1856="","",J1856-B1856)</f>
        <v/>
      </c>
      <c r="L1856">
        <f>IF(H1856="Compliant","N/A",IF(J1856&lt;&gt;"","Closed",IF(I1856&lt;DATE(2026,9,30),"OVERDUE","Open")))</f>
        <v/>
      </c>
    </row>
    <row r="1857">
      <c r="A1857" t="inlineStr">
        <is>
          <t>INSP-2026-1856</t>
        </is>
      </c>
      <c r="B1857" s="6" t="n">
        <v>46294</v>
      </c>
      <c r="C1857" t="inlineStr">
        <is>
          <t>U-RH484-01-02</t>
        </is>
      </c>
      <c r="D1857" t="inlineStr">
        <is>
          <t>Rimba Heights</t>
        </is>
      </c>
      <c r="E1857" t="inlineStr">
        <is>
          <t>Benjamin Ho</t>
        </is>
      </c>
      <c r="F1857" t="inlineStr">
        <is>
          <t>Follow-up</t>
        </is>
      </c>
      <c r="G1857" t="inlineStr">
        <is>
          <t>NONE</t>
        </is>
      </c>
      <c r="H1857" t="inlineStr">
        <is>
          <t>Compliant</t>
        </is>
      </c>
      <c r="I1857" s="6" t="n"/>
      <c r="J1857" s="6" t="n"/>
      <c r="K1857">
        <f>IF(J1857="","",J1857-B1857)</f>
        <v/>
      </c>
      <c r="L1857">
        <f>IF(H1857="Compliant","N/A",IF(J1857&lt;&gt;"","Closed",IF(I1857&lt;DATE(2026,9,30),"OVERDUE","Open")))</f>
        <v/>
      </c>
    </row>
    <row r="1858">
      <c r="A1858" t="inlineStr">
        <is>
          <t>INSP-2026-1857</t>
        </is>
      </c>
      <c r="B1858" s="6" t="n">
        <v>46294</v>
      </c>
      <c r="C1858" t="inlineStr">
        <is>
          <t>U-RH401-01-05</t>
        </is>
      </c>
      <c r="D1858" t="inlineStr">
        <is>
          <t>Rimba Heights</t>
        </is>
      </c>
      <c r="E1858" t="inlineStr">
        <is>
          <t>daniel ong</t>
        </is>
      </c>
      <c r="F1858" t="inlineStr">
        <is>
          <t>Routine</t>
        </is>
      </c>
      <c r="G1858" t="inlineStr">
        <is>
          <t>NONE</t>
        </is>
      </c>
      <c r="H1858" t="inlineStr">
        <is>
          <t>Compliant</t>
        </is>
      </c>
      <c r="I1858" s="6" t="n"/>
      <c r="J1858" s="6" t="n"/>
      <c r="K1858">
        <f>IF(J1858="","",J1858-B1858)</f>
        <v/>
      </c>
      <c r="L1858">
        <f>IF(H1858="Compliant","N/A",IF(J1858&lt;&gt;"","Closed",IF(I1858&lt;DATE(2026,9,30),"OVERDUE","Open")))</f>
        <v/>
      </c>
    </row>
    <row r="1859">
      <c r="A1859" t="inlineStr">
        <is>
          <t>INSP-2026-1858</t>
        </is>
      </c>
      <c r="B1859" s="6" t="n">
        <v>46294</v>
      </c>
      <c r="C1859" t="inlineStr">
        <is>
          <t>U-CD190-01-03</t>
        </is>
      </c>
      <c r="D1859" t="inlineStr">
        <is>
          <t>Cendana</t>
        </is>
      </c>
      <c r="E1859" t="inlineStr">
        <is>
          <t>daniel ong</t>
        </is>
      </c>
      <c r="F1859" t="inlineStr">
        <is>
          <t>Routine</t>
        </is>
      </c>
      <c r="G1859" t="inlineStr">
        <is>
          <t>DISPLAY_ENCROACH</t>
        </is>
      </c>
      <c r="H1859" t="inlineStr">
        <is>
          <t>Minor Breach</t>
        </is>
      </c>
      <c r="I1859" s="6" t="n">
        <v>46308</v>
      </c>
      <c r="J1859" s="6" t="n"/>
      <c r="K1859">
        <f>IF(J1859="","",J1859-B1859)</f>
        <v/>
      </c>
      <c r="L1859">
        <f>IF(H1859="Compliant","N/A",IF(J1859&lt;&gt;"","Closed",IF(I1859&lt;DATE(2026,9,30),"OVERDUE","Open")))</f>
        <v/>
      </c>
    </row>
    <row r="1860">
      <c r="A1860" t="inlineStr">
        <is>
          <t>INSP-2026-1859</t>
        </is>
      </c>
      <c r="B1860" s="6" t="n">
        <v>46295</v>
      </c>
      <c r="C1860" t="inlineStr">
        <is>
          <t>U-BV227-01-01</t>
        </is>
      </c>
      <c r="D1860" t="inlineStr">
        <is>
          <t>Bayshore Vale</t>
        </is>
      </c>
      <c r="E1860" t="inlineStr">
        <is>
          <t>Marcus Lim</t>
        </is>
      </c>
      <c r="F1860" t="inlineStr">
        <is>
          <t>Follow-up</t>
        </is>
      </c>
      <c r="G1860" t="inlineStr">
        <is>
          <t>DISPLAY_ENCROACH</t>
        </is>
      </c>
      <c r="H1860" t="inlineStr">
        <is>
          <t>Minor Breach</t>
        </is>
      </c>
      <c r="I1860" s="6" t="n">
        <v>46309</v>
      </c>
      <c r="J1860" s="6" t="n"/>
      <c r="K1860">
        <f>IF(J1860="","",J1860-B1860)</f>
        <v/>
      </c>
      <c r="L1860">
        <f>IF(H1860="Compliant","N/A",IF(J1860&lt;&gt;"","Closed",IF(I1860&lt;DATE(2026,9,30),"OVERDUE","Open")))</f>
        <v/>
      </c>
    </row>
    <row r="1861">
      <c r="A1861" t="inlineStr">
        <is>
          <t>INSP-2026-1860</t>
        </is>
      </c>
      <c r="B1861" s="6" t="n">
        <v>46295</v>
      </c>
      <c r="C1861" t="inlineStr">
        <is>
          <t>U-PI644-01-11</t>
        </is>
      </c>
      <c r="D1861" t="inlineStr">
        <is>
          <t>Pasir Indah</t>
        </is>
      </c>
      <c r="E1861" t="inlineStr">
        <is>
          <t>daniel ong</t>
        </is>
      </c>
      <c r="F1861" t="inlineStr">
        <is>
          <t>Routine</t>
        </is>
      </c>
      <c r="G1861" t="inlineStr">
        <is>
          <t>DISPLAY_ENCROACH</t>
        </is>
      </c>
      <c r="H1861" t="inlineStr">
        <is>
          <t>Minor Breach</t>
        </is>
      </c>
      <c r="I1861" s="6" t="n">
        <v>46309</v>
      </c>
      <c r="J1861" s="6" t="n"/>
      <c r="K1861">
        <f>IF(J1861="","",J1861-B1861)</f>
        <v/>
      </c>
      <c r="L1861">
        <f>IF(H1861="Compliant","N/A",IF(J1861&lt;&gt;"","Closed",IF(I1861&lt;DATE(2026,9,30),"OVERDUE","Open")))</f>
        <v/>
      </c>
    </row>
    <row r="1862">
      <c r="A1862" t="inlineStr">
        <is>
          <t>INSP-2026-1861</t>
        </is>
      </c>
      <c r="B1862" s="6" t="n">
        <v>46295</v>
      </c>
      <c r="C1862" t="inlineStr">
        <is>
          <t>U-KR362-01-07</t>
        </is>
      </c>
      <c r="D1862" t="inlineStr">
        <is>
          <t>Kebun Raya</t>
        </is>
      </c>
      <c r="E1862" t="inlineStr">
        <is>
          <t>daniel ong</t>
        </is>
      </c>
      <c r="F1862" t="inlineStr">
        <is>
          <t>Routine</t>
        </is>
      </c>
      <c r="G1862" t="inlineStr">
        <is>
          <t>NONE</t>
        </is>
      </c>
      <c r="H1862" t="inlineStr">
        <is>
          <t>Compliant</t>
        </is>
      </c>
      <c r="I1862" s="6" t="n"/>
      <c r="J1862" s="6" t="n"/>
      <c r="K1862">
        <f>IF(J1862="","",J1862-B1862)</f>
        <v/>
      </c>
      <c r="L1862">
        <f>IF(H1862="Compliant","N/A",IF(J1862&lt;&gt;"","Closed",IF(I1862&lt;DATE(2026,9,30),"OVERDUE","Open")))</f>
        <v/>
      </c>
    </row>
    <row r="1863">
      <c r="A1863" t="inlineStr">
        <is>
          <t>INSP-2026-1862</t>
        </is>
      </c>
      <c r="B1863" s="6" t="n">
        <v>46295</v>
      </c>
      <c r="C1863" t="inlineStr">
        <is>
          <t>U-ST518-01-07</t>
        </is>
      </c>
      <c r="D1863" t="inlineStr">
        <is>
          <t>Sungai Tinggi</t>
        </is>
      </c>
      <c r="E1863" t="inlineStr">
        <is>
          <t>B. Ho</t>
        </is>
      </c>
      <c r="F1863" t="inlineStr">
        <is>
          <t>Routine</t>
        </is>
      </c>
      <c r="G1863" t="inlineStr">
        <is>
          <t>NONE</t>
        </is>
      </c>
      <c r="H1863" t="inlineStr">
        <is>
          <t>Compliant</t>
        </is>
      </c>
      <c r="I1863" s="6" t="n"/>
      <c r="J1863" s="6" t="n"/>
      <c r="K1863">
        <f>IF(J1863="","",J1863-B1863)</f>
        <v/>
      </c>
      <c r="L1863">
        <f>IF(H1863="Compliant","N/A",IF(J1863&lt;&gt;"","Closed",IF(I1863&lt;DATE(2026,9,30),"OVERDUE","Open")))</f>
        <v/>
      </c>
    </row>
    <row r="1864">
      <c r="A1864" t="inlineStr">
        <is>
          <t>INSP-2026-1863</t>
        </is>
      </c>
      <c r="B1864" s="6" t="n">
        <v>46295</v>
      </c>
      <c r="C1864" t="inlineStr">
        <is>
          <t>U-KR327-01-03</t>
        </is>
      </c>
      <c r="D1864" t="inlineStr">
        <is>
          <t>Kebun Raya</t>
        </is>
      </c>
      <c r="E1864" t="inlineStr">
        <is>
          <t>Daniel O.</t>
        </is>
      </c>
      <c r="F1864" t="inlineStr">
        <is>
          <t>Routine</t>
        </is>
      </c>
      <c r="G1864" t="inlineStr">
        <is>
          <t>NONE</t>
        </is>
      </c>
      <c r="H1864" t="inlineStr">
        <is>
          <t>Compliant</t>
        </is>
      </c>
      <c r="I1864" s="6" t="n"/>
      <c r="J1864" s="6" t="n"/>
      <c r="K1864">
        <f>IF(J1864="","",J1864-B1864)</f>
        <v/>
      </c>
      <c r="L1864">
        <f>IF(H1864="Compliant","N/A",IF(J1864&lt;&gt;"","Closed",IF(I1864&lt;DATE(2026,9,30),"OVERDUE","Open")))</f>
        <v/>
      </c>
    </row>
    <row r="1865">
      <c r="A1865" t="inlineStr">
        <is>
          <t>INSP-2026-1864</t>
        </is>
      </c>
      <c r="B1865" s="6" t="n">
        <v>46295</v>
      </c>
      <c r="C1865" t="inlineStr">
        <is>
          <t>U-CD119-01-02</t>
        </is>
      </c>
      <c r="D1865" t="inlineStr">
        <is>
          <t>Cendana</t>
        </is>
      </c>
      <c r="E1865" t="inlineStr">
        <is>
          <t>marcus</t>
        </is>
      </c>
      <c r="F1865" t="inlineStr">
        <is>
          <t>Follow-up</t>
        </is>
      </c>
      <c r="G1865" t="inlineStr">
        <is>
          <t>NONE</t>
        </is>
      </c>
      <c r="H1865" t="inlineStr">
        <is>
          <t>Compliant</t>
        </is>
      </c>
      <c r="I1865" s="6" t="n"/>
      <c r="J1865" s="6" t="n"/>
      <c r="K1865">
        <f>IF(J1865="","",J1865-B1865)</f>
        <v/>
      </c>
      <c r="L1865">
        <f>IF(H1865="Compliant","N/A",IF(J1865&lt;&gt;"","Closed",IF(I1865&lt;DATE(2026,9,30),"OVERDUE","Open")))</f>
        <v/>
      </c>
    </row>
    <row r="1866">
      <c r="A1866" t="inlineStr">
        <is>
          <t>INSP-2026-1865</t>
        </is>
      </c>
      <c r="B1866" s="6" t="n">
        <v>46295</v>
      </c>
      <c r="C1866" t="inlineStr">
        <is>
          <t>U-KR368-01-02</t>
        </is>
      </c>
      <c r="D1866" t="inlineStr">
        <is>
          <t>Kebun Raya</t>
        </is>
      </c>
      <c r="E1866" t="inlineStr">
        <is>
          <t>Daniel Ong</t>
        </is>
      </c>
      <c r="F1866" t="inlineStr">
        <is>
          <t>Routine</t>
        </is>
      </c>
      <c r="G1866" t="inlineStr">
        <is>
          <t>NONE</t>
        </is>
      </c>
      <c r="H1866" t="inlineStr">
        <is>
          <t>Compliant</t>
        </is>
      </c>
      <c r="I1866" s="6" t="n"/>
      <c r="J1866" s="6" t="n"/>
      <c r="K1866">
        <f>IF(J1866="","",J1866-B1866)</f>
        <v/>
      </c>
      <c r="L1866">
        <f>IF(H1866="Compliant","N/A",IF(J1866&lt;&gt;"","Closed",IF(I1866&lt;DATE(2026,9,30),"OVERDUE","Open")))</f>
        <v/>
      </c>
    </row>
  </sheetData>
  <autoFilter ref="A1:L18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Ong</dc:creator>
  <dc:title xmlns:dc="http://purl.org/dc/elements/1.1/">Inspection Tracker 2026</dc:title>
  <dcterms:created xmlns:dcterms="http://purl.org/dc/terms/" xmlns:xsi="http://www.w3.org/2001/XMLSchema-instance" xsi:type="dcterms:W3CDTF">2026-09-30T09:00:00Z</dcterms:created>
  <dcterms:modified xmlns:dcterms="http://purl.org/dc/terms/" xmlns:xsi="http://www.w3.org/2001/XMLSchema-instance" xsi:type="dcterms:W3CDTF">2026-10-10T09:29:40Z</dcterms:modified>
  <cp:lastModifiedBy>Daniel Ong</cp:lastModifiedBy>
</cp:coreProperties>
</file>