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&quot;S$&quot;#,##0.00"/>
  </numFmts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6" customWidth="1" min="3" max="3"/>
    <col width="24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8" customWidth="1" min="10" max="10"/>
    <col width="16" customWidth="1" min="11" max="11"/>
  </cols>
  <sheetData>
    <row r="1">
      <c r="A1" s="1" t="inlineStr">
        <is>
          <t>RENEWALS PIPELINE - TENANCIES EXPIRING OCT 2026 TO SEP 2027</t>
        </is>
      </c>
    </row>
    <row r="2">
      <c r="A2" s="2" t="inlineStr">
        <is>
          <t>Application deadline = expiry - 6 months (PLG-POL-002 cl. 4.2)</t>
        </is>
      </c>
    </row>
    <row r="4">
      <c r="A4" s="3" t="inlineStr">
        <is>
          <t>Tenancy ID</t>
        </is>
      </c>
      <c r="B4" s="3" t="inlineStr">
        <is>
          <t>Tenant</t>
        </is>
      </c>
      <c r="C4" s="3" t="inlineStr">
        <is>
          <t>Unit</t>
        </is>
      </c>
      <c r="D4" s="3" t="inlineStr">
        <is>
          <t>Trade</t>
        </is>
      </c>
      <c r="E4" s="3" t="inlineStr">
        <is>
          <t>Expiry</t>
        </is>
      </c>
      <c r="F4" s="3" t="inlineStr">
        <is>
          <t>Monthly rent</t>
        </is>
      </c>
      <c r="G4" s="3" t="inlineStr">
        <is>
          <t>Apply-by</t>
        </is>
      </c>
      <c r="H4" s="3" t="inlineStr">
        <is>
          <t>Application</t>
        </is>
      </c>
      <c r="I4" s="3" t="inlineStr">
        <is>
          <t>Submitted</t>
        </is>
      </c>
      <c r="J4" s="3" t="inlineStr">
        <is>
          <t>Late?</t>
        </is>
      </c>
      <c r="K4" s="3" t="inlineStr">
        <is>
          <t>App status</t>
        </is>
      </c>
    </row>
    <row r="5">
      <c r="A5" t="inlineStr">
        <is>
          <t>TA-2023-00052</t>
        </is>
      </c>
      <c r="B5" t="inlineStr">
        <is>
          <t>Happy Paws TCM Clinic</t>
        </is>
      </c>
      <c r="C5" t="inlineStr">
        <is>
          <t>U-BV205-01-11</t>
        </is>
      </c>
      <c r="D5" t="inlineStr">
        <is>
          <t>TCM Clinic</t>
        </is>
      </c>
      <c r="E5" s="4" t="n">
        <v>46326</v>
      </c>
      <c r="F5" s="5" t="n">
        <v>3590</v>
      </c>
      <c r="G5" s="4">
        <f>EDATE(E5,-6)</f>
        <v/>
      </c>
      <c r="I5" s="4" t="n"/>
      <c r="J5">
        <f>IF(I5="","",IF(I5&gt;G5,"LATE",""))</f>
        <v/>
      </c>
      <c r="K5" t="inlineStr">
        <is>
          <t>No application</t>
        </is>
      </c>
    </row>
    <row r="6">
      <c r="A6" t="inlineStr">
        <is>
          <t>TA-2023-00054</t>
        </is>
      </c>
      <c r="B6" t="inlineStr">
        <is>
          <t>Evergreen TCM Clinic Pte Ltd</t>
        </is>
      </c>
      <c r="C6" t="inlineStr">
        <is>
          <t>U-BV214-01-26</t>
        </is>
      </c>
      <c r="D6" t="inlineStr">
        <is>
          <t>TCM Clinic</t>
        </is>
      </c>
      <c r="E6" s="4" t="n">
        <v>46326</v>
      </c>
      <c r="F6" s="5" t="n">
        <v>2880</v>
      </c>
      <c r="G6" s="4">
        <f>EDATE(E6,-6)</f>
        <v/>
      </c>
      <c r="I6" s="4" t="n"/>
      <c r="J6">
        <f>IF(I6="","",IF(I6&gt;G6,"LATE",""))</f>
        <v/>
      </c>
      <c r="K6" t="inlineStr">
        <is>
          <t>No application</t>
        </is>
      </c>
    </row>
    <row r="7">
      <c r="A7" t="inlineStr">
        <is>
          <t>TA-2023-00055</t>
        </is>
      </c>
      <c r="B7" t="inlineStr">
        <is>
          <t>Heng Ann Tuition Centre Pte Ltd</t>
        </is>
      </c>
      <c r="C7" t="inlineStr">
        <is>
          <t>U-BV214-02-19</t>
        </is>
      </c>
      <c r="D7" t="inlineStr">
        <is>
          <t>Tuition Centre</t>
        </is>
      </c>
      <c r="E7" s="4" t="n">
        <v>46326</v>
      </c>
      <c r="F7" s="5" t="n">
        <v>1500</v>
      </c>
      <c r="G7" s="4">
        <f>EDATE(E7,-6)</f>
        <v/>
      </c>
      <c r="I7" s="4" t="n"/>
      <c r="J7">
        <f>IF(I7="","",IF(I7&gt;G7,"LATE",""))</f>
        <v/>
      </c>
      <c r="K7" t="inlineStr">
        <is>
          <t>No application</t>
        </is>
      </c>
    </row>
    <row r="8">
      <c r="A8" t="inlineStr">
        <is>
          <t>TA-2023-00056</t>
        </is>
      </c>
      <c r="B8" t="inlineStr">
        <is>
          <t>Golden Leaf Key &amp; Shoe Service</t>
        </is>
      </c>
      <c r="C8" t="inlineStr">
        <is>
          <t>U-BV215-01-05</t>
        </is>
      </c>
      <c r="D8" t="inlineStr">
        <is>
          <t>Key Cutting &amp; Shoe Repair</t>
        </is>
      </c>
      <c r="E8" s="4" t="n">
        <v>46326</v>
      </c>
      <c r="F8" s="5" t="n">
        <v>1500</v>
      </c>
      <c r="G8" s="4">
        <f>EDATE(E8,-6)</f>
        <v/>
      </c>
      <c r="H8" t="inlineStr">
        <is>
          <t>APP-2026-0185</t>
        </is>
      </c>
      <c r="I8" s="4" t="n">
        <v>46194</v>
      </c>
      <c r="J8">
        <f>IF(I8="","",IF(I8&gt;G8,"LATE",""))</f>
        <v/>
      </c>
      <c r="K8" t="inlineStr">
        <is>
          <t>Approved</t>
        </is>
      </c>
    </row>
    <row r="9">
      <c r="A9" t="inlineStr">
        <is>
          <t>TA-2023-00057</t>
        </is>
      </c>
      <c r="B9" t="inlineStr">
        <is>
          <t>Tian Fu Flowers &amp; Gifts Pte Ltd</t>
        </is>
      </c>
      <c r="C9" t="inlineStr">
        <is>
          <t>U-BV216-01-01</t>
        </is>
      </c>
      <c r="D9" t="inlineStr">
        <is>
          <t>Florist</t>
        </is>
      </c>
      <c r="E9" s="4" t="n">
        <v>46326</v>
      </c>
      <c r="F9" s="5" t="n">
        <v>2500</v>
      </c>
      <c r="G9" s="4">
        <f>EDATE(E9,-6)</f>
        <v/>
      </c>
      <c r="I9" s="4" t="n"/>
      <c r="J9">
        <f>IF(I9="","",IF(I9&gt;G9,"LATE",""))</f>
        <v/>
      </c>
      <c r="K9" t="inlineStr">
        <is>
          <t>No application</t>
        </is>
      </c>
    </row>
    <row r="10">
      <c r="A10" t="inlineStr">
        <is>
          <t>TA-2023-00058</t>
        </is>
      </c>
      <c r="B10" t="inlineStr">
        <is>
          <t>Little Sprouts Minimart</t>
        </is>
      </c>
      <c r="C10" t="inlineStr">
        <is>
          <t>U-BV219-01-09</t>
        </is>
      </c>
      <c r="D10" t="inlineStr">
        <is>
          <t>Minimart</t>
        </is>
      </c>
      <c r="E10" s="4" t="n">
        <v>46326</v>
      </c>
      <c r="F10" s="5" t="n">
        <v>5970</v>
      </c>
      <c r="G10" s="4">
        <f>EDATE(E10,-6)</f>
        <v/>
      </c>
      <c r="I10" s="4" t="n"/>
      <c r="J10">
        <f>IF(I10="","",IF(I10&gt;G10,"LATE",""))</f>
        <v/>
      </c>
      <c r="K10" t="inlineStr">
        <is>
          <t>No application</t>
        </is>
      </c>
    </row>
    <row r="11">
      <c r="A11" t="inlineStr">
        <is>
          <t>TA-2023-00060</t>
        </is>
      </c>
      <c r="B11" t="inlineStr">
        <is>
          <t>Nur Trading</t>
        </is>
      </c>
      <c r="C11" t="inlineStr">
        <is>
          <t>U-BV229-01-02</t>
        </is>
      </c>
      <c r="D11" t="inlineStr">
        <is>
          <t>Provision Shop</t>
        </is>
      </c>
      <c r="E11" s="4" t="n">
        <v>46326</v>
      </c>
      <c r="F11" s="5" t="n">
        <v>4980</v>
      </c>
      <c r="G11" s="4">
        <f>EDATE(E11,-6)</f>
        <v/>
      </c>
      <c r="I11" s="4" t="n"/>
      <c r="J11">
        <f>IF(I11="","",IF(I11&gt;G11,"LATE",""))</f>
        <v/>
      </c>
      <c r="K11" t="inlineStr">
        <is>
          <t>No application</t>
        </is>
      </c>
    </row>
    <row r="12">
      <c r="A12" t="inlineStr">
        <is>
          <t>TA-2023-00062</t>
        </is>
      </c>
      <c r="B12" t="inlineStr">
        <is>
          <t>Mutiara Dental Care</t>
        </is>
      </c>
      <c r="C12" t="inlineStr">
        <is>
          <t>U-BV233-01-13</t>
        </is>
      </c>
      <c r="D12" t="inlineStr">
        <is>
          <t>Dental Clinic</t>
        </is>
      </c>
      <c r="E12" s="4" t="n">
        <v>46326</v>
      </c>
      <c r="F12" s="5" t="n">
        <v>3580</v>
      </c>
      <c r="G12" s="4">
        <f>EDATE(E12,-6)</f>
        <v/>
      </c>
      <c r="I12" s="4" t="n"/>
      <c r="J12">
        <f>IF(I12="","",IF(I12&gt;G12,"LATE",""))</f>
        <v/>
      </c>
      <c r="K12" t="inlineStr">
        <is>
          <t>No application</t>
        </is>
      </c>
    </row>
    <row r="13">
      <c r="A13" t="inlineStr">
        <is>
          <t>TA-2023-00064</t>
        </is>
      </c>
      <c r="B13" t="inlineStr">
        <is>
          <t>Lakshmi Pharmacy Pte Ltd</t>
        </is>
      </c>
      <c r="C13" t="inlineStr">
        <is>
          <t>U-BV271-01-02</t>
        </is>
      </c>
      <c r="D13" t="inlineStr">
        <is>
          <t>Pharmacy</t>
        </is>
      </c>
      <c r="E13" s="4" t="n">
        <v>46326</v>
      </c>
      <c r="F13" s="5" t="n">
        <v>4820</v>
      </c>
      <c r="G13" s="4">
        <f>EDATE(E13,-6)</f>
        <v/>
      </c>
      <c r="I13" s="4" t="n"/>
      <c r="J13">
        <f>IF(I13="","",IF(I13&gt;G13,"LATE",""))</f>
        <v/>
      </c>
      <c r="K13" t="inlineStr">
        <is>
          <t>No application</t>
        </is>
      </c>
    </row>
    <row r="14">
      <c r="A14" t="inlineStr">
        <is>
          <t>TA-2023-00065</t>
        </is>
      </c>
      <c r="B14" t="inlineStr">
        <is>
          <t>Tan Brothers Medical Hall</t>
        </is>
      </c>
      <c r="C14" t="inlineStr">
        <is>
          <t>U-BV273-01-05</t>
        </is>
      </c>
      <c r="D14" t="inlineStr">
        <is>
          <t>TCM Clinic</t>
        </is>
      </c>
      <c r="E14" s="4" t="n">
        <v>46326</v>
      </c>
      <c r="F14" s="5" t="n">
        <v>5180</v>
      </c>
      <c r="G14" s="4">
        <f>EDATE(E14,-6)</f>
        <v/>
      </c>
      <c r="H14" t="inlineStr">
        <is>
          <t>APP-2025-0068</t>
        </is>
      </c>
      <c r="I14" s="4" t="n">
        <v>45983</v>
      </c>
      <c r="J14">
        <f>IF(I14="","",IF(I14&gt;G14,"LATE",""))</f>
        <v/>
      </c>
      <c r="K14" t="inlineStr">
        <is>
          <t>Approved</t>
        </is>
      </c>
    </row>
    <row r="15">
      <c r="A15" t="inlineStr">
        <is>
          <t>TA-2023-00066</t>
        </is>
      </c>
      <c r="B15" t="inlineStr">
        <is>
          <t>Hock Lee Medical Clinic Pte Ltd</t>
        </is>
      </c>
      <c r="C15" t="inlineStr">
        <is>
          <t>U-BV290-02-04</t>
        </is>
      </c>
      <c r="D15" t="inlineStr">
        <is>
          <t>GP Clinic</t>
        </is>
      </c>
      <c r="E15" s="4" t="n">
        <v>46326</v>
      </c>
      <c r="F15" s="5" t="n">
        <v>5080</v>
      </c>
      <c r="G15" s="4">
        <f>EDATE(E15,-6)</f>
        <v/>
      </c>
      <c r="I15" s="4" t="n"/>
      <c r="J15">
        <f>IF(I15="","",IF(I15&gt;G15,"LATE",""))</f>
        <v/>
      </c>
      <c r="K15" t="inlineStr">
        <is>
          <t>No application</t>
        </is>
      </c>
    </row>
    <row r="16">
      <c r="A16" t="inlineStr">
        <is>
          <t>TA-2023-00067</t>
        </is>
      </c>
      <c r="B16" t="inlineStr">
        <is>
          <t>Bright Path Eating House</t>
        </is>
      </c>
      <c r="C16" t="inlineStr">
        <is>
          <t>U-CD105-01-01</t>
        </is>
      </c>
      <c r="D16" t="inlineStr">
        <is>
          <t>Coffeeshop</t>
        </is>
      </c>
      <c r="E16" s="4" t="n">
        <v>46326</v>
      </c>
      <c r="F16" s="5" t="n">
        <v>11750</v>
      </c>
      <c r="G16" s="4">
        <f>EDATE(E16,-6)</f>
        <v/>
      </c>
      <c r="I16" s="4" t="n"/>
      <c r="J16">
        <f>IF(I16="","",IF(I16&gt;G16,"LATE",""))</f>
        <v/>
      </c>
      <c r="K16" t="inlineStr">
        <is>
          <t>No application</t>
        </is>
      </c>
    </row>
    <row r="17">
      <c r="A17" t="inlineStr">
        <is>
          <t>TA-2023-00069</t>
        </is>
      </c>
      <c r="B17" t="inlineStr">
        <is>
          <t>Lotus Hardware &amp; Electrical Pte Ltd</t>
        </is>
      </c>
      <c r="C17" t="inlineStr">
        <is>
          <t>U-CD109-01-08</t>
        </is>
      </c>
      <c r="D17" t="inlineStr">
        <is>
          <t>Hardware</t>
        </is>
      </c>
      <c r="E17" s="4" t="n">
        <v>46326</v>
      </c>
      <c r="F17" s="5" t="n">
        <v>2320</v>
      </c>
      <c r="G17" s="4">
        <f>EDATE(E17,-6)</f>
        <v/>
      </c>
      <c r="I17" s="4" t="n"/>
      <c r="J17">
        <f>IF(I17="","",IF(I17&gt;G17,"LATE",""))</f>
        <v/>
      </c>
      <c r="K17" t="inlineStr">
        <is>
          <t>No application</t>
        </is>
      </c>
    </row>
    <row r="18">
      <c r="A18" t="inlineStr">
        <is>
          <t>TA-2023-00070</t>
        </is>
      </c>
      <c r="B18" t="inlineStr">
        <is>
          <t>Ananda Family Clinic</t>
        </is>
      </c>
      <c r="C18" t="inlineStr">
        <is>
          <t>U-CD109-01-10</t>
        </is>
      </c>
      <c r="D18" t="inlineStr">
        <is>
          <t>GP Clinic</t>
        </is>
      </c>
      <c r="E18" s="4" t="n">
        <v>46326</v>
      </c>
      <c r="F18" s="5" t="n">
        <v>5160</v>
      </c>
      <c r="G18" s="4">
        <f>EDATE(E18,-6)</f>
        <v/>
      </c>
      <c r="I18" s="4" t="n"/>
      <c r="J18">
        <f>IF(I18="","",IF(I18&gt;G18,"LATE",""))</f>
        <v/>
      </c>
      <c r="K18" t="inlineStr">
        <is>
          <t>No application</t>
        </is>
      </c>
    </row>
    <row r="19">
      <c r="A19" t="inlineStr">
        <is>
          <t>TA-2023-00071</t>
        </is>
      </c>
      <c r="B19" t="inlineStr">
        <is>
          <t>Bright Path Medical Clinic</t>
        </is>
      </c>
      <c r="C19" t="inlineStr">
        <is>
          <t>U-CD118-01-16</t>
        </is>
      </c>
      <c r="D19" t="inlineStr">
        <is>
          <t>GP Clinic</t>
        </is>
      </c>
      <c r="E19" s="4" t="n">
        <v>46326</v>
      </c>
      <c r="F19" s="5" t="n">
        <v>4040</v>
      </c>
      <c r="G19" s="4">
        <f>EDATE(E19,-6)</f>
        <v/>
      </c>
      <c r="I19" s="4" t="n"/>
      <c r="J19">
        <f>IF(I19="","",IF(I19&gt;G19,"LATE",""))</f>
        <v/>
      </c>
      <c r="K19" t="inlineStr">
        <is>
          <t>No application</t>
        </is>
      </c>
    </row>
    <row r="20">
      <c r="A20" t="inlineStr">
        <is>
          <t>TA-2023-00072</t>
        </is>
      </c>
      <c r="B20" t="inlineStr">
        <is>
          <t>Lotus Family Clinic Pte Ltd</t>
        </is>
      </c>
      <c r="C20" t="inlineStr">
        <is>
          <t>U-CD118-01-26</t>
        </is>
      </c>
      <c r="D20" t="inlineStr">
        <is>
          <t>GP Clinic</t>
        </is>
      </c>
      <c r="E20" s="4" t="n">
        <v>46326</v>
      </c>
      <c r="F20" s="5" t="n">
        <v>2780</v>
      </c>
      <c r="G20" s="4">
        <f>EDATE(E20,-6)</f>
        <v/>
      </c>
      <c r="I20" s="4" t="n"/>
      <c r="J20">
        <f>IF(I20="","",IF(I20&gt;G20,"LATE",""))</f>
        <v/>
      </c>
      <c r="K20" t="inlineStr">
        <is>
          <t>No application</t>
        </is>
      </c>
    </row>
    <row r="21">
      <c r="A21" t="inlineStr">
        <is>
          <t>TA-2023-00073</t>
        </is>
      </c>
      <c r="B21" t="inlineStr">
        <is>
          <t>Sejahtera Flowers &amp; Gifts</t>
        </is>
      </c>
      <c r="C21" t="inlineStr">
        <is>
          <t>U-CD131-01-02</t>
        </is>
      </c>
      <c r="D21" t="inlineStr">
        <is>
          <t>Florist</t>
        </is>
      </c>
      <c r="E21" s="4" t="n">
        <v>46326</v>
      </c>
      <c r="F21" s="5" t="n">
        <v>3940</v>
      </c>
      <c r="G21" s="4">
        <f>EDATE(E21,-6)</f>
        <v/>
      </c>
      <c r="I21" s="4" t="n"/>
      <c r="J21">
        <f>IF(I21="","",IF(I21&gt;G21,"LATE",""))</f>
        <v/>
      </c>
      <c r="K21" t="inlineStr">
        <is>
          <t>No application</t>
        </is>
      </c>
    </row>
    <row r="22">
      <c r="A22" t="inlineStr">
        <is>
          <t>TA-2023-00075</t>
        </is>
      </c>
      <c r="B22" t="inlineStr">
        <is>
          <t>Ananda Cake House</t>
        </is>
      </c>
      <c r="C22" t="inlineStr">
        <is>
          <t>U-CD170-01-06</t>
        </is>
      </c>
      <c r="D22" t="inlineStr">
        <is>
          <t>Bakery &amp; Confectionery</t>
        </is>
      </c>
      <c r="E22" s="4" t="n">
        <v>46326</v>
      </c>
      <c r="F22" s="5" t="n">
        <v>4630</v>
      </c>
      <c r="G22" s="4">
        <f>EDATE(E22,-6)</f>
        <v/>
      </c>
      <c r="I22" s="4" t="n"/>
      <c r="J22">
        <f>IF(I22="","",IF(I22&gt;G22,"LATE",""))</f>
        <v/>
      </c>
      <c r="K22" t="inlineStr">
        <is>
          <t>No application</t>
        </is>
      </c>
    </row>
    <row r="23">
      <c r="A23" t="inlineStr">
        <is>
          <t>TA-2023-00077</t>
        </is>
      </c>
      <c r="B23" t="inlineStr">
        <is>
          <t>Kian Huat Telecom</t>
        </is>
      </c>
      <c r="C23" t="inlineStr">
        <is>
          <t>U-CD173-01-10</t>
        </is>
      </c>
      <c r="D23" t="inlineStr">
        <is>
          <t>Mobile Phone &amp; Accessories</t>
        </is>
      </c>
      <c r="E23" s="4" t="n">
        <v>46326</v>
      </c>
      <c r="F23" s="5" t="n">
        <v>1290</v>
      </c>
      <c r="G23" s="4">
        <f>EDATE(E23,-6)</f>
        <v/>
      </c>
      <c r="I23" s="4" t="n"/>
      <c r="J23">
        <f>IF(I23="","",IF(I23&gt;G23,"LATE",""))</f>
        <v/>
      </c>
      <c r="K23" t="inlineStr">
        <is>
          <t>No application</t>
        </is>
      </c>
    </row>
    <row r="24">
      <c r="A24" t="inlineStr">
        <is>
          <t>TA-2023-00079</t>
        </is>
      </c>
      <c r="B24" t="inlineStr">
        <is>
          <t>PrimeValue Mart Pte Ltd</t>
        </is>
      </c>
      <c r="C24" t="inlineStr">
        <is>
          <t>U-CD185-01-08</t>
        </is>
      </c>
      <c r="D24" t="inlineStr">
        <is>
          <t>Minimart</t>
        </is>
      </c>
      <c r="E24" s="4" t="n">
        <v>46326</v>
      </c>
      <c r="F24" s="5" t="n">
        <v>4240</v>
      </c>
      <c r="G24" s="4">
        <f>EDATE(E24,-6)</f>
        <v/>
      </c>
      <c r="I24" s="4" t="n"/>
      <c r="J24">
        <f>IF(I24="","",IF(I24&gt;G24,"LATE",""))</f>
        <v/>
      </c>
      <c r="K24" t="inlineStr">
        <is>
          <t>No application</t>
        </is>
      </c>
    </row>
    <row r="25">
      <c r="A25" t="inlineStr">
        <is>
          <t>TA-2023-00080</t>
        </is>
      </c>
      <c r="B25" t="inlineStr">
        <is>
          <t>Harmony Restaurant Pte Ltd</t>
        </is>
      </c>
      <c r="C25" t="inlineStr">
        <is>
          <t>U-KR305-01-32</t>
        </is>
      </c>
      <c r="D25" t="inlineStr">
        <is>
          <t>Restaurant</t>
        </is>
      </c>
      <c r="E25" s="4" t="n">
        <v>46326</v>
      </c>
      <c r="F25" s="5" t="n">
        <v>3860</v>
      </c>
      <c r="G25" s="4">
        <f>EDATE(E25,-6)</f>
        <v/>
      </c>
      <c r="I25" s="4" t="n"/>
      <c r="J25">
        <f>IF(I25="","",IF(I25&gt;G25,"LATE",""))</f>
        <v/>
      </c>
      <c r="K25" t="inlineStr">
        <is>
          <t>No application</t>
        </is>
      </c>
    </row>
    <row r="26">
      <c r="A26" t="inlineStr">
        <is>
          <t>TA-2023-00082</t>
        </is>
      </c>
      <c r="B26" t="inlineStr">
        <is>
          <t>Kumar Medical Supplies Pte Ltd</t>
        </is>
      </c>
      <c r="C26" t="inlineStr">
        <is>
          <t>U-KR323-01-06</t>
        </is>
      </c>
      <c r="D26" t="inlineStr">
        <is>
          <t>Pharmacy</t>
        </is>
      </c>
      <c r="E26" s="4" t="n">
        <v>46326</v>
      </c>
      <c r="F26" s="5" t="n">
        <v>4270</v>
      </c>
      <c r="G26" s="4">
        <f>EDATE(E26,-6)</f>
        <v/>
      </c>
      <c r="I26" s="4" t="n"/>
      <c r="J26">
        <f>IF(I26="","",IF(I26&gt;G26,"LATE",""))</f>
        <v/>
      </c>
      <c r="K26" t="inlineStr">
        <is>
          <t>No application</t>
        </is>
      </c>
    </row>
    <row r="27">
      <c r="A27" t="inlineStr">
        <is>
          <t>TA-2023-00083</t>
        </is>
      </c>
      <c r="B27" t="inlineStr">
        <is>
          <t>Raja Dental Surgery Pte Ltd</t>
        </is>
      </c>
      <c r="C27" t="inlineStr">
        <is>
          <t>U-KR330-02-06</t>
        </is>
      </c>
      <c r="D27" t="inlineStr">
        <is>
          <t>Dental Clinic</t>
        </is>
      </c>
      <c r="E27" s="4" t="n">
        <v>46326</v>
      </c>
      <c r="F27" s="5" t="n">
        <v>2460</v>
      </c>
      <c r="G27" s="4">
        <f>EDATE(E27,-6)</f>
        <v/>
      </c>
      <c r="I27" s="4" t="n"/>
      <c r="J27">
        <f>IF(I27="","",IF(I27&gt;G27,"LATE",""))</f>
        <v/>
      </c>
      <c r="K27" t="inlineStr">
        <is>
          <t>No application</t>
        </is>
      </c>
    </row>
    <row r="28">
      <c r="A28" t="inlineStr">
        <is>
          <t>TA-2023-00085</t>
        </is>
      </c>
      <c r="B28" t="inlineStr">
        <is>
          <t>PrimeValue Mart Pte Ltd</t>
        </is>
      </c>
      <c r="C28" t="inlineStr">
        <is>
          <t>U-KR368-01-12</t>
        </is>
      </c>
      <c r="D28" t="inlineStr">
        <is>
          <t>Minimart</t>
        </is>
      </c>
      <c r="E28" s="4" t="n">
        <v>46326</v>
      </c>
      <c r="F28" s="5" t="n">
        <v>3830</v>
      </c>
      <c r="G28" s="4">
        <f>EDATE(E28,-6)</f>
        <v/>
      </c>
      <c r="I28" s="4" t="n"/>
      <c r="J28">
        <f>IF(I28="","",IF(I28&gt;G28,"LATE",""))</f>
        <v/>
      </c>
      <c r="K28" t="inlineStr">
        <is>
          <t>No application</t>
        </is>
      </c>
    </row>
    <row r="29">
      <c r="A29" t="inlineStr">
        <is>
          <t>TA-2023-00086</t>
        </is>
      </c>
      <c r="B29" t="inlineStr">
        <is>
          <t>Silver Moon Supermarket</t>
        </is>
      </c>
      <c r="C29" t="inlineStr">
        <is>
          <t>U-KR368-01-14</t>
        </is>
      </c>
      <c r="D29" t="inlineStr">
        <is>
          <t>Minimart</t>
        </is>
      </c>
      <c r="E29" s="4" t="n">
        <v>46326</v>
      </c>
      <c r="F29" s="5" t="n">
        <v>4310</v>
      </c>
      <c r="G29" s="4">
        <f>EDATE(E29,-6)</f>
        <v/>
      </c>
      <c r="I29" s="4" t="n"/>
      <c r="J29">
        <f>IF(I29="","",IF(I29&gt;G29,"LATE",""))</f>
        <v/>
      </c>
      <c r="K29" t="inlineStr">
        <is>
          <t>No application</t>
        </is>
      </c>
    </row>
    <row r="30">
      <c r="A30" t="inlineStr">
        <is>
          <t>TA-2023-00088</t>
        </is>
      </c>
      <c r="B30" t="inlineStr">
        <is>
          <t>Joo Chiat Medical Supplies Pte Ltd</t>
        </is>
      </c>
      <c r="C30" t="inlineStr">
        <is>
          <t>U-KR369-01-01</t>
        </is>
      </c>
      <c r="D30" t="inlineStr">
        <is>
          <t>Pharmacy</t>
        </is>
      </c>
      <c r="E30" s="4" t="n">
        <v>46326</v>
      </c>
      <c r="F30" s="5" t="n">
        <v>4870</v>
      </c>
      <c r="G30" s="4">
        <f>EDATE(E30,-6)</f>
        <v/>
      </c>
      <c r="I30" s="4" t="n"/>
      <c r="J30">
        <f>IF(I30="","",IF(I30&gt;G30,"LATE",""))</f>
        <v/>
      </c>
      <c r="K30" t="inlineStr">
        <is>
          <t>No application</t>
        </is>
      </c>
    </row>
    <row r="31">
      <c r="A31" t="inlineStr">
        <is>
          <t>TA-2023-00090</t>
        </is>
      </c>
      <c r="B31" t="inlineStr">
        <is>
          <t>Daily Fresh Laundry</t>
        </is>
      </c>
      <c r="C31" t="inlineStr">
        <is>
          <t>U-KR369-01-06</t>
        </is>
      </c>
      <c r="D31" t="inlineStr">
        <is>
          <t>Laundry</t>
        </is>
      </c>
      <c r="E31" s="4" t="n">
        <v>46326</v>
      </c>
      <c r="F31" s="5" t="n">
        <v>3020</v>
      </c>
      <c r="G31" s="4">
        <f>EDATE(E31,-6)</f>
        <v/>
      </c>
      <c r="I31" s="4" t="n"/>
      <c r="J31">
        <f>IF(I31="","",IF(I31&gt;G31,"LATE",""))</f>
        <v/>
      </c>
      <c r="K31" t="inlineStr">
        <is>
          <t>No application</t>
        </is>
      </c>
    </row>
    <row r="32">
      <c r="A32" t="inlineStr">
        <is>
          <t>TA-2023-00092</t>
        </is>
      </c>
      <c r="B32" t="inlineStr">
        <is>
          <t>Fresh Valley Hair Salon Pte Ltd</t>
        </is>
      </c>
      <c r="C32" t="inlineStr">
        <is>
          <t>U-KR379-01-03</t>
        </is>
      </c>
      <c r="D32" t="inlineStr">
        <is>
          <t>Hair Salon</t>
        </is>
      </c>
      <c r="E32" s="4" t="n">
        <v>46326</v>
      </c>
      <c r="F32" s="5" t="n">
        <v>2170</v>
      </c>
      <c r="G32" s="4">
        <f>EDATE(E32,-6)</f>
        <v/>
      </c>
      <c r="I32" s="4" t="n"/>
      <c r="J32">
        <f>IF(I32="","",IF(I32&gt;G32,"LATE",""))</f>
        <v/>
      </c>
      <c r="K32" t="inlineStr">
        <is>
          <t>No application</t>
        </is>
      </c>
    </row>
    <row r="33">
      <c r="A33" t="inlineStr">
        <is>
          <t>TA-2023-00093</t>
        </is>
      </c>
      <c r="B33" t="inlineStr">
        <is>
          <t>Golden Leaf Hardware &amp; Electrical Pte Ltd</t>
        </is>
      </c>
      <c r="C33" t="inlineStr">
        <is>
          <t>U-KR379-01-07</t>
        </is>
      </c>
      <c r="D33" t="inlineStr">
        <is>
          <t>Hardware</t>
        </is>
      </c>
      <c r="E33" s="4" t="n">
        <v>46326</v>
      </c>
      <c r="F33" s="5" t="n">
        <v>3600</v>
      </c>
      <c r="G33" s="4">
        <f>EDATE(E33,-6)</f>
        <v/>
      </c>
      <c r="I33" s="4" t="n"/>
      <c r="J33">
        <f>IF(I33="","",IF(I33&gt;G33,"LATE",""))</f>
        <v/>
      </c>
      <c r="K33" t="inlineStr">
        <is>
          <t>No application</t>
        </is>
      </c>
    </row>
    <row r="34">
      <c r="A34" t="inlineStr">
        <is>
          <t>TA-2023-00094</t>
        </is>
      </c>
      <c r="B34" t="inlineStr">
        <is>
          <t>Ananda Medical Hall Pte Ltd</t>
        </is>
      </c>
      <c r="C34" t="inlineStr">
        <is>
          <t>U-PI614-02-11</t>
        </is>
      </c>
      <c r="D34" t="inlineStr">
        <is>
          <t>TCM Clinic</t>
        </is>
      </c>
      <c r="E34" s="4" t="n">
        <v>46326</v>
      </c>
      <c r="F34" s="5" t="n">
        <v>2200</v>
      </c>
      <c r="G34" s="4">
        <f>EDATE(E34,-6)</f>
        <v/>
      </c>
      <c r="I34" s="4" t="n"/>
      <c r="J34">
        <f>IF(I34="","",IF(I34&gt;G34,"LATE",""))</f>
        <v/>
      </c>
      <c r="K34" t="inlineStr">
        <is>
          <t>No application</t>
        </is>
      </c>
    </row>
    <row r="35">
      <c r="A35" t="inlineStr">
        <is>
          <t>TA-2023-00095</t>
        </is>
      </c>
      <c r="B35" t="inlineStr">
        <is>
          <t>Ananda Family Clinic Pte Ltd</t>
        </is>
      </c>
      <c r="C35" t="inlineStr">
        <is>
          <t>U-PI615-01-04</t>
        </is>
      </c>
      <c r="D35" t="inlineStr">
        <is>
          <t>GP Clinic</t>
        </is>
      </c>
      <c r="E35" s="4" t="n">
        <v>46326</v>
      </c>
      <c r="F35" s="5" t="n">
        <v>3400</v>
      </c>
      <c r="G35" s="4">
        <f>EDATE(E35,-6)</f>
        <v/>
      </c>
      <c r="I35" s="4" t="n"/>
      <c r="J35">
        <f>IF(I35="","",IF(I35&gt;G35,"LATE",""))</f>
        <v/>
      </c>
      <c r="K35" t="inlineStr">
        <is>
          <t>No application</t>
        </is>
      </c>
    </row>
    <row r="36">
      <c r="A36" t="inlineStr">
        <is>
          <t>TA-2023-00096</t>
        </is>
      </c>
      <c r="B36" t="inlineStr">
        <is>
          <t>Nur Tuition Centre</t>
        </is>
      </c>
      <c r="C36" t="inlineStr">
        <is>
          <t>U-PI642-01-07</t>
        </is>
      </c>
      <c r="D36" t="inlineStr">
        <is>
          <t>Tuition Centre</t>
        </is>
      </c>
      <c r="E36" s="4" t="n">
        <v>46326</v>
      </c>
      <c r="F36" s="5" t="n">
        <v>4070</v>
      </c>
      <c r="G36" s="4">
        <f>EDATE(E36,-6)</f>
        <v/>
      </c>
      <c r="I36" s="4" t="n"/>
      <c r="J36">
        <f>IF(I36="","",IF(I36&gt;G36,"LATE",""))</f>
        <v/>
      </c>
      <c r="K36" t="inlineStr">
        <is>
          <t>No application</t>
        </is>
      </c>
    </row>
    <row r="37">
      <c r="A37" t="inlineStr">
        <is>
          <t>TA-2023-00098</t>
        </is>
      </c>
      <c r="B37" t="inlineStr">
        <is>
          <t>Bayu Tea House</t>
        </is>
      </c>
      <c r="C37" t="inlineStr">
        <is>
          <t>U-PI678-01-03</t>
        </is>
      </c>
      <c r="D37" t="inlineStr">
        <is>
          <t>Bubble Tea</t>
        </is>
      </c>
      <c r="E37" s="4" t="n">
        <v>46326</v>
      </c>
      <c r="F37" s="5" t="n">
        <v>4670</v>
      </c>
      <c r="G37" s="4">
        <f>EDATE(E37,-6)</f>
        <v/>
      </c>
      <c r="H37" t="inlineStr">
        <is>
          <t>APP-2026-0053</t>
        </is>
      </c>
      <c r="I37" s="4" t="n">
        <v>46076</v>
      </c>
      <c r="J37">
        <f>IF(I37="","",IF(I37&gt;G37,"LATE",""))</f>
        <v/>
      </c>
      <c r="K37" t="inlineStr">
        <is>
          <t>Approved</t>
        </is>
      </c>
    </row>
    <row r="38">
      <c r="A38" t="inlineStr">
        <is>
          <t>TA-2023-00100</t>
        </is>
      </c>
      <c r="B38" t="inlineStr">
        <is>
          <t>Hup Seng Clinic &amp; Surgery</t>
        </is>
      </c>
      <c r="C38" t="inlineStr">
        <is>
          <t>U-PI684-01-03</t>
        </is>
      </c>
      <c r="D38" t="inlineStr">
        <is>
          <t>GP Clinic</t>
        </is>
      </c>
      <c r="E38" s="4" t="n">
        <v>46326</v>
      </c>
      <c r="F38" s="5" t="n">
        <v>4680</v>
      </c>
      <c r="G38" s="4">
        <f>EDATE(E38,-6)</f>
        <v/>
      </c>
      <c r="I38" s="4" t="n"/>
      <c r="J38">
        <f>IF(I38="","",IF(I38&gt;G38,"LATE",""))</f>
        <v/>
      </c>
      <c r="K38" t="inlineStr">
        <is>
          <t>No application</t>
        </is>
      </c>
    </row>
    <row r="39">
      <c r="A39" t="inlineStr">
        <is>
          <t>TA-2023-00101</t>
        </is>
      </c>
      <c r="B39" t="inlineStr">
        <is>
          <t>Suria Clinic &amp; Surgery Pte Ltd</t>
        </is>
      </c>
      <c r="C39" t="inlineStr">
        <is>
          <t>U-RH401-02-11</t>
        </is>
      </c>
      <c r="D39" t="inlineStr">
        <is>
          <t>GP Clinic</t>
        </is>
      </c>
      <c r="E39" s="4" t="n">
        <v>46326</v>
      </c>
      <c r="F39" s="5" t="n">
        <v>2040</v>
      </c>
      <c r="G39" s="4">
        <f>EDATE(E39,-6)</f>
        <v/>
      </c>
      <c r="H39" t="inlineStr">
        <is>
          <t>APP-2025-0081</t>
        </is>
      </c>
      <c r="I39" s="4" t="n">
        <v>45991</v>
      </c>
      <c r="J39">
        <f>IF(I39="","",IF(I39&gt;G39,"LATE",""))</f>
        <v/>
      </c>
      <c r="K39" t="inlineStr">
        <is>
          <t>Approved</t>
        </is>
      </c>
    </row>
    <row r="40">
      <c r="A40" t="inlineStr">
        <is>
          <t>TA-2023-00102</t>
        </is>
      </c>
      <c r="B40" t="inlineStr">
        <is>
          <t>Wellcare Education Hub</t>
        </is>
      </c>
      <c r="C40" t="inlineStr">
        <is>
          <t>U-RH420-01-01</t>
        </is>
      </c>
      <c r="D40" t="inlineStr">
        <is>
          <t>Tuition Centre</t>
        </is>
      </c>
      <c r="E40" s="4" t="n">
        <v>46326</v>
      </c>
      <c r="F40" s="5" t="n">
        <v>4920</v>
      </c>
      <c r="G40" s="4">
        <f>EDATE(E40,-6)</f>
        <v/>
      </c>
      <c r="I40" s="4" t="n"/>
      <c r="J40">
        <f>IF(I40="","",IF(I40&gt;G40,"LATE",""))</f>
        <v/>
      </c>
      <c r="K40" t="inlineStr">
        <is>
          <t>No application</t>
        </is>
      </c>
    </row>
    <row r="41">
      <c r="A41" t="inlineStr">
        <is>
          <t>TA-2023-00103</t>
        </is>
      </c>
      <c r="B41" t="inlineStr">
        <is>
          <t>Starlight TCM Clinic</t>
        </is>
      </c>
      <c r="C41" t="inlineStr">
        <is>
          <t>U-RH420-02-05</t>
        </is>
      </c>
      <c r="D41" t="inlineStr">
        <is>
          <t>TCM Clinic</t>
        </is>
      </c>
      <c r="E41" s="4" t="n">
        <v>46326</v>
      </c>
      <c r="F41" s="5" t="n">
        <v>1860</v>
      </c>
      <c r="G41" s="4">
        <f>EDATE(E41,-6)</f>
        <v/>
      </c>
      <c r="I41" s="4" t="n"/>
      <c r="J41">
        <f>IF(I41="","",IF(I41&gt;G41,"LATE",""))</f>
        <v/>
      </c>
      <c r="K41" t="inlineStr">
        <is>
          <t>No application</t>
        </is>
      </c>
    </row>
    <row r="42">
      <c r="A42" t="inlineStr">
        <is>
          <t>TA-2023-00104</t>
        </is>
      </c>
      <c r="B42" t="inlineStr">
        <is>
          <t>Kumar Hair Studio</t>
        </is>
      </c>
      <c r="C42" t="inlineStr">
        <is>
          <t>U-RH434-01-07</t>
        </is>
      </c>
      <c r="D42" t="inlineStr">
        <is>
          <t>Hair Salon</t>
        </is>
      </c>
      <c r="E42" s="4" t="n">
        <v>46326</v>
      </c>
      <c r="F42" s="5" t="n">
        <v>3220</v>
      </c>
      <c r="G42" s="4">
        <f>EDATE(E42,-6)</f>
        <v/>
      </c>
      <c r="I42" s="4" t="n"/>
      <c r="J42">
        <f>IF(I42="","",IF(I42&gt;G42,"LATE",""))</f>
        <v/>
      </c>
      <c r="K42" t="inlineStr">
        <is>
          <t>No application</t>
        </is>
      </c>
    </row>
    <row r="43">
      <c r="A43" t="inlineStr">
        <is>
          <t>TA-2023-00105</t>
        </is>
      </c>
      <c r="B43" t="inlineStr">
        <is>
          <t>Seri Murni Restaurant</t>
        </is>
      </c>
      <c r="C43" t="inlineStr">
        <is>
          <t>U-RH437-01-03</t>
        </is>
      </c>
      <c r="D43" t="inlineStr">
        <is>
          <t>Restaurant</t>
        </is>
      </c>
      <c r="E43" s="4" t="n">
        <v>46326</v>
      </c>
      <c r="F43" s="5" t="n">
        <v>3070</v>
      </c>
      <c r="G43" s="4">
        <f>EDATE(E43,-6)</f>
        <v/>
      </c>
      <c r="I43" s="4" t="n"/>
      <c r="J43">
        <f>IF(I43="","",IF(I43&gt;G43,"LATE",""))</f>
        <v/>
      </c>
      <c r="K43" t="inlineStr">
        <is>
          <t>No application</t>
        </is>
      </c>
    </row>
    <row r="44">
      <c r="A44" t="inlineStr">
        <is>
          <t>TA-2023-00106</t>
        </is>
      </c>
      <c r="B44" t="inlineStr">
        <is>
          <t>Evergreen Kueh Corner</t>
        </is>
      </c>
      <c r="C44" t="inlineStr">
        <is>
          <t>U-RH455-01-06</t>
        </is>
      </c>
      <c r="D44" t="inlineStr">
        <is>
          <t>Snack Kiosk</t>
        </is>
      </c>
      <c r="E44" s="4" t="n">
        <v>46326</v>
      </c>
      <c r="F44" s="5" t="n">
        <v>900</v>
      </c>
      <c r="G44" s="4">
        <f>EDATE(E44,-6)</f>
        <v/>
      </c>
      <c r="I44" s="4" t="n"/>
      <c r="J44">
        <f>IF(I44="","",IF(I44&gt;G44,"LATE",""))</f>
        <v/>
      </c>
      <c r="K44" t="inlineStr">
        <is>
          <t>No application</t>
        </is>
      </c>
    </row>
    <row r="45">
      <c r="A45" t="inlineStr">
        <is>
          <t>TA-2023-00107</t>
        </is>
      </c>
      <c r="B45" t="inlineStr">
        <is>
          <t>Lim's Hair Studio</t>
        </is>
      </c>
      <c r="C45" t="inlineStr">
        <is>
          <t>U-RH460-01-10</t>
        </is>
      </c>
      <c r="D45" t="inlineStr">
        <is>
          <t>Hair Salon</t>
        </is>
      </c>
      <c r="E45" s="4" t="n">
        <v>46326</v>
      </c>
      <c r="F45" s="5" t="n">
        <v>2310</v>
      </c>
      <c r="G45" s="4">
        <f>EDATE(E45,-6)</f>
        <v/>
      </c>
      <c r="I45" s="4" t="n"/>
      <c r="J45">
        <f>IF(I45="","",IF(I45&gt;G45,"LATE",""))</f>
        <v/>
      </c>
      <c r="K45" t="inlineStr">
        <is>
          <t>No application</t>
        </is>
      </c>
    </row>
    <row r="46">
      <c r="A46" t="inlineStr">
        <is>
          <t>TA-2023-00108</t>
        </is>
      </c>
      <c r="B46" t="inlineStr">
        <is>
          <t>Little Sprouts Mart Pte Ltd</t>
        </is>
      </c>
      <c r="C46" t="inlineStr">
        <is>
          <t>U-RH476-01-10</t>
        </is>
      </c>
      <c r="D46" t="inlineStr">
        <is>
          <t>Minimart</t>
        </is>
      </c>
      <c r="E46" s="4" t="n">
        <v>46326</v>
      </c>
      <c r="F46" s="5" t="n">
        <v>3380</v>
      </c>
      <c r="G46" s="4">
        <f>EDATE(E46,-6)</f>
        <v/>
      </c>
      <c r="I46" s="4" t="n"/>
      <c r="J46">
        <f>IF(I46="","",IF(I46&gt;G46,"LATE",""))</f>
        <v/>
      </c>
      <c r="K46" t="inlineStr">
        <is>
          <t>No application</t>
        </is>
      </c>
    </row>
    <row r="47">
      <c r="A47" t="inlineStr">
        <is>
          <t>TA-2023-00109</t>
        </is>
      </c>
      <c r="B47" t="inlineStr">
        <is>
          <t>Treasure Confectionery</t>
        </is>
      </c>
      <c r="C47" t="inlineStr">
        <is>
          <t>U-RH484-01-11</t>
        </is>
      </c>
      <c r="D47" t="inlineStr">
        <is>
          <t>Bakery &amp; Confectionery</t>
        </is>
      </c>
      <c r="E47" s="4" t="n">
        <v>46326</v>
      </c>
      <c r="F47" s="5" t="n">
        <v>5090</v>
      </c>
      <c r="G47" s="4">
        <f>EDATE(E47,-6)</f>
        <v/>
      </c>
      <c r="I47" s="4" t="n"/>
      <c r="J47">
        <f>IF(I47="","",IF(I47&gt;G47,"LATE",""))</f>
        <v/>
      </c>
      <c r="K47" t="inlineStr">
        <is>
          <t>No application</t>
        </is>
      </c>
    </row>
    <row r="48">
      <c r="A48" t="inlineStr">
        <is>
          <t>TA-2023-00111</t>
        </is>
      </c>
      <c r="B48" t="inlineStr">
        <is>
          <t>Tian Fu Mobile</t>
        </is>
      </c>
      <c r="C48" t="inlineStr">
        <is>
          <t>U-RH485-01-03</t>
        </is>
      </c>
      <c r="D48" t="inlineStr">
        <is>
          <t>Mobile Phone &amp; Accessories</t>
        </is>
      </c>
      <c r="E48" s="4" t="n">
        <v>46326</v>
      </c>
      <c r="F48" s="5" t="n">
        <v>940</v>
      </c>
      <c r="G48" s="4">
        <f>EDATE(E48,-6)</f>
        <v/>
      </c>
      <c r="I48" s="4" t="n"/>
      <c r="J48">
        <f>IF(I48="","",IF(I48&gt;G48,"LATE",""))</f>
        <v/>
      </c>
      <c r="K48" t="inlineStr">
        <is>
          <t>No application</t>
        </is>
      </c>
    </row>
    <row r="49">
      <c r="A49" t="inlineStr">
        <is>
          <t>TA-2023-00113</t>
        </is>
      </c>
      <c r="B49" t="inlineStr">
        <is>
          <t>Ananda Beauty &amp; Hair Pte Ltd</t>
        </is>
      </c>
      <c r="C49" t="inlineStr">
        <is>
          <t>U-RH491-01-12</t>
        </is>
      </c>
      <c r="D49" t="inlineStr">
        <is>
          <t>Hair Salon</t>
        </is>
      </c>
      <c r="E49" s="4" t="n">
        <v>46326</v>
      </c>
      <c r="F49" s="5" t="n">
        <v>1710</v>
      </c>
      <c r="G49" s="4">
        <f>EDATE(E49,-6)</f>
        <v/>
      </c>
      <c r="I49" s="4" t="n"/>
      <c r="J49">
        <f>IF(I49="","",IF(I49&gt;G49,"LATE",""))</f>
        <v/>
      </c>
      <c r="K49" t="inlineStr">
        <is>
          <t>No application</t>
        </is>
      </c>
    </row>
    <row r="50">
      <c r="A50" t="inlineStr">
        <is>
          <t>TA-2023-00114</t>
        </is>
      </c>
      <c r="B50" t="inlineStr">
        <is>
          <t>Sejahtera Eating House Pte Ltd</t>
        </is>
      </c>
      <c r="C50" t="inlineStr">
        <is>
          <t>U-ST518-01-01</t>
        </is>
      </c>
      <c r="D50" t="inlineStr">
        <is>
          <t>Coffeeshop</t>
        </is>
      </c>
      <c r="E50" s="4" t="n">
        <v>46326</v>
      </c>
      <c r="F50" s="5" t="n">
        <v>10230</v>
      </c>
      <c r="G50" s="4">
        <f>EDATE(E50,-6)</f>
        <v/>
      </c>
      <c r="I50" s="4" t="n"/>
      <c r="J50">
        <f>IF(I50="","",IF(I50&gt;G50,"LATE",""))</f>
        <v/>
      </c>
      <c r="K50" t="inlineStr">
        <is>
          <t>No application</t>
        </is>
      </c>
    </row>
    <row r="51">
      <c r="A51" t="inlineStr">
        <is>
          <t>TA-2023-00115</t>
        </is>
      </c>
      <c r="B51" t="inlineStr">
        <is>
          <t>Murugan Education Hub Pte Ltd</t>
        </is>
      </c>
      <c r="C51" t="inlineStr">
        <is>
          <t>U-ST534-01-03</t>
        </is>
      </c>
      <c r="D51" t="inlineStr">
        <is>
          <t>Tuition Centre</t>
        </is>
      </c>
      <c r="E51" s="4" t="n">
        <v>46326</v>
      </c>
      <c r="F51" s="5" t="n">
        <v>3100</v>
      </c>
      <c r="G51" s="4">
        <f>EDATE(E51,-6)</f>
        <v/>
      </c>
      <c r="I51" s="4" t="n"/>
      <c r="J51">
        <f>IF(I51="","",IF(I51&gt;G51,"LATE",""))</f>
        <v/>
      </c>
      <c r="K51" t="inlineStr">
        <is>
          <t>No application</t>
        </is>
      </c>
    </row>
    <row r="52">
      <c r="A52" t="inlineStr">
        <is>
          <t>TA-2023-00116</t>
        </is>
      </c>
      <c r="B52" t="inlineStr">
        <is>
          <t>Silver Moon Family Clinic Pte Ltd</t>
        </is>
      </c>
      <c r="C52" t="inlineStr">
        <is>
          <t>U-ST544-02-04</t>
        </is>
      </c>
      <c r="D52" t="inlineStr">
        <is>
          <t>GP Clinic</t>
        </is>
      </c>
      <c r="E52" s="4" t="n">
        <v>46326</v>
      </c>
      <c r="F52" s="5" t="n">
        <v>1390</v>
      </c>
      <c r="G52" s="4">
        <f>EDATE(E52,-6)</f>
        <v/>
      </c>
      <c r="I52" s="4" t="n"/>
      <c r="J52">
        <f>IF(I52="","",IF(I52&gt;G52,"LATE",""))</f>
        <v/>
      </c>
      <c r="K52" t="inlineStr">
        <is>
          <t>No application</t>
        </is>
      </c>
    </row>
    <row r="53">
      <c r="A53" t="inlineStr">
        <is>
          <t>TA-2023-00117</t>
        </is>
      </c>
      <c r="B53" t="inlineStr">
        <is>
          <t>Tian Fu Eating Place Pte Ltd</t>
        </is>
      </c>
      <c r="C53" t="inlineStr">
        <is>
          <t>U-ST564-01-08</t>
        </is>
      </c>
      <c r="D53" t="inlineStr">
        <is>
          <t>Restaurant</t>
        </is>
      </c>
      <c r="E53" s="4" t="n">
        <v>46326</v>
      </c>
      <c r="F53" s="5" t="n">
        <v>3200</v>
      </c>
      <c r="G53" s="4">
        <f>EDATE(E53,-6)</f>
        <v/>
      </c>
      <c r="I53" s="4" t="n"/>
      <c r="J53">
        <f>IF(I53="","",IF(I53&gt;G53,"LATE",""))</f>
        <v/>
      </c>
      <c r="K53" t="inlineStr">
        <is>
          <t>No application</t>
        </is>
      </c>
    </row>
    <row r="54">
      <c r="A54" t="inlineStr">
        <is>
          <t>TA-2023-00118</t>
        </is>
      </c>
      <c r="B54" t="inlineStr">
        <is>
          <t>Al-Ameen TCM Clinic</t>
        </is>
      </c>
      <c r="C54" t="inlineStr">
        <is>
          <t>U-ST564-02-09</t>
        </is>
      </c>
      <c r="D54" t="inlineStr">
        <is>
          <t>TCM Clinic</t>
        </is>
      </c>
      <c r="E54" s="4" t="n">
        <v>46326</v>
      </c>
      <c r="F54" s="5" t="n">
        <v>1710</v>
      </c>
      <c r="G54" s="4">
        <f>EDATE(E54,-6)</f>
        <v/>
      </c>
      <c r="I54" s="4" t="n"/>
      <c r="J54">
        <f>IF(I54="","",IF(I54&gt;G54,"LATE",""))</f>
        <v/>
      </c>
      <c r="K54" t="inlineStr">
        <is>
          <t>No application</t>
        </is>
      </c>
    </row>
    <row r="55">
      <c r="A55" t="inlineStr">
        <is>
          <t>TA-2023-00120</t>
        </is>
      </c>
      <c r="B55" t="inlineStr">
        <is>
          <t>Teck Guan Supermarket</t>
        </is>
      </c>
      <c r="C55" t="inlineStr">
        <is>
          <t>U-ST579-01-06</t>
        </is>
      </c>
      <c r="D55" t="inlineStr">
        <is>
          <t>Minimart</t>
        </is>
      </c>
      <c r="E55" s="4" t="n">
        <v>46326</v>
      </c>
      <c r="F55" s="5" t="n">
        <v>3150</v>
      </c>
      <c r="G55" s="4">
        <f>EDATE(E55,-6)</f>
        <v/>
      </c>
      <c r="I55" s="4" t="n"/>
      <c r="J55">
        <f>IF(I55="","",IF(I55&gt;G55,"LATE",""))</f>
        <v/>
      </c>
      <c r="K55" t="inlineStr">
        <is>
          <t>No application</t>
        </is>
      </c>
    </row>
    <row r="56">
      <c r="A56" t="inlineStr">
        <is>
          <t>TA-2023-00122</t>
        </is>
      </c>
      <c r="B56" t="inlineStr">
        <is>
          <t>Joo Chiat Kitchen</t>
        </is>
      </c>
      <c r="C56" t="inlineStr">
        <is>
          <t>U-ST583-01-07</t>
        </is>
      </c>
      <c r="D56" t="inlineStr">
        <is>
          <t>Restaurant</t>
        </is>
      </c>
      <c r="E56" s="4" t="n">
        <v>46326</v>
      </c>
      <c r="F56" s="5" t="n">
        <v>2930</v>
      </c>
      <c r="G56" s="4">
        <f>EDATE(E56,-6)</f>
        <v/>
      </c>
      <c r="I56" s="4" t="n"/>
      <c r="J56">
        <f>IF(I56="","",IF(I56&gt;G56,"LATE",""))</f>
        <v/>
      </c>
      <c r="K56" t="inlineStr">
        <is>
          <t>No application</t>
        </is>
      </c>
    </row>
    <row r="57">
      <c r="A57" t="inlineStr">
        <is>
          <t>TA-2023-00124</t>
        </is>
      </c>
      <c r="B57" t="inlineStr">
        <is>
          <t>PrimeValue Mart Pte Ltd</t>
        </is>
      </c>
      <c r="C57" t="inlineStr">
        <is>
          <t>U-BV216-01-04</t>
        </is>
      </c>
      <c r="D57" t="inlineStr">
        <is>
          <t>Minimart</t>
        </is>
      </c>
      <c r="E57" s="4" t="n">
        <v>46356</v>
      </c>
      <c r="F57" s="5" t="n">
        <v>4890</v>
      </c>
      <c r="G57" s="4">
        <f>EDATE(E57,-6)</f>
        <v/>
      </c>
      <c r="H57" t="inlineStr">
        <is>
          <t>APP-2026-0076</t>
        </is>
      </c>
      <c r="I57" s="4" t="n">
        <v>46098</v>
      </c>
      <c r="J57">
        <f>IF(I57="","",IF(I57&gt;G57,"LATE",""))</f>
        <v/>
      </c>
      <c r="K57" t="inlineStr">
        <is>
          <t>Approved</t>
        </is>
      </c>
    </row>
    <row r="58">
      <c r="A58" t="inlineStr">
        <is>
          <t>TA-2023-00126</t>
        </is>
      </c>
      <c r="B58" t="inlineStr">
        <is>
          <t>Sejahtera Boba Bar</t>
        </is>
      </c>
      <c r="C58" t="inlineStr">
        <is>
          <t>U-BV227-01-02</t>
        </is>
      </c>
      <c r="D58" t="inlineStr">
        <is>
          <t>Bubble Tea</t>
        </is>
      </c>
      <c r="E58" s="4" t="n">
        <v>46356</v>
      </c>
      <c r="F58" s="5" t="n">
        <v>5260</v>
      </c>
      <c r="G58" s="4">
        <f>EDATE(E58,-6)</f>
        <v/>
      </c>
      <c r="I58" s="4" t="n"/>
      <c r="J58">
        <f>IF(I58="","",IF(I58&gt;G58,"LATE",""))</f>
        <v/>
      </c>
      <c r="K58" t="inlineStr">
        <is>
          <t>No application</t>
        </is>
      </c>
    </row>
    <row r="59">
      <c r="A59" t="inlineStr">
        <is>
          <t>TA-2023-00128</t>
        </is>
      </c>
      <c r="B59" t="inlineStr">
        <is>
          <t>Siva Family Clinic</t>
        </is>
      </c>
      <c r="C59" t="inlineStr">
        <is>
          <t>U-BV233-02-06</t>
        </is>
      </c>
      <c r="D59" t="inlineStr">
        <is>
          <t>GP Clinic</t>
        </is>
      </c>
      <c r="E59" s="4" t="n">
        <v>46356</v>
      </c>
      <c r="F59" s="5" t="n">
        <v>2950</v>
      </c>
      <c r="G59" s="4">
        <f>EDATE(E59,-6)</f>
        <v/>
      </c>
      <c r="I59" s="4" t="n"/>
      <c r="J59">
        <f>IF(I59="","",IF(I59&gt;G59,"LATE",""))</f>
        <v/>
      </c>
      <c r="K59" t="inlineStr">
        <is>
          <t>No application</t>
        </is>
      </c>
    </row>
    <row r="60">
      <c r="A60" t="inlineStr">
        <is>
          <t>TA-2023-00130</t>
        </is>
      </c>
      <c r="B60" t="inlineStr">
        <is>
          <t>Wisdom Learning Centre</t>
        </is>
      </c>
      <c r="C60" t="inlineStr">
        <is>
          <t>U-BV288-02-09</t>
        </is>
      </c>
      <c r="D60" t="inlineStr">
        <is>
          <t>Tuition Centre</t>
        </is>
      </c>
      <c r="E60" s="4" t="n">
        <v>46356</v>
      </c>
      <c r="F60" s="5" t="n">
        <v>4420</v>
      </c>
      <c r="G60" s="4">
        <f>EDATE(E60,-6)</f>
        <v/>
      </c>
      <c r="I60" s="4" t="n"/>
      <c r="J60">
        <f>IF(I60="","",IF(I60&gt;G60,"LATE",""))</f>
        <v/>
      </c>
      <c r="K60" t="inlineStr">
        <is>
          <t>No application</t>
        </is>
      </c>
    </row>
    <row r="61">
      <c r="A61" t="inlineStr">
        <is>
          <t>TA-2023-00131</t>
        </is>
      </c>
      <c r="B61" t="inlineStr">
        <is>
          <t>Treasure Kitchen</t>
        </is>
      </c>
      <c r="C61" t="inlineStr">
        <is>
          <t>U-BV296-01-03</t>
        </is>
      </c>
      <c r="D61" t="inlineStr">
        <is>
          <t>Restaurant</t>
        </is>
      </c>
      <c r="E61" s="4" t="n">
        <v>46356</v>
      </c>
      <c r="F61" s="5" t="n">
        <v>2480</v>
      </c>
      <c r="G61" s="4">
        <f>EDATE(E61,-6)</f>
        <v/>
      </c>
      <c r="I61" s="4" t="n"/>
      <c r="J61">
        <f>IF(I61="","",IF(I61&gt;G61,"LATE",""))</f>
        <v/>
      </c>
      <c r="K61" t="inlineStr">
        <is>
          <t>No application</t>
        </is>
      </c>
    </row>
    <row r="62">
      <c r="A62" t="inlineStr">
        <is>
          <t>TA-2023-00133</t>
        </is>
      </c>
      <c r="B62" t="inlineStr">
        <is>
          <t>Blue Pearl Medical Clinic</t>
        </is>
      </c>
      <c r="C62" t="inlineStr">
        <is>
          <t>U-CD105-01-04</t>
        </is>
      </c>
      <c r="D62" t="inlineStr">
        <is>
          <t>GP Clinic</t>
        </is>
      </c>
      <c r="E62" s="4" t="n">
        <v>46356</v>
      </c>
      <c r="F62" s="5" t="n">
        <v>4430</v>
      </c>
      <c r="G62" s="4">
        <f>EDATE(E62,-6)</f>
        <v/>
      </c>
      <c r="I62" s="4" t="n"/>
      <c r="J62">
        <f>IF(I62="","",IF(I62&gt;G62,"LATE",""))</f>
        <v/>
      </c>
      <c r="K62" t="inlineStr">
        <is>
          <t>No application</t>
        </is>
      </c>
    </row>
    <row r="63">
      <c r="A63" t="inlineStr">
        <is>
          <t>TA-2023-00135</t>
        </is>
      </c>
      <c r="B63" t="inlineStr">
        <is>
          <t>Kampung Hair Salon</t>
        </is>
      </c>
      <c r="C63" t="inlineStr">
        <is>
          <t>U-CD109-01-12</t>
        </is>
      </c>
      <c r="D63" t="inlineStr">
        <is>
          <t>Hair Salon</t>
        </is>
      </c>
      <c r="E63" s="4" t="n">
        <v>46356</v>
      </c>
      <c r="F63" s="5" t="n">
        <v>6290</v>
      </c>
      <c r="G63" s="4">
        <f>EDATE(E63,-6)</f>
        <v/>
      </c>
      <c r="I63" s="4" t="n"/>
      <c r="J63">
        <f>IF(I63="","",IF(I63&gt;G63,"LATE",""))</f>
        <v/>
      </c>
      <c r="K63" t="inlineStr">
        <is>
          <t>No application</t>
        </is>
      </c>
    </row>
    <row r="64">
      <c r="A64" t="inlineStr">
        <is>
          <t>TA-2023-00136</t>
        </is>
      </c>
      <c r="B64" t="inlineStr">
        <is>
          <t>Sejahtera Eye Centre</t>
        </is>
      </c>
      <c r="C64" t="inlineStr">
        <is>
          <t>U-CD118-01-11</t>
        </is>
      </c>
      <c r="D64" t="inlineStr">
        <is>
          <t>Optical</t>
        </is>
      </c>
      <c r="E64" s="4" t="n">
        <v>46356</v>
      </c>
      <c r="F64" s="5" t="n">
        <v>2600</v>
      </c>
      <c r="G64" s="4">
        <f>EDATE(E64,-6)</f>
        <v/>
      </c>
      <c r="I64" s="4" t="n"/>
      <c r="J64">
        <f>IF(I64="","",IF(I64&gt;G64,"LATE",""))</f>
        <v/>
      </c>
      <c r="K64" t="inlineStr">
        <is>
          <t>No application</t>
        </is>
      </c>
    </row>
    <row r="65">
      <c r="A65" t="inlineStr">
        <is>
          <t>TA-2023-00137</t>
        </is>
      </c>
      <c r="B65" t="inlineStr">
        <is>
          <t>Chop Wah Supermarket Pte Ltd</t>
        </is>
      </c>
      <c r="C65" t="inlineStr">
        <is>
          <t>U-CD120-01-11</t>
        </is>
      </c>
      <c r="D65" t="inlineStr">
        <is>
          <t>Minimart</t>
        </is>
      </c>
      <c r="E65" s="4" t="n">
        <v>46356</v>
      </c>
      <c r="F65" s="5" t="n">
        <v>3600</v>
      </c>
      <c r="G65" s="4">
        <f>EDATE(E65,-6)</f>
        <v/>
      </c>
      <c r="I65" s="4" t="n"/>
      <c r="J65">
        <f>IF(I65="","",IF(I65&gt;G65,"LATE",""))</f>
        <v/>
      </c>
      <c r="K65" t="inlineStr">
        <is>
          <t>No application</t>
        </is>
      </c>
    </row>
    <row r="66">
      <c r="A66" t="inlineStr">
        <is>
          <t>TA-2023-00139</t>
        </is>
      </c>
      <c r="B66" t="inlineStr">
        <is>
          <t>Hup Seng Dry Cleaners</t>
        </is>
      </c>
      <c r="C66" t="inlineStr">
        <is>
          <t>U-CD120-01-12</t>
        </is>
      </c>
      <c r="D66" t="inlineStr">
        <is>
          <t>Laundry</t>
        </is>
      </c>
      <c r="E66" s="4" t="n">
        <v>46356</v>
      </c>
      <c r="F66" s="5" t="n">
        <v>4010</v>
      </c>
      <c r="G66" s="4">
        <f>EDATE(E66,-6)</f>
        <v/>
      </c>
      <c r="I66" s="4" t="n"/>
      <c r="J66">
        <f>IF(I66="","",IF(I66&gt;G66,"LATE",""))</f>
        <v/>
      </c>
      <c r="K66" t="inlineStr">
        <is>
          <t>No application</t>
        </is>
      </c>
    </row>
    <row r="67">
      <c r="A67" t="inlineStr">
        <is>
          <t>TA-2023-00140</t>
        </is>
      </c>
      <c r="B67" t="inlineStr">
        <is>
          <t>Golden Leaf Provision Shop Pte Ltd</t>
        </is>
      </c>
      <c r="C67" t="inlineStr">
        <is>
          <t>U-CD165-01-05</t>
        </is>
      </c>
      <c r="D67" t="inlineStr">
        <is>
          <t>Provision Shop</t>
        </is>
      </c>
      <c r="E67" s="4" t="n">
        <v>46356</v>
      </c>
      <c r="F67" s="5" t="n">
        <v>4450</v>
      </c>
      <c r="G67" s="4">
        <f>EDATE(E67,-6)</f>
        <v/>
      </c>
      <c r="I67" s="4" t="n"/>
      <c r="J67">
        <f>IF(I67="","",IF(I67&gt;G67,"LATE",""))</f>
        <v/>
      </c>
      <c r="K67" t="inlineStr">
        <is>
          <t>No application</t>
        </is>
      </c>
    </row>
    <row r="68">
      <c r="A68" t="inlineStr">
        <is>
          <t>TA-2023-00141</t>
        </is>
      </c>
      <c r="B68" t="inlineStr">
        <is>
          <t>Hometown Agency Pte Ltd</t>
        </is>
      </c>
      <c r="C68" t="inlineStr">
        <is>
          <t>U-CD174-01-11</t>
        </is>
      </c>
      <c r="D68" t="inlineStr">
        <is>
          <t>Professional Services Office</t>
        </is>
      </c>
      <c r="E68" s="4" t="n">
        <v>46356</v>
      </c>
      <c r="F68" s="5" t="n">
        <v>2440</v>
      </c>
      <c r="G68" s="4">
        <f>EDATE(E68,-6)</f>
        <v/>
      </c>
      <c r="I68" s="4" t="n"/>
      <c r="J68">
        <f>IF(I68="","",IF(I68&gt;G68,"LATE",""))</f>
        <v/>
      </c>
      <c r="K68" t="inlineStr">
        <is>
          <t>No application</t>
        </is>
      </c>
    </row>
    <row r="69">
      <c r="A69" t="inlineStr">
        <is>
          <t>TA-2023-00143</t>
        </is>
      </c>
      <c r="B69" t="inlineStr">
        <is>
          <t>Siva Boba Bar</t>
        </is>
      </c>
      <c r="C69" t="inlineStr">
        <is>
          <t>U-CD185-01-05</t>
        </is>
      </c>
      <c r="D69" t="inlineStr">
        <is>
          <t>Bubble Tea</t>
        </is>
      </c>
      <c r="E69" s="4" t="n">
        <v>46356</v>
      </c>
      <c r="F69" s="5" t="n">
        <v>900</v>
      </c>
      <c r="G69" s="4">
        <f>EDATE(E69,-6)</f>
        <v/>
      </c>
      <c r="I69" s="4" t="n"/>
      <c r="J69">
        <f>IF(I69="","",IF(I69&gt;G69,"LATE",""))</f>
        <v/>
      </c>
      <c r="K69" t="inlineStr">
        <is>
          <t>No application</t>
        </is>
      </c>
    </row>
    <row r="70">
      <c r="A70" t="inlineStr">
        <is>
          <t>TA-2023-00145</t>
        </is>
      </c>
      <c r="B70" t="inlineStr">
        <is>
          <t>Nur Tea House Pte Ltd</t>
        </is>
      </c>
      <c r="C70" t="inlineStr">
        <is>
          <t>U-CD190-01-07</t>
        </is>
      </c>
      <c r="D70" t="inlineStr">
        <is>
          <t>Bubble Tea</t>
        </is>
      </c>
      <c r="E70" s="4" t="n">
        <v>46356</v>
      </c>
      <c r="F70" s="5" t="n">
        <v>1570</v>
      </c>
      <c r="G70" s="4">
        <f>EDATE(E70,-6)</f>
        <v/>
      </c>
      <c r="I70" s="4" t="n"/>
      <c r="J70">
        <f>IF(I70="","",IF(I70&gt;G70,"LATE",""))</f>
        <v/>
      </c>
      <c r="K70" t="inlineStr">
        <is>
          <t>No application</t>
        </is>
      </c>
    </row>
    <row r="71">
      <c r="A71" t="inlineStr">
        <is>
          <t>TA-2023-00146</t>
        </is>
      </c>
      <c r="B71" t="inlineStr">
        <is>
          <t>Chop Wah Medical Hall</t>
        </is>
      </c>
      <c r="C71" t="inlineStr">
        <is>
          <t>U-KR305-01-08</t>
        </is>
      </c>
      <c r="D71" t="inlineStr">
        <is>
          <t>TCM Clinic</t>
        </is>
      </c>
      <c r="E71" s="4" t="n">
        <v>46356</v>
      </c>
      <c r="F71" s="5" t="n">
        <v>3630</v>
      </c>
      <c r="G71" s="4">
        <f>EDATE(E71,-6)</f>
        <v/>
      </c>
      <c r="I71" s="4" t="n"/>
      <c r="J71">
        <f>IF(I71="","",IF(I71&gt;G71,"LATE",""))</f>
        <v/>
      </c>
      <c r="K71" t="inlineStr">
        <is>
          <t>No application</t>
        </is>
      </c>
    </row>
    <row r="72">
      <c r="A72" t="inlineStr">
        <is>
          <t>TA-2023-00147</t>
        </is>
      </c>
      <c r="B72" t="inlineStr">
        <is>
          <t>Ananda Bookstore Pte Ltd</t>
        </is>
      </c>
      <c r="C72" t="inlineStr">
        <is>
          <t>U-KR329-01-05</t>
        </is>
      </c>
      <c r="D72" t="inlineStr">
        <is>
          <t>Stationery &amp; Books</t>
        </is>
      </c>
      <c r="E72" s="4" t="n">
        <v>46356</v>
      </c>
      <c r="F72" s="5" t="n">
        <v>6000</v>
      </c>
      <c r="G72" s="4">
        <f>EDATE(E72,-6)</f>
        <v/>
      </c>
      <c r="I72" s="4" t="n"/>
      <c r="J72">
        <f>IF(I72="","",IF(I72&gt;G72,"LATE",""))</f>
        <v/>
      </c>
      <c r="K72" t="inlineStr">
        <is>
          <t>No application</t>
        </is>
      </c>
    </row>
    <row r="73">
      <c r="A73" t="inlineStr">
        <is>
          <t>TA-2023-00149</t>
        </is>
      </c>
      <c r="B73" t="inlineStr">
        <is>
          <t>Bright Path Confectionery Pte Ltd</t>
        </is>
      </c>
      <c r="C73" t="inlineStr">
        <is>
          <t>U-KR329-01-10</t>
        </is>
      </c>
      <c r="D73" t="inlineStr">
        <is>
          <t>Bakery &amp; Confectionery</t>
        </is>
      </c>
      <c r="E73" s="4" t="n">
        <v>46356</v>
      </c>
      <c r="F73" s="5" t="n">
        <v>3220</v>
      </c>
      <c r="G73" s="4">
        <f>EDATE(E73,-6)</f>
        <v/>
      </c>
      <c r="I73" s="4" t="n"/>
      <c r="J73">
        <f>IF(I73="","",IF(I73&gt;G73,"LATE",""))</f>
        <v/>
      </c>
      <c r="K73" t="inlineStr">
        <is>
          <t>No application</t>
        </is>
      </c>
    </row>
    <row r="74">
      <c r="A74" t="inlineStr">
        <is>
          <t>TA-2023-00151</t>
        </is>
      </c>
      <c r="B74" t="inlineStr">
        <is>
          <t>Sunflower Tea House</t>
        </is>
      </c>
      <c r="C74" t="inlineStr">
        <is>
          <t>U-KR330-01-03</t>
        </is>
      </c>
      <c r="D74" t="inlineStr">
        <is>
          <t>Bubble Tea</t>
        </is>
      </c>
      <c r="E74" s="4" t="n">
        <v>46356</v>
      </c>
      <c r="F74" s="5" t="n">
        <v>3610</v>
      </c>
      <c r="G74" s="4">
        <f>EDATE(E74,-6)</f>
        <v/>
      </c>
      <c r="I74" s="4" t="n"/>
      <c r="J74">
        <f>IF(I74="","",IF(I74&gt;G74,"LATE",""))</f>
        <v/>
      </c>
      <c r="K74" t="inlineStr">
        <is>
          <t>No application</t>
        </is>
      </c>
    </row>
    <row r="75">
      <c r="A75" t="inlineStr">
        <is>
          <t>TA-2023-00153</t>
        </is>
      </c>
      <c r="B75" t="inlineStr">
        <is>
          <t>Sunflower Dental Surgery</t>
        </is>
      </c>
      <c r="C75" t="inlineStr">
        <is>
          <t>U-KR359-01-12</t>
        </is>
      </c>
      <c r="D75" t="inlineStr">
        <is>
          <t>Dental Clinic</t>
        </is>
      </c>
      <c r="E75" s="4" t="n">
        <v>46356</v>
      </c>
      <c r="F75" s="5" t="n">
        <v>2860</v>
      </c>
      <c r="G75" s="4">
        <f>EDATE(E75,-6)</f>
        <v/>
      </c>
      <c r="I75" s="4" t="n"/>
      <c r="J75">
        <f>IF(I75="","",IF(I75&gt;G75,"LATE",""))</f>
        <v/>
      </c>
      <c r="K75" t="inlineStr">
        <is>
          <t>No application</t>
        </is>
      </c>
    </row>
    <row r="76">
      <c r="A76" t="inlineStr">
        <is>
          <t>TA-2023-00154</t>
        </is>
      </c>
      <c r="B76" t="inlineStr">
        <is>
          <t>Nur Boba Bar Pte Ltd</t>
        </is>
      </c>
      <c r="C76" t="inlineStr">
        <is>
          <t>U-KR368-01-04</t>
        </is>
      </c>
      <c r="D76" t="inlineStr">
        <is>
          <t>Bubble Tea</t>
        </is>
      </c>
      <c r="E76" s="4" t="n">
        <v>46356</v>
      </c>
      <c r="F76" s="5" t="n">
        <v>960</v>
      </c>
      <c r="G76" s="4">
        <f>EDATE(E76,-6)</f>
        <v/>
      </c>
      <c r="I76" s="4" t="n"/>
      <c r="J76">
        <f>IF(I76="","",IF(I76&gt;G76,"LATE",""))</f>
        <v/>
      </c>
      <c r="K76" t="inlineStr">
        <is>
          <t>No application</t>
        </is>
      </c>
    </row>
    <row r="77">
      <c r="A77" t="inlineStr">
        <is>
          <t>TA-2023-00156</t>
        </is>
      </c>
      <c r="B77" t="inlineStr">
        <is>
          <t>PrimeValue Mart Pte Ltd</t>
        </is>
      </c>
      <c r="C77" t="inlineStr">
        <is>
          <t>U-PI627-01-34</t>
        </is>
      </c>
      <c r="D77" t="inlineStr">
        <is>
          <t>Minimart</t>
        </is>
      </c>
      <c r="E77" s="4" t="n">
        <v>46356</v>
      </c>
      <c r="F77" s="5" t="n">
        <v>2830</v>
      </c>
      <c r="G77" s="4">
        <f>EDATE(E77,-6)</f>
        <v/>
      </c>
      <c r="I77" s="4" t="n"/>
      <c r="J77">
        <f>IF(I77="","",IF(I77&gt;G77,"LATE",""))</f>
        <v/>
      </c>
      <c r="K77" t="inlineStr">
        <is>
          <t>No application</t>
        </is>
      </c>
    </row>
    <row r="78">
      <c r="A78" t="inlineStr">
        <is>
          <t>TA-2023-00158</t>
        </is>
      </c>
      <c r="B78" t="inlineStr">
        <is>
          <t>PrimeValue Mart Pte Ltd</t>
        </is>
      </c>
      <c r="C78" t="inlineStr">
        <is>
          <t>U-PI684-01-10</t>
        </is>
      </c>
      <c r="D78" t="inlineStr">
        <is>
          <t>Minimart</t>
        </is>
      </c>
      <c r="E78" s="4" t="n">
        <v>46356</v>
      </c>
      <c r="F78" s="5" t="n">
        <v>4270</v>
      </c>
      <c r="G78" s="4">
        <f>EDATE(E78,-6)</f>
        <v/>
      </c>
      <c r="I78" s="4" t="n"/>
      <c r="J78">
        <f>IF(I78="","",IF(I78&gt;G78,"LATE",""))</f>
        <v/>
      </c>
      <c r="K78" t="inlineStr">
        <is>
          <t>No application</t>
        </is>
      </c>
    </row>
    <row r="79">
      <c r="A79" t="inlineStr">
        <is>
          <t>TA-2023-00160</t>
        </is>
      </c>
      <c r="B79" t="inlineStr">
        <is>
          <t>Kampung Tuition Centre Pte Ltd</t>
        </is>
      </c>
      <c r="C79" t="inlineStr">
        <is>
          <t>U-PI693-02-08</t>
        </is>
      </c>
      <c r="D79" t="inlineStr">
        <is>
          <t>Tuition Centre</t>
        </is>
      </c>
      <c r="E79" s="4" t="n">
        <v>46356</v>
      </c>
      <c r="F79" s="5" t="n">
        <v>1350</v>
      </c>
      <c r="G79" s="4">
        <f>EDATE(E79,-6)</f>
        <v/>
      </c>
      <c r="I79" s="4" t="n"/>
      <c r="J79">
        <f>IF(I79="","",IF(I79&gt;G79,"LATE",""))</f>
        <v/>
      </c>
      <c r="K79" t="inlineStr">
        <is>
          <t>No application</t>
        </is>
      </c>
    </row>
    <row r="80">
      <c r="A80" t="inlineStr">
        <is>
          <t>TA-2023-00161</t>
        </is>
      </c>
      <c r="B80" t="inlineStr">
        <is>
          <t>Little Sprouts Education Hub Pte Ltd</t>
        </is>
      </c>
      <c r="C80" t="inlineStr">
        <is>
          <t>U-PI693-02-12</t>
        </is>
      </c>
      <c r="D80" t="inlineStr">
        <is>
          <t>Tuition Centre</t>
        </is>
      </c>
      <c r="E80" s="4" t="n">
        <v>46356</v>
      </c>
      <c r="F80" s="5" t="n">
        <v>3480</v>
      </c>
      <c r="G80" s="4">
        <f>EDATE(E80,-6)</f>
        <v/>
      </c>
      <c r="I80" s="4" t="n"/>
      <c r="J80">
        <f>IF(I80="","",IF(I80&gt;G80,"LATE",""))</f>
        <v/>
      </c>
      <c r="K80" t="inlineStr">
        <is>
          <t>No application</t>
        </is>
      </c>
    </row>
    <row r="81">
      <c r="A81" t="inlineStr">
        <is>
          <t>TA-2023-00163</t>
        </is>
      </c>
      <c r="B81" t="inlineStr">
        <is>
          <t>Ananda Remittance Pte Ltd</t>
        </is>
      </c>
      <c r="C81" t="inlineStr">
        <is>
          <t>U-PI696-01-11</t>
        </is>
      </c>
      <c r="D81" t="inlineStr">
        <is>
          <t>Remittance &amp; Money Changer</t>
        </is>
      </c>
      <c r="E81" s="4" t="n">
        <v>46356</v>
      </c>
      <c r="F81" s="5" t="n">
        <v>2470</v>
      </c>
      <c r="G81" s="4">
        <f>EDATE(E81,-6)</f>
        <v/>
      </c>
      <c r="I81" s="4" t="n"/>
      <c r="J81">
        <f>IF(I81="","",IF(I81&gt;G81,"LATE",""))</f>
        <v/>
      </c>
      <c r="K81" t="inlineStr">
        <is>
          <t>No application</t>
        </is>
      </c>
    </row>
    <row r="82">
      <c r="A82" t="inlineStr">
        <is>
          <t>TA-2023-00164</t>
        </is>
      </c>
      <c r="B82" t="inlineStr">
        <is>
          <t>Tian Fu Flowers &amp; Gifts</t>
        </is>
      </c>
      <c r="C82" t="inlineStr">
        <is>
          <t>U-RH401-01-07</t>
        </is>
      </c>
      <c r="D82" t="inlineStr">
        <is>
          <t>Florist</t>
        </is>
      </c>
      <c r="E82" s="4" t="n">
        <v>46356</v>
      </c>
      <c r="F82" s="5" t="n">
        <v>3910</v>
      </c>
      <c r="G82" s="4">
        <f>EDATE(E82,-6)</f>
        <v/>
      </c>
      <c r="I82" s="4" t="n"/>
      <c r="J82">
        <f>IF(I82="","",IF(I82&gt;G82,"LATE",""))</f>
        <v/>
      </c>
      <c r="K82" t="inlineStr">
        <is>
          <t>No application</t>
        </is>
      </c>
    </row>
    <row r="83">
      <c r="A83" t="inlineStr">
        <is>
          <t>TA-2023-00166</t>
        </is>
      </c>
      <c r="B83" t="inlineStr">
        <is>
          <t>PrimeValue Mart Pte Ltd</t>
        </is>
      </c>
      <c r="C83" t="inlineStr">
        <is>
          <t>U-RH408-01-02</t>
        </is>
      </c>
      <c r="D83" t="inlineStr">
        <is>
          <t>Minimart</t>
        </is>
      </c>
      <c r="E83" s="4" t="n">
        <v>46356</v>
      </c>
      <c r="F83" s="5" t="n">
        <v>1880</v>
      </c>
      <c r="G83" s="4">
        <f>EDATE(E83,-6)</f>
        <v/>
      </c>
      <c r="I83" s="4" t="n"/>
      <c r="J83">
        <f>IF(I83="","",IF(I83&gt;G83,"LATE",""))</f>
        <v/>
      </c>
      <c r="K83" t="inlineStr">
        <is>
          <t>No application</t>
        </is>
      </c>
    </row>
    <row r="84">
      <c r="A84" t="inlineStr">
        <is>
          <t>TA-2023-00168</t>
        </is>
      </c>
      <c r="B84" t="inlineStr">
        <is>
          <t>Hock Lee Learning Centre Pte Ltd</t>
        </is>
      </c>
      <c r="C84" t="inlineStr">
        <is>
          <t>U-RH428-01-05</t>
        </is>
      </c>
      <c r="D84" t="inlineStr">
        <is>
          <t>Tuition Centre</t>
        </is>
      </c>
      <c r="E84" s="4" t="n">
        <v>46356</v>
      </c>
      <c r="F84" s="5" t="n">
        <v>5030</v>
      </c>
      <c r="G84" s="4">
        <f>EDATE(E84,-6)</f>
        <v/>
      </c>
      <c r="I84" s="4" t="n"/>
      <c r="J84">
        <f>IF(I84="","",IF(I84&gt;G84,"LATE",""))</f>
        <v/>
      </c>
      <c r="K84" t="inlineStr">
        <is>
          <t>No application</t>
        </is>
      </c>
    </row>
    <row r="85">
      <c r="A85" t="inlineStr">
        <is>
          <t>TA-2023-00169</t>
        </is>
      </c>
      <c r="B85" t="inlineStr">
        <is>
          <t>Swee Heng Hardware &amp; Electrical Pte Ltd</t>
        </is>
      </c>
      <c r="C85" t="inlineStr">
        <is>
          <t>U-RH428-01-08</t>
        </is>
      </c>
      <c r="D85" t="inlineStr">
        <is>
          <t>Hardware</t>
        </is>
      </c>
      <c r="E85" s="4" t="n">
        <v>46356</v>
      </c>
      <c r="F85" s="5" t="n">
        <v>2580</v>
      </c>
      <c r="G85" s="4">
        <f>EDATE(E85,-6)</f>
        <v/>
      </c>
      <c r="I85" s="4" t="n"/>
      <c r="J85">
        <f>IF(I85="","",IF(I85&gt;G85,"LATE",""))</f>
        <v/>
      </c>
      <c r="K85" t="inlineStr">
        <is>
          <t>No application</t>
        </is>
      </c>
    </row>
    <row r="86">
      <c r="A86" t="inlineStr">
        <is>
          <t>TA-2023-00171</t>
        </is>
      </c>
      <c r="B86" t="inlineStr">
        <is>
          <t>Kampung Medical Clinic Pte Ltd</t>
        </is>
      </c>
      <c r="C86" t="inlineStr">
        <is>
          <t>U-RH450-02-06</t>
        </is>
      </c>
      <c r="D86" t="inlineStr">
        <is>
          <t>GP Clinic</t>
        </is>
      </c>
      <c r="E86" s="4" t="n">
        <v>46356</v>
      </c>
      <c r="F86" s="5" t="n">
        <v>3070</v>
      </c>
      <c r="G86" s="4">
        <f>EDATE(E86,-6)</f>
        <v/>
      </c>
      <c r="I86" s="4" t="n"/>
      <c r="J86">
        <f>IF(I86="","",IF(I86&gt;G86,"LATE",""))</f>
        <v/>
      </c>
      <c r="K86" t="inlineStr">
        <is>
          <t>No application</t>
        </is>
      </c>
    </row>
    <row r="87">
      <c r="A87" t="inlineStr">
        <is>
          <t>TA-2023-00173</t>
        </is>
      </c>
      <c r="B87" t="inlineStr">
        <is>
          <t>Daily Fresh Tuition Centre Pte Ltd</t>
        </is>
      </c>
      <c r="C87" t="inlineStr">
        <is>
          <t>U-RH455-02-24</t>
        </is>
      </c>
      <c r="D87" t="inlineStr">
        <is>
          <t>Tuition Centre</t>
        </is>
      </c>
      <c r="E87" s="4" t="n">
        <v>46356</v>
      </c>
      <c r="F87" s="5" t="n">
        <v>1470</v>
      </c>
      <c r="G87" s="4">
        <f>EDATE(E87,-6)</f>
        <v/>
      </c>
      <c r="I87" s="4" t="n"/>
      <c r="J87">
        <f>IF(I87="","",IF(I87&gt;G87,"LATE",""))</f>
        <v/>
      </c>
      <c r="K87" t="inlineStr">
        <is>
          <t>No application</t>
        </is>
      </c>
    </row>
    <row r="88">
      <c r="A88" t="inlineStr">
        <is>
          <t>TA-2023-00175</t>
        </is>
      </c>
      <c r="B88" t="inlineStr">
        <is>
          <t>Mei Ling Mobile</t>
        </is>
      </c>
      <c r="C88" t="inlineStr">
        <is>
          <t>U-RH466-01-01</t>
        </is>
      </c>
      <c r="D88" t="inlineStr">
        <is>
          <t>Mobile Phone &amp; Accessories</t>
        </is>
      </c>
      <c r="E88" s="4" t="n">
        <v>46356</v>
      </c>
      <c r="F88" s="5" t="n">
        <v>900</v>
      </c>
      <c r="G88" s="4">
        <f>EDATE(E88,-6)</f>
        <v/>
      </c>
      <c r="I88" s="4" t="n"/>
      <c r="J88">
        <f>IF(I88="","",IF(I88&gt;G88,"LATE",""))</f>
        <v/>
      </c>
      <c r="K88" t="inlineStr">
        <is>
          <t>No application</t>
        </is>
      </c>
    </row>
    <row r="89">
      <c r="A89" t="inlineStr">
        <is>
          <t>TA-2023-00177</t>
        </is>
      </c>
      <c r="B89" t="inlineStr">
        <is>
          <t>Cosy Florist Pte Ltd</t>
        </is>
      </c>
      <c r="C89" t="inlineStr">
        <is>
          <t>U-RH482-01-07</t>
        </is>
      </c>
      <c r="D89" t="inlineStr">
        <is>
          <t>Florist</t>
        </is>
      </c>
      <c r="E89" s="4" t="n">
        <v>46356</v>
      </c>
      <c r="F89" s="5" t="n">
        <v>3560</v>
      </c>
      <c r="G89" s="4">
        <f>EDATE(E89,-6)</f>
        <v/>
      </c>
      <c r="I89" s="4" t="n"/>
      <c r="J89">
        <f>IF(I89="","",IF(I89&gt;G89,"LATE",""))</f>
        <v/>
      </c>
      <c r="K89" t="inlineStr">
        <is>
          <t>No application</t>
        </is>
      </c>
    </row>
    <row r="90">
      <c r="A90" t="inlineStr">
        <is>
          <t>TA-2023-00178</t>
        </is>
      </c>
      <c r="B90" t="inlineStr">
        <is>
          <t>Treasure Remittance</t>
        </is>
      </c>
      <c r="C90" t="inlineStr">
        <is>
          <t>U-RH486-01-07</t>
        </is>
      </c>
      <c r="D90" t="inlineStr">
        <is>
          <t>Remittance &amp; Money Changer</t>
        </is>
      </c>
      <c r="E90" s="4" t="n">
        <v>46356</v>
      </c>
      <c r="F90" s="5" t="n">
        <v>2080</v>
      </c>
      <c r="G90" s="4">
        <f>EDATE(E90,-6)</f>
        <v/>
      </c>
      <c r="I90" s="4" t="n"/>
      <c r="J90">
        <f>IF(I90="","",IF(I90&gt;G90,"LATE",""))</f>
        <v/>
      </c>
      <c r="K90" t="inlineStr">
        <is>
          <t>No application</t>
        </is>
      </c>
    </row>
    <row r="91">
      <c r="A91" t="inlineStr">
        <is>
          <t>TA-2023-00180</t>
        </is>
      </c>
      <c r="B91" t="inlineStr">
        <is>
          <t>Harmony Aquarium &amp; Pets</t>
        </is>
      </c>
      <c r="C91" t="inlineStr">
        <is>
          <t>U-ST501-01-07</t>
        </is>
      </c>
      <c r="D91" t="inlineStr">
        <is>
          <t>Pet Shop</t>
        </is>
      </c>
      <c r="E91" s="4" t="n">
        <v>46356</v>
      </c>
      <c r="F91" s="5" t="n">
        <v>2990</v>
      </c>
      <c r="G91" s="4">
        <f>EDATE(E91,-6)</f>
        <v/>
      </c>
      <c r="I91" s="4" t="n"/>
      <c r="J91">
        <f>IF(I91="","",IF(I91&gt;G91,"LATE",""))</f>
        <v/>
      </c>
      <c r="K91" t="inlineStr">
        <is>
          <t>No application</t>
        </is>
      </c>
    </row>
    <row r="92">
      <c r="A92" t="inlineStr">
        <is>
          <t>TA-2023-00181</t>
        </is>
      </c>
      <c r="B92" t="inlineStr">
        <is>
          <t>Ever Joy Telecom Pte Ltd</t>
        </is>
      </c>
      <c r="C92" t="inlineStr">
        <is>
          <t>U-ST512-01-34</t>
        </is>
      </c>
      <c r="D92" t="inlineStr">
        <is>
          <t>Mobile Phone &amp; Accessories</t>
        </is>
      </c>
      <c r="E92" s="4" t="n">
        <v>46356</v>
      </c>
      <c r="F92" s="5" t="n">
        <v>3660</v>
      </c>
      <c r="G92" s="4">
        <f>EDATE(E92,-6)</f>
        <v/>
      </c>
      <c r="I92" s="4" t="n"/>
      <c r="J92">
        <f>IF(I92="","",IF(I92&gt;G92,"LATE",""))</f>
        <v/>
      </c>
      <c r="K92" t="inlineStr">
        <is>
          <t>No application</t>
        </is>
      </c>
    </row>
    <row r="93">
      <c r="A93" t="inlineStr">
        <is>
          <t>TA-2023-00182</t>
        </is>
      </c>
      <c r="B93" t="inlineStr">
        <is>
          <t>Soon Hin Flowers &amp; Gifts</t>
        </is>
      </c>
      <c r="C93" t="inlineStr">
        <is>
          <t>U-ST513-01-01</t>
        </is>
      </c>
      <c r="D93" t="inlineStr">
        <is>
          <t>Florist</t>
        </is>
      </c>
      <c r="E93" s="4" t="n">
        <v>46356</v>
      </c>
      <c r="F93" s="5" t="n">
        <v>1930</v>
      </c>
      <c r="G93" s="4">
        <f>EDATE(E93,-6)</f>
        <v/>
      </c>
      <c r="I93" s="4" t="n"/>
      <c r="J93">
        <f>IF(I93="","",IF(I93&gt;G93,"LATE",""))</f>
        <v/>
      </c>
      <c r="K93" t="inlineStr">
        <is>
          <t>No application</t>
        </is>
      </c>
    </row>
    <row r="94">
      <c r="A94" t="inlineStr">
        <is>
          <t>TA-2023-00183</t>
        </is>
      </c>
      <c r="B94" t="inlineStr">
        <is>
          <t>Happy Paws Hardware &amp; Electrical Pte Ltd</t>
        </is>
      </c>
      <c r="C94" t="inlineStr">
        <is>
          <t>U-ST522-01-02</t>
        </is>
      </c>
      <c r="D94" t="inlineStr">
        <is>
          <t>Hardware</t>
        </is>
      </c>
      <c r="E94" s="4" t="n">
        <v>46356</v>
      </c>
      <c r="F94" s="5" t="n">
        <v>3190</v>
      </c>
      <c r="G94" s="4">
        <f>EDATE(E94,-6)</f>
        <v/>
      </c>
      <c r="I94" s="4" t="n"/>
      <c r="J94">
        <f>IF(I94="","",IF(I94&gt;G94,"LATE",""))</f>
        <v/>
      </c>
      <c r="K94" t="inlineStr">
        <is>
          <t>No application</t>
        </is>
      </c>
    </row>
    <row r="95">
      <c r="A95" t="inlineStr">
        <is>
          <t>TA-2023-00184</t>
        </is>
      </c>
      <c r="B95" t="inlineStr">
        <is>
          <t>Kumar Fruits Pte Ltd</t>
        </is>
      </c>
      <c r="C95" t="inlineStr">
        <is>
          <t>U-ST537-01-04</t>
        </is>
      </c>
      <c r="D95" t="inlineStr">
        <is>
          <t>Fruit Shop</t>
        </is>
      </c>
      <c r="E95" s="4" t="n">
        <v>46356</v>
      </c>
      <c r="F95" s="5" t="n">
        <v>2580</v>
      </c>
      <c r="G95" s="4">
        <f>EDATE(E95,-6)</f>
        <v/>
      </c>
      <c r="I95" s="4" t="n"/>
      <c r="J95">
        <f>IF(I95="","",IF(I95&gt;G95,"LATE",""))</f>
        <v/>
      </c>
      <c r="K95" t="inlineStr">
        <is>
          <t>No application</t>
        </is>
      </c>
    </row>
    <row r="96">
      <c r="A96" t="inlineStr">
        <is>
          <t>TA-2023-00185</t>
        </is>
      </c>
      <c r="B96" t="inlineStr">
        <is>
          <t>Smart Kids Hardware &amp; Electrical Pte Ltd</t>
        </is>
      </c>
      <c r="C96" t="inlineStr">
        <is>
          <t>U-ST556-01-08</t>
        </is>
      </c>
      <c r="D96" t="inlineStr">
        <is>
          <t>Hardware</t>
        </is>
      </c>
      <c r="E96" s="4" t="n">
        <v>46356</v>
      </c>
      <c r="F96" s="5" t="n">
        <v>2570</v>
      </c>
      <c r="G96" s="4">
        <f>EDATE(E96,-6)</f>
        <v/>
      </c>
      <c r="I96" s="4" t="n"/>
      <c r="J96">
        <f>IF(I96="","",IF(I96&gt;G96,"LATE",""))</f>
        <v/>
      </c>
      <c r="K96" t="inlineStr">
        <is>
          <t>No application</t>
        </is>
      </c>
    </row>
    <row r="97">
      <c r="A97" t="inlineStr">
        <is>
          <t>TA-2024-00002</t>
        </is>
      </c>
      <c r="B97" t="inlineStr">
        <is>
          <t>Happy Paws Dental Surgery</t>
        </is>
      </c>
      <c r="C97" t="inlineStr">
        <is>
          <t>U-BV214-02-21</t>
        </is>
      </c>
      <c r="D97" t="inlineStr">
        <is>
          <t>Dental Clinic</t>
        </is>
      </c>
      <c r="E97" s="4" t="n">
        <v>46387</v>
      </c>
      <c r="F97" s="5" t="n">
        <v>3880</v>
      </c>
      <c r="G97" s="4">
        <f>EDATE(E97,-6)</f>
        <v/>
      </c>
      <c r="I97" s="4" t="n"/>
      <c r="J97">
        <f>IF(I97="","",IF(I97&gt;G97,"LATE",""))</f>
        <v/>
      </c>
      <c r="K97" t="inlineStr">
        <is>
          <t>No application</t>
        </is>
      </c>
    </row>
    <row r="98">
      <c r="A98" t="inlineStr">
        <is>
          <t>TA-2024-00003</t>
        </is>
      </c>
      <c r="B98" t="inlineStr">
        <is>
          <t>Smart Kids Clinic &amp; Surgery</t>
        </is>
      </c>
      <c r="C98" t="inlineStr">
        <is>
          <t>U-BV215-01-08</t>
        </is>
      </c>
      <c r="D98" t="inlineStr">
        <is>
          <t>GP Clinic</t>
        </is>
      </c>
      <c r="E98" s="4" t="n">
        <v>46387</v>
      </c>
      <c r="F98" s="5" t="n">
        <v>4010</v>
      </c>
      <c r="G98" s="4">
        <f>EDATE(E98,-6)</f>
        <v/>
      </c>
      <c r="I98" s="4" t="n"/>
      <c r="J98">
        <f>IF(I98="","",IF(I98&gt;G98,"LATE",""))</f>
        <v/>
      </c>
      <c r="K98" t="inlineStr">
        <is>
          <t>No application</t>
        </is>
      </c>
    </row>
    <row r="99">
      <c r="A99" t="inlineStr">
        <is>
          <t>TA-2024-00004</t>
        </is>
      </c>
      <c r="B99" t="inlineStr">
        <is>
          <t>Green Leaf Education Hub</t>
        </is>
      </c>
      <c r="C99" t="inlineStr">
        <is>
          <t>U-BV216-02-10</t>
        </is>
      </c>
      <c r="D99" t="inlineStr">
        <is>
          <t>Tuition Centre</t>
        </is>
      </c>
      <c r="E99" s="4" t="n">
        <v>46387</v>
      </c>
      <c r="F99" s="5" t="n">
        <v>2490</v>
      </c>
      <c r="G99" s="4">
        <f>EDATE(E99,-6)</f>
        <v/>
      </c>
      <c r="I99" s="4" t="n"/>
      <c r="J99">
        <f>IF(I99="","",IF(I99&gt;G99,"LATE",""))</f>
        <v/>
      </c>
      <c r="K99" t="inlineStr">
        <is>
          <t>No application</t>
        </is>
      </c>
    </row>
    <row r="100">
      <c r="A100" t="inlineStr">
        <is>
          <t>TA-2024-00006</t>
        </is>
      </c>
      <c r="B100" t="inlineStr">
        <is>
          <t>Ah Seng Stationery Pte Ltd</t>
        </is>
      </c>
      <c r="C100" t="inlineStr">
        <is>
          <t>U-BV219-01-04</t>
        </is>
      </c>
      <c r="D100" t="inlineStr">
        <is>
          <t>Stationery &amp; Books</t>
        </is>
      </c>
      <c r="E100" s="4" t="n">
        <v>46387</v>
      </c>
      <c r="F100" s="5" t="n">
        <v>3120</v>
      </c>
      <c r="G100" s="4">
        <f>EDATE(E100,-6)</f>
        <v/>
      </c>
      <c r="I100" s="4" t="n"/>
      <c r="J100">
        <f>IF(I100="","",IF(I100&gt;G100,"LATE",""))</f>
        <v/>
      </c>
      <c r="K100" t="inlineStr">
        <is>
          <t>No application</t>
        </is>
      </c>
    </row>
    <row r="101">
      <c r="A101" t="inlineStr">
        <is>
          <t>TA-2024-00008</t>
        </is>
      </c>
      <c r="B101" t="inlineStr">
        <is>
          <t>Little Sprouts Provision Shop Pte Ltd</t>
        </is>
      </c>
      <c r="C101" t="inlineStr">
        <is>
          <t>U-BV227-01-01</t>
        </is>
      </c>
      <c r="D101" t="inlineStr">
        <is>
          <t>Provision Shop</t>
        </is>
      </c>
      <c r="E101" s="4" t="n">
        <v>46387</v>
      </c>
      <c r="F101" s="5" t="n">
        <v>3120</v>
      </c>
      <c r="G101" s="4">
        <f>EDATE(E101,-6)</f>
        <v/>
      </c>
      <c r="I101" s="4" t="n"/>
      <c r="J101">
        <f>IF(I101="","",IF(I101&gt;G101,"LATE",""))</f>
        <v/>
      </c>
      <c r="K101" t="inlineStr">
        <is>
          <t>No application</t>
        </is>
      </c>
    </row>
    <row r="102">
      <c r="A102" t="inlineStr">
        <is>
          <t>TA-2024-00009</t>
        </is>
      </c>
      <c r="B102" t="inlineStr">
        <is>
          <t>Sunflower Telecom Pte Ltd</t>
        </is>
      </c>
      <c r="C102" t="inlineStr">
        <is>
          <t>U-BV231-01-05</t>
        </is>
      </c>
      <c r="D102" t="inlineStr">
        <is>
          <t>Mobile Phone &amp; Accessories</t>
        </is>
      </c>
      <c r="E102" s="4" t="n">
        <v>46387</v>
      </c>
      <c r="F102" s="5" t="n">
        <v>1740</v>
      </c>
      <c r="G102" s="4">
        <f>EDATE(E102,-6)</f>
        <v/>
      </c>
      <c r="I102" s="4" t="n"/>
      <c r="J102">
        <f>IF(I102="","",IF(I102&gt;G102,"LATE",""))</f>
        <v/>
      </c>
      <c r="K102" t="inlineStr">
        <is>
          <t>No application</t>
        </is>
      </c>
    </row>
    <row r="103">
      <c r="A103" t="inlineStr">
        <is>
          <t>TA-2024-00011</t>
        </is>
      </c>
      <c r="B103" t="inlineStr">
        <is>
          <t>Peng Kee Store</t>
        </is>
      </c>
      <c r="C103" t="inlineStr">
        <is>
          <t>U-BV279-01-05</t>
        </is>
      </c>
      <c r="D103" t="inlineStr">
        <is>
          <t>Provision Shop</t>
        </is>
      </c>
      <c r="E103" s="4" t="n">
        <v>46387</v>
      </c>
      <c r="F103" s="5" t="n">
        <v>4580</v>
      </c>
      <c r="G103" s="4">
        <f>EDATE(E103,-6)</f>
        <v/>
      </c>
      <c r="I103" s="4" t="n"/>
      <c r="J103">
        <f>IF(I103="","",IF(I103&gt;G103,"LATE",""))</f>
        <v/>
      </c>
      <c r="K103" t="inlineStr">
        <is>
          <t>No application</t>
        </is>
      </c>
    </row>
    <row r="104">
      <c r="A104" t="inlineStr">
        <is>
          <t>TA-2024-00012</t>
        </is>
      </c>
      <c r="B104" t="inlineStr">
        <is>
          <t>PrimeValue Mart Pte Ltd</t>
        </is>
      </c>
      <c r="C104" t="inlineStr">
        <is>
          <t>U-BV288-01-06</t>
        </is>
      </c>
      <c r="D104" t="inlineStr">
        <is>
          <t>Minimart</t>
        </is>
      </c>
      <c r="E104" s="4" t="n">
        <v>46387</v>
      </c>
      <c r="F104" s="5" t="n">
        <v>5590</v>
      </c>
      <c r="G104" s="4">
        <f>EDATE(E104,-6)</f>
        <v/>
      </c>
      <c r="I104" s="4" t="n"/>
      <c r="J104">
        <f>IF(I104="","",IF(I104&gt;G104,"LATE",""))</f>
        <v/>
      </c>
      <c r="K104" t="inlineStr">
        <is>
          <t>No application</t>
        </is>
      </c>
    </row>
    <row r="105">
      <c r="A105" t="inlineStr">
        <is>
          <t>TA-2024-00013</t>
        </is>
      </c>
      <c r="B105" t="inlineStr">
        <is>
          <t>Al-Ameen TCM Clinic Pte Ltd</t>
        </is>
      </c>
      <c r="C105" t="inlineStr">
        <is>
          <t>U-CD108-01-01</t>
        </is>
      </c>
      <c r="D105" t="inlineStr">
        <is>
          <t>TCM Clinic</t>
        </is>
      </c>
      <c r="E105" s="4" t="n">
        <v>46387</v>
      </c>
      <c r="F105" s="5" t="n">
        <v>4490</v>
      </c>
      <c r="G105" s="4">
        <f>EDATE(E105,-6)</f>
        <v/>
      </c>
      <c r="I105" s="4" t="n"/>
      <c r="J105">
        <f>IF(I105="","",IF(I105&gt;G105,"LATE",""))</f>
        <v/>
      </c>
      <c r="K105" t="inlineStr">
        <is>
          <t>No application</t>
        </is>
      </c>
    </row>
    <row r="106">
      <c r="A106" t="inlineStr">
        <is>
          <t>TA-2024-00015</t>
        </is>
      </c>
      <c r="B106" t="inlineStr">
        <is>
          <t>Golden Leaf Medical Hall</t>
        </is>
      </c>
      <c r="C106" t="inlineStr">
        <is>
          <t>U-CD118-01-20</t>
        </is>
      </c>
      <c r="D106" t="inlineStr">
        <is>
          <t>TCM Clinic</t>
        </is>
      </c>
      <c r="E106" s="4" t="n">
        <v>46387</v>
      </c>
      <c r="F106" s="5" t="n">
        <v>4350</v>
      </c>
      <c r="G106" s="4">
        <f>EDATE(E106,-6)</f>
        <v/>
      </c>
      <c r="I106" s="4" t="n"/>
      <c r="J106">
        <f>IF(I106="","",IF(I106&gt;G106,"LATE",""))</f>
        <v/>
      </c>
      <c r="K106" t="inlineStr">
        <is>
          <t>No application</t>
        </is>
      </c>
    </row>
    <row r="107">
      <c r="A107" t="inlineStr">
        <is>
          <t>TA-2024-00016</t>
        </is>
      </c>
      <c r="B107" t="inlineStr">
        <is>
          <t>Green Leaf Tuition Centre Pte Ltd</t>
        </is>
      </c>
      <c r="C107" t="inlineStr">
        <is>
          <t>U-CD131-01-03</t>
        </is>
      </c>
      <c r="D107" t="inlineStr">
        <is>
          <t>Tuition Centre</t>
        </is>
      </c>
      <c r="E107" s="4" t="n">
        <v>46387</v>
      </c>
      <c r="F107" s="5" t="n">
        <v>3070</v>
      </c>
      <c r="G107" s="4">
        <f>EDATE(E107,-6)</f>
        <v/>
      </c>
      <c r="I107" s="4" t="n"/>
      <c r="J107">
        <f>IF(I107="","",IF(I107&gt;G107,"LATE",""))</f>
        <v/>
      </c>
      <c r="K107" t="inlineStr">
        <is>
          <t>No application</t>
        </is>
      </c>
    </row>
    <row r="108">
      <c r="A108" t="inlineStr">
        <is>
          <t>TA-2024-00017</t>
        </is>
      </c>
      <c r="B108" t="inlineStr">
        <is>
          <t>Tian Fu Provision Shop</t>
        </is>
      </c>
      <c r="C108" t="inlineStr">
        <is>
          <t>U-CD131-01-11</t>
        </is>
      </c>
      <c r="D108" t="inlineStr">
        <is>
          <t>Provision Shop</t>
        </is>
      </c>
      <c r="E108" s="4" t="n">
        <v>46387</v>
      </c>
      <c r="F108" s="5" t="n">
        <v>4840</v>
      </c>
      <c r="G108" s="4">
        <f>EDATE(E108,-6)</f>
        <v/>
      </c>
      <c r="I108" s="4" t="n"/>
      <c r="J108">
        <f>IF(I108="","",IF(I108&gt;G108,"LATE",""))</f>
        <v/>
      </c>
      <c r="K108" t="inlineStr">
        <is>
          <t>No application</t>
        </is>
      </c>
    </row>
    <row r="109">
      <c r="A109" t="inlineStr">
        <is>
          <t>TA-2024-00018</t>
        </is>
      </c>
      <c r="B109" t="inlineStr">
        <is>
          <t>Prima Locksmith</t>
        </is>
      </c>
      <c r="C109" t="inlineStr">
        <is>
          <t>U-CD133-01-03</t>
        </is>
      </c>
      <c r="D109" t="inlineStr">
        <is>
          <t>Key Cutting &amp; Shoe Repair</t>
        </is>
      </c>
      <c r="E109" s="4" t="n">
        <v>46387</v>
      </c>
      <c r="F109" s="5" t="n">
        <v>1300</v>
      </c>
      <c r="G109" s="4">
        <f>EDATE(E109,-6)</f>
        <v/>
      </c>
      <c r="I109" s="4" t="n"/>
      <c r="J109">
        <f>IF(I109="","",IF(I109&gt;G109,"LATE",""))</f>
        <v/>
      </c>
      <c r="K109" t="inlineStr">
        <is>
          <t>No application</t>
        </is>
      </c>
    </row>
    <row r="110">
      <c r="A110" t="inlineStr">
        <is>
          <t>TA-2024-00019</t>
        </is>
      </c>
      <c r="B110" t="inlineStr">
        <is>
          <t>Tan Brothers Medical Clinic</t>
        </is>
      </c>
      <c r="C110" t="inlineStr">
        <is>
          <t>U-CD135-01-03</t>
        </is>
      </c>
      <c r="D110" t="inlineStr">
        <is>
          <t>GP Clinic</t>
        </is>
      </c>
      <c r="E110" s="4" t="n">
        <v>46387</v>
      </c>
      <c r="F110" s="5" t="n">
        <v>5950</v>
      </c>
      <c r="G110" s="4">
        <f>EDATE(E110,-6)</f>
        <v/>
      </c>
      <c r="I110" s="4" t="n"/>
      <c r="J110">
        <f>IF(I110="","",IF(I110&gt;G110,"LATE",""))</f>
        <v/>
      </c>
      <c r="K110" t="inlineStr">
        <is>
          <t>No application</t>
        </is>
      </c>
    </row>
    <row r="111">
      <c r="A111" t="inlineStr">
        <is>
          <t>TA-2024-00021</t>
        </is>
      </c>
      <c r="B111" t="inlineStr">
        <is>
          <t>Phoenix Provision Shop</t>
        </is>
      </c>
      <c r="C111" t="inlineStr">
        <is>
          <t>U-CD142-01-06</t>
        </is>
      </c>
      <c r="D111" t="inlineStr">
        <is>
          <t>Provision Shop</t>
        </is>
      </c>
      <c r="E111" s="4" t="n">
        <v>46387</v>
      </c>
      <c r="F111" s="5" t="n">
        <v>2710</v>
      </c>
      <c r="G111" s="4">
        <f>EDATE(E111,-6)</f>
        <v/>
      </c>
      <c r="I111" s="4" t="n"/>
      <c r="J111">
        <f>IF(I111="","",IF(I111&gt;G111,"LATE",""))</f>
        <v/>
      </c>
      <c r="K111" t="inlineStr">
        <is>
          <t>No application</t>
        </is>
      </c>
    </row>
    <row r="112">
      <c r="A112" t="inlineStr">
        <is>
          <t>TA-2024-00023</t>
        </is>
      </c>
      <c r="B112" t="inlineStr">
        <is>
          <t>Sunflower Restaurant Pte Ltd</t>
        </is>
      </c>
      <c r="C112" t="inlineStr">
        <is>
          <t>U-CD143-01-09</t>
        </is>
      </c>
      <c r="D112" t="inlineStr">
        <is>
          <t>Restaurant</t>
        </is>
      </c>
      <c r="E112" s="4" t="n">
        <v>46387</v>
      </c>
      <c r="F112" s="5" t="n">
        <v>3910</v>
      </c>
      <c r="G112" s="4">
        <f>EDATE(E112,-6)</f>
        <v/>
      </c>
      <c r="I112" s="4" t="n"/>
      <c r="J112">
        <f>IF(I112="","",IF(I112&gt;G112,"LATE",""))</f>
        <v/>
      </c>
      <c r="K112" t="inlineStr">
        <is>
          <t>No application</t>
        </is>
      </c>
    </row>
    <row r="113">
      <c r="A113" t="inlineStr">
        <is>
          <t>TA-2024-00024</t>
        </is>
      </c>
      <c r="B113" t="inlineStr">
        <is>
          <t>PrimeValue Mart Pte Ltd</t>
        </is>
      </c>
      <c r="C113" t="inlineStr">
        <is>
          <t>U-CD165-01-04</t>
        </is>
      </c>
      <c r="D113" t="inlineStr">
        <is>
          <t>Minimart</t>
        </is>
      </c>
      <c r="E113" s="4" t="n">
        <v>46387</v>
      </c>
      <c r="F113" s="5" t="n">
        <v>4050</v>
      </c>
      <c r="G113" s="4">
        <f>EDATE(E113,-6)</f>
        <v/>
      </c>
      <c r="I113" s="4" t="n"/>
      <c r="J113">
        <f>IF(I113="","",IF(I113&gt;G113,"LATE",""))</f>
        <v/>
      </c>
      <c r="K113" t="inlineStr">
        <is>
          <t>No application</t>
        </is>
      </c>
    </row>
    <row r="114">
      <c r="A114" t="inlineStr">
        <is>
          <t>TA-2024-00025</t>
        </is>
      </c>
      <c r="B114" t="inlineStr">
        <is>
          <t>Bloom Dental Care</t>
        </is>
      </c>
      <c r="C114" t="inlineStr">
        <is>
          <t>U-CD190-02-04</t>
        </is>
      </c>
      <c r="D114" t="inlineStr">
        <is>
          <t>Dental Clinic</t>
        </is>
      </c>
      <c r="E114" s="4" t="n">
        <v>46387</v>
      </c>
      <c r="F114" s="5" t="n">
        <v>3240</v>
      </c>
      <c r="G114" s="4">
        <f>EDATE(E114,-6)</f>
        <v/>
      </c>
      <c r="H114" t="inlineStr">
        <is>
          <t>APP-2025-0046</t>
        </is>
      </c>
      <c r="I114" s="4" t="n">
        <v>45971</v>
      </c>
      <c r="J114">
        <f>IF(I114="","",IF(I114&gt;G114,"LATE",""))</f>
        <v/>
      </c>
      <c r="K114" t="inlineStr">
        <is>
          <t>Approved</t>
        </is>
      </c>
    </row>
    <row r="115">
      <c r="A115" t="inlineStr">
        <is>
          <t>TA-2024-00026</t>
        </is>
      </c>
      <c r="B115" t="inlineStr">
        <is>
          <t>Wellcare Family Clinic</t>
        </is>
      </c>
      <c r="C115" t="inlineStr">
        <is>
          <t>U-KR305-01-12</t>
        </is>
      </c>
      <c r="D115" t="inlineStr">
        <is>
          <t>GP Clinic</t>
        </is>
      </c>
      <c r="E115" s="4" t="n">
        <v>46387</v>
      </c>
      <c r="F115" s="5" t="n">
        <v>6350</v>
      </c>
      <c r="G115" s="4">
        <f>EDATE(E115,-6)</f>
        <v/>
      </c>
      <c r="H115" t="inlineStr">
        <is>
          <t>APP-2026-0293</t>
        </is>
      </c>
      <c r="I115" s="4" t="n">
        <v>46286</v>
      </c>
      <c r="J115">
        <f>IF(I115="","",IF(I115&gt;G115,"LATE",""))</f>
        <v/>
      </c>
      <c r="K115" t="inlineStr">
        <is>
          <t>Pending Documents</t>
        </is>
      </c>
    </row>
    <row r="116">
      <c r="A116" t="inlineStr">
        <is>
          <t>TA-2024-00028</t>
        </is>
      </c>
      <c r="B116" t="inlineStr">
        <is>
          <t>Tan Brothers Restaurant</t>
        </is>
      </c>
      <c r="C116" t="inlineStr">
        <is>
          <t>U-KR305-01-33</t>
        </is>
      </c>
      <c r="D116" t="inlineStr">
        <is>
          <t>Restaurant</t>
        </is>
      </c>
      <c r="E116" s="4" t="n">
        <v>46387</v>
      </c>
      <c r="F116" s="5" t="n">
        <v>5910</v>
      </c>
      <c r="G116" s="4">
        <f>EDATE(E116,-6)</f>
        <v/>
      </c>
      <c r="H116" t="inlineStr">
        <is>
          <t>APP-2026-0182</t>
        </is>
      </c>
      <c r="I116" s="4" t="n">
        <v>46193</v>
      </c>
      <c r="J116">
        <f>IF(I116="","",IF(I116&gt;G116,"LATE",""))</f>
        <v/>
      </c>
      <c r="K116" t="inlineStr">
        <is>
          <t>Approved</t>
        </is>
      </c>
    </row>
    <row r="117">
      <c r="A117" t="inlineStr">
        <is>
          <t>TA-2024-00029</t>
        </is>
      </c>
      <c r="B117" t="inlineStr">
        <is>
          <t>Chop Wah Trading</t>
        </is>
      </c>
      <c r="C117" t="inlineStr">
        <is>
          <t>U-KR310-01-08</t>
        </is>
      </c>
      <c r="D117" t="inlineStr">
        <is>
          <t>Provision Shop</t>
        </is>
      </c>
      <c r="E117" s="4" t="n">
        <v>46387</v>
      </c>
      <c r="F117" s="5" t="n">
        <v>5340</v>
      </c>
      <c r="G117" s="4">
        <f>EDATE(E117,-6)</f>
        <v/>
      </c>
      <c r="I117" s="4" t="n"/>
      <c r="J117">
        <f>IF(I117="","",IF(I117&gt;G117,"LATE",""))</f>
        <v/>
      </c>
      <c r="K117" t="inlineStr">
        <is>
          <t>No application</t>
        </is>
      </c>
    </row>
    <row r="118">
      <c r="A118" t="inlineStr">
        <is>
          <t>TA-2024-00031</t>
        </is>
      </c>
      <c r="B118" t="inlineStr">
        <is>
          <t>Teck Guan Pharmacy Pte Ltd</t>
        </is>
      </c>
      <c r="C118" t="inlineStr">
        <is>
          <t>U-KR317-01-08</t>
        </is>
      </c>
      <c r="D118" t="inlineStr">
        <is>
          <t>Pharmacy</t>
        </is>
      </c>
      <c r="E118" s="4" t="n">
        <v>46387</v>
      </c>
      <c r="F118" s="5" t="n">
        <v>4410</v>
      </c>
      <c r="G118" s="4">
        <f>EDATE(E118,-6)</f>
        <v/>
      </c>
      <c r="I118" s="4" t="n"/>
      <c r="J118">
        <f>IF(I118="","",IF(I118&gt;G118,"LATE",""))</f>
        <v/>
      </c>
      <c r="K118" t="inlineStr">
        <is>
          <t>No application</t>
        </is>
      </c>
    </row>
    <row r="119">
      <c r="A119" t="inlineStr">
        <is>
          <t>TA-2024-00032</t>
        </is>
      </c>
      <c r="B119" t="inlineStr">
        <is>
          <t>Daily Fresh Mart</t>
        </is>
      </c>
      <c r="C119" t="inlineStr">
        <is>
          <t>U-KR327-01-05</t>
        </is>
      </c>
      <c r="D119" t="inlineStr">
        <is>
          <t>Minimart</t>
        </is>
      </c>
      <c r="E119" s="4" t="n">
        <v>46387</v>
      </c>
      <c r="F119" s="5" t="n">
        <v>2550</v>
      </c>
      <c r="G119" s="4">
        <f>EDATE(E119,-6)</f>
        <v/>
      </c>
      <c r="I119" s="4" t="n"/>
      <c r="J119">
        <f>IF(I119="","",IF(I119&gt;G119,"LATE",""))</f>
        <v/>
      </c>
      <c r="K119" t="inlineStr">
        <is>
          <t>No application</t>
        </is>
      </c>
    </row>
    <row r="120">
      <c r="A120" t="inlineStr">
        <is>
          <t>TA-2024-00034</t>
        </is>
      </c>
      <c r="B120" t="inlineStr">
        <is>
          <t>Little Sprouts Confectionery</t>
        </is>
      </c>
      <c r="C120" t="inlineStr">
        <is>
          <t>U-KR335-01-05</t>
        </is>
      </c>
      <c r="D120" t="inlineStr">
        <is>
          <t>Bakery &amp; Confectionery</t>
        </is>
      </c>
      <c r="E120" s="4" t="n">
        <v>46387</v>
      </c>
      <c r="F120" s="5" t="n">
        <v>3770</v>
      </c>
      <c r="G120" s="4">
        <f>EDATE(E120,-6)</f>
        <v/>
      </c>
      <c r="I120" s="4" t="n"/>
      <c r="J120">
        <f>IF(I120="","",IF(I120&gt;G120,"LATE",""))</f>
        <v/>
      </c>
      <c r="K120" t="inlineStr">
        <is>
          <t>No application</t>
        </is>
      </c>
    </row>
    <row r="121">
      <c r="A121" t="inlineStr">
        <is>
          <t>TA-2024-00036</t>
        </is>
      </c>
      <c r="B121" t="inlineStr">
        <is>
          <t>Blue Pearl Supermarket Pte Ltd</t>
        </is>
      </c>
      <c r="C121" t="inlineStr">
        <is>
          <t>U-KR335-01-11</t>
        </is>
      </c>
      <c r="D121" t="inlineStr">
        <is>
          <t>Minimart</t>
        </is>
      </c>
      <c r="E121" s="4" t="n">
        <v>46387</v>
      </c>
      <c r="F121" s="5" t="n">
        <v>4610</v>
      </c>
      <c r="G121" s="4">
        <f>EDATE(E121,-6)</f>
        <v/>
      </c>
      <c r="I121" s="4" t="n"/>
      <c r="J121">
        <f>IF(I121="","",IF(I121&gt;G121,"LATE",""))</f>
        <v/>
      </c>
      <c r="K121" t="inlineStr">
        <is>
          <t>No application</t>
        </is>
      </c>
    </row>
    <row r="122">
      <c r="A122" t="inlineStr">
        <is>
          <t>TA-2024-00038</t>
        </is>
      </c>
      <c r="B122" t="inlineStr">
        <is>
          <t>Swee Heng Hair Studio</t>
        </is>
      </c>
      <c r="C122" t="inlineStr">
        <is>
          <t>U-KR341-01-10</t>
        </is>
      </c>
      <c r="D122" t="inlineStr">
        <is>
          <t>Hair Salon</t>
        </is>
      </c>
      <c r="E122" s="4" t="n">
        <v>46387</v>
      </c>
      <c r="F122" s="5" t="n">
        <v>3440</v>
      </c>
      <c r="G122" s="4">
        <f>EDATE(E122,-6)</f>
        <v/>
      </c>
      <c r="H122" t="inlineStr">
        <is>
          <t>APP-2025-0059</t>
        </is>
      </c>
      <c r="I122" s="4" t="n">
        <v>45975</v>
      </c>
      <c r="J122">
        <f>IF(I122="","",IF(I122&gt;G122,"LATE",""))</f>
        <v/>
      </c>
      <c r="K122" t="inlineStr">
        <is>
          <t>Approved</t>
        </is>
      </c>
    </row>
    <row r="123">
      <c r="A123" t="inlineStr">
        <is>
          <t>TA-2024-00040</t>
        </is>
      </c>
      <c r="B123" t="inlineStr">
        <is>
          <t>Wong's Provision Shop</t>
        </is>
      </c>
      <c r="C123" t="inlineStr">
        <is>
          <t>U-KR345-01-06</t>
        </is>
      </c>
      <c r="D123" t="inlineStr">
        <is>
          <t>Provision Shop</t>
        </is>
      </c>
      <c r="E123" s="4" t="n">
        <v>46387</v>
      </c>
      <c r="F123" s="5" t="n">
        <v>3430</v>
      </c>
      <c r="G123" s="4">
        <f>EDATE(E123,-6)</f>
        <v/>
      </c>
      <c r="I123" s="4" t="n"/>
      <c r="J123">
        <f>IF(I123="","",IF(I123&gt;G123,"LATE",""))</f>
        <v/>
      </c>
      <c r="K123" t="inlineStr">
        <is>
          <t>No application</t>
        </is>
      </c>
    </row>
    <row r="124">
      <c r="A124" t="inlineStr">
        <is>
          <t>TA-2024-00042</t>
        </is>
      </c>
      <c r="B124" t="inlineStr">
        <is>
          <t>Ong &amp; Sons Store Pte Ltd</t>
        </is>
      </c>
      <c r="C124" t="inlineStr">
        <is>
          <t>U-KR358-01-07</t>
        </is>
      </c>
      <c r="D124" t="inlineStr">
        <is>
          <t>Provision Shop</t>
        </is>
      </c>
      <c r="E124" s="4" t="n">
        <v>46387</v>
      </c>
      <c r="F124" s="5" t="n">
        <v>1750</v>
      </c>
      <c r="G124" s="4">
        <f>EDATE(E124,-6)</f>
        <v/>
      </c>
      <c r="I124" s="4" t="n"/>
      <c r="J124">
        <f>IF(I124="","",IF(I124&gt;G124,"LATE",""))</f>
        <v/>
      </c>
      <c r="K124" t="inlineStr">
        <is>
          <t>No application</t>
        </is>
      </c>
    </row>
    <row r="125">
      <c r="A125" t="inlineStr">
        <is>
          <t>TA-2024-00043</t>
        </is>
      </c>
      <c r="B125" t="inlineStr">
        <is>
          <t>Hock Lee Clinic &amp; Surgery Pte Ltd</t>
        </is>
      </c>
      <c r="C125" t="inlineStr">
        <is>
          <t>U-KR369-02-07</t>
        </is>
      </c>
      <c r="D125" t="inlineStr">
        <is>
          <t>GP Clinic</t>
        </is>
      </c>
      <c r="E125" s="4" t="n">
        <v>46387</v>
      </c>
      <c r="F125" s="5" t="n">
        <v>2420</v>
      </c>
      <c r="G125" s="4">
        <f>EDATE(E125,-6)</f>
        <v/>
      </c>
      <c r="I125" s="4" t="n"/>
      <c r="J125">
        <f>IF(I125="","",IF(I125&gt;G125,"LATE",""))</f>
        <v/>
      </c>
      <c r="K125" t="inlineStr">
        <is>
          <t>No application</t>
        </is>
      </c>
    </row>
    <row r="126">
      <c r="A126" t="inlineStr">
        <is>
          <t>TA-2024-00045</t>
        </is>
      </c>
      <c r="B126" t="inlineStr">
        <is>
          <t>Lotus Trading</t>
        </is>
      </c>
      <c r="C126" t="inlineStr">
        <is>
          <t>U-KR386-01-03</t>
        </is>
      </c>
      <c r="D126" t="inlineStr">
        <is>
          <t>Provision Shop</t>
        </is>
      </c>
      <c r="E126" s="4" t="n">
        <v>46387</v>
      </c>
      <c r="F126" s="5" t="n">
        <v>4570</v>
      </c>
      <c r="G126" s="4">
        <f>EDATE(E126,-6)</f>
        <v/>
      </c>
      <c r="I126" s="4" t="n"/>
      <c r="J126">
        <f>IF(I126="","",IF(I126&gt;G126,"LATE",""))</f>
        <v/>
      </c>
      <c r="K126" t="inlineStr">
        <is>
          <t>No application</t>
        </is>
      </c>
    </row>
    <row r="127">
      <c r="A127" t="inlineStr">
        <is>
          <t>TA-2024-00047</t>
        </is>
      </c>
      <c r="B127" t="inlineStr">
        <is>
          <t>Lakshmi Bookstore</t>
        </is>
      </c>
      <c r="C127" t="inlineStr">
        <is>
          <t>U-PI601-01-09</t>
        </is>
      </c>
      <c r="D127" t="inlineStr">
        <is>
          <t>Stationery &amp; Books</t>
        </is>
      </c>
      <c r="E127" s="4" t="n">
        <v>46387</v>
      </c>
      <c r="F127" s="5" t="n">
        <v>2290</v>
      </c>
      <c r="G127" s="4">
        <f>EDATE(E127,-6)</f>
        <v/>
      </c>
      <c r="I127" s="4" t="n"/>
      <c r="J127">
        <f>IF(I127="","",IF(I127&gt;G127,"LATE",""))</f>
        <v/>
      </c>
      <c r="K127" t="inlineStr">
        <is>
          <t>No application</t>
        </is>
      </c>
    </row>
    <row r="128">
      <c r="A128" t="inlineStr">
        <is>
          <t>TA-2024-00048</t>
        </is>
      </c>
      <c r="B128" t="inlineStr">
        <is>
          <t>Chin Lee Hardware Pte Ltd</t>
        </is>
      </c>
      <c r="C128" t="inlineStr">
        <is>
          <t>U-PI625-01-03</t>
        </is>
      </c>
      <c r="D128" t="inlineStr">
        <is>
          <t>Hardware</t>
        </is>
      </c>
      <c r="E128" s="4" t="n">
        <v>46387</v>
      </c>
      <c r="F128" s="5" t="n">
        <v>4180</v>
      </c>
      <c r="G128" s="4">
        <f>EDATE(E128,-6)</f>
        <v/>
      </c>
      <c r="I128" s="4" t="n"/>
      <c r="J128">
        <f>IF(I128="","",IF(I128&gt;G128,"LATE",""))</f>
        <v/>
      </c>
      <c r="K128" t="inlineStr">
        <is>
          <t>No application</t>
        </is>
      </c>
    </row>
    <row r="129">
      <c r="A129" t="inlineStr">
        <is>
          <t>TA-2024-00050</t>
        </is>
      </c>
      <c r="B129" t="inlineStr">
        <is>
          <t>Wellcare Provision Shop Pte Ltd</t>
        </is>
      </c>
      <c r="C129" t="inlineStr">
        <is>
          <t>U-PI627-01-13</t>
        </is>
      </c>
      <c r="D129" t="inlineStr">
        <is>
          <t>Provision Shop</t>
        </is>
      </c>
      <c r="E129" s="4" t="n">
        <v>46387</v>
      </c>
      <c r="F129" s="5" t="n">
        <v>3400</v>
      </c>
      <c r="G129" s="4">
        <f>EDATE(E129,-6)</f>
        <v/>
      </c>
      <c r="I129" s="4" t="n"/>
      <c r="J129">
        <f>IF(I129="","",IF(I129&gt;G129,"LATE",""))</f>
        <v/>
      </c>
      <c r="K129" t="inlineStr">
        <is>
          <t>No application</t>
        </is>
      </c>
    </row>
    <row r="130">
      <c r="A130" t="inlineStr">
        <is>
          <t>TA-2024-00051</t>
        </is>
      </c>
      <c r="B130" t="inlineStr">
        <is>
          <t>Lotus Hair Salon Pte Ltd</t>
        </is>
      </c>
      <c r="C130" t="inlineStr">
        <is>
          <t>U-PI648-01-07</t>
        </is>
      </c>
      <c r="D130" t="inlineStr">
        <is>
          <t>Hair Salon</t>
        </is>
      </c>
      <c r="E130" s="4" t="n">
        <v>46387</v>
      </c>
      <c r="F130" s="5" t="n">
        <v>4480</v>
      </c>
      <c r="G130" s="4">
        <f>EDATE(E130,-6)</f>
        <v/>
      </c>
      <c r="I130" s="4" t="n"/>
      <c r="J130">
        <f>IF(I130="","",IF(I130&gt;G130,"LATE",""))</f>
        <v/>
      </c>
      <c r="K130" t="inlineStr">
        <is>
          <t>No application</t>
        </is>
      </c>
    </row>
    <row r="131">
      <c r="A131" t="inlineStr">
        <is>
          <t>TA-2024-00053</t>
        </is>
      </c>
      <c r="B131" t="inlineStr">
        <is>
          <t>Smart Kids Telecom</t>
        </is>
      </c>
      <c r="C131" t="inlineStr">
        <is>
          <t>U-PI657-01-05</t>
        </is>
      </c>
      <c r="D131" t="inlineStr">
        <is>
          <t>Mobile Phone &amp; Accessories</t>
        </is>
      </c>
      <c r="E131" s="4" t="n">
        <v>46387</v>
      </c>
      <c r="F131" s="5" t="n">
        <v>5120</v>
      </c>
      <c r="G131" s="4">
        <f>EDATE(E131,-6)</f>
        <v/>
      </c>
      <c r="I131" s="4" t="n"/>
      <c r="J131">
        <f>IF(I131="","",IF(I131&gt;G131,"LATE",""))</f>
        <v/>
      </c>
      <c r="K131" t="inlineStr">
        <is>
          <t>No application</t>
        </is>
      </c>
    </row>
    <row r="132">
      <c r="A132" t="inlineStr">
        <is>
          <t>TA-2024-00055</t>
        </is>
      </c>
      <c r="B132" t="inlineStr">
        <is>
          <t>Smart Kids Mart</t>
        </is>
      </c>
      <c r="C132" t="inlineStr">
        <is>
          <t>U-PI667-01-01</t>
        </is>
      </c>
      <c r="D132" t="inlineStr">
        <is>
          <t>Minimart</t>
        </is>
      </c>
      <c r="E132" s="4" t="n">
        <v>46387</v>
      </c>
      <c r="F132" s="5" t="n">
        <v>4110</v>
      </c>
      <c r="G132" s="4">
        <f>EDATE(E132,-6)</f>
        <v/>
      </c>
      <c r="I132" s="4" t="n"/>
      <c r="J132">
        <f>IF(I132="","",IF(I132&gt;G132,"LATE",""))</f>
        <v/>
      </c>
      <c r="K132" t="inlineStr">
        <is>
          <t>No application</t>
        </is>
      </c>
    </row>
    <row r="133">
      <c r="A133" t="inlineStr">
        <is>
          <t>TA-2024-00057</t>
        </is>
      </c>
      <c r="B133" t="inlineStr">
        <is>
          <t>New Life Hardware Pte Ltd</t>
        </is>
      </c>
      <c r="C133" t="inlineStr">
        <is>
          <t>U-PI668-01-02</t>
        </is>
      </c>
      <c r="D133" t="inlineStr">
        <is>
          <t>Hardware</t>
        </is>
      </c>
      <c r="E133" s="4" t="n">
        <v>46387</v>
      </c>
      <c r="F133" s="5" t="n">
        <v>2980</v>
      </c>
      <c r="G133" s="4">
        <f>EDATE(E133,-6)</f>
        <v/>
      </c>
      <c r="I133" s="4" t="n"/>
      <c r="J133">
        <f>IF(I133="","",IF(I133&gt;G133,"LATE",""))</f>
        <v/>
      </c>
      <c r="K133" t="inlineStr">
        <is>
          <t>No application</t>
        </is>
      </c>
    </row>
    <row r="134">
      <c r="A134" t="inlineStr">
        <is>
          <t>TA-2024-00058</t>
        </is>
      </c>
      <c r="B134" t="inlineStr">
        <is>
          <t>Green Leaf Kindergarten Pte Ltd</t>
        </is>
      </c>
      <c r="C134" t="inlineStr">
        <is>
          <t>U-PI670-02-02</t>
        </is>
      </c>
      <c r="D134" t="inlineStr">
        <is>
          <t>Childcare Centre</t>
        </is>
      </c>
      <c r="E134" s="4" t="n">
        <v>46387</v>
      </c>
      <c r="F134" s="5" t="n">
        <v>2960</v>
      </c>
      <c r="G134" s="4">
        <f>EDATE(E134,-6)</f>
        <v/>
      </c>
      <c r="I134" s="4" t="n"/>
      <c r="J134">
        <f>IF(I134="","",IF(I134&gt;G134,"LATE",""))</f>
        <v/>
      </c>
      <c r="K134" t="inlineStr">
        <is>
          <t>No application</t>
        </is>
      </c>
    </row>
    <row r="135">
      <c r="A135" t="inlineStr">
        <is>
          <t>TA-2024-00060</t>
        </is>
      </c>
      <c r="B135" t="inlineStr">
        <is>
          <t>Hassan Learning Centre Pte Ltd</t>
        </is>
      </c>
      <c r="C135" t="inlineStr">
        <is>
          <t>U-PI678-02-05</t>
        </is>
      </c>
      <c r="D135" t="inlineStr">
        <is>
          <t>Tuition Centre</t>
        </is>
      </c>
      <c r="E135" s="4" t="n">
        <v>46387</v>
      </c>
      <c r="F135" s="5" t="n">
        <v>2080</v>
      </c>
      <c r="G135" s="4">
        <f>EDATE(E135,-6)</f>
        <v/>
      </c>
      <c r="H135" t="inlineStr">
        <is>
          <t>APP-2025-0072</t>
        </is>
      </c>
      <c r="I135" s="4" t="n">
        <v>45986</v>
      </c>
      <c r="J135">
        <f>IF(I135="","",IF(I135&gt;G135,"LATE",""))</f>
        <v/>
      </c>
      <c r="K135" t="inlineStr">
        <is>
          <t>Approved</t>
        </is>
      </c>
    </row>
    <row r="136">
      <c r="A136" t="inlineStr">
        <is>
          <t>TA-2024-00061</t>
        </is>
      </c>
      <c r="B136" t="inlineStr">
        <is>
          <t>Pinnacle Telecom</t>
        </is>
      </c>
      <c r="C136" t="inlineStr">
        <is>
          <t>U-RH401-01-10</t>
        </is>
      </c>
      <c r="D136" t="inlineStr">
        <is>
          <t>Mobile Phone &amp; Accessories</t>
        </is>
      </c>
      <c r="E136" s="4" t="n">
        <v>46387</v>
      </c>
      <c r="F136" s="5" t="n">
        <v>900</v>
      </c>
      <c r="G136" s="4">
        <f>EDATE(E136,-6)</f>
        <v/>
      </c>
      <c r="I136" s="4" t="n"/>
      <c r="J136">
        <f>IF(I136="","",IF(I136&gt;G136,"LATE",""))</f>
        <v/>
      </c>
      <c r="K136" t="inlineStr">
        <is>
          <t>No application</t>
        </is>
      </c>
    </row>
    <row r="137">
      <c r="A137" t="inlineStr">
        <is>
          <t>TA-2024-00062</t>
        </is>
      </c>
      <c r="B137" t="inlineStr">
        <is>
          <t>Blue Pearl Hardware &amp; Electrical</t>
        </is>
      </c>
      <c r="C137" t="inlineStr">
        <is>
          <t>U-RH425-01-07</t>
        </is>
      </c>
      <c r="D137" t="inlineStr">
        <is>
          <t>Hardware</t>
        </is>
      </c>
      <c r="E137" s="4" t="n">
        <v>46387</v>
      </c>
      <c r="F137" s="5" t="n">
        <v>3160</v>
      </c>
      <c r="G137" s="4">
        <f>EDATE(E137,-6)</f>
        <v/>
      </c>
      <c r="I137" s="4" t="n"/>
      <c r="J137">
        <f>IF(I137="","",IF(I137&gt;G137,"LATE",""))</f>
        <v/>
      </c>
      <c r="K137" t="inlineStr">
        <is>
          <t>No application</t>
        </is>
      </c>
    </row>
    <row r="138">
      <c r="A138" t="inlineStr">
        <is>
          <t>TA-2024-00064</t>
        </is>
      </c>
      <c r="B138" t="inlineStr">
        <is>
          <t>Sunflower Medical Clinic</t>
        </is>
      </c>
      <c r="C138" t="inlineStr">
        <is>
          <t>U-RH428-01-03</t>
        </is>
      </c>
      <c r="D138" t="inlineStr">
        <is>
          <t>GP Clinic</t>
        </is>
      </c>
      <c r="E138" s="4" t="n">
        <v>46387</v>
      </c>
      <c r="F138" s="5" t="n">
        <v>1700</v>
      </c>
      <c r="G138" s="4">
        <f>EDATE(E138,-6)</f>
        <v/>
      </c>
      <c r="I138" s="4" t="n"/>
      <c r="J138">
        <f>IF(I138="","",IF(I138&gt;G138,"LATE",""))</f>
        <v/>
      </c>
      <c r="K138" t="inlineStr">
        <is>
          <t>No application</t>
        </is>
      </c>
    </row>
    <row r="139">
      <c r="A139" t="inlineStr">
        <is>
          <t>TA-2024-00065</t>
        </is>
      </c>
      <c r="B139" t="inlineStr">
        <is>
          <t>Starlight Kitchen</t>
        </is>
      </c>
      <c r="C139" t="inlineStr">
        <is>
          <t>U-RH441-01-06</t>
        </is>
      </c>
      <c r="D139" t="inlineStr">
        <is>
          <t>Restaurant</t>
        </is>
      </c>
      <c r="E139" s="4" t="n">
        <v>46387</v>
      </c>
      <c r="F139" s="5" t="n">
        <v>3440</v>
      </c>
      <c r="G139" s="4">
        <f>EDATE(E139,-6)</f>
        <v/>
      </c>
      <c r="H139" t="inlineStr">
        <is>
          <t>APP-2026-0048</t>
        </is>
      </c>
      <c r="I139" s="4" t="n">
        <v>46071</v>
      </c>
      <c r="J139">
        <f>IF(I139="","",IF(I139&gt;G139,"LATE",""))</f>
        <v/>
      </c>
      <c r="K139" t="inlineStr">
        <is>
          <t>Approved</t>
        </is>
      </c>
    </row>
    <row r="140">
      <c r="A140" t="inlineStr">
        <is>
          <t>TA-2024-00066</t>
        </is>
      </c>
      <c r="B140" t="inlineStr">
        <is>
          <t>Bayu Remittance Pte Ltd</t>
        </is>
      </c>
      <c r="C140" t="inlineStr">
        <is>
          <t>U-RH455-01-08</t>
        </is>
      </c>
      <c r="D140" t="inlineStr">
        <is>
          <t>Remittance &amp; Money Changer</t>
        </is>
      </c>
      <c r="E140" s="4" t="n">
        <v>46387</v>
      </c>
      <c r="F140" s="5" t="n">
        <v>2360</v>
      </c>
      <c r="G140" s="4">
        <f>EDATE(E140,-6)</f>
        <v/>
      </c>
      <c r="I140" s="4" t="n"/>
      <c r="J140">
        <f>IF(I140="","",IF(I140&gt;G140,"LATE",""))</f>
        <v/>
      </c>
      <c r="K140" t="inlineStr">
        <is>
          <t>No application</t>
        </is>
      </c>
    </row>
    <row r="141">
      <c r="A141" t="inlineStr">
        <is>
          <t>TA-2024-00068</t>
        </is>
      </c>
      <c r="B141" t="inlineStr">
        <is>
          <t>Evergreen Eye Centre</t>
        </is>
      </c>
      <c r="C141" t="inlineStr">
        <is>
          <t>U-RH455-01-13</t>
        </is>
      </c>
      <c r="D141" t="inlineStr">
        <is>
          <t>Optical</t>
        </is>
      </c>
      <c r="E141" s="4" t="n">
        <v>46387</v>
      </c>
      <c r="F141" s="5" t="n">
        <v>5190</v>
      </c>
      <c r="G141" s="4">
        <f>EDATE(E141,-6)</f>
        <v/>
      </c>
      <c r="I141" s="4" t="n"/>
      <c r="J141">
        <f>IF(I141="","",IF(I141&gt;G141,"LATE",""))</f>
        <v/>
      </c>
      <c r="K141" t="inlineStr">
        <is>
          <t>No application</t>
        </is>
      </c>
    </row>
    <row r="142">
      <c r="A142" t="inlineStr">
        <is>
          <t>TA-2024-00070</t>
        </is>
      </c>
      <c r="B142" t="inlineStr">
        <is>
          <t>Siva Florist</t>
        </is>
      </c>
      <c r="C142" t="inlineStr">
        <is>
          <t>U-RH455-01-19</t>
        </is>
      </c>
      <c r="D142" t="inlineStr">
        <is>
          <t>Florist</t>
        </is>
      </c>
      <c r="E142" s="4" t="n">
        <v>46387</v>
      </c>
      <c r="F142" s="5" t="n">
        <v>900</v>
      </c>
      <c r="G142" s="4">
        <f>EDATE(E142,-6)</f>
        <v/>
      </c>
      <c r="I142" s="4" t="n"/>
      <c r="J142">
        <f>IF(I142="","",IF(I142&gt;G142,"LATE",""))</f>
        <v/>
      </c>
      <c r="K142" t="inlineStr">
        <is>
          <t>No application</t>
        </is>
      </c>
    </row>
    <row r="143">
      <c r="A143" t="inlineStr">
        <is>
          <t>TA-2024-00071</t>
        </is>
      </c>
      <c r="B143" t="inlineStr">
        <is>
          <t>Happy Paws Medical Hall</t>
        </is>
      </c>
      <c r="C143" t="inlineStr">
        <is>
          <t>U-RH455-01-27</t>
        </is>
      </c>
      <c r="D143" t="inlineStr">
        <is>
          <t>TCM Clinic</t>
        </is>
      </c>
      <c r="E143" s="4" t="n">
        <v>46387</v>
      </c>
      <c r="F143" s="5" t="n">
        <v>4700</v>
      </c>
      <c r="G143" s="4">
        <f>EDATE(E143,-6)</f>
        <v/>
      </c>
      <c r="I143" s="4" t="n"/>
      <c r="J143">
        <f>IF(I143="","",IF(I143&gt;G143,"LATE",""))</f>
        <v/>
      </c>
      <c r="K143" t="inlineStr">
        <is>
          <t>No application</t>
        </is>
      </c>
    </row>
    <row r="144">
      <c r="A144" t="inlineStr">
        <is>
          <t>TA-2024-00073</t>
        </is>
      </c>
      <c r="B144" t="inlineStr">
        <is>
          <t>Hup Seng Supermarket</t>
        </is>
      </c>
      <c r="C144" t="inlineStr">
        <is>
          <t>U-RH466-01-10</t>
        </is>
      </c>
      <c r="D144" t="inlineStr">
        <is>
          <t>Minimart</t>
        </is>
      </c>
      <c r="E144" s="4" t="n">
        <v>46387</v>
      </c>
      <c r="F144" s="5" t="n">
        <v>2400</v>
      </c>
      <c r="G144" s="4">
        <f>EDATE(E144,-6)</f>
        <v/>
      </c>
      <c r="I144" s="4" t="n"/>
      <c r="J144">
        <f>IF(I144="","",IF(I144&gt;G144,"LATE",""))</f>
        <v/>
      </c>
      <c r="K144" t="inlineStr">
        <is>
          <t>No application</t>
        </is>
      </c>
    </row>
    <row r="145">
      <c r="A145" t="inlineStr">
        <is>
          <t>TA-2024-00075</t>
        </is>
      </c>
      <c r="B145" t="inlineStr">
        <is>
          <t>Teck Guan Hair Salon</t>
        </is>
      </c>
      <c r="C145" t="inlineStr">
        <is>
          <t>U-RH491-01-09</t>
        </is>
      </c>
      <c r="D145" t="inlineStr">
        <is>
          <t>Hair Salon</t>
        </is>
      </c>
      <c r="E145" s="4" t="n">
        <v>46387</v>
      </c>
      <c r="F145" s="5" t="n">
        <v>4060</v>
      </c>
      <c r="G145" s="4">
        <f>EDATE(E145,-6)</f>
        <v/>
      </c>
      <c r="I145" s="4" t="n"/>
      <c r="J145">
        <f>IF(I145="","",IF(I145&gt;G145,"LATE",""))</f>
        <v/>
      </c>
      <c r="K145" t="inlineStr">
        <is>
          <t>No application</t>
        </is>
      </c>
    </row>
    <row r="146">
      <c r="A146" t="inlineStr">
        <is>
          <t>TA-2024-00077</t>
        </is>
      </c>
      <c r="B146" t="inlineStr">
        <is>
          <t>Thye Hin Supermarket Pte Ltd</t>
        </is>
      </c>
      <c r="C146" t="inlineStr">
        <is>
          <t>U-ST512-01-03</t>
        </is>
      </c>
      <c r="D146" t="inlineStr">
        <is>
          <t>Minimart</t>
        </is>
      </c>
      <c r="E146" s="4" t="n">
        <v>46387</v>
      </c>
      <c r="F146" s="5" t="n">
        <v>2420</v>
      </c>
      <c r="G146" s="4">
        <f>EDATE(E146,-6)</f>
        <v/>
      </c>
      <c r="I146" s="4" t="n"/>
      <c r="J146">
        <f>IF(I146="","",IF(I146&gt;G146,"LATE",""))</f>
        <v/>
      </c>
      <c r="K146" t="inlineStr">
        <is>
          <t>No application</t>
        </is>
      </c>
    </row>
    <row r="147">
      <c r="A147" t="inlineStr">
        <is>
          <t>TA-2024-00079</t>
        </is>
      </c>
      <c r="B147" t="inlineStr">
        <is>
          <t>Raja Store Pte Ltd</t>
        </is>
      </c>
      <c r="C147" t="inlineStr">
        <is>
          <t>U-ST512-01-33</t>
        </is>
      </c>
      <c r="D147" t="inlineStr">
        <is>
          <t>Provision Shop</t>
        </is>
      </c>
      <c r="E147" s="4" t="n">
        <v>46387</v>
      </c>
      <c r="F147" s="5" t="n">
        <v>2610</v>
      </c>
      <c r="G147" s="4">
        <f>EDATE(E147,-6)</f>
        <v/>
      </c>
      <c r="I147" s="4" t="n"/>
      <c r="J147">
        <f>IF(I147="","",IF(I147&gt;G147,"LATE",""))</f>
        <v/>
      </c>
      <c r="K147" t="inlineStr">
        <is>
          <t>No application</t>
        </is>
      </c>
    </row>
    <row r="148">
      <c r="A148" t="inlineStr">
        <is>
          <t>TA-2024-00081</t>
        </is>
      </c>
      <c r="B148" t="inlineStr">
        <is>
          <t>Rainbow Flowers &amp; Gifts</t>
        </is>
      </c>
      <c r="C148" t="inlineStr">
        <is>
          <t>U-ST513-01-03</t>
        </is>
      </c>
      <c r="D148" t="inlineStr">
        <is>
          <t>Florist</t>
        </is>
      </c>
      <c r="E148" s="4" t="n">
        <v>46387</v>
      </c>
      <c r="F148" s="5" t="n">
        <v>4920</v>
      </c>
      <c r="G148" s="4">
        <f>EDATE(E148,-6)</f>
        <v/>
      </c>
      <c r="I148" s="4" t="n"/>
      <c r="J148">
        <f>IF(I148="","",IF(I148&gt;G148,"LATE",""))</f>
        <v/>
      </c>
      <c r="K148" t="inlineStr">
        <is>
          <t>No application</t>
        </is>
      </c>
    </row>
    <row r="149">
      <c r="A149" t="inlineStr">
        <is>
          <t>TA-2024-00082</t>
        </is>
      </c>
      <c r="B149" t="inlineStr">
        <is>
          <t>Lucky Star Eating Place Pte Ltd</t>
        </is>
      </c>
      <c r="C149" t="inlineStr">
        <is>
          <t>U-ST528-01-13</t>
        </is>
      </c>
      <c r="D149" t="inlineStr">
        <is>
          <t>Restaurant</t>
        </is>
      </c>
      <c r="E149" s="4" t="n">
        <v>46387</v>
      </c>
      <c r="F149" s="5" t="n">
        <v>2030</v>
      </c>
      <c r="G149" s="4">
        <f>EDATE(E149,-6)</f>
        <v/>
      </c>
      <c r="I149" s="4" t="n"/>
      <c r="J149">
        <f>IF(I149="","",IF(I149&gt;G149,"LATE",""))</f>
        <v/>
      </c>
      <c r="K149" t="inlineStr">
        <is>
          <t>No application</t>
        </is>
      </c>
    </row>
    <row r="150">
      <c r="A150" t="inlineStr">
        <is>
          <t>TA-2024-00083</t>
        </is>
      </c>
      <c r="B150" t="inlineStr">
        <is>
          <t>Sejahtera Fruits Pte Ltd</t>
        </is>
      </c>
      <c r="C150" t="inlineStr">
        <is>
          <t>U-ST544-01-03</t>
        </is>
      </c>
      <c r="D150" t="inlineStr">
        <is>
          <t>Fruit Shop</t>
        </is>
      </c>
      <c r="E150" s="4" t="n">
        <v>46387</v>
      </c>
      <c r="F150" s="5" t="n">
        <v>4280</v>
      </c>
      <c r="G150" s="4">
        <f>EDATE(E150,-6)</f>
        <v/>
      </c>
      <c r="H150" t="inlineStr">
        <is>
          <t>APP-2026-0042</t>
        </is>
      </c>
      <c r="I150" s="4" t="n">
        <v>46063</v>
      </c>
      <c r="J150">
        <f>IF(I150="","",IF(I150&gt;G150,"LATE",""))</f>
        <v/>
      </c>
      <c r="K150" t="inlineStr">
        <is>
          <t>Approved</t>
        </is>
      </c>
    </row>
    <row r="151">
      <c r="A151" t="inlineStr">
        <is>
          <t>TA-2024-00085</t>
        </is>
      </c>
      <c r="B151" t="inlineStr">
        <is>
          <t>Ah Seng Provision Shop</t>
        </is>
      </c>
      <c r="C151" t="inlineStr">
        <is>
          <t>U-ST566-01-03</t>
        </is>
      </c>
      <c r="D151" t="inlineStr">
        <is>
          <t>Provision Shop</t>
        </is>
      </c>
      <c r="E151" s="4" t="n">
        <v>46387</v>
      </c>
      <c r="F151" s="5" t="n">
        <v>2400</v>
      </c>
      <c r="G151" s="4">
        <f>EDATE(E151,-6)</f>
        <v/>
      </c>
      <c r="I151" s="4" t="n"/>
      <c r="J151">
        <f>IF(I151="","",IF(I151&gt;G151,"LATE",""))</f>
        <v/>
      </c>
      <c r="K151" t="inlineStr">
        <is>
          <t>No application</t>
        </is>
      </c>
    </row>
    <row r="152">
      <c r="A152" t="inlineStr">
        <is>
          <t>TA-2024-00086</t>
        </is>
      </c>
      <c r="B152" t="inlineStr">
        <is>
          <t>Bloom Mobile</t>
        </is>
      </c>
      <c r="C152" t="inlineStr">
        <is>
          <t>U-ST579-01-07</t>
        </is>
      </c>
      <c r="D152" t="inlineStr">
        <is>
          <t>Mobile Phone &amp; Accessories</t>
        </is>
      </c>
      <c r="E152" s="4" t="n">
        <v>46387</v>
      </c>
      <c r="F152" s="5" t="n">
        <v>3480</v>
      </c>
      <c r="G152" s="4">
        <f>EDATE(E152,-6)</f>
        <v/>
      </c>
      <c r="I152" s="4" t="n"/>
      <c r="J152">
        <f>IF(I152="","",IF(I152&gt;G152,"LATE",""))</f>
        <v/>
      </c>
      <c r="K152" t="inlineStr">
        <is>
          <t>No application</t>
        </is>
      </c>
    </row>
    <row r="153">
      <c r="A153" t="inlineStr">
        <is>
          <t>TA-2024-00088</t>
        </is>
      </c>
      <c r="B153" t="inlineStr">
        <is>
          <t>Hassan Kitchen Pte Ltd</t>
        </is>
      </c>
      <c r="C153" t="inlineStr">
        <is>
          <t>U-ST591-01-04</t>
        </is>
      </c>
      <c r="D153" t="inlineStr">
        <is>
          <t>Restaurant</t>
        </is>
      </c>
      <c r="E153" s="4" t="n">
        <v>46387</v>
      </c>
      <c r="F153" s="5" t="n">
        <v>2370</v>
      </c>
      <c r="G153" s="4">
        <f>EDATE(E153,-6)</f>
        <v/>
      </c>
      <c r="I153" s="4" t="n"/>
      <c r="J153">
        <f>IF(I153="","",IF(I153&gt;G153,"LATE",""))</f>
        <v/>
      </c>
      <c r="K153" t="inlineStr">
        <is>
          <t>No application</t>
        </is>
      </c>
    </row>
    <row r="154">
      <c r="A154" t="inlineStr">
        <is>
          <t>TA-2024-00090</t>
        </is>
      </c>
      <c r="B154" t="inlineStr">
        <is>
          <t>Bayu Locksmith Pte Ltd</t>
        </is>
      </c>
      <c r="C154" t="inlineStr">
        <is>
          <t>U-BV214-01-24</t>
        </is>
      </c>
      <c r="D154" t="inlineStr">
        <is>
          <t>Key Cutting &amp; Shoe Repair</t>
        </is>
      </c>
      <c r="E154" s="4" t="n">
        <v>46418</v>
      </c>
      <c r="F154" s="5" t="n">
        <v>1340</v>
      </c>
      <c r="G154" s="4">
        <f>EDATE(E154,-6)</f>
        <v/>
      </c>
      <c r="I154" s="4" t="n"/>
      <c r="J154">
        <f>IF(I154="","",IF(I154&gt;G154,"LATE",""))</f>
        <v/>
      </c>
      <c r="K154" t="inlineStr">
        <is>
          <t>No application</t>
        </is>
      </c>
    </row>
    <row r="155">
      <c r="A155" t="inlineStr">
        <is>
          <t>TA-2024-00092</t>
        </is>
      </c>
      <c r="B155" t="inlineStr">
        <is>
          <t>Ong &amp; Sons Minimart</t>
        </is>
      </c>
      <c r="C155" t="inlineStr">
        <is>
          <t>U-BV216-01-13</t>
        </is>
      </c>
      <c r="D155" t="inlineStr">
        <is>
          <t>Minimart</t>
        </is>
      </c>
      <c r="E155" s="4" t="n">
        <v>46418</v>
      </c>
      <c r="F155" s="5" t="n">
        <v>5300</v>
      </c>
      <c r="G155" s="4">
        <f>EDATE(E155,-6)</f>
        <v/>
      </c>
      <c r="I155" s="4" t="n"/>
      <c r="J155">
        <f>IF(I155="","",IF(I155&gt;G155,"LATE",""))</f>
        <v/>
      </c>
      <c r="K155" t="inlineStr">
        <is>
          <t>No application</t>
        </is>
      </c>
    </row>
    <row r="156">
      <c r="A156" t="inlineStr">
        <is>
          <t>TA-2024-00093</t>
        </is>
      </c>
      <c r="B156" t="inlineStr">
        <is>
          <t>Jade Garden TCM Clinic Pte Ltd</t>
        </is>
      </c>
      <c r="C156" t="inlineStr">
        <is>
          <t>U-BV230-02-08</t>
        </is>
      </c>
      <c r="D156" t="inlineStr">
        <is>
          <t>TCM Clinic</t>
        </is>
      </c>
      <c r="E156" s="4" t="n">
        <v>46418</v>
      </c>
      <c r="F156" s="5" t="n">
        <v>2960</v>
      </c>
      <c r="G156" s="4">
        <f>EDATE(E156,-6)</f>
        <v/>
      </c>
      <c r="I156" s="4" t="n"/>
      <c r="J156">
        <f>IF(I156="","",IF(I156&gt;G156,"LATE",""))</f>
        <v/>
      </c>
      <c r="K156" t="inlineStr">
        <is>
          <t>No application</t>
        </is>
      </c>
    </row>
    <row r="157">
      <c r="A157" t="inlineStr">
        <is>
          <t>TA-2024-00095</t>
        </is>
      </c>
      <c r="B157" t="inlineStr">
        <is>
          <t>Ah Seng Flowers &amp; Gifts Pte Ltd</t>
        </is>
      </c>
      <c r="C157" t="inlineStr">
        <is>
          <t>U-BV231-01-06</t>
        </is>
      </c>
      <c r="D157" t="inlineStr">
        <is>
          <t>Florist</t>
        </is>
      </c>
      <c r="E157" s="4" t="n">
        <v>46418</v>
      </c>
      <c r="F157" s="5" t="n">
        <v>5760</v>
      </c>
      <c r="G157" s="4">
        <f>EDATE(E157,-6)</f>
        <v/>
      </c>
      <c r="I157" s="4" t="n"/>
      <c r="J157">
        <f>IF(I157="","",IF(I157&gt;G157,"LATE",""))</f>
        <v/>
      </c>
      <c r="K157" t="inlineStr">
        <is>
          <t>No application</t>
        </is>
      </c>
    </row>
    <row r="158">
      <c r="A158" t="inlineStr">
        <is>
          <t>TA-2024-00097</t>
        </is>
      </c>
      <c r="B158" t="inlineStr">
        <is>
          <t>Ah Seng Aquarium &amp; Pets</t>
        </is>
      </c>
      <c r="C158" t="inlineStr">
        <is>
          <t>U-BV231-01-11</t>
        </is>
      </c>
      <c r="D158" t="inlineStr">
        <is>
          <t>Pet Shop</t>
        </is>
      </c>
      <c r="E158" s="4" t="n">
        <v>46418</v>
      </c>
      <c r="F158" s="5" t="n">
        <v>2570</v>
      </c>
      <c r="G158" s="4">
        <f>EDATE(E158,-6)</f>
        <v/>
      </c>
      <c r="I158" s="4" t="n"/>
      <c r="J158">
        <f>IF(I158="","",IF(I158&gt;G158,"LATE",""))</f>
        <v/>
      </c>
      <c r="K158" t="inlineStr">
        <is>
          <t>No application</t>
        </is>
      </c>
    </row>
    <row r="159">
      <c r="A159" t="inlineStr">
        <is>
          <t>TA-2024-00099</t>
        </is>
      </c>
      <c r="B159" t="inlineStr">
        <is>
          <t>Thye Hin Bakery</t>
        </is>
      </c>
      <c r="C159" t="inlineStr">
        <is>
          <t>U-BV256-01-14</t>
        </is>
      </c>
      <c r="D159" t="inlineStr">
        <is>
          <t>Bakery &amp; Confectionery</t>
        </is>
      </c>
      <c r="E159" s="4" t="n">
        <v>46418</v>
      </c>
      <c r="F159" s="5" t="n">
        <v>6820</v>
      </c>
      <c r="G159" s="4">
        <f>EDATE(E159,-6)</f>
        <v/>
      </c>
      <c r="I159" s="4" t="n"/>
      <c r="J159">
        <f>IF(I159="","",IF(I159&gt;G159,"LATE",""))</f>
        <v/>
      </c>
      <c r="K159" t="inlineStr">
        <is>
          <t>No application</t>
        </is>
      </c>
    </row>
    <row r="160">
      <c r="A160" t="inlineStr">
        <is>
          <t>TA-2024-00100</t>
        </is>
      </c>
      <c r="B160" t="inlineStr">
        <is>
          <t>Rainbow Eating Place Pte Ltd</t>
        </is>
      </c>
      <c r="C160" t="inlineStr">
        <is>
          <t>U-BV288-01-03</t>
        </is>
      </c>
      <c r="D160" t="inlineStr">
        <is>
          <t>Restaurant</t>
        </is>
      </c>
      <c r="E160" s="4" t="n">
        <v>46418</v>
      </c>
      <c r="F160" s="5" t="n">
        <v>3320</v>
      </c>
      <c r="G160" s="4">
        <f>EDATE(E160,-6)</f>
        <v/>
      </c>
      <c r="I160" s="4" t="n"/>
      <c r="J160">
        <f>IF(I160="","",IF(I160&gt;G160,"LATE",""))</f>
        <v/>
      </c>
      <c r="K160" t="inlineStr">
        <is>
          <t>No application</t>
        </is>
      </c>
    </row>
    <row r="161">
      <c r="A161" t="inlineStr">
        <is>
          <t>TA-2024-00101</t>
        </is>
      </c>
      <c r="B161" t="inlineStr">
        <is>
          <t>Orchid Eating Place Pte Ltd</t>
        </is>
      </c>
      <c r="C161" t="inlineStr">
        <is>
          <t>U-CD105-01-05</t>
        </is>
      </c>
      <c r="D161" t="inlineStr">
        <is>
          <t>Restaurant</t>
        </is>
      </c>
      <c r="E161" s="4" t="n">
        <v>46418</v>
      </c>
      <c r="F161" s="5" t="n">
        <v>4810</v>
      </c>
      <c r="G161" s="4">
        <f>EDATE(E161,-6)</f>
        <v/>
      </c>
      <c r="I161" s="4" t="n"/>
      <c r="J161">
        <f>IF(I161="","",IF(I161&gt;G161,"LATE",""))</f>
        <v/>
      </c>
      <c r="K161" t="inlineStr">
        <is>
          <t>No application</t>
        </is>
      </c>
    </row>
    <row r="162">
      <c r="A162" t="inlineStr">
        <is>
          <t>TA-2024-00102</t>
        </is>
      </c>
      <c r="B162" t="inlineStr">
        <is>
          <t>Kumar Hardware</t>
        </is>
      </c>
      <c r="C162" t="inlineStr">
        <is>
          <t>U-CD133-01-01</t>
        </is>
      </c>
      <c r="D162" t="inlineStr">
        <is>
          <t>Hardware</t>
        </is>
      </c>
      <c r="E162" s="4" t="n">
        <v>46418</v>
      </c>
      <c r="F162" s="5" t="n">
        <v>4510</v>
      </c>
      <c r="G162" s="4">
        <f>EDATE(E162,-6)</f>
        <v/>
      </c>
      <c r="I162" s="4" t="n"/>
      <c r="J162">
        <f>IF(I162="","",IF(I162&gt;G162,"LATE",""))</f>
        <v/>
      </c>
      <c r="K162" t="inlineStr">
        <is>
          <t>No application</t>
        </is>
      </c>
    </row>
    <row r="163">
      <c r="A163" t="inlineStr">
        <is>
          <t>TA-2024-00104</t>
        </is>
      </c>
      <c r="B163" t="inlineStr">
        <is>
          <t>Thye Hin Snacks Pte Ltd</t>
        </is>
      </c>
      <c r="C163" t="inlineStr">
        <is>
          <t>U-CD136-01-09</t>
        </is>
      </c>
      <c r="D163" t="inlineStr">
        <is>
          <t>Snack Kiosk</t>
        </is>
      </c>
      <c r="E163" s="4" t="n">
        <v>46418</v>
      </c>
      <c r="F163" s="5" t="n">
        <v>1210</v>
      </c>
      <c r="G163" s="4">
        <f>EDATE(E163,-6)</f>
        <v/>
      </c>
      <c r="I163" s="4" t="n"/>
      <c r="J163">
        <f>IF(I163="","",IF(I163&gt;G163,"LATE",""))</f>
        <v/>
      </c>
      <c r="K163" t="inlineStr">
        <is>
          <t>No application</t>
        </is>
      </c>
    </row>
    <row r="164">
      <c r="A164" t="inlineStr">
        <is>
          <t>TA-2024-00106</t>
        </is>
      </c>
      <c r="B164" t="inlineStr">
        <is>
          <t>Siva Supermarket Pte Ltd</t>
        </is>
      </c>
      <c r="C164" t="inlineStr">
        <is>
          <t>U-CD142-01-12</t>
        </is>
      </c>
      <c r="D164" t="inlineStr">
        <is>
          <t>Minimart</t>
        </is>
      </c>
      <c r="E164" s="4" t="n">
        <v>46418</v>
      </c>
      <c r="F164" s="5" t="n">
        <v>6370</v>
      </c>
      <c r="G164" s="4">
        <f>EDATE(E164,-6)</f>
        <v/>
      </c>
      <c r="I164" s="4" t="n"/>
      <c r="J164">
        <f>IF(I164="","",IF(I164&gt;G164,"LATE",""))</f>
        <v/>
      </c>
      <c r="K164" t="inlineStr">
        <is>
          <t>No application</t>
        </is>
      </c>
    </row>
    <row r="165">
      <c r="A165" t="inlineStr">
        <is>
          <t>TA-2024-00107</t>
        </is>
      </c>
      <c r="B165" t="inlineStr">
        <is>
          <t>Mutiara Tuition Centre</t>
        </is>
      </c>
      <c r="C165" t="inlineStr">
        <is>
          <t>U-CD152-01-13</t>
        </is>
      </c>
      <c r="D165" t="inlineStr">
        <is>
          <t>Tuition Centre</t>
        </is>
      </c>
      <c r="E165" s="4" t="n">
        <v>46418</v>
      </c>
      <c r="F165" s="5" t="n">
        <v>5190</v>
      </c>
      <c r="G165" s="4">
        <f>EDATE(E165,-6)</f>
        <v/>
      </c>
      <c r="I165" s="4" t="n"/>
      <c r="J165">
        <f>IF(I165="","",IF(I165&gt;G165,"LATE",""))</f>
        <v/>
      </c>
      <c r="K165" t="inlineStr">
        <is>
          <t>No application</t>
        </is>
      </c>
    </row>
    <row r="166">
      <c r="A166" t="inlineStr">
        <is>
          <t>TA-2024-00108</t>
        </is>
      </c>
      <c r="B166" t="inlineStr">
        <is>
          <t>Treasure Hair Salon</t>
        </is>
      </c>
      <c r="C166" t="inlineStr">
        <is>
          <t>U-CD165-01-07</t>
        </is>
      </c>
      <c r="D166" t="inlineStr">
        <is>
          <t>Hair Salon</t>
        </is>
      </c>
      <c r="E166" s="4" t="n">
        <v>46418</v>
      </c>
      <c r="F166" s="5" t="n">
        <v>5650</v>
      </c>
      <c r="G166" s="4">
        <f>EDATE(E166,-6)</f>
        <v/>
      </c>
      <c r="I166" s="4" t="n"/>
      <c r="J166">
        <f>IF(I166="","",IF(I166&gt;G166,"LATE",""))</f>
        <v/>
      </c>
      <c r="K166" t="inlineStr">
        <is>
          <t>No application</t>
        </is>
      </c>
    </row>
    <row r="167">
      <c r="A167" t="inlineStr">
        <is>
          <t>TA-2024-00109</t>
        </is>
      </c>
      <c r="B167" t="inlineStr">
        <is>
          <t>PrimeValue Mart Pte Ltd</t>
        </is>
      </c>
      <c r="C167" t="inlineStr">
        <is>
          <t>U-CD174-01-07</t>
        </is>
      </c>
      <c r="D167" t="inlineStr">
        <is>
          <t>Minimart</t>
        </is>
      </c>
      <c r="E167" s="4" t="n">
        <v>46418</v>
      </c>
      <c r="F167" s="5" t="n">
        <v>2440</v>
      </c>
      <c r="G167" s="4">
        <f>EDATE(E167,-6)</f>
        <v/>
      </c>
      <c r="I167" s="4" t="n"/>
      <c r="J167">
        <f>IF(I167="","",IF(I167&gt;G167,"LATE",""))</f>
        <v/>
      </c>
      <c r="K167" t="inlineStr">
        <is>
          <t>No application</t>
        </is>
      </c>
    </row>
    <row r="168">
      <c r="A168" t="inlineStr">
        <is>
          <t>TA-2024-00110</t>
        </is>
      </c>
      <c r="B168" t="inlineStr">
        <is>
          <t>Sejahtera Beauty &amp; Hair</t>
        </is>
      </c>
      <c r="C168" t="inlineStr">
        <is>
          <t>U-CD181-01-06</t>
        </is>
      </c>
      <c r="D168" t="inlineStr">
        <is>
          <t>Hair Salon</t>
        </is>
      </c>
      <c r="E168" s="4" t="n">
        <v>46418</v>
      </c>
      <c r="F168" s="5" t="n">
        <v>6250</v>
      </c>
      <c r="G168" s="4">
        <f>EDATE(E168,-6)</f>
        <v/>
      </c>
      <c r="I168" s="4" t="n"/>
      <c r="J168">
        <f>IF(I168="","",IF(I168&gt;G168,"LATE",""))</f>
        <v/>
      </c>
      <c r="K168" t="inlineStr">
        <is>
          <t>No application</t>
        </is>
      </c>
    </row>
    <row r="169">
      <c r="A169" t="inlineStr">
        <is>
          <t>TA-2024-00111</t>
        </is>
      </c>
      <c r="B169" t="inlineStr">
        <is>
          <t>Nur Family Clinic</t>
        </is>
      </c>
      <c r="C169" t="inlineStr">
        <is>
          <t>U-CD194-01-03</t>
        </is>
      </c>
      <c r="D169" t="inlineStr">
        <is>
          <t>GP Clinic</t>
        </is>
      </c>
      <c r="E169" s="4" t="n">
        <v>46418</v>
      </c>
      <c r="F169" s="5" t="n">
        <v>3470</v>
      </c>
      <c r="G169" s="4">
        <f>EDATE(E169,-6)</f>
        <v/>
      </c>
      <c r="I169" s="4" t="n"/>
      <c r="J169">
        <f>IF(I169="","",IF(I169&gt;G169,"LATE",""))</f>
        <v/>
      </c>
      <c r="K169" t="inlineStr">
        <is>
          <t>No application</t>
        </is>
      </c>
    </row>
    <row r="170">
      <c r="A170" t="inlineStr">
        <is>
          <t>TA-2024-00113</t>
        </is>
      </c>
      <c r="B170" t="inlineStr">
        <is>
          <t>Barakah Pharmacy Pte Ltd</t>
        </is>
      </c>
      <c r="C170" t="inlineStr">
        <is>
          <t>U-KR329-01-02</t>
        </is>
      </c>
      <c r="D170" t="inlineStr">
        <is>
          <t>Pharmacy</t>
        </is>
      </c>
      <c r="E170" s="4" t="n">
        <v>46418</v>
      </c>
      <c r="F170" s="5" t="n">
        <v>3450</v>
      </c>
      <c r="G170" s="4">
        <f>EDATE(E170,-6)</f>
        <v/>
      </c>
      <c r="I170" s="4" t="n"/>
      <c r="J170">
        <f>IF(I170="","",IF(I170&gt;G170,"LATE",""))</f>
        <v/>
      </c>
      <c r="K170" t="inlineStr">
        <is>
          <t>No application</t>
        </is>
      </c>
    </row>
    <row r="171">
      <c r="A171" t="inlineStr">
        <is>
          <t>TA-2024-00114</t>
        </is>
      </c>
      <c r="B171" t="inlineStr">
        <is>
          <t>Murugan Remittance Pte Ltd</t>
        </is>
      </c>
      <c r="C171" t="inlineStr">
        <is>
          <t>U-KR333-01-01</t>
        </is>
      </c>
      <c r="D171" t="inlineStr">
        <is>
          <t>Remittance &amp; Money Changer</t>
        </is>
      </c>
      <c r="E171" s="4" t="n">
        <v>46418</v>
      </c>
      <c r="F171" s="5" t="n">
        <v>2070</v>
      </c>
      <c r="G171" s="4">
        <f>EDATE(E171,-6)</f>
        <v/>
      </c>
      <c r="I171" s="4" t="n"/>
      <c r="J171">
        <f>IF(I171="","",IF(I171&gt;G171,"LATE",""))</f>
        <v/>
      </c>
      <c r="K171" t="inlineStr">
        <is>
          <t>No application</t>
        </is>
      </c>
    </row>
    <row r="172">
      <c r="A172" t="inlineStr">
        <is>
          <t>TA-2024-00115</t>
        </is>
      </c>
      <c r="B172" t="inlineStr">
        <is>
          <t>Teck Guan Fruit Trading</t>
        </is>
      </c>
      <c r="C172" t="inlineStr">
        <is>
          <t>U-KR335-01-07</t>
        </is>
      </c>
      <c r="D172" t="inlineStr">
        <is>
          <t>Fruit Shop</t>
        </is>
      </c>
      <c r="E172" s="4" t="n">
        <v>46418</v>
      </c>
      <c r="F172" s="5" t="n">
        <v>2570</v>
      </c>
      <c r="G172" s="4">
        <f>EDATE(E172,-6)</f>
        <v/>
      </c>
      <c r="I172" s="4" t="n"/>
      <c r="J172">
        <f>IF(I172="","",IF(I172&gt;G172,"LATE",""))</f>
        <v/>
      </c>
      <c r="K172" t="inlineStr">
        <is>
          <t>No application</t>
        </is>
      </c>
    </row>
    <row r="173">
      <c r="A173" t="inlineStr">
        <is>
          <t>TA-2024-00116</t>
        </is>
      </c>
      <c r="B173" t="inlineStr">
        <is>
          <t>Everbright Medical Supplies</t>
        </is>
      </c>
      <c r="C173" t="inlineStr">
        <is>
          <t>U-KR349-01-04</t>
        </is>
      </c>
      <c r="D173" t="inlineStr">
        <is>
          <t>Pharmacy</t>
        </is>
      </c>
      <c r="E173" s="4" t="n">
        <v>46418</v>
      </c>
      <c r="F173" s="5" t="n">
        <v>5110</v>
      </c>
      <c r="G173" s="4">
        <f>EDATE(E173,-6)</f>
        <v/>
      </c>
      <c r="I173" s="4" t="n"/>
      <c r="J173">
        <f>IF(I173="","",IF(I173&gt;G173,"LATE",""))</f>
        <v/>
      </c>
      <c r="K173" t="inlineStr">
        <is>
          <t>No application</t>
        </is>
      </c>
    </row>
    <row r="174">
      <c r="A174" t="inlineStr">
        <is>
          <t>TA-2024-00117</t>
        </is>
      </c>
      <c r="B174" t="inlineStr">
        <is>
          <t>Lucky Star Telecom Pte Ltd</t>
        </is>
      </c>
      <c r="C174" t="inlineStr">
        <is>
          <t>U-KR353-01-05</t>
        </is>
      </c>
      <c r="D174" t="inlineStr">
        <is>
          <t>Mobile Phone &amp; Accessories</t>
        </is>
      </c>
      <c r="E174" s="4" t="n">
        <v>46418</v>
      </c>
      <c r="F174" s="5" t="n">
        <v>1240</v>
      </c>
      <c r="G174" s="4">
        <f>EDATE(E174,-6)</f>
        <v/>
      </c>
      <c r="I174" s="4" t="n"/>
      <c r="J174">
        <f>IF(I174="","",IF(I174&gt;G174,"LATE",""))</f>
        <v/>
      </c>
      <c r="K174" t="inlineStr">
        <is>
          <t>No application</t>
        </is>
      </c>
    </row>
    <row r="175">
      <c r="A175" t="inlineStr">
        <is>
          <t>TA-2024-00119</t>
        </is>
      </c>
      <c r="B175" t="inlineStr">
        <is>
          <t>Smart Kids Trading</t>
        </is>
      </c>
      <c r="C175" t="inlineStr">
        <is>
          <t>U-PI605-01-01</t>
        </is>
      </c>
      <c r="D175" t="inlineStr">
        <is>
          <t>Provision Shop</t>
        </is>
      </c>
      <c r="E175" s="4" t="n">
        <v>46418</v>
      </c>
      <c r="F175" s="5" t="n">
        <v>2710</v>
      </c>
      <c r="G175" s="4">
        <f>EDATE(E175,-6)</f>
        <v/>
      </c>
      <c r="I175" s="4" t="n"/>
      <c r="J175">
        <f>IF(I175="","",IF(I175&gt;G175,"LATE",""))</f>
        <v/>
      </c>
      <c r="K175" t="inlineStr">
        <is>
          <t>No application</t>
        </is>
      </c>
    </row>
    <row r="176">
      <c r="A176" t="inlineStr">
        <is>
          <t>TA-2024-00120</t>
        </is>
      </c>
      <c r="B176" t="inlineStr">
        <is>
          <t>Teck Guan Bubble Tea</t>
        </is>
      </c>
      <c r="C176" t="inlineStr">
        <is>
          <t>U-PI627-01-11</t>
        </is>
      </c>
      <c r="D176" t="inlineStr">
        <is>
          <t>Bubble Tea</t>
        </is>
      </c>
      <c r="E176" s="4" t="n">
        <v>46418</v>
      </c>
      <c r="F176" s="5" t="n">
        <v>5290</v>
      </c>
      <c r="G176" s="4">
        <f>EDATE(E176,-6)</f>
        <v/>
      </c>
      <c r="I176" s="4" t="n"/>
      <c r="J176">
        <f>IF(I176="","",IF(I176&gt;G176,"LATE",""))</f>
        <v/>
      </c>
      <c r="K176" t="inlineStr">
        <is>
          <t>No application</t>
        </is>
      </c>
    </row>
    <row r="177">
      <c r="A177" t="inlineStr">
        <is>
          <t>TA-2024-00122</t>
        </is>
      </c>
      <c r="B177" t="inlineStr">
        <is>
          <t>Sejahtera Tea House</t>
        </is>
      </c>
      <c r="C177" t="inlineStr">
        <is>
          <t>U-PI634-01-06</t>
        </is>
      </c>
      <c r="D177" t="inlineStr">
        <is>
          <t>Bubble Tea</t>
        </is>
      </c>
      <c r="E177" s="4" t="n">
        <v>46418</v>
      </c>
      <c r="F177" s="5" t="n">
        <v>4060</v>
      </c>
      <c r="G177" s="4">
        <f>EDATE(E177,-6)</f>
        <v/>
      </c>
      <c r="I177" s="4" t="n"/>
      <c r="J177">
        <f>IF(I177="","",IF(I177&gt;G177,"LATE",""))</f>
        <v/>
      </c>
      <c r="K177" t="inlineStr">
        <is>
          <t>No application</t>
        </is>
      </c>
    </row>
    <row r="178">
      <c r="A178" t="inlineStr">
        <is>
          <t>TA-2024-00123</t>
        </is>
      </c>
      <c r="B178" t="inlineStr">
        <is>
          <t>New Life Tuition Centre Pte Ltd</t>
        </is>
      </c>
      <c r="C178" t="inlineStr">
        <is>
          <t>U-PI634-02-04</t>
        </is>
      </c>
      <c r="D178" t="inlineStr">
        <is>
          <t>Tuition Centre</t>
        </is>
      </c>
      <c r="E178" s="4" t="n">
        <v>46418</v>
      </c>
      <c r="F178" s="5" t="n">
        <v>2770</v>
      </c>
      <c r="G178" s="4">
        <f>EDATE(E178,-6)</f>
        <v/>
      </c>
      <c r="I178" s="4" t="n"/>
      <c r="J178">
        <f>IF(I178="","",IF(I178&gt;G178,"LATE",""))</f>
        <v/>
      </c>
      <c r="K178" t="inlineStr">
        <is>
          <t>No application</t>
        </is>
      </c>
    </row>
    <row r="179">
      <c r="A179" t="inlineStr">
        <is>
          <t>TA-2024-00125</t>
        </is>
      </c>
      <c r="B179" t="inlineStr">
        <is>
          <t>Mei Ling Mobile Pte Ltd</t>
        </is>
      </c>
      <c r="C179" t="inlineStr">
        <is>
          <t>U-PI644-01-11</t>
        </is>
      </c>
      <c r="D179" t="inlineStr">
        <is>
          <t>Mobile Phone &amp; Accessories</t>
        </is>
      </c>
      <c r="E179" s="4" t="n">
        <v>46418</v>
      </c>
      <c r="F179" s="5" t="n">
        <v>2620</v>
      </c>
      <c r="G179" s="4">
        <f>EDATE(E179,-6)</f>
        <v/>
      </c>
      <c r="I179" s="4" t="n"/>
      <c r="J179">
        <f>IF(I179="","",IF(I179&gt;G179,"LATE",""))</f>
        <v/>
      </c>
      <c r="K179" t="inlineStr">
        <is>
          <t>No application</t>
        </is>
      </c>
    </row>
    <row r="180">
      <c r="A180" t="inlineStr">
        <is>
          <t>TA-2024-00127</t>
        </is>
      </c>
      <c r="B180" t="inlineStr">
        <is>
          <t>Jade Garden Snacks</t>
        </is>
      </c>
      <c r="C180" t="inlineStr">
        <is>
          <t>U-PI646-01-07</t>
        </is>
      </c>
      <c r="D180" t="inlineStr">
        <is>
          <t>Snack Kiosk</t>
        </is>
      </c>
      <c r="E180" s="4" t="n">
        <v>46418</v>
      </c>
      <c r="F180" s="5" t="n">
        <v>900</v>
      </c>
      <c r="G180" s="4">
        <f>EDATE(E180,-6)</f>
        <v/>
      </c>
      <c r="I180" s="4" t="n"/>
      <c r="J180">
        <f>IF(I180="","",IF(I180&gt;G180,"LATE",""))</f>
        <v/>
      </c>
      <c r="K180" t="inlineStr">
        <is>
          <t>No application</t>
        </is>
      </c>
    </row>
    <row r="181">
      <c r="A181" t="inlineStr">
        <is>
          <t>TA-2024-00129</t>
        </is>
      </c>
      <c r="B181" t="inlineStr">
        <is>
          <t>Siva Medical Hall</t>
        </is>
      </c>
      <c r="C181" t="inlineStr">
        <is>
          <t>U-PI648-02-04</t>
        </is>
      </c>
      <c r="D181" t="inlineStr">
        <is>
          <t>TCM Clinic</t>
        </is>
      </c>
      <c r="E181" s="4" t="n">
        <v>46418</v>
      </c>
      <c r="F181" s="5" t="n">
        <v>2490</v>
      </c>
      <c r="G181" s="4">
        <f>EDATE(E181,-6)</f>
        <v/>
      </c>
      <c r="I181" s="4" t="n"/>
      <c r="J181">
        <f>IF(I181="","",IF(I181&gt;G181,"LATE",""))</f>
        <v/>
      </c>
      <c r="K181" t="inlineStr">
        <is>
          <t>No application</t>
        </is>
      </c>
    </row>
    <row r="182">
      <c r="A182" t="inlineStr">
        <is>
          <t>TA-2024-00131</t>
        </is>
      </c>
      <c r="B182" t="inlineStr">
        <is>
          <t>Ah Seng Florist</t>
        </is>
      </c>
      <c r="C182" t="inlineStr">
        <is>
          <t>U-PI657-01-08</t>
        </is>
      </c>
      <c r="D182" t="inlineStr">
        <is>
          <t>Florist</t>
        </is>
      </c>
      <c r="E182" s="4" t="n">
        <v>46418</v>
      </c>
      <c r="F182" s="5" t="n">
        <v>3940</v>
      </c>
      <c r="G182" s="4">
        <f>EDATE(E182,-6)</f>
        <v/>
      </c>
      <c r="I182" s="4" t="n"/>
      <c r="J182">
        <f>IF(I182="","",IF(I182&gt;G182,"LATE",""))</f>
        <v/>
      </c>
      <c r="K182" t="inlineStr">
        <is>
          <t>No application</t>
        </is>
      </c>
    </row>
    <row r="183">
      <c r="A183" t="inlineStr">
        <is>
          <t>TA-2024-00132</t>
        </is>
      </c>
      <c r="B183" t="inlineStr">
        <is>
          <t>Orchid Minimart</t>
        </is>
      </c>
      <c r="C183" t="inlineStr">
        <is>
          <t>U-PI667-01-14</t>
        </is>
      </c>
      <c r="D183" t="inlineStr">
        <is>
          <t>Minimart</t>
        </is>
      </c>
      <c r="E183" s="4" t="n">
        <v>46418</v>
      </c>
      <c r="F183" s="5" t="n">
        <v>2320</v>
      </c>
      <c r="G183" s="4">
        <f>EDATE(E183,-6)</f>
        <v/>
      </c>
      <c r="I183" s="4" t="n"/>
      <c r="J183">
        <f>IF(I183="","",IF(I183&gt;G183,"LATE",""))</f>
        <v/>
      </c>
      <c r="K183" t="inlineStr">
        <is>
          <t>No application</t>
        </is>
      </c>
    </row>
    <row r="184">
      <c r="A184" t="inlineStr">
        <is>
          <t>TA-2024-00133</t>
        </is>
      </c>
      <c r="B184" t="inlineStr">
        <is>
          <t>New Life Laundry Pte Ltd</t>
        </is>
      </c>
      <c r="C184" t="inlineStr">
        <is>
          <t>U-RH437-01-11</t>
        </is>
      </c>
      <c r="D184" t="inlineStr">
        <is>
          <t>Laundry</t>
        </is>
      </c>
      <c r="E184" s="4" t="n">
        <v>46418</v>
      </c>
      <c r="F184" s="5" t="n">
        <v>3480</v>
      </c>
      <c r="G184" s="4">
        <f>EDATE(E184,-6)</f>
        <v/>
      </c>
      <c r="I184" s="4" t="n"/>
      <c r="J184">
        <f>IF(I184="","",IF(I184&gt;G184,"LATE",""))</f>
        <v/>
      </c>
      <c r="K184" t="inlineStr">
        <is>
          <t>No application</t>
        </is>
      </c>
    </row>
    <row r="185">
      <c r="A185" t="inlineStr">
        <is>
          <t>TA-2024-00134</t>
        </is>
      </c>
      <c r="B185" t="inlineStr">
        <is>
          <t>Lotus Mart</t>
        </is>
      </c>
      <c r="C185" t="inlineStr">
        <is>
          <t>U-RH460-01-09</t>
        </is>
      </c>
      <c r="D185" t="inlineStr">
        <is>
          <t>Minimart</t>
        </is>
      </c>
      <c r="E185" s="4" t="n">
        <v>46418</v>
      </c>
      <c r="F185" s="5" t="n">
        <v>2440</v>
      </c>
      <c r="G185" s="4">
        <f>EDATE(E185,-6)</f>
        <v/>
      </c>
      <c r="I185" s="4" t="n"/>
      <c r="J185">
        <f>IF(I185="","",IF(I185&gt;G185,"LATE",""))</f>
        <v/>
      </c>
      <c r="K185" t="inlineStr">
        <is>
          <t>No application</t>
        </is>
      </c>
    </row>
    <row r="186">
      <c r="A186" t="inlineStr">
        <is>
          <t>TA-2024-00135</t>
        </is>
      </c>
      <c r="B186" t="inlineStr">
        <is>
          <t>New Life Kueh Corner</t>
        </is>
      </c>
      <c r="C186" t="inlineStr">
        <is>
          <t>U-RH464-01-06</t>
        </is>
      </c>
      <c r="D186" t="inlineStr">
        <is>
          <t>Snack Kiosk</t>
        </is>
      </c>
      <c r="E186" s="4" t="n">
        <v>46418</v>
      </c>
      <c r="F186" s="5" t="n">
        <v>900</v>
      </c>
      <c r="G186" s="4">
        <f>EDATE(E186,-6)</f>
        <v/>
      </c>
      <c r="I186" s="4" t="n"/>
      <c r="J186">
        <f>IF(I186="","",IF(I186&gt;G186,"LATE",""))</f>
        <v/>
      </c>
      <c r="K186" t="inlineStr">
        <is>
          <t>No application</t>
        </is>
      </c>
    </row>
    <row r="187">
      <c r="A187" t="inlineStr">
        <is>
          <t>TA-2024-00137</t>
        </is>
      </c>
      <c r="B187" t="inlineStr">
        <is>
          <t>Bright Path Bakery Pte Ltd</t>
        </is>
      </c>
      <c r="C187" t="inlineStr">
        <is>
          <t>U-RH476-01-02</t>
        </is>
      </c>
      <c r="D187" t="inlineStr">
        <is>
          <t>Bakery &amp; Confectionery</t>
        </is>
      </c>
      <c r="E187" s="4" t="n">
        <v>46418</v>
      </c>
      <c r="F187" s="5" t="n">
        <v>3660</v>
      </c>
      <c r="G187" s="4">
        <f>EDATE(E187,-6)</f>
        <v/>
      </c>
      <c r="I187" s="4" t="n"/>
      <c r="J187">
        <f>IF(I187="","",IF(I187&gt;G187,"LATE",""))</f>
        <v/>
      </c>
      <c r="K187" t="inlineStr">
        <is>
          <t>No application</t>
        </is>
      </c>
    </row>
    <row r="188">
      <c r="A188" t="inlineStr">
        <is>
          <t>TA-2024-00138</t>
        </is>
      </c>
      <c r="B188" t="inlineStr">
        <is>
          <t>Kian Huat Bubble Tea</t>
        </is>
      </c>
      <c r="C188" t="inlineStr">
        <is>
          <t>U-RH484-01-05</t>
        </is>
      </c>
      <c r="D188" t="inlineStr">
        <is>
          <t>Bubble Tea</t>
        </is>
      </c>
      <c r="E188" s="4" t="n">
        <v>46418</v>
      </c>
      <c r="F188" s="5" t="n">
        <v>1180</v>
      </c>
      <c r="G188" s="4">
        <f>EDATE(E188,-6)</f>
        <v/>
      </c>
      <c r="I188" s="4" t="n"/>
      <c r="J188">
        <f>IF(I188="","",IF(I188&gt;G188,"LATE",""))</f>
        <v/>
      </c>
      <c r="K188" t="inlineStr">
        <is>
          <t>No application</t>
        </is>
      </c>
    </row>
    <row r="189">
      <c r="A189" t="inlineStr">
        <is>
          <t>TA-2024-00140</t>
        </is>
      </c>
      <c r="B189" t="inlineStr">
        <is>
          <t>Rainbow Bubble Tea</t>
        </is>
      </c>
      <c r="C189" t="inlineStr">
        <is>
          <t>U-ST506-01-04</t>
        </is>
      </c>
      <c r="D189" t="inlineStr">
        <is>
          <t>Bubble Tea</t>
        </is>
      </c>
      <c r="E189" s="4" t="n">
        <v>46418</v>
      </c>
      <c r="F189" s="5" t="n">
        <v>4380</v>
      </c>
      <c r="G189" s="4">
        <f>EDATE(E189,-6)</f>
        <v/>
      </c>
      <c r="I189" s="4" t="n"/>
      <c r="J189">
        <f>IF(I189="","",IF(I189&gt;G189,"LATE",""))</f>
        <v/>
      </c>
      <c r="K189" t="inlineStr">
        <is>
          <t>No application</t>
        </is>
      </c>
    </row>
    <row r="190">
      <c r="A190" t="inlineStr">
        <is>
          <t>TA-2024-00142</t>
        </is>
      </c>
      <c r="B190" t="inlineStr">
        <is>
          <t>Suria Coffeeshop</t>
        </is>
      </c>
      <c r="C190" t="inlineStr">
        <is>
          <t>U-ST507-01-01</t>
        </is>
      </c>
      <c r="D190" t="inlineStr">
        <is>
          <t>Coffeeshop</t>
        </is>
      </c>
      <c r="E190" s="4" t="n">
        <v>46418</v>
      </c>
      <c r="F190" s="5" t="n">
        <v>7070</v>
      </c>
      <c r="G190" s="4">
        <f>EDATE(E190,-6)</f>
        <v/>
      </c>
      <c r="H190" t="inlineStr">
        <is>
          <t>APP-2026-0270</t>
        </is>
      </c>
      <c r="I190" s="4" t="n">
        <v>46266</v>
      </c>
      <c r="J190">
        <f>IF(I190="","",IF(I190&gt;G190,"LATE",""))</f>
        <v/>
      </c>
      <c r="K190" t="inlineStr">
        <is>
          <t>Approved</t>
        </is>
      </c>
    </row>
    <row r="191">
      <c r="A191" t="inlineStr">
        <is>
          <t>TA-2024-00143</t>
        </is>
      </c>
      <c r="B191" t="inlineStr">
        <is>
          <t>Lakshmi Eating Place</t>
        </is>
      </c>
      <c r="C191" t="inlineStr">
        <is>
          <t>U-ST512-01-07</t>
        </is>
      </c>
      <c r="D191" t="inlineStr">
        <is>
          <t>Restaurant</t>
        </is>
      </c>
      <c r="E191" s="4" t="n">
        <v>46418</v>
      </c>
      <c r="F191" s="5" t="n">
        <v>4080</v>
      </c>
      <c r="G191" s="4">
        <f>EDATE(E191,-6)</f>
        <v/>
      </c>
      <c r="I191" s="4" t="n"/>
      <c r="J191">
        <f>IF(I191="","",IF(I191&gt;G191,"LATE",""))</f>
        <v/>
      </c>
      <c r="K191" t="inlineStr">
        <is>
          <t>No application</t>
        </is>
      </c>
    </row>
    <row r="192">
      <c r="A192" t="inlineStr">
        <is>
          <t>TA-2024-00145</t>
        </is>
      </c>
      <c r="B192" t="inlineStr">
        <is>
          <t>Wisdom Provision Shop Pte Ltd</t>
        </is>
      </c>
      <c r="C192" t="inlineStr">
        <is>
          <t>U-ST513-01-04</t>
        </is>
      </c>
      <c r="D192" t="inlineStr">
        <is>
          <t>Provision Shop</t>
        </is>
      </c>
      <c r="E192" s="4" t="n">
        <v>46418</v>
      </c>
      <c r="F192" s="5" t="n">
        <v>1980</v>
      </c>
      <c r="G192" s="4">
        <f>EDATE(E192,-6)</f>
        <v/>
      </c>
      <c r="I192" s="4" t="n"/>
      <c r="J192">
        <f>IF(I192="","",IF(I192&gt;G192,"LATE",""))</f>
        <v/>
      </c>
      <c r="K192" t="inlineStr">
        <is>
          <t>No application</t>
        </is>
      </c>
    </row>
    <row r="193">
      <c r="A193" t="inlineStr">
        <is>
          <t>TA-2024-00147</t>
        </is>
      </c>
      <c r="B193" t="inlineStr">
        <is>
          <t>Mutiara Eating Place</t>
        </is>
      </c>
      <c r="C193" t="inlineStr">
        <is>
          <t>U-ST535-01-03</t>
        </is>
      </c>
      <c r="D193" t="inlineStr">
        <is>
          <t>Restaurant</t>
        </is>
      </c>
      <c r="E193" s="4" t="n">
        <v>46418</v>
      </c>
      <c r="F193" s="5" t="n">
        <v>4740</v>
      </c>
      <c r="G193" s="4">
        <f>EDATE(E193,-6)</f>
        <v/>
      </c>
      <c r="I193" s="4" t="n"/>
      <c r="J193">
        <f>IF(I193="","",IF(I193&gt;G193,"LATE",""))</f>
        <v/>
      </c>
      <c r="K193" t="inlineStr">
        <is>
          <t>No application</t>
        </is>
      </c>
    </row>
    <row r="194">
      <c r="A194" t="inlineStr">
        <is>
          <t>TA-2024-00148</t>
        </is>
      </c>
      <c r="B194" t="inlineStr">
        <is>
          <t>Sunflower Consultancy Pte Ltd</t>
        </is>
      </c>
      <c r="C194" t="inlineStr">
        <is>
          <t>U-ST536-02-01</t>
        </is>
      </c>
      <c r="D194" t="inlineStr">
        <is>
          <t>Professional Services Office</t>
        </is>
      </c>
      <c r="E194" s="4" t="n">
        <v>46418</v>
      </c>
      <c r="F194" s="5" t="n">
        <v>1370</v>
      </c>
      <c r="G194" s="4">
        <f>EDATE(E194,-6)</f>
        <v/>
      </c>
      <c r="I194" s="4" t="n"/>
      <c r="J194">
        <f>IF(I194="","",IF(I194&gt;G194,"LATE",""))</f>
        <v/>
      </c>
      <c r="K194" t="inlineStr">
        <is>
          <t>No application</t>
        </is>
      </c>
    </row>
    <row r="195">
      <c r="A195" t="inlineStr">
        <is>
          <t>TA-2024-00150</t>
        </is>
      </c>
      <c r="B195" t="inlineStr">
        <is>
          <t>Blue Pearl Provision Shop Pte Ltd</t>
        </is>
      </c>
      <c r="C195" t="inlineStr">
        <is>
          <t>U-ST544-01-06</t>
        </is>
      </c>
      <c r="D195" t="inlineStr">
        <is>
          <t>Provision Shop</t>
        </is>
      </c>
      <c r="E195" s="4" t="n">
        <v>46418</v>
      </c>
      <c r="F195" s="5" t="n">
        <v>2970</v>
      </c>
      <c r="G195" s="4">
        <f>EDATE(E195,-6)</f>
        <v/>
      </c>
      <c r="I195" s="4" t="n"/>
      <c r="J195">
        <f>IF(I195="","",IF(I195&gt;G195,"LATE",""))</f>
        <v/>
      </c>
      <c r="K195" t="inlineStr">
        <is>
          <t>No application</t>
        </is>
      </c>
    </row>
    <row r="196">
      <c r="A196" t="inlineStr">
        <is>
          <t>TA-2024-00152</t>
        </is>
      </c>
      <c r="B196" t="inlineStr">
        <is>
          <t>Amanah Medical Supplies</t>
        </is>
      </c>
      <c r="C196" t="inlineStr">
        <is>
          <t>U-ST545-01-07</t>
        </is>
      </c>
      <c r="D196" t="inlineStr">
        <is>
          <t>Pharmacy</t>
        </is>
      </c>
      <c r="E196" s="4" t="n">
        <v>46418</v>
      </c>
      <c r="F196" s="5" t="n">
        <v>3640</v>
      </c>
      <c r="G196" s="4">
        <f>EDATE(E196,-6)</f>
        <v/>
      </c>
      <c r="I196" s="4" t="n"/>
      <c r="J196">
        <f>IF(I196="","",IF(I196&gt;G196,"LATE",""))</f>
        <v/>
      </c>
      <c r="K196" t="inlineStr">
        <is>
          <t>No application</t>
        </is>
      </c>
    </row>
    <row r="197">
      <c r="A197" t="inlineStr">
        <is>
          <t>TA-2024-00153</t>
        </is>
      </c>
      <c r="B197" t="inlineStr">
        <is>
          <t>Joo Chiat Hair Salon Pte Ltd</t>
        </is>
      </c>
      <c r="C197" t="inlineStr">
        <is>
          <t>U-ST589-01-02</t>
        </is>
      </c>
      <c r="D197" t="inlineStr">
        <is>
          <t>Hair Salon</t>
        </is>
      </c>
      <c r="E197" s="4" t="n">
        <v>46418</v>
      </c>
      <c r="F197" s="5" t="n">
        <v>2220</v>
      </c>
      <c r="G197" s="4">
        <f>EDATE(E197,-6)</f>
        <v/>
      </c>
      <c r="I197" s="4" t="n"/>
      <c r="J197">
        <f>IF(I197="","",IF(I197&gt;G197,"LATE",""))</f>
        <v/>
      </c>
      <c r="K197" t="inlineStr">
        <is>
          <t>No application</t>
        </is>
      </c>
    </row>
    <row r="198">
      <c r="A198" t="inlineStr">
        <is>
          <t>TA-2024-00155</t>
        </is>
      </c>
      <c r="B198" t="inlineStr">
        <is>
          <t>Seri Murni Hair Salon</t>
        </is>
      </c>
      <c r="C198" t="inlineStr">
        <is>
          <t>U-ST590-01-04</t>
        </is>
      </c>
      <c r="D198" t="inlineStr">
        <is>
          <t>Hair Salon</t>
        </is>
      </c>
      <c r="E198" s="4" t="n">
        <v>46418</v>
      </c>
      <c r="F198" s="5" t="n">
        <v>4010</v>
      </c>
      <c r="G198" s="4">
        <f>EDATE(E198,-6)</f>
        <v/>
      </c>
      <c r="I198" s="4" t="n"/>
      <c r="J198">
        <f>IF(I198="","",IF(I198&gt;G198,"LATE",""))</f>
        <v/>
      </c>
      <c r="K198" t="inlineStr">
        <is>
          <t>No application</t>
        </is>
      </c>
    </row>
    <row r="199">
      <c r="A199" t="inlineStr">
        <is>
          <t>TA-2024-00156</t>
        </is>
      </c>
      <c r="B199" t="inlineStr">
        <is>
          <t>Lotus Learning Centre Pte Ltd</t>
        </is>
      </c>
      <c r="C199" t="inlineStr">
        <is>
          <t>U-ST593-01-07</t>
        </is>
      </c>
      <c r="D199" t="inlineStr">
        <is>
          <t>Tuition Centre</t>
        </is>
      </c>
      <c r="E199" s="4" t="n">
        <v>46418</v>
      </c>
      <c r="F199" s="5" t="n">
        <v>2070</v>
      </c>
      <c r="G199" s="4">
        <f>EDATE(E199,-6)</f>
        <v/>
      </c>
      <c r="I199" s="4" t="n"/>
      <c r="J199">
        <f>IF(I199="","",IF(I199&gt;G199,"LATE",""))</f>
        <v/>
      </c>
      <c r="K199" t="inlineStr">
        <is>
          <t>No application</t>
        </is>
      </c>
    </row>
    <row r="200">
      <c r="A200" t="inlineStr">
        <is>
          <t>TA-2024-00157</t>
        </is>
      </c>
      <c r="B200" t="inlineStr">
        <is>
          <t>Heng Ann Eating House</t>
        </is>
      </c>
      <c r="C200" t="inlineStr">
        <is>
          <t>U-BV205-01-01</t>
        </is>
      </c>
      <c r="D200" t="inlineStr">
        <is>
          <t>Coffeeshop</t>
        </is>
      </c>
      <c r="E200" s="4" t="n">
        <v>46446</v>
      </c>
      <c r="F200" s="5" t="n">
        <v>14240</v>
      </c>
      <c r="G200" s="4">
        <f>EDATE(E200,-6)</f>
        <v/>
      </c>
      <c r="I200" s="4" t="n"/>
      <c r="J200">
        <f>IF(I200="","",IF(I200&gt;G200,"LATE",""))</f>
        <v/>
      </c>
      <c r="K200" t="inlineStr">
        <is>
          <t>No application</t>
        </is>
      </c>
    </row>
    <row r="201">
      <c r="A201" t="inlineStr">
        <is>
          <t>TA-2024-00159</t>
        </is>
      </c>
      <c r="B201" t="inlineStr">
        <is>
          <t>Kim Hiap Trading</t>
        </is>
      </c>
      <c r="C201" t="inlineStr">
        <is>
          <t>U-BV214-01-07</t>
        </is>
      </c>
      <c r="D201" t="inlineStr">
        <is>
          <t>Hardware</t>
        </is>
      </c>
      <c r="E201" s="4" t="n">
        <v>46446</v>
      </c>
      <c r="F201" s="5" t="n">
        <v>4100</v>
      </c>
      <c r="G201" s="4">
        <f>EDATE(E201,-6)</f>
        <v/>
      </c>
      <c r="I201" s="4" t="n"/>
      <c r="J201">
        <f>IF(I201="","",IF(I201&gt;G201,"LATE",""))</f>
        <v/>
      </c>
      <c r="K201" t="inlineStr">
        <is>
          <t>No application</t>
        </is>
      </c>
    </row>
    <row r="202">
      <c r="A202" t="inlineStr">
        <is>
          <t>TA-2024-00160</t>
        </is>
      </c>
      <c r="B202" t="inlineStr">
        <is>
          <t>Fortune Bubble Tea</t>
        </is>
      </c>
      <c r="C202" t="inlineStr">
        <is>
          <t>U-BV216-01-03</t>
        </is>
      </c>
      <c r="D202" t="inlineStr">
        <is>
          <t>Bubble Tea</t>
        </is>
      </c>
      <c r="E202" s="4" t="n">
        <v>46446</v>
      </c>
      <c r="F202" s="5" t="n">
        <v>4370</v>
      </c>
      <c r="G202" s="4">
        <f>EDATE(E202,-6)</f>
        <v/>
      </c>
      <c r="I202" s="4" t="n"/>
      <c r="J202">
        <f>IF(I202="","",IF(I202&gt;G202,"LATE",""))</f>
        <v/>
      </c>
      <c r="K202" t="inlineStr">
        <is>
          <t>No application</t>
        </is>
      </c>
    </row>
    <row r="203">
      <c r="A203" t="inlineStr">
        <is>
          <t>TA-2024-00162</t>
        </is>
      </c>
      <c r="B203" t="inlineStr">
        <is>
          <t>Fresh Valley Dental Surgery</t>
        </is>
      </c>
      <c r="C203" t="inlineStr">
        <is>
          <t>U-BV227-01-07</t>
        </is>
      </c>
      <c r="D203" t="inlineStr">
        <is>
          <t>Dental Clinic</t>
        </is>
      </c>
      <c r="E203" s="4" t="n">
        <v>46446</v>
      </c>
      <c r="F203" s="5" t="n">
        <v>4950</v>
      </c>
      <c r="G203" s="4">
        <f>EDATE(E203,-6)</f>
        <v/>
      </c>
      <c r="I203" s="4" t="n"/>
      <c r="J203">
        <f>IF(I203="","",IF(I203&gt;G203,"LATE",""))</f>
        <v/>
      </c>
      <c r="K203" t="inlineStr">
        <is>
          <t>No application</t>
        </is>
      </c>
    </row>
    <row r="204">
      <c r="A204" t="inlineStr">
        <is>
          <t>TA-2024-00164</t>
        </is>
      </c>
      <c r="B204" t="inlineStr">
        <is>
          <t>PrimeValue Mart Pte Ltd</t>
        </is>
      </c>
      <c r="C204" t="inlineStr">
        <is>
          <t>U-BV229-01-13</t>
        </is>
      </c>
      <c r="D204" t="inlineStr">
        <is>
          <t>Minimart</t>
        </is>
      </c>
      <c r="E204" s="4" t="n">
        <v>46446</v>
      </c>
      <c r="F204" s="5" t="n">
        <v>3450</v>
      </c>
      <c r="G204" s="4">
        <f>EDATE(E204,-6)</f>
        <v/>
      </c>
      <c r="I204" s="4" t="n"/>
      <c r="J204">
        <f>IF(I204="","",IF(I204&gt;G204,"LATE",""))</f>
        <v/>
      </c>
      <c r="K204" t="inlineStr">
        <is>
          <t>No application</t>
        </is>
      </c>
    </row>
    <row r="205">
      <c r="A205" t="inlineStr">
        <is>
          <t>TA-2024-00166</t>
        </is>
      </c>
      <c r="B205" t="inlineStr">
        <is>
          <t>Amanah Optical Pte Ltd</t>
        </is>
      </c>
      <c r="C205" t="inlineStr">
        <is>
          <t>U-BV233-01-07</t>
        </is>
      </c>
      <c r="D205" t="inlineStr">
        <is>
          <t>Optical</t>
        </is>
      </c>
      <c r="E205" s="4" t="n">
        <v>46446</v>
      </c>
      <c r="F205" s="5" t="n">
        <v>3200</v>
      </c>
      <c r="G205" s="4">
        <f>EDATE(E205,-6)</f>
        <v/>
      </c>
      <c r="I205" s="4" t="n"/>
      <c r="J205">
        <f>IF(I205="","",IF(I205&gt;G205,"LATE",""))</f>
        <v/>
      </c>
      <c r="K205" t="inlineStr">
        <is>
          <t>No application</t>
        </is>
      </c>
    </row>
    <row r="206">
      <c r="A206" t="inlineStr">
        <is>
          <t>TA-2024-00168</t>
        </is>
      </c>
      <c r="B206" t="inlineStr">
        <is>
          <t>Sejahtera Mobile Pte Ltd</t>
        </is>
      </c>
      <c r="C206" t="inlineStr">
        <is>
          <t>U-BV256-01-01</t>
        </is>
      </c>
      <c r="D206" t="inlineStr">
        <is>
          <t>Mobile Phone &amp; Accessories</t>
        </is>
      </c>
      <c r="E206" s="4" t="n">
        <v>46446</v>
      </c>
      <c r="F206" s="5" t="n">
        <v>950</v>
      </c>
      <c r="G206" s="4">
        <f>EDATE(E206,-6)</f>
        <v/>
      </c>
      <c r="I206" s="4" t="n"/>
      <c r="J206">
        <f>IF(I206="","",IF(I206&gt;G206,"LATE",""))</f>
        <v/>
      </c>
      <c r="K206" t="inlineStr">
        <is>
          <t>No application</t>
        </is>
      </c>
    </row>
    <row r="207">
      <c r="A207" t="inlineStr">
        <is>
          <t>TA-2024-00170</t>
        </is>
      </c>
      <c r="B207" t="inlineStr">
        <is>
          <t>Tan Brothers Pharmacy Pte Ltd</t>
        </is>
      </c>
      <c r="C207" t="inlineStr">
        <is>
          <t>U-BV266-01-10</t>
        </is>
      </c>
      <c r="D207" t="inlineStr">
        <is>
          <t>Pharmacy</t>
        </is>
      </c>
      <c r="E207" s="4" t="n">
        <v>46446</v>
      </c>
      <c r="F207" s="5" t="n">
        <v>5950</v>
      </c>
      <c r="G207" s="4">
        <f>EDATE(E207,-6)</f>
        <v/>
      </c>
      <c r="I207" s="4" t="n"/>
      <c r="J207">
        <f>IF(I207="","",IF(I207&gt;G207,"LATE",""))</f>
        <v/>
      </c>
      <c r="K207" t="inlineStr">
        <is>
          <t>No application</t>
        </is>
      </c>
    </row>
    <row r="208">
      <c r="A208" t="inlineStr">
        <is>
          <t>TA-2024-00172</t>
        </is>
      </c>
      <c r="B208" t="inlineStr">
        <is>
          <t>Gold Coin Bookstore</t>
        </is>
      </c>
      <c r="C208" t="inlineStr">
        <is>
          <t>U-BV266-01-11</t>
        </is>
      </c>
      <c r="D208" t="inlineStr">
        <is>
          <t>Stationery &amp; Books</t>
        </is>
      </c>
      <c r="E208" s="4" t="n">
        <v>46446</v>
      </c>
      <c r="F208" s="5" t="n">
        <v>6560</v>
      </c>
      <c r="G208" s="4">
        <f>EDATE(E208,-6)</f>
        <v/>
      </c>
      <c r="I208" s="4" t="n"/>
      <c r="J208">
        <f>IF(I208="","",IF(I208&gt;G208,"LATE",""))</f>
        <v/>
      </c>
      <c r="K208" t="inlineStr">
        <is>
          <t>No application</t>
        </is>
      </c>
    </row>
    <row r="209">
      <c r="A209" t="inlineStr">
        <is>
          <t>TA-2024-00173</t>
        </is>
      </c>
      <c r="B209" t="inlineStr">
        <is>
          <t>Nur Hardware</t>
        </is>
      </c>
      <c r="C209" t="inlineStr">
        <is>
          <t>U-BV288-01-10</t>
        </is>
      </c>
      <c r="D209" t="inlineStr">
        <is>
          <t>Hardware</t>
        </is>
      </c>
      <c r="E209" s="4" t="n">
        <v>46446</v>
      </c>
      <c r="F209" s="5" t="n">
        <v>4260</v>
      </c>
      <c r="G209" s="4">
        <f>EDATE(E209,-6)</f>
        <v/>
      </c>
      <c r="H209" t="inlineStr">
        <is>
          <t>APP-2025-0017</t>
        </is>
      </c>
      <c r="I209" s="4" t="n">
        <v>45942</v>
      </c>
      <c r="J209">
        <f>IF(I209="","",IF(I209&gt;G209,"LATE",""))</f>
        <v/>
      </c>
      <c r="K209" t="inlineStr">
        <is>
          <t>Approved</t>
        </is>
      </c>
    </row>
    <row r="210">
      <c r="A210" t="inlineStr">
        <is>
          <t>TA-2024-00175</t>
        </is>
      </c>
      <c r="B210" t="inlineStr">
        <is>
          <t>Bayu Dental Surgery</t>
        </is>
      </c>
      <c r="C210" t="inlineStr">
        <is>
          <t>U-CD118-01-24</t>
        </is>
      </c>
      <c r="D210" t="inlineStr">
        <is>
          <t>Dental Clinic</t>
        </is>
      </c>
      <c r="E210" s="4" t="n">
        <v>46446</v>
      </c>
      <c r="F210" s="5" t="n">
        <v>3120</v>
      </c>
      <c r="G210" s="4">
        <f>EDATE(E210,-6)</f>
        <v/>
      </c>
      <c r="I210" s="4" t="n"/>
      <c r="J210">
        <f>IF(I210="","",IF(I210&gt;G210,"LATE",""))</f>
        <v/>
      </c>
      <c r="K210" t="inlineStr">
        <is>
          <t>No application</t>
        </is>
      </c>
    </row>
    <row r="211">
      <c r="A211" t="inlineStr">
        <is>
          <t>TA-2024-00176</t>
        </is>
      </c>
      <c r="B211" t="inlineStr">
        <is>
          <t>Blue Pearl Flowers &amp; Gifts Pte Ltd</t>
        </is>
      </c>
      <c r="C211" t="inlineStr">
        <is>
          <t>U-CD152-01-11</t>
        </is>
      </c>
      <c r="D211" t="inlineStr">
        <is>
          <t>Florist</t>
        </is>
      </c>
      <c r="E211" s="4" t="n">
        <v>46446</v>
      </c>
      <c r="F211" s="5" t="n">
        <v>1680</v>
      </c>
      <c r="G211" s="4">
        <f>EDATE(E211,-6)</f>
        <v/>
      </c>
      <c r="I211" s="4" t="n"/>
      <c r="J211">
        <f>IF(I211="","",IF(I211&gt;G211,"LATE",""))</f>
        <v/>
      </c>
      <c r="K211" t="inlineStr">
        <is>
          <t>No application</t>
        </is>
      </c>
    </row>
    <row r="212">
      <c r="A212" t="inlineStr">
        <is>
          <t>TA-2024-00177</t>
        </is>
      </c>
      <c r="B212" t="inlineStr">
        <is>
          <t>Lotus Dental Care</t>
        </is>
      </c>
      <c r="C212" t="inlineStr">
        <is>
          <t>U-CD170-01-01</t>
        </is>
      </c>
      <c r="D212" t="inlineStr">
        <is>
          <t>Dental Clinic</t>
        </is>
      </c>
      <c r="E212" s="4" t="n">
        <v>46446</v>
      </c>
      <c r="F212" s="5" t="n">
        <v>3370</v>
      </c>
      <c r="G212" s="4">
        <f>EDATE(E212,-6)</f>
        <v/>
      </c>
      <c r="I212" s="4" t="n"/>
      <c r="J212">
        <f>IF(I212="","",IF(I212&gt;G212,"LATE",""))</f>
        <v/>
      </c>
      <c r="K212" t="inlineStr">
        <is>
          <t>No application</t>
        </is>
      </c>
    </row>
    <row r="213">
      <c r="A213" t="inlineStr">
        <is>
          <t>TA-2024-00178</t>
        </is>
      </c>
      <c r="B213" t="inlineStr">
        <is>
          <t>Rainbow Confectionery Pte Ltd</t>
        </is>
      </c>
      <c r="C213" t="inlineStr">
        <is>
          <t>U-CD174-01-05</t>
        </is>
      </c>
      <c r="D213" t="inlineStr">
        <is>
          <t>Bakery &amp; Confectionery</t>
        </is>
      </c>
      <c r="E213" s="4" t="n">
        <v>46446</v>
      </c>
      <c r="F213" s="5" t="n">
        <v>5550</v>
      </c>
      <c r="G213" s="4">
        <f>EDATE(E213,-6)</f>
        <v/>
      </c>
      <c r="I213" s="4" t="n"/>
      <c r="J213">
        <f>IF(I213="","",IF(I213&gt;G213,"LATE",""))</f>
        <v/>
      </c>
      <c r="K213" t="inlineStr">
        <is>
          <t>No application</t>
        </is>
      </c>
    </row>
    <row r="214">
      <c r="A214" t="inlineStr">
        <is>
          <t>TA-2024-00179</t>
        </is>
      </c>
      <c r="B214" t="inlineStr">
        <is>
          <t>Bayu Key &amp; Shoe Service Pte Ltd</t>
        </is>
      </c>
      <c r="C214" t="inlineStr">
        <is>
          <t>U-CD181-01-08</t>
        </is>
      </c>
      <c r="D214" t="inlineStr">
        <is>
          <t>Key Cutting &amp; Shoe Repair</t>
        </is>
      </c>
      <c r="E214" s="4" t="n">
        <v>46446</v>
      </c>
      <c r="F214" s="5" t="n">
        <v>900</v>
      </c>
      <c r="G214" s="4">
        <f>EDATE(E214,-6)</f>
        <v/>
      </c>
      <c r="I214" s="4" t="n"/>
      <c r="J214">
        <f>IF(I214="","",IF(I214&gt;G214,"LATE",""))</f>
        <v/>
      </c>
      <c r="K214" t="inlineStr">
        <is>
          <t>No application</t>
        </is>
      </c>
    </row>
    <row r="215">
      <c r="A215" t="inlineStr">
        <is>
          <t>TA-2024-00180</t>
        </is>
      </c>
      <c r="B215" t="inlineStr">
        <is>
          <t>Red Lantern Store Pte Ltd</t>
        </is>
      </c>
      <c r="C215" t="inlineStr">
        <is>
          <t>U-KR305-01-22</t>
        </is>
      </c>
      <c r="D215" t="inlineStr">
        <is>
          <t>Provision Shop</t>
        </is>
      </c>
      <c r="E215" s="4" t="n">
        <v>46446</v>
      </c>
      <c r="F215" s="5" t="n">
        <v>4240</v>
      </c>
      <c r="G215" s="4">
        <f>EDATE(E215,-6)</f>
        <v/>
      </c>
      <c r="I215" s="4" t="n"/>
      <c r="J215">
        <f>IF(I215="","",IF(I215&gt;G215,"LATE",""))</f>
        <v/>
      </c>
      <c r="K215" t="inlineStr">
        <is>
          <t>No application</t>
        </is>
      </c>
    </row>
    <row r="216">
      <c r="A216" t="inlineStr">
        <is>
          <t>TA-2024-00182</t>
        </is>
      </c>
      <c r="B216" t="inlineStr">
        <is>
          <t>Hup Seng Eating House Pte Ltd</t>
        </is>
      </c>
      <c r="C216" t="inlineStr">
        <is>
          <t>U-KR318-01-01</t>
        </is>
      </c>
      <c r="D216" t="inlineStr">
        <is>
          <t>Coffeeshop</t>
        </is>
      </c>
      <c r="E216" s="4" t="n">
        <v>46446</v>
      </c>
      <c r="F216" s="5" t="n">
        <v>12270</v>
      </c>
      <c r="G216" s="4">
        <f>EDATE(E216,-6)</f>
        <v/>
      </c>
      <c r="I216" s="4" t="n"/>
      <c r="J216">
        <f>IF(I216="","",IF(I216&gt;G216,"LATE",""))</f>
        <v/>
      </c>
      <c r="K216" t="inlineStr">
        <is>
          <t>No application</t>
        </is>
      </c>
    </row>
    <row r="217">
      <c r="A217" t="inlineStr">
        <is>
          <t>TA-2024-00183</t>
        </is>
      </c>
      <c r="B217" t="inlineStr">
        <is>
          <t>Kim Hiap Eating Place Pte Ltd</t>
        </is>
      </c>
      <c r="C217" t="inlineStr">
        <is>
          <t>U-KR330-01-05</t>
        </is>
      </c>
      <c r="D217" t="inlineStr">
        <is>
          <t>Restaurant</t>
        </is>
      </c>
      <c r="E217" s="4" t="n">
        <v>46446</v>
      </c>
      <c r="F217" s="5" t="n">
        <v>4220</v>
      </c>
      <c r="G217" s="4">
        <f>EDATE(E217,-6)</f>
        <v/>
      </c>
      <c r="H217" t="inlineStr">
        <is>
          <t>APP-2026-0184</t>
        </is>
      </c>
      <c r="I217" s="4" t="n">
        <v>46194</v>
      </c>
      <c r="J217">
        <f>IF(I217="","",IF(I217&gt;G217,"LATE",""))</f>
        <v/>
      </c>
      <c r="K217" t="inlineStr">
        <is>
          <t>Approved</t>
        </is>
      </c>
    </row>
    <row r="218">
      <c r="A218" t="inlineStr">
        <is>
          <t>TA-2024-00185</t>
        </is>
      </c>
      <c r="B218" t="inlineStr">
        <is>
          <t>Hup Seng Learning Centre Pte Ltd</t>
        </is>
      </c>
      <c r="C218" t="inlineStr">
        <is>
          <t>U-KR335-01-03</t>
        </is>
      </c>
      <c r="D218" t="inlineStr">
        <is>
          <t>Tuition Centre</t>
        </is>
      </c>
      <c r="E218" s="4" t="n">
        <v>46446</v>
      </c>
      <c r="F218" s="5" t="n">
        <v>3350</v>
      </c>
      <c r="G218" s="4">
        <f>EDATE(E218,-6)</f>
        <v/>
      </c>
      <c r="I218" s="4" t="n"/>
      <c r="J218">
        <f>IF(I218="","",IF(I218&gt;G218,"LATE",""))</f>
        <v/>
      </c>
      <c r="K218" t="inlineStr">
        <is>
          <t>No application</t>
        </is>
      </c>
    </row>
    <row r="219">
      <c r="A219" t="inlineStr">
        <is>
          <t>TA-2024-00186</t>
        </is>
      </c>
      <c r="B219" t="inlineStr">
        <is>
          <t>Joo Chiat Learning Centre</t>
        </is>
      </c>
      <c r="C219" t="inlineStr">
        <is>
          <t>U-KR345-01-03</t>
        </is>
      </c>
      <c r="D219" t="inlineStr">
        <is>
          <t>Tuition Centre</t>
        </is>
      </c>
      <c r="E219" s="4" t="n">
        <v>46446</v>
      </c>
      <c r="F219" s="5" t="n">
        <v>2640</v>
      </c>
      <c r="G219" s="4">
        <f>EDATE(E219,-6)</f>
        <v/>
      </c>
      <c r="I219" s="4" t="n"/>
      <c r="J219">
        <f>IF(I219="","",IF(I219&gt;G219,"LATE",""))</f>
        <v/>
      </c>
      <c r="K219" t="inlineStr">
        <is>
          <t>No application</t>
        </is>
      </c>
    </row>
    <row r="220">
      <c r="A220" t="inlineStr">
        <is>
          <t>TA-2024-00187</t>
        </is>
      </c>
      <c r="B220" t="inlineStr">
        <is>
          <t>Pinnacle Provision Shop</t>
        </is>
      </c>
      <c r="C220" t="inlineStr">
        <is>
          <t>U-KR368-01-09</t>
        </is>
      </c>
      <c r="D220" t="inlineStr">
        <is>
          <t>Provision Shop</t>
        </is>
      </c>
      <c r="E220" s="4" t="n">
        <v>46446</v>
      </c>
      <c r="F220" s="5" t="n">
        <v>4590</v>
      </c>
      <c r="G220" s="4">
        <f>EDATE(E220,-6)</f>
        <v/>
      </c>
      <c r="I220" s="4" t="n"/>
      <c r="J220">
        <f>IF(I220="","",IF(I220&gt;G220,"LATE",""))</f>
        <v/>
      </c>
      <c r="K220" t="inlineStr">
        <is>
          <t>No application</t>
        </is>
      </c>
    </row>
    <row r="221">
      <c r="A221" t="inlineStr">
        <is>
          <t>TA-2024-00188</t>
        </is>
      </c>
      <c r="B221" t="inlineStr">
        <is>
          <t>Evergreen Medical Hall Pte Ltd</t>
        </is>
      </c>
      <c r="C221" t="inlineStr">
        <is>
          <t>U-KR372-01-10</t>
        </is>
      </c>
      <c r="D221" t="inlineStr">
        <is>
          <t>TCM Clinic</t>
        </is>
      </c>
      <c r="E221" s="4" t="n">
        <v>46446</v>
      </c>
      <c r="F221" s="5" t="n">
        <v>2720</v>
      </c>
      <c r="G221" s="4">
        <f>EDATE(E221,-6)</f>
        <v/>
      </c>
      <c r="I221" s="4" t="n"/>
      <c r="J221">
        <f>IF(I221="","",IF(I221&gt;G221,"LATE",""))</f>
        <v/>
      </c>
      <c r="K221" t="inlineStr">
        <is>
          <t>No application</t>
        </is>
      </c>
    </row>
    <row r="222">
      <c r="A222" t="inlineStr">
        <is>
          <t>TA-2024-00189</t>
        </is>
      </c>
      <c r="B222" t="inlineStr">
        <is>
          <t>Ong &amp; Sons Fruit Trading Pte Ltd</t>
        </is>
      </c>
      <c r="C222" t="inlineStr">
        <is>
          <t>U-KR379-01-08</t>
        </is>
      </c>
      <c r="D222" t="inlineStr">
        <is>
          <t>Fruit Shop</t>
        </is>
      </c>
      <c r="E222" s="4" t="n">
        <v>46446</v>
      </c>
      <c r="F222" s="5" t="n">
        <v>2570</v>
      </c>
      <c r="G222" s="4">
        <f>EDATE(E222,-6)</f>
        <v/>
      </c>
      <c r="I222" s="4" t="n"/>
      <c r="J222">
        <f>IF(I222="","",IF(I222&gt;G222,"LATE",""))</f>
        <v/>
      </c>
      <c r="K222" t="inlineStr">
        <is>
          <t>No application</t>
        </is>
      </c>
    </row>
    <row r="223">
      <c r="A223" t="inlineStr">
        <is>
          <t>TA-2024-00190</t>
        </is>
      </c>
      <c r="B223" t="inlineStr">
        <is>
          <t>Silver Moon Kopitiam Pte Ltd</t>
        </is>
      </c>
      <c r="C223" t="inlineStr">
        <is>
          <t>U-PI606-01-01</t>
        </is>
      </c>
      <c r="D223" t="inlineStr">
        <is>
          <t>Coffeeshop</t>
        </is>
      </c>
      <c r="E223" s="4" t="n">
        <v>46446</v>
      </c>
      <c r="F223" s="5" t="n">
        <v>11000</v>
      </c>
      <c r="G223" s="4">
        <f>EDATE(E223,-6)</f>
        <v/>
      </c>
      <c r="I223" s="4" t="n"/>
      <c r="J223">
        <f>IF(I223="","",IF(I223&gt;G223,"LATE",""))</f>
        <v/>
      </c>
      <c r="K223" t="inlineStr">
        <is>
          <t>No application</t>
        </is>
      </c>
    </row>
    <row r="224">
      <c r="A224" t="inlineStr">
        <is>
          <t>TA-2024-00191</t>
        </is>
      </c>
      <c r="B224" t="inlineStr">
        <is>
          <t>Nanyang Medical Hall Pte Ltd</t>
        </is>
      </c>
      <c r="C224" t="inlineStr">
        <is>
          <t>U-PI626-01-01</t>
        </is>
      </c>
      <c r="D224" t="inlineStr">
        <is>
          <t>TCM Clinic</t>
        </is>
      </c>
      <c r="E224" s="4" t="n">
        <v>46446</v>
      </c>
      <c r="F224" s="5" t="n">
        <v>4610</v>
      </c>
      <c r="G224" s="4">
        <f>EDATE(E224,-6)</f>
        <v/>
      </c>
      <c r="I224" s="4" t="n"/>
      <c r="J224">
        <f>IF(I224="","",IF(I224&gt;G224,"LATE",""))</f>
        <v/>
      </c>
      <c r="K224" t="inlineStr">
        <is>
          <t>No application</t>
        </is>
      </c>
    </row>
    <row r="225">
      <c r="A225" t="inlineStr">
        <is>
          <t>TA-2024-00192</t>
        </is>
      </c>
      <c r="B225" t="inlineStr">
        <is>
          <t>Silver Moon Money Changer</t>
        </is>
      </c>
      <c r="C225" t="inlineStr">
        <is>
          <t>U-PI670-01-06</t>
        </is>
      </c>
      <c r="D225" t="inlineStr">
        <is>
          <t>Remittance &amp; Money Changer</t>
        </is>
      </c>
      <c r="E225" s="4" t="n">
        <v>46446</v>
      </c>
      <c r="F225" s="5" t="n">
        <v>3190</v>
      </c>
      <c r="G225" s="4">
        <f>EDATE(E225,-6)</f>
        <v/>
      </c>
      <c r="I225" s="4" t="n"/>
      <c r="J225">
        <f>IF(I225="","",IF(I225&gt;G225,"LATE",""))</f>
        <v/>
      </c>
      <c r="K225" t="inlineStr">
        <is>
          <t>No application</t>
        </is>
      </c>
    </row>
    <row r="226">
      <c r="A226" t="inlineStr">
        <is>
          <t>TA-2024-00194</t>
        </is>
      </c>
      <c r="B226" t="inlineStr">
        <is>
          <t>Pinnacle Beauty &amp; Hair Pte Ltd</t>
        </is>
      </c>
      <c r="C226" t="inlineStr">
        <is>
          <t>U-PI678-01-01</t>
        </is>
      </c>
      <c r="D226" t="inlineStr">
        <is>
          <t>Hair Salon</t>
        </is>
      </c>
      <c r="E226" s="4" t="n">
        <v>46446</v>
      </c>
      <c r="F226" s="5" t="n">
        <v>3560</v>
      </c>
      <c r="G226" s="4">
        <f>EDATE(E226,-6)</f>
        <v/>
      </c>
      <c r="I226" s="4" t="n"/>
      <c r="J226">
        <f>IF(I226="","",IF(I226&gt;G226,"LATE",""))</f>
        <v/>
      </c>
      <c r="K226" t="inlineStr">
        <is>
          <t>No application</t>
        </is>
      </c>
    </row>
    <row r="227">
      <c r="A227" t="inlineStr">
        <is>
          <t>TA-2024-00196</t>
        </is>
      </c>
      <c r="B227" t="inlineStr">
        <is>
          <t>Daily Fresh Fruits Pte Ltd</t>
        </is>
      </c>
      <c r="C227" t="inlineStr">
        <is>
          <t>U-PI693-01-06</t>
        </is>
      </c>
      <c r="D227" t="inlineStr">
        <is>
          <t>Fruit Shop</t>
        </is>
      </c>
      <c r="E227" s="4" t="n">
        <v>46446</v>
      </c>
      <c r="F227" s="5" t="n">
        <v>4370</v>
      </c>
      <c r="G227" s="4">
        <f>EDATE(E227,-6)</f>
        <v/>
      </c>
      <c r="I227" s="4" t="n"/>
      <c r="J227">
        <f>IF(I227="","",IF(I227&gt;G227,"LATE",""))</f>
        <v/>
      </c>
      <c r="K227" t="inlineStr">
        <is>
          <t>No application</t>
        </is>
      </c>
    </row>
    <row r="228">
      <c r="A228" t="inlineStr">
        <is>
          <t>TA-2024-00198</t>
        </is>
      </c>
      <c r="B228" t="inlineStr">
        <is>
          <t>Soon Hin Medical Hall Pte Ltd</t>
        </is>
      </c>
      <c r="C228" t="inlineStr">
        <is>
          <t>U-RH408-01-07</t>
        </is>
      </c>
      <c r="D228" t="inlineStr">
        <is>
          <t>TCM Clinic</t>
        </is>
      </c>
      <c r="E228" s="4" t="n">
        <v>46446</v>
      </c>
      <c r="F228" s="5" t="n">
        <v>1810</v>
      </c>
      <c r="G228" s="4">
        <f>EDATE(E228,-6)</f>
        <v/>
      </c>
      <c r="I228" s="4" t="n"/>
      <c r="J228">
        <f>IF(I228="","",IF(I228&gt;G228,"LATE",""))</f>
        <v/>
      </c>
      <c r="K228" t="inlineStr">
        <is>
          <t>No application</t>
        </is>
      </c>
    </row>
    <row r="229">
      <c r="A229" t="inlineStr">
        <is>
          <t>TA-2024-00199</t>
        </is>
      </c>
      <c r="B229" t="inlineStr">
        <is>
          <t>Hassan Tea House</t>
        </is>
      </c>
      <c r="C229" t="inlineStr">
        <is>
          <t>U-RH456-01-06</t>
        </is>
      </c>
      <c r="D229" t="inlineStr">
        <is>
          <t>Bubble Tea</t>
        </is>
      </c>
      <c r="E229" s="4" t="n">
        <v>46446</v>
      </c>
      <c r="F229" s="5" t="n">
        <v>3520</v>
      </c>
      <c r="G229" s="4">
        <f>EDATE(E229,-6)</f>
        <v/>
      </c>
      <c r="I229" s="4" t="n"/>
      <c r="J229">
        <f>IF(I229="","",IF(I229&gt;G229,"LATE",""))</f>
        <v/>
      </c>
      <c r="K229" t="inlineStr">
        <is>
          <t>No application</t>
        </is>
      </c>
    </row>
    <row r="230">
      <c r="A230" t="inlineStr">
        <is>
          <t>TA-2024-00200</t>
        </is>
      </c>
      <c r="B230" t="inlineStr">
        <is>
          <t>Murugan Kitchen</t>
        </is>
      </c>
      <c r="C230" t="inlineStr">
        <is>
          <t>U-RH466-01-05</t>
        </is>
      </c>
      <c r="D230" t="inlineStr">
        <is>
          <t>Restaurant</t>
        </is>
      </c>
      <c r="E230" s="4" t="n">
        <v>46446</v>
      </c>
      <c r="F230" s="5" t="n">
        <v>1590</v>
      </c>
      <c r="G230" s="4">
        <f>EDATE(E230,-6)</f>
        <v/>
      </c>
      <c r="I230" s="4" t="n"/>
      <c r="J230">
        <f>IF(I230="","",IF(I230&gt;G230,"LATE",""))</f>
        <v/>
      </c>
      <c r="K230" t="inlineStr">
        <is>
          <t>No application</t>
        </is>
      </c>
    </row>
    <row r="231">
      <c r="A231" t="inlineStr">
        <is>
          <t>TA-2024-00202</t>
        </is>
      </c>
      <c r="B231" t="inlineStr">
        <is>
          <t>Blue Pearl Family Clinic</t>
        </is>
      </c>
      <c r="C231" t="inlineStr">
        <is>
          <t>U-RH476-02-09</t>
        </is>
      </c>
      <c r="D231" t="inlineStr">
        <is>
          <t>GP Clinic</t>
        </is>
      </c>
      <c r="E231" s="4" t="n">
        <v>46446</v>
      </c>
      <c r="F231" s="5" t="n">
        <v>2950</v>
      </c>
      <c r="G231" s="4">
        <f>EDATE(E231,-6)</f>
        <v/>
      </c>
      <c r="I231" s="4" t="n"/>
      <c r="J231">
        <f>IF(I231="","",IF(I231&gt;G231,"LATE",""))</f>
        <v/>
      </c>
      <c r="K231" t="inlineStr">
        <is>
          <t>No application</t>
        </is>
      </c>
    </row>
    <row r="232">
      <c r="A232" t="inlineStr">
        <is>
          <t>TA-2024-00204</t>
        </is>
      </c>
      <c r="B232" t="inlineStr">
        <is>
          <t>Heng Ann Hair Salon</t>
        </is>
      </c>
      <c r="C232" t="inlineStr">
        <is>
          <t>U-RH484-01-04</t>
        </is>
      </c>
      <c r="D232" t="inlineStr">
        <is>
          <t>Hair Salon</t>
        </is>
      </c>
      <c r="E232" s="4" t="n">
        <v>46446</v>
      </c>
      <c r="F232" s="5" t="n">
        <v>3540</v>
      </c>
      <c r="G232" s="4">
        <f>EDATE(E232,-6)</f>
        <v/>
      </c>
      <c r="I232" s="4" t="n"/>
      <c r="J232">
        <f>IF(I232="","",IF(I232&gt;G232,"LATE",""))</f>
        <v/>
      </c>
      <c r="K232" t="inlineStr">
        <is>
          <t>No application</t>
        </is>
      </c>
    </row>
    <row r="233">
      <c r="A233" t="inlineStr">
        <is>
          <t>TA-2024-00205</t>
        </is>
      </c>
      <c r="B233" t="inlineStr">
        <is>
          <t>Orchid Learning Centre</t>
        </is>
      </c>
      <c r="C233" t="inlineStr">
        <is>
          <t>U-RH491-01-04</t>
        </is>
      </c>
      <c r="D233" t="inlineStr">
        <is>
          <t>Tuition Centre</t>
        </is>
      </c>
      <c r="E233" s="4" t="n">
        <v>46446</v>
      </c>
      <c r="F233" s="5" t="n">
        <v>4180</v>
      </c>
      <c r="G233" s="4">
        <f>EDATE(E233,-6)</f>
        <v/>
      </c>
      <c r="I233" s="4" t="n"/>
      <c r="J233">
        <f>IF(I233="","",IF(I233&gt;G233,"LATE",""))</f>
        <v/>
      </c>
      <c r="K233" t="inlineStr">
        <is>
          <t>No application</t>
        </is>
      </c>
    </row>
    <row r="234">
      <c r="A234" t="inlineStr">
        <is>
          <t>TA-2024-00206</t>
        </is>
      </c>
      <c r="B234" t="inlineStr">
        <is>
          <t>Nanyang Confectionery</t>
        </is>
      </c>
      <c r="C234" t="inlineStr">
        <is>
          <t>U-ST512-01-10</t>
        </is>
      </c>
      <c r="D234" t="inlineStr">
        <is>
          <t>Bakery &amp; Confectionery</t>
        </is>
      </c>
      <c r="E234" s="4" t="n">
        <v>46446</v>
      </c>
      <c r="F234" s="5" t="n">
        <v>3130</v>
      </c>
      <c r="G234" s="4">
        <f>EDATE(E234,-6)</f>
        <v/>
      </c>
      <c r="I234" s="4" t="n"/>
      <c r="J234">
        <f>IF(I234="","",IF(I234&gt;G234,"LATE",""))</f>
        <v/>
      </c>
      <c r="K234" t="inlineStr">
        <is>
          <t>No application</t>
        </is>
      </c>
    </row>
    <row r="235">
      <c r="A235" t="inlineStr">
        <is>
          <t>TA-2024-00208</t>
        </is>
      </c>
      <c r="B235" t="inlineStr">
        <is>
          <t>PrimeValue Mart Pte Ltd</t>
        </is>
      </c>
      <c r="C235" t="inlineStr">
        <is>
          <t>U-ST512-01-20</t>
        </is>
      </c>
      <c r="D235" t="inlineStr">
        <is>
          <t>Minimart</t>
        </is>
      </c>
      <c r="E235" s="4" t="n">
        <v>46446</v>
      </c>
      <c r="F235" s="5" t="n">
        <v>2600</v>
      </c>
      <c r="G235" s="4">
        <f>EDATE(E235,-6)</f>
        <v/>
      </c>
      <c r="I235" s="4" t="n"/>
      <c r="J235">
        <f>IF(I235="","",IF(I235&gt;G235,"LATE",""))</f>
        <v/>
      </c>
      <c r="K235" t="inlineStr">
        <is>
          <t>No application</t>
        </is>
      </c>
    </row>
    <row r="236">
      <c r="A236" t="inlineStr">
        <is>
          <t>TA-2024-00209</t>
        </is>
      </c>
      <c r="B236" t="inlineStr">
        <is>
          <t>Ong &amp; Sons Remittance</t>
        </is>
      </c>
      <c r="C236" t="inlineStr">
        <is>
          <t>U-ST534-01-02</t>
        </is>
      </c>
      <c r="D236" t="inlineStr">
        <is>
          <t>Remittance &amp; Money Changer</t>
        </is>
      </c>
      <c r="E236" s="4" t="n">
        <v>46446</v>
      </c>
      <c r="F236" s="5" t="n">
        <v>1030</v>
      </c>
      <c r="G236" s="4">
        <f>EDATE(E236,-6)</f>
        <v/>
      </c>
      <c r="I236" s="4" t="n"/>
      <c r="J236">
        <f>IF(I236="","",IF(I236&gt;G236,"LATE",""))</f>
        <v/>
      </c>
      <c r="K236" t="inlineStr">
        <is>
          <t>No application</t>
        </is>
      </c>
    </row>
    <row r="237">
      <c r="A237" t="inlineStr">
        <is>
          <t>TA-2024-00210</t>
        </is>
      </c>
      <c r="B237" t="inlineStr">
        <is>
          <t>Prima Hair Studio</t>
        </is>
      </c>
      <c r="C237" t="inlineStr">
        <is>
          <t>U-BV214-01-03</t>
        </is>
      </c>
      <c r="D237" t="inlineStr">
        <is>
          <t>Hair Salon</t>
        </is>
      </c>
      <c r="E237" s="4" t="n">
        <v>46477</v>
      </c>
      <c r="F237" s="5" t="n">
        <v>2700</v>
      </c>
      <c r="G237" s="4">
        <f>EDATE(E237,-6)</f>
        <v/>
      </c>
      <c r="I237" s="4" t="n"/>
      <c r="J237">
        <f>IF(I237="","",IF(I237&gt;G237,"LATE",""))</f>
        <v/>
      </c>
      <c r="K237" t="inlineStr">
        <is>
          <t>No application</t>
        </is>
      </c>
    </row>
    <row r="238">
      <c r="A238" t="inlineStr">
        <is>
          <t>TA-2024-00211</t>
        </is>
      </c>
      <c r="B238" t="inlineStr">
        <is>
          <t>Daily Fresh Education Hub</t>
        </is>
      </c>
      <c r="C238" t="inlineStr">
        <is>
          <t>U-BV227-02-05</t>
        </is>
      </c>
      <c r="D238" t="inlineStr">
        <is>
          <t>Tuition Centre</t>
        </is>
      </c>
      <c r="E238" s="4" t="n">
        <v>46477</v>
      </c>
      <c r="F238" s="5" t="n">
        <v>3810</v>
      </c>
      <c r="G238" s="4">
        <f>EDATE(E238,-6)</f>
        <v/>
      </c>
      <c r="I238" s="4" t="n"/>
      <c r="J238">
        <f>IF(I238="","",IF(I238&gt;G238,"LATE",""))</f>
        <v/>
      </c>
      <c r="K238" t="inlineStr">
        <is>
          <t>No application</t>
        </is>
      </c>
    </row>
    <row r="239">
      <c r="A239" t="inlineStr">
        <is>
          <t>TA-2024-00212</t>
        </is>
      </c>
      <c r="B239" t="inlineStr">
        <is>
          <t>Value Family Clinic</t>
        </is>
      </c>
      <c r="C239" t="inlineStr">
        <is>
          <t>U-BV229-01-04</t>
        </is>
      </c>
      <c r="D239" t="inlineStr">
        <is>
          <t>GP Clinic</t>
        </is>
      </c>
      <c r="E239" s="4" t="n">
        <v>46477</v>
      </c>
      <c r="F239" s="5" t="n">
        <v>4530</v>
      </c>
      <c r="G239" s="4">
        <f>EDATE(E239,-6)</f>
        <v/>
      </c>
      <c r="I239" s="4" t="n"/>
      <c r="J239">
        <f>IF(I239="","",IF(I239&gt;G239,"LATE",""))</f>
        <v/>
      </c>
      <c r="K239" t="inlineStr">
        <is>
          <t>No application</t>
        </is>
      </c>
    </row>
    <row r="240">
      <c r="A240" t="inlineStr">
        <is>
          <t>TA-2024-00214</t>
        </is>
      </c>
      <c r="B240" t="inlineStr">
        <is>
          <t>Lim's Fruits Pte Ltd</t>
        </is>
      </c>
      <c r="C240" t="inlineStr">
        <is>
          <t>U-BV231-01-01</t>
        </is>
      </c>
      <c r="D240" t="inlineStr">
        <is>
          <t>Fruit Shop</t>
        </is>
      </c>
      <c r="E240" s="4" t="n">
        <v>46477</v>
      </c>
      <c r="F240" s="5" t="n">
        <v>1550</v>
      </c>
      <c r="G240" s="4">
        <f>EDATE(E240,-6)</f>
        <v/>
      </c>
      <c r="I240" s="4" t="n"/>
      <c r="J240">
        <f>IF(I240="","",IF(I240&gt;G240,"LATE",""))</f>
        <v/>
      </c>
      <c r="K240" t="inlineStr">
        <is>
          <t>No application</t>
        </is>
      </c>
    </row>
    <row r="241">
      <c r="A241" t="inlineStr">
        <is>
          <t>TA-2024-00215</t>
        </is>
      </c>
      <c r="B241" t="inlineStr">
        <is>
          <t>Old Town Minimart</t>
        </is>
      </c>
      <c r="C241" t="inlineStr">
        <is>
          <t>U-BV233-01-02</t>
        </is>
      </c>
      <c r="D241" t="inlineStr">
        <is>
          <t>Minimart</t>
        </is>
      </c>
      <c r="E241" s="4" t="n">
        <v>46477</v>
      </c>
      <c r="F241" s="5" t="n">
        <v>4130</v>
      </c>
      <c r="G241" s="4">
        <f>EDATE(E241,-6)</f>
        <v/>
      </c>
      <c r="I241" s="4" t="n"/>
      <c r="J241">
        <f>IF(I241="","",IF(I241&gt;G241,"LATE",""))</f>
        <v/>
      </c>
      <c r="K241" t="inlineStr">
        <is>
          <t>No application</t>
        </is>
      </c>
    </row>
    <row r="242">
      <c r="A242" t="inlineStr">
        <is>
          <t>TA-2024-00217</t>
        </is>
      </c>
      <c r="B242" t="inlineStr">
        <is>
          <t>Little Sprouts Dental Care Pte Ltd</t>
        </is>
      </c>
      <c r="C242" t="inlineStr">
        <is>
          <t>U-BV271-02-01</t>
        </is>
      </c>
      <c r="D242" t="inlineStr">
        <is>
          <t>Dental Clinic</t>
        </is>
      </c>
      <c r="E242" s="4" t="n">
        <v>46477</v>
      </c>
      <c r="F242" s="5" t="n">
        <v>4530</v>
      </c>
      <c r="G242" s="4">
        <f>EDATE(E242,-6)</f>
        <v/>
      </c>
      <c r="H242" t="inlineStr">
        <is>
          <t>APP-2025-0031</t>
        </is>
      </c>
      <c r="I242" s="4" t="n">
        <v>45953</v>
      </c>
      <c r="J242">
        <f>IF(I242="","",IF(I242&gt;G242,"LATE",""))</f>
        <v/>
      </c>
      <c r="K242" t="inlineStr">
        <is>
          <t>Approved</t>
        </is>
      </c>
    </row>
    <row r="243">
      <c r="A243" t="inlineStr">
        <is>
          <t>TA-2024-00219</t>
        </is>
      </c>
      <c r="B243" t="inlineStr">
        <is>
          <t>Peng Kee Family Clinic</t>
        </is>
      </c>
      <c r="C243" t="inlineStr">
        <is>
          <t>U-BV277-01-08</t>
        </is>
      </c>
      <c r="D243" t="inlineStr">
        <is>
          <t>GP Clinic</t>
        </is>
      </c>
      <c r="E243" s="4" t="n">
        <v>46477</v>
      </c>
      <c r="F243" s="5" t="n">
        <v>4300</v>
      </c>
      <c r="G243" s="4">
        <f>EDATE(E243,-6)</f>
        <v/>
      </c>
      <c r="I243" s="4" t="n"/>
      <c r="J243">
        <f>IF(I243="","",IF(I243&gt;G243,"LATE",""))</f>
        <v/>
      </c>
      <c r="K243" t="inlineStr">
        <is>
          <t>No application</t>
        </is>
      </c>
    </row>
    <row r="244">
      <c r="A244" t="inlineStr">
        <is>
          <t>TA-2024-00221</t>
        </is>
      </c>
      <c r="B244" t="inlineStr">
        <is>
          <t>Hassan Beauty &amp; Hair</t>
        </is>
      </c>
      <c r="C244" t="inlineStr">
        <is>
          <t>U-BV288-01-04</t>
        </is>
      </c>
      <c r="D244" t="inlineStr">
        <is>
          <t>Hair Salon</t>
        </is>
      </c>
      <c r="E244" s="4" t="n">
        <v>46477</v>
      </c>
      <c r="F244" s="5" t="n">
        <v>6940</v>
      </c>
      <c r="G244" s="4">
        <f>EDATE(E244,-6)</f>
        <v/>
      </c>
      <c r="H244" t="inlineStr">
        <is>
          <t>APP-2026-0195</t>
        </is>
      </c>
      <c r="I244" s="4" t="n">
        <v>46209</v>
      </c>
      <c r="J244">
        <f>IF(I244="","",IF(I244&gt;G244,"LATE",""))</f>
        <v/>
      </c>
      <c r="K244" t="inlineStr">
        <is>
          <t>Approved</t>
        </is>
      </c>
    </row>
    <row r="245">
      <c r="A245" t="inlineStr">
        <is>
          <t>TA-2024-00223</t>
        </is>
      </c>
      <c r="B245" t="inlineStr">
        <is>
          <t>Lotus Beauty &amp; Hair</t>
        </is>
      </c>
      <c r="C245" t="inlineStr">
        <is>
          <t>U-BV290-01-02</t>
        </is>
      </c>
      <c r="D245" t="inlineStr">
        <is>
          <t>Hair Salon</t>
        </is>
      </c>
      <c r="E245" s="4" t="n">
        <v>46477</v>
      </c>
      <c r="F245" s="5" t="n">
        <v>3430</v>
      </c>
      <c r="G245" s="4">
        <f>EDATE(E245,-6)</f>
        <v/>
      </c>
      <c r="I245" s="4" t="n"/>
      <c r="J245">
        <f>IF(I245="","",IF(I245&gt;G245,"LATE",""))</f>
        <v/>
      </c>
      <c r="K245" t="inlineStr">
        <is>
          <t>No application</t>
        </is>
      </c>
    </row>
    <row r="246">
      <c r="A246" t="inlineStr">
        <is>
          <t>TA-2024-00224</t>
        </is>
      </c>
      <c r="B246" t="inlineStr">
        <is>
          <t>Sin Hock Eating House</t>
        </is>
      </c>
      <c r="C246" t="inlineStr">
        <is>
          <t>U-CD118-01-01</t>
        </is>
      </c>
      <c r="D246" t="inlineStr">
        <is>
          <t>Coffeeshop</t>
        </is>
      </c>
      <c r="E246" s="4" t="n">
        <v>46477</v>
      </c>
      <c r="F246" s="5" t="n">
        <v>11800</v>
      </c>
      <c r="G246" s="4">
        <f>EDATE(E246,-6)</f>
        <v/>
      </c>
      <c r="I246" s="4" t="n"/>
      <c r="J246">
        <f>IF(I246="","",IF(I246&gt;G246,"LATE",""))</f>
        <v/>
      </c>
      <c r="K246" t="inlineStr">
        <is>
          <t>No application</t>
        </is>
      </c>
    </row>
    <row r="247">
      <c r="A247" t="inlineStr">
        <is>
          <t>TA-2024-00225</t>
        </is>
      </c>
      <c r="B247" t="inlineStr">
        <is>
          <t>Kopi Corner Hair Salon Pte Ltd</t>
        </is>
      </c>
      <c r="C247" t="inlineStr">
        <is>
          <t>U-CD118-01-30</t>
        </is>
      </c>
      <c r="D247" t="inlineStr">
        <is>
          <t>Hair Salon</t>
        </is>
      </c>
      <c r="E247" s="4" t="n">
        <v>46477</v>
      </c>
      <c r="F247" s="5" t="n">
        <v>4250</v>
      </c>
      <c r="G247" s="4">
        <f>EDATE(E247,-6)</f>
        <v/>
      </c>
      <c r="I247" s="4" t="n"/>
      <c r="J247">
        <f>IF(I247="","",IF(I247&gt;G247,"LATE",""))</f>
        <v/>
      </c>
      <c r="K247" t="inlineStr">
        <is>
          <t>No application</t>
        </is>
      </c>
    </row>
    <row r="248">
      <c r="A248" t="inlineStr">
        <is>
          <t>TA-2024-00227</t>
        </is>
      </c>
      <c r="B248" t="inlineStr">
        <is>
          <t>Thye Hin Laundry Pte Ltd</t>
        </is>
      </c>
      <c r="C248" t="inlineStr">
        <is>
          <t>U-CD119-01-05</t>
        </is>
      </c>
      <c r="D248" t="inlineStr">
        <is>
          <t>Laundry</t>
        </is>
      </c>
      <c r="E248" s="4" t="n">
        <v>46477</v>
      </c>
      <c r="F248" s="5" t="n">
        <v>2930</v>
      </c>
      <c r="G248" s="4">
        <f>EDATE(E248,-6)</f>
        <v/>
      </c>
      <c r="I248" s="4" t="n"/>
      <c r="J248">
        <f>IF(I248="","",IF(I248&gt;G248,"LATE",""))</f>
        <v/>
      </c>
      <c r="K248" t="inlineStr">
        <is>
          <t>No application</t>
        </is>
      </c>
    </row>
    <row r="249">
      <c r="A249" t="inlineStr">
        <is>
          <t>TA-2024-00228</t>
        </is>
      </c>
      <c r="B249" t="inlineStr">
        <is>
          <t>Cosy Hair Studio</t>
        </is>
      </c>
      <c r="C249" t="inlineStr">
        <is>
          <t>U-CD133-01-08</t>
        </is>
      </c>
      <c r="D249" t="inlineStr">
        <is>
          <t>Hair Salon</t>
        </is>
      </c>
      <c r="E249" s="4" t="n">
        <v>46477</v>
      </c>
      <c r="F249" s="5" t="n">
        <v>2640</v>
      </c>
      <c r="G249" s="4">
        <f>EDATE(E249,-6)</f>
        <v/>
      </c>
      <c r="I249" s="4" t="n"/>
      <c r="J249">
        <f>IF(I249="","",IF(I249&gt;G249,"LATE",""))</f>
        <v/>
      </c>
      <c r="K249" t="inlineStr">
        <is>
          <t>No application</t>
        </is>
      </c>
    </row>
    <row r="250">
      <c r="A250" t="inlineStr">
        <is>
          <t>TA-2024-00230</t>
        </is>
      </c>
      <c r="B250" t="inlineStr">
        <is>
          <t>Jade Garden Money Changer</t>
        </is>
      </c>
      <c r="C250" t="inlineStr">
        <is>
          <t>U-CD152-01-05</t>
        </is>
      </c>
      <c r="D250" t="inlineStr">
        <is>
          <t>Remittance &amp; Money Changer</t>
        </is>
      </c>
      <c r="E250" s="4" t="n">
        <v>46477</v>
      </c>
      <c r="F250" s="5" t="n">
        <v>1920</v>
      </c>
      <c r="G250" s="4">
        <f>EDATE(E250,-6)</f>
        <v/>
      </c>
      <c r="I250" s="4" t="n"/>
      <c r="J250">
        <f>IF(I250="","",IF(I250&gt;G250,"LATE",""))</f>
        <v/>
      </c>
      <c r="K250" t="inlineStr">
        <is>
          <t>No application</t>
        </is>
      </c>
    </row>
    <row r="251">
      <c r="A251" t="inlineStr">
        <is>
          <t>TA-2024-00231</t>
        </is>
      </c>
      <c r="B251" t="inlineStr">
        <is>
          <t>Swee Heng Family Clinic Pte Ltd</t>
        </is>
      </c>
      <c r="C251" t="inlineStr">
        <is>
          <t>U-CD152-01-09</t>
        </is>
      </c>
      <c r="D251" t="inlineStr">
        <is>
          <t>GP Clinic</t>
        </is>
      </c>
      <c r="E251" s="4" t="n">
        <v>46477</v>
      </c>
      <c r="F251" s="5" t="n">
        <v>3820</v>
      </c>
      <c r="G251" s="4">
        <f>EDATE(E251,-6)</f>
        <v/>
      </c>
      <c r="I251" s="4" t="n"/>
      <c r="J251">
        <f>IF(I251="","",IF(I251&gt;G251,"LATE",""))</f>
        <v/>
      </c>
      <c r="K251" t="inlineStr">
        <is>
          <t>No application</t>
        </is>
      </c>
    </row>
    <row r="252">
      <c r="A252" t="inlineStr">
        <is>
          <t>TA-2024-00232</t>
        </is>
      </c>
      <c r="B252" t="inlineStr">
        <is>
          <t>Chin Lee Pet Shop Pte Ltd</t>
        </is>
      </c>
      <c r="C252" t="inlineStr">
        <is>
          <t>U-CD160-01-10</t>
        </is>
      </c>
      <c r="D252" t="inlineStr">
        <is>
          <t>Pet Shop</t>
        </is>
      </c>
      <c r="E252" s="4" t="n">
        <v>46477</v>
      </c>
      <c r="F252" s="5" t="n">
        <v>3740</v>
      </c>
      <c r="G252" s="4">
        <f>EDATE(E252,-6)</f>
        <v/>
      </c>
      <c r="I252" s="4" t="n"/>
      <c r="J252">
        <f>IF(I252="","",IF(I252&gt;G252,"LATE",""))</f>
        <v/>
      </c>
      <c r="K252" t="inlineStr">
        <is>
          <t>No application</t>
        </is>
      </c>
    </row>
    <row r="253">
      <c r="A253" t="inlineStr">
        <is>
          <t>TA-2024-00233</t>
        </is>
      </c>
      <c r="B253" t="inlineStr">
        <is>
          <t>Amanah Dental Surgery</t>
        </is>
      </c>
      <c r="C253" t="inlineStr">
        <is>
          <t>U-CD170-01-03</t>
        </is>
      </c>
      <c r="D253" t="inlineStr">
        <is>
          <t>Dental Clinic</t>
        </is>
      </c>
      <c r="E253" s="4" t="n">
        <v>46477</v>
      </c>
      <c r="F253" s="5" t="n">
        <v>5910</v>
      </c>
      <c r="G253" s="4">
        <f>EDATE(E253,-6)</f>
        <v/>
      </c>
      <c r="I253" s="4" t="n"/>
      <c r="J253">
        <f>IF(I253="","",IF(I253&gt;G253,"LATE",""))</f>
        <v/>
      </c>
      <c r="K253" t="inlineStr">
        <is>
          <t>No application</t>
        </is>
      </c>
    </row>
    <row r="254">
      <c r="A254" t="inlineStr">
        <is>
          <t>TA-2024-00235</t>
        </is>
      </c>
      <c r="B254" t="inlineStr">
        <is>
          <t>Teck Guan Minimart</t>
        </is>
      </c>
      <c r="C254" t="inlineStr">
        <is>
          <t>U-CD174-01-01</t>
        </is>
      </c>
      <c r="D254" t="inlineStr">
        <is>
          <t>Minimart</t>
        </is>
      </c>
      <c r="E254" s="4" t="n">
        <v>46477</v>
      </c>
      <c r="F254" s="5" t="n">
        <v>2460</v>
      </c>
      <c r="G254" s="4">
        <f>EDATE(E254,-6)</f>
        <v/>
      </c>
      <c r="I254" s="4" t="n"/>
      <c r="J254">
        <f>IF(I254="","",IF(I254&gt;G254,"LATE",""))</f>
        <v/>
      </c>
      <c r="K254" t="inlineStr">
        <is>
          <t>No application</t>
        </is>
      </c>
    </row>
    <row r="255">
      <c r="A255" t="inlineStr">
        <is>
          <t>TA-2024-00236</t>
        </is>
      </c>
      <c r="B255" t="inlineStr">
        <is>
          <t>Chin Lee Beauty &amp; Hair Pte Ltd</t>
        </is>
      </c>
      <c r="C255" t="inlineStr">
        <is>
          <t>U-KR305-01-34</t>
        </is>
      </c>
      <c r="D255" t="inlineStr">
        <is>
          <t>Hair Salon</t>
        </is>
      </c>
      <c r="E255" s="4" t="n">
        <v>46477</v>
      </c>
      <c r="F255" s="5" t="n">
        <v>3150</v>
      </c>
      <c r="G255" s="4">
        <f>EDATE(E255,-6)</f>
        <v/>
      </c>
      <c r="I255" s="4" t="n"/>
      <c r="J255">
        <f>IF(I255="","",IF(I255&gt;G255,"LATE",""))</f>
        <v/>
      </c>
      <c r="K255" t="inlineStr">
        <is>
          <t>No application</t>
        </is>
      </c>
    </row>
    <row r="256">
      <c r="A256" t="inlineStr">
        <is>
          <t>TA-2024-00238</t>
        </is>
      </c>
      <c r="B256" t="inlineStr">
        <is>
          <t>Evergreen Beauty &amp; Hair</t>
        </is>
      </c>
      <c r="C256" t="inlineStr">
        <is>
          <t>U-KR317-01-03</t>
        </is>
      </c>
      <c r="D256" t="inlineStr">
        <is>
          <t>Hair Salon</t>
        </is>
      </c>
      <c r="E256" s="4" t="n">
        <v>46477</v>
      </c>
      <c r="F256" s="5" t="n">
        <v>3270</v>
      </c>
      <c r="G256" s="4">
        <f>EDATE(E256,-6)</f>
        <v/>
      </c>
      <c r="I256" s="4" t="n"/>
      <c r="J256">
        <f>IF(I256="","",IF(I256&gt;G256,"LATE",""))</f>
        <v/>
      </c>
      <c r="K256" t="inlineStr">
        <is>
          <t>No application</t>
        </is>
      </c>
    </row>
    <row r="257">
      <c r="A257" t="inlineStr">
        <is>
          <t>TA-2024-00239</t>
        </is>
      </c>
      <c r="B257" t="inlineStr">
        <is>
          <t>Sri Ganesh Bakery Pte Ltd</t>
        </is>
      </c>
      <c r="C257" t="inlineStr">
        <is>
          <t>U-KR318-01-02</t>
        </is>
      </c>
      <c r="D257" t="inlineStr">
        <is>
          <t>Bakery &amp; Confectionery</t>
        </is>
      </c>
      <c r="E257" s="4" t="n">
        <v>46477</v>
      </c>
      <c r="F257" s="5" t="n">
        <v>5710</v>
      </c>
      <c r="G257" s="4">
        <f>EDATE(E257,-6)</f>
        <v/>
      </c>
      <c r="I257" s="4" t="n"/>
      <c r="J257">
        <f>IF(I257="","",IF(I257&gt;G257,"LATE",""))</f>
        <v/>
      </c>
      <c r="K257" t="inlineStr">
        <is>
          <t>No application</t>
        </is>
      </c>
    </row>
    <row r="258">
      <c r="A258" t="inlineStr">
        <is>
          <t>TA-2024-00240</t>
        </is>
      </c>
      <c r="B258" t="inlineStr">
        <is>
          <t>Murugan Fruit Trading</t>
        </is>
      </c>
      <c r="C258" t="inlineStr">
        <is>
          <t>U-KR341-01-07</t>
        </is>
      </c>
      <c r="D258" t="inlineStr">
        <is>
          <t>Fruit Shop</t>
        </is>
      </c>
      <c r="E258" s="4" t="n">
        <v>46477</v>
      </c>
      <c r="F258" s="5" t="n">
        <v>1540</v>
      </c>
      <c r="G258" s="4">
        <f>EDATE(E258,-6)</f>
        <v/>
      </c>
      <c r="I258" s="4" t="n"/>
      <c r="J258">
        <f>IF(I258="","",IF(I258&gt;G258,"LATE",""))</f>
        <v/>
      </c>
      <c r="K258" t="inlineStr">
        <is>
          <t>No application</t>
        </is>
      </c>
    </row>
    <row r="259">
      <c r="A259" t="inlineStr">
        <is>
          <t>TA-2024-00242</t>
        </is>
      </c>
      <c r="B259" t="inlineStr">
        <is>
          <t>Gold Coin Hair Studio</t>
        </is>
      </c>
      <c r="C259" t="inlineStr">
        <is>
          <t>U-KR345-01-14</t>
        </is>
      </c>
      <c r="D259" t="inlineStr">
        <is>
          <t>Hair Salon</t>
        </is>
      </c>
      <c r="E259" s="4" t="n">
        <v>46477</v>
      </c>
      <c r="F259" s="5" t="n">
        <v>2870</v>
      </c>
      <c r="G259" s="4">
        <f>EDATE(E259,-6)</f>
        <v/>
      </c>
      <c r="I259" s="4" t="n"/>
      <c r="J259">
        <f>IF(I259="","",IF(I259&gt;G259,"LATE",""))</f>
        <v/>
      </c>
      <c r="K259" t="inlineStr">
        <is>
          <t>No application</t>
        </is>
      </c>
    </row>
    <row r="260">
      <c r="A260" t="inlineStr">
        <is>
          <t>TA-2024-00243</t>
        </is>
      </c>
      <c r="B260" t="inlineStr">
        <is>
          <t>Kumar Minimart</t>
        </is>
      </c>
      <c r="C260" t="inlineStr">
        <is>
          <t>U-KR379-01-09</t>
        </is>
      </c>
      <c r="D260" t="inlineStr">
        <is>
          <t>Minimart</t>
        </is>
      </c>
      <c r="E260" s="4" t="n">
        <v>46477</v>
      </c>
      <c r="F260" s="5" t="n">
        <v>4510</v>
      </c>
      <c r="G260" s="4">
        <f>EDATE(E260,-6)</f>
        <v/>
      </c>
      <c r="I260" s="4" t="n"/>
      <c r="J260">
        <f>IF(I260="","",IF(I260&gt;G260,"LATE",""))</f>
        <v/>
      </c>
      <c r="K260" t="inlineStr">
        <is>
          <t>No application</t>
        </is>
      </c>
    </row>
    <row r="261">
      <c r="A261" t="inlineStr">
        <is>
          <t>TA-2024-00244</t>
        </is>
      </c>
      <c r="B261" t="inlineStr">
        <is>
          <t>Golden Leaf Clinic &amp; Surgery</t>
        </is>
      </c>
      <c r="C261" t="inlineStr">
        <is>
          <t>U-KR385-02-02</t>
        </is>
      </c>
      <c r="D261" t="inlineStr">
        <is>
          <t>GP Clinic</t>
        </is>
      </c>
      <c r="E261" s="4" t="n">
        <v>46477</v>
      </c>
      <c r="F261" s="5" t="n">
        <v>2990</v>
      </c>
      <c r="G261" s="4">
        <f>EDATE(E261,-6)</f>
        <v/>
      </c>
      <c r="I261" s="4" t="n"/>
      <c r="J261">
        <f>IF(I261="","",IF(I261&gt;G261,"LATE",""))</f>
        <v/>
      </c>
      <c r="K261" t="inlineStr">
        <is>
          <t>No application</t>
        </is>
      </c>
    </row>
    <row r="262">
      <c r="A262" t="inlineStr">
        <is>
          <t>TA-2024-00246</t>
        </is>
      </c>
      <c r="B262" t="inlineStr">
        <is>
          <t>Swee Heng Medical Hall</t>
        </is>
      </c>
      <c r="C262" t="inlineStr">
        <is>
          <t>U-KR386-01-08</t>
        </is>
      </c>
      <c r="D262" t="inlineStr">
        <is>
          <t>TCM Clinic</t>
        </is>
      </c>
      <c r="E262" s="4" t="n">
        <v>46477</v>
      </c>
      <c r="F262" s="5" t="n">
        <v>4340</v>
      </c>
      <c r="G262" s="4">
        <f>EDATE(E262,-6)</f>
        <v/>
      </c>
      <c r="I262" s="4" t="n"/>
      <c r="J262">
        <f>IF(I262="","",IF(I262&gt;G262,"LATE",""))</f>
        <v/>
      </c>
      <c r="K262" t="inlineStr">
        <is>
          <t>No application</t>
        </is>
      </c>
    </row>
    <row r="263">
      <c r="A263" t="inlineStr">
        <is>
          <t>TA-2024-00247</t>
        </is>
      </c>
      <c r="B263" t="inlineStr">
        <is>
          <t>Rainbow Medical Clinic</t>
        </is>
      </c>
      <c r="C263" t="inlineStr">
        <is>
          <t>U-PI609-02-08</t>
        </is>
      </c>
      <c r="D263" t="inlineStr">
        <is>
          <t>GP Clinic</t>
        </is>
      </c>
      <c r="E263" s="4" t="n">
        <v>46477</v>
      </c>
      <c r="F263" s="5" t="n">
        <v>1440</v>
      </c>
      <c r="G263" s="4">
        <f>EDATE(E263,-6)</f>
        <v/>
      </c>
      <c r="I263" s="4" t="n"/>
      <c r="J263">
        <f>IF(I263="","",IF(I263&gt;G263,"LATE",""))</f>
        <v/>
      </c>
      <c r="K263" t="inlineStr">
        <is>
          <t>No application</t>
        </is>
      </c>
    </row>
    <row r="264">
      <c r="A264" t="inlineStr">
        <is>
          <t>TA-2024-00249</t>
        </is>
      </c>
      <c r="B264" t="inlineStr">
        <is>
          <t>Jade Garden Supermarket</t>
        </is>
      </c>
      <c r="C264" t="inlineStr">
        <is>
          <t>U-PI644-01-09</t>
        </is>
      </c>
      <c r="D264" t="inlineStr">
        <is>
          <t>Minimart</t>
        </is>
      </c>
      <c r="E264" s="4" t="n">
        <v>46477</v>
      </c>
      <c r="F264" s="5" t="n">
        <v>5120</v>
      </c>
      <c r="G264" s="4">
        <f>EDATE(E264,-6)</f>
        <v/>
      </c>
      <c r="I264" s="4" t="n"/>
      <c r="J264">
        <f>IF(I264="","",IF(I264&gt;G264,"LATE",""))</f>
        <v/>
      </c>
      <c r="K264" t="inlineStr">
        <is>
          <t>No application</t>
        </is>
      </c>
    </row>
    <row r="265">
      <c r="A265" t="inlineStr">
        <is>
          <t>TA-2024-00251</t>
        </is>
      </c>
      <c r="B265" t="inlineStr">
        <is>
          <t>Tan Brothers Hardware &amp; Electrical</t>
        </is>
      </c>
      <c r="C265" t="inlineStr">
        <is>
          <t>U-PI646-01-04</t>
        </is>
      </c>
      <c r="D265" t="inlineStr">
        <is>
          <t>Hardware</t>
        </is>
      </c>
      <c r="E265" s="4" t="n">
        <v>46477</v>
      </c>
      <c r="F265" s="5" t="n">
        <v>4210</v>
      </c>
      <c r="G265" s="4">
        <f>EDATE(E265,-6)</f>
        <v/>
      </c>
      <c r="I265" s="4" t="n"/>
      <c r="J265">
        <f>IF(I265="","",IF(I265&gt;G265,"LATE",""))</f>
        <v/>
      </c>
      <c r="K265" t="inlineStr">
        <is>
          <t>No application</t>
        </is>
      </c>
    </row>
    <row r="266">
      <c r="A266" t="inlineStr">
        <is>
          <t>TA-2024-00252</t>
        </is>
      </c>
      <c r="B266" t="inlineStr">
        <is>
          <t>Ong &amp; Sons TCM Clinic</t>
        </is>
      </c>
      <c r="C266" t="inlineStr">
        <is>
          <t>U-PI678-01-10</t>
        </is>
      </c>
      <c r="D266" t="inlineStr">
        <is>
          <t>TCM Clinic</t>
        </is>
      </c>
      <c r="E266" s="4" t="n">
        <v>46477</v>
      </c>
      <c r="F266" s="5" t="n">
        <v>2960</v>
      </c>
      <c r="G266" s="4">
        <f>EDATE(E266,-6)</f>
        <v/>
      </c>
      <c r="I266" s="4" t="n"/>
      <c r="J266">
        <f>IF(I266="","",IF(I266&gt;G266,"LATE",""))</f>
        <v/>
      </c>
      <c r="K266" t="inlineStr">
        <is>
          <t>No application</t>
        </is>
      </c>
    </row>
    <row r="267">
      <c r="A267" t="inlineStr">
        <is>
          <t>TA-2024-00253</t>
        </is>
      </c>
      <c r="B267" t="inlineStr">
        <is>
          <t>Happy Paws Trading Pte Ltd</t>
        </is>
      </c>
      <c r="C267" t="inlineStr">
        <is>
          <t>U-RH408-01-06</t>
        </is>
      </c>
      <c r="D267" t="inlineStr">
        <is>
          <t>Provision Shop</t>
        </is>
      </c>
      <c r="E267" s="4" t="n">
        <v>46477</v>
      </c>
      <c r="F267" s="5" t="n">
        <v>3620</v>
      </c>
      <c r="G267" s="4">
        <f>EDATE(E267,-6)</f>
        <v/>
      </c>
      <c r="I267" s="4" t="n"/>
      <c r="J267">
        <f>IF(I267="","",IF(I267&gt;G267,"LATE",""))</f>
        <v/>
      </c>
      <c r="K267" t="inlineStr">
        <is>
          <t>No application</t>
        </is>
      </c>
    </row>
    <row r="268">
      <c r="A268" t="inlineStr">
        <is>
          <t>TA-2024-00255</t>
        </is>
      </c>
      <c r="B268" t="inlineStr">
        <is>
          <t>Golden Leaf Store</t>
        </is>
      </c>
      <c r="C268" t="inlineStr">
        <is>
          <t>U-RH408-01-08</t>
        </is>
      </c>
      <c r="D268" t="inlineStr">
        <is>
          <t>Provision Shop</t>
        </is>
      </c>
      <c r="E268" s="4" t="n">
        <v>46477</v>
      </c>
      <c r="F268" s="5" t="n">
        <v>2210</v>
      </c>
      <c r="G268" s="4">
        <f>EDATE(E268,-6)</f>
        <v/>
      </c>
      <c r="H268" t="inlineStr">
        <is>
          <t>APP-2025-0029</t>
        </is>
      </c>
      <c r="I268" s="4" t="n">
        <v>45951</v>
      </c>
      <c r="J268">
        <f>IF(I268="","",IF(I268&gt;G268,"LATE",""))</f>
        <v/>
      </c>
      <c r="K268" t="inlineStr">
        <is>
          <t>Withdrawn</t>
        </is>
      </c>
    </row>
    <row r="269">
      <c r="A269" t="inlineStr">
        <is>
          <t>TA-2024-00256</t>
        </is>
      </c>
      <c r="B269" t="inlineStr">
        <is>
          <t>Hup Seng Hardware &amp; Electrical</t>
        </is>
      </c>
      <c r="C269" t="inlineStr">
        <is>
          <t>U-RH434-01-04</t>
        </is>
      </c>
      <c r="D269" t="inlineStr">
        <is>
          <t>Hardware</t>
        </is>
      </c>
      <c r="E269" s="4" t="n">
        <v>46477</v>
      </c>
      <c r="F269" s="5" t="n">
        <v>3440</v>
      </c>
      <c r="G269" s="4">
        <f>EDATE(E269,-6)</f>
        <v/>
      </c>
      <c r="I269" s="4" t="n"/>
      <c r="J269">
        <f>IF(I269="","",IF(I269&gt;G269,"LATE",""))</f>
        <v/>
      </c>
      <c r="K269" t="inlineStr">
        <is>
          <t>No application</t>
        </is>
      </c>
    </row>
    <row r="270">
      <c r="A270" t="inlineStr">
        <is>
          <t>TA-2024-00258</t>
        </is>
      </c>
      <c r="B270" t="inlineStr">
        <is>
          <t>Ong &amp; Sons Hardware Pte Ltd</t>
        </is>
      </c>
      <c r="C270" t="inlineStr">
        <is>
          <t>U-RH455-01-03</t>
        </is>
      </c>
      <c r="D270" t="inlineStr">
        <is>
          <t>Hardware</t>
        </is>
      </c>
      <c r="E270" s="4" t="n">
        <v>46477</v>
      </c>
      <c r="F270" s="5" t="n">
        <v>2720</v>
      </c>
      <c r="G270" s="4">
        <f>EDATE(E270,-6)</f>
        <v/>
      </c>
      <c r="I270" s="4" t="n"/>
      <c r="J270">
        <f>IF(I270="","",IF(I270&gt;G270,"LATE",""))</f>
        <v/>
      </c>
      <c r="K270" t="inlineStr">
        <is>
          <t>No application</t>
        </is>
      </c>
    </row>
    <row r="271">
      <c r="A271" t="inlineStr">
        <is>
          <t>TA-2024-00259</t>
        </is>
      </c>
      <c r="B271" t="inlineStr">
        <is>
          <t>Raja Provision Shop</t>
        </is>
      </c>
      <c r="C271" t="inlineStr">
        <is>
          <t>U-RH482-01-04</t>
        </is>
      </c>
      <c r="D271" t="inlineStr">
        <is>
          <t>Provision Shop</t>
        </is>
      </c>
      <c r="E271" s="4" t="n">
        <v>46477</v>
      </c>
      <c r="F271" s="5" t="n">
        <v>2700</v>
      </c>
      <c r="G271" s="4">
        <f>EDATE(E271,-6)</f>
        <v/>
      </c>
      <c r="I271" s="4" t="n"/>
      <c r="J271">
        <f>IF(I271="","",IF(I271&gt;G271,"LATE",""))</f>
        <v/>
      </c>
      <c r="K271" t="inlineStr">
        <is>
          <t>No application</t>
        </is>
      </c>
    </row>
    <row r="272">
      <c r="A272" t="inlineStr">
        <is>
          <t>TA-2024-00260</t>
        </is>
      </c>
      <c r="B272" t="inlineStr">
        <is>
          <t>Blue Pearl Optical Pte Ltd</t>
        </is>
      </c>
      <c r="C272" t="inlineStr">
        <is>
          <t>U-RH484-01-01</t>
        </is>
      </c>
      <c r="D272" t="inlineStr">
        <is>
          <t>Optical</t>
        </is>
      </c>
      <c r="E272" s="4" t="n">
        <v>46477</v>
      </c>
      <c r="F272" s="5" t="n">
        <v>3110</v>
      </c>
      <c r="G272" s="4">
        <f>EDATE(E272,-6)</f>
        <v/>
      </c>
      <c r="I272" s="4" t="n"/>
      <c r="J272">
        <f>IF(I272="","",IF(I272&gt;G272,"LATE",""))</f>
        <v/>
      </c>
      <c r="K272" t="inlineStr">
        <is>
          <t>No application</t>
        </is>
      </c>
    </row>
    <row r="273">
      <c r="A273" t="inlineStr">
        <is>
          <t>TA-2024-00262</t>
        </is>
      </c>
      <c r="B273" t="inlineStr">
        <is>
          <t>Little Sprouts Fruit Trading Pte Ltd</t>
        </is>
      </c>
      <c r="C273" t="inlineStr">
        <is>
          <t>U-RH484-01-02</t>
        </is>
      </c>
      <c r="D273" t="inlineStr">
        <is>
          <t>Fruit Shop</t>
        </is>
      </c>
      <c r="E273" s="4" t="n">
        <v>46477</v>
      </c>
      <c r="F273" s="5" t="n">
        <v>5330</v>
      </c>
      <c r="G273" s="4">
        <f>EDATE(E273,-6)</f>
        <v/>
      </c>
      <c r="I273" s="4" t="n"/>
      <c r="J273">
        <f>IF(I273="","",IF(I273&gt;G273,"LATE",""))</f>
        <v/>
      </c>
      <c r="K273" t="inlineStr">
        <is>
          <t>No application</t>
        </is>
      </c>
    </row>
    <row r="274">
      <c r="A274" t="inlineStr">
        <is>
          <t>TA-2024-00264</t>
        </is>
      </c>
      <c r="B274" t="inlineStr">
        <is>
          <t>Tan Brothers Medical Hall Pte Ltd</t>
        </is>
      </c>
      <c r="C274" t="inlineStr">
        <is>
          <t>U-RH484-01-07</t>
        </is>
      </c>
      <c r="D274" t="inlineStr">
        <is>
          <t>TCM Clinic</t>
        </is>
      </c>
      <c r="E274" s="4" t="n">
        <v>46477</v>
      </c>
      <c r="F274" s="5" t="n">
        <v>2620</v>
      </c>
      <c r="G274" s="4">
        <f>EDATE(E274,-6)</f>
        <v/>
      </c>
      <c r="I274" s="4" t="n"/>
      <c r="J274">
        <f>IF(I274="","",IF(I274&gt;G274,"LATE",""))</f>
        <v/>
      </c>
      <c r="K274" t="inlineStr">
        <is>
          <t>No application</t>
        </is>
      </c>
    </row>
    <row r="275">
      <c r="A275" t="inlineStr">
        <is>
          <t>TA-2024-00265</t>
        </is>
      </c>
      <c r="B275" t="inlineStr">
        <is>
          <t>Treasure Family Clinic</t>
        </is>
      </c>
      <c r="C275" t="inlineStr">
        <is>
          <t>U-RH485-01-08</t>
        </is>
      </c>
      <c r="D275" t="inlineStr">
        <is>
          <t>GP Clinic</t>
        </is>
      </c>
      <c r="E275" s="4" t="n">
        <v>46477</v>
      </c>
      <c r="F275" s="5" t="n">
        <v>5530</v>
      </c>
      <c r="G275" s="4">
        <f>EDATE(E275,-6)</f>
        <v/>
      </c>
      <c r="I275" s="4" t="n"/>
      <c r="J275">
        <f>IF(I275="","",IF(I275&gt;G275,"LATE",""))</f>
        <v/>
      </c>
      <c r="K275" t="inlineStr">
        <is>
          <t>No application</t>
        </is>
      </c>
    </row>
    <row r="276">
      <c r="A276" t="inlineStr">
        <is>
          <t>TA-2024-00266</t>
        </is>
      </c>
      <c r="B276" t="inlineStr">
        <is>
          <t>Wisdom Hardware Pte Ltd</t>
        </is>
      </c>
      <c r="C276" t="inlineStr">
        <is>
          <t>U-ST506-01-01</t>
        </is>
      </c>
      <c r="D276" t="inlineStr">
        <is>
          <t>Hardware</t>
        </is>
      </c>
      <c r="E276" s="4" t="n">
        <v>46477</v>
      </c>
      <c r="F276" s="5" t="n">
        <v>3880</v>
      </c>
      <c r="G276" s="4">
        <f>EDATE(E276,-6)</f>
        <v/>
      </c>
      <c r="H276" t="inlineStr">
        <is>
          <t>APP-2026-0041</t>
        </is>
      </c>
      <c r="I276" s="4" t="n">
        <v>46062</v>
      </c>
      <c r="J276">
        <f>IF(I276="","",IF(I276&gt;G276,"LATE",""))</f>
        <v/>
      </c>
      <c r="K276" t="inlineStr">
        <is>
          <t>Approved</t>
        </is>
      </c>
    </row>
    <row r="277">
      <c r="A277" t="inlineStr">
        <is>
          <t>TA-2024-00267</t>
        </is>
      </c>
      <c r="B277" t="inlineStr">
        <is>
          <t>Wong's Supermarket</t>
        </is>
      </c>
      <c r="C277" t="inlineStr">
        <is>
          <t>U-ST534-01-04</t>
        </is>
      </c>
      <c r="D277" t="inlineStr">
        <is>
          <t>Minimart</t>
        </is>
      </c>
      <c r="E277" s="4" t="n">
        <v>46477</v>
      </c>
      <c r="F277" s="5" t="n">
        <v>1650</v>
      </c>
      <c r="G277" s="4">
        <f>EDATE(E277,-6)</f>
        <v/>
      </c>
      <c r="I277" s="4" t="n"/>
      <c r="J277">
        <f>IF(I277="","",IF(I277&gt;G277,"LATE",""))</f>
        <v/>
      </c>
      <c r="K277" t="inlineStr">
        <is>
          <t>No application</t>
        </is>
      </c>
    </row>
    <row r="278">
      <c r="A278" t="inlineStr">
        <is>
          <t>TA-2024-00268</t>
        </is>
      </c>
      <c r="B278" t="inlineStr">
        <is>
          <t>Fortune Clinic &amp; Surgery Pte Ltd</t>
        </is>
      </c>
      <c r="C278" t="inlineStr">
        <is>
          <t>U-ST590-01-01</t>
        </is>
      </c>
      <c r="D278" t="inlineStr">
        <is>
          <t>GP Clinic</t>
        </is>
      </c>
      <c r="E278" s="4" t="n">
        <v>46477</v>
      </c>
      <c r="F278" s="5" t="n">
        <v>3220</v>
      </c>
      <c r="G278" s="4">
        <f>EDATE(E278,-6)</f>
        <v/>
      </c>
      <c r="H278" t="inlineStr">
        <is>
          <t>APP-2025-0043</t>
        </is>
      </c>
      <c r="I278" s="4" t="n">
        <v>45967</v>
      </c>
      <c r="J278">
        <f>IF(I278="","",IF(I278&gt;G278,"LATE",""))</f>
        <v/>
      </c>
      <c r="K278" t="inlineStr">
        <is>
          <t>Approved</t>
        </is>
      </c>
    </row>
    <row r="279">
      <c r="A279" t="inlineStr">
        <is>
          <t>TA-2024-00269</t>
        </is>
      </c>
      <c r="B279" t="inlineStr">
        <is>
          <t>Suria Bubble Tea</t>
        </is>
      </c>
      <c r="C279" t="inlineStr">
        <is>
          <t>U-ST590-01-02</t>
        </is>
      </c>
      <c r="D279" t="inlineStr">
        <is>
          <t>Bubble Tea</t>
        </is>
      </c>
      <c r="E279" s="4" t="n">
        <v>46477</v>
      </c>
      <c r="F279" s="5" t="n">
        <v>1800</v>
      </c>
      <c r="G279" s="4">
        <f>EDATE(E279,-6)</f>
        <v/>
      </c>
      <c r="H279" t="inlineStr">
        <is>
          <t>APP-2026-0148</t>
        </is>
      </c>
      <c r="I279" s="4" t="n">
        <v>46156</v>
      </c>
      <c r="J279">
        <f>IF(I279="","",IF(I279&gt;G279,"LATE",""))</f>
        <v/>
      </c>
      <c r="K279" t="inlineStr">
        <is>
          <t>Approved</t>
        </is>
      </c>
    </row>
    <row r="280">
      <c r="A280" t="inlineStr">
        <is>
          <t>TA-2024-00270</t>
        </is>
      </c>
      <c r="B280" t="inlineStr">
        <is>
          <t>Chop Wah Hardware &amp; Electrical</t>
        </is>
      </c>
      <c r="C280" t="inlineStr">
        <is>
          <t>U-ST596-01-03</t>
        </is>
      </c>
      <c r="D280" t="inlineStr">
        <is>
          <t>Hardware</t>
        </is>
      </c>
      <c r="E280" s="4" t="n">
        <v>46477</v>
      </c>
      <c r="F280" s="5" t="n">
        <v>3580</v>
      </c>
      <c r="G280" s="4">
        <f>EDATE(E280,-6)</f>
        <v/>
      </c>
      <c r="I280" s="4" t="n"/>
      <c r="J280">
        <f>IF(I280="","",IF(I280&gt;G280,"LATE",""))</f>
        <v/>
      </c>
      <c r="K280" t="inlineStr">
        <is>
          <t>No application</t>
        </is>
      </c>
    </row>
    <row r="281">
      <c r="A281" t="inlineStr">
        <is>
          <t>TA-2024-00272</t>
        </is>
      </c>
      <c r="B281" t="inlineStr">
        <is>
          <t>Wisdom Bookstore</t>
        </is>
      </c>
      <c r="C281" t="inlineStr">
        <is>
          <t>U-BV204-01-07</t>
        </is>
      </c>
      <c r="D281" t="inlineStr">
        <is>
          <t>Stationery &amp; Books</t>
        </is>
      </c>
      <c r="E281" s="4" t="n">
        <v>46507</v>
      </c>
      <c r="F281" s="5" t="n">
        <v>2930</v>
      </c>
      <c r="G281" s="4">
        <f>EDATE(E281,-6)</f>
        <v/>
      </c>
      <c r="I281" s="4" t="n"/>
      <c r="J281">
        <f>IF(I281="","",IF(I281&gt;G281,"LATE",""))</f>
        <v/>
      </c>
      <c r="K281" t="inlineStr">
        <is>
          <t>No application</t>
        </is>
      </c>
    </row>
    <row r="282">
      <c r="A282" t="inlineStr">
        <is>
          <t>TA-2024-00274</t>
        </is>
      </c>
      <c r="B282" t="inlineStr">
        <is>
          <t>Everbright Medical Hall</t>
        </is>
      </c>
      <c r="C282" t="inlineStr">
        <is>
          <t>U-BV212-01-13</t>
        </is>
      </c>
      <c r="D282" t="inlineStr">
        <is>
          <t>TCM Clinic</t>
        </is>
      </c>
      <c r="E282" s="4" t="n">
        <v>46507</v>
      </c>
      <c r="F282" s="5" t="n">
        <v>3580</v>
      </c>
      <c r="G282" s="4">
        <f>EDATE(E282,-6)</f>
        <v/>
      </c>
      <c r="I282" s="4" t="n"/>
      <c r="J282">
        <f>IF(I282="","",IF(I282&gt;G282,"LATE",""))</f>
        <v/>
      </c>
      <c r="K282" t="inlineStr">
        <is>
          <t>No application</t>
        </is>
      </c>
    </row>
    <row r="283">
      <c r="A283" t="inlineStr">
        <is>
          <t>TA-2024-00276</t>
        </is>
      </c>
      <c r="B283" t="inlineStr">
        <is>
          <t>Teck Guan Store</t>
        </is>
      </c>
      <c r="C283" t="inlineStr">
        <is>
          <t>U-BV215-01-14</t>
        </is>
      </c>
      <c r="D283" t="inlineStr">
        <is>
          <t>Provision Shop</t>
        </is>
      </c>
      <c r="E283" s="4" t="n">
        <v>46507</v>
      </c>
      <c r="F283" s="5" t="n">
        <v>4750</v>
      </c>
      <c r="G283" s="4">
        <f>EDATE(E283,-6)</f>
        <v/>
      </c>
      <c r="I283" s="4" t="n"/>
      <c r="J283">
        <f>IF(I283="","",IF(I283&gt;G283,"LATE",""))</f>
        <v/>
      </c>
      <c r="K283" t="inlineStr">
        <is>
          <t>No application</t>
        </is>
      </c>
    </row>
    <row r="284">
      <c r="A284" t="inlineStr">
        <is>
          <t>TA-2024-00278</t>
        </is>
      </c>
      <c r="B284" t="inlineStr">
        <is>
          <t>Swee Heng Telecom</t>
        </is>
      </c>
      <c r="C284" t="inlineStr">
        <is>
          <t>U-BV229-01-08</t>
        </is>
      </c>
      <c r="D284" t="inlineStr">
        <is>
          <t>Mobile Phone &amp; Accessories</t>
        </is>
      </c>
      <c r="E284" s="4" t="n">
        <v>46507</v>
      </c>
      <c r="F284" s="5" t="n">
        <v>5630</v>
      </c>
      <c r="G284" s="4">
        <f>EDATE(E284,-6)</f>
        <v/>
      </c>
      <c r="I284" s="4" t="n"/>
      <c r="J284">
        <f>IF(I284="","",IF(I284&gt;G284,"LATE",""))</f>
        <v/>
      </c>
      <c r="K284" t="inlineStr">
        <is>
          <t>No application</t>
        </is>
      </c>
    </row>
    <row r="285">
      <c r="A285" t="inlineStr">
        <is>
          <t>TA-2024-00279</t>
        </is>
      </c>
      <c r="B285" t="inlineStr">
        <is>
          <t>Hock Lee Minimart</t>
        </is>
      </c>
      <c r="C285" t="inlineStr">
        <is>
          <t>U-BV256-01-09</t>
        </is>
      </c>
      <c r="D285" t="inlineStr">
        <is>
          <t>Minimart</t>
        </is>
      </c>
      <c r="E285" s="4" t="n">
        <v>46507</v>
      </c>
      <c r="F285" s="5" t="n">
        <v>5930</v>
      </c>
      <c r="G285" s="4">
        <f>EDATE(E285,-6)</f>
        <v/>
      </c>
      <c r="I285" s="4" t="n"/>
      <c r="J285">
        <f>IF(I285="","",IF(I285&gt;G285,"LATE",""))</f>
        <v/>
      </c>
      <c r="K285" t="inlineStr">
        <is>
          <t>No application</t>
        </is>
      </c>
    </row>
    <row r="286">
      <c r="A286" t="inlineStr">
        <is>
          <t>TA-2024-00280</t>
        </is>
      </c>
      <c r="B286" t="inlineStr">
        <is>
          <t>Hock Lee Money Changer</t>
        </is>
      </c>
      <c r="C286" t="inlineStr">
        <is>
          <t>U-BV256-01-10</t>
        </is>
      </c>
      <c r="D286" t="inlineStr">
        <is>
          <t>Remittance &amp; Money Changer</t>
        </is>
      </c>
      <c r="E286" s="4" t="n">
        <v>46507</v>
      </c>
      <c r="F286" s="5" t="n">
        <v>6300</v>
      </c>
      <c r="G286" s="4">
        <f>EDATE(E286,-6)</f>
        <v/>
      </c>
      <c r="I286" s="4" t="n"/>
      <c r="J286">
        <f>IF(I286="","",IF(I286&gt;G286,"LATE",""))</f>
        <v/>
      </c>
      <c r="K286" t="inlineStr">
        <is>
          <t>No application</t>
        </is>
      </c>
    </row>
    <row r="287">
      <c r="A287" t="inlineStr">
        <is>
          <t>TA-2024-00282</t>
        </is>
      </c>
      <c r="B287" t="inlineStr">
        <is>
          <t>Fortune Dental Surgery Pte Ltd</t>
        </is>
      </c>
      <c r="C287" t="inlineStr">
        <is>
          <t>U-BV266-01-05</t>
        </is>
      </c>
      <c r="D287" t="inlineStr">
        <is>
          <t>Dental Clinic</t>
        </is>
      </c>
      <c r="E287" s="4" t="n">
        <v>46507</v>
      </c>
      <c r="F287" s="5" t="n">
        <v>2920</v>
      </c>
      <c r="G287" s="4">
        <f>EDATE(E287,-6)</f>
        <v/>
      </c>
      <c r="I287" s="4" t="n"/>
      <c r="J287">
        <f>IF(I287="","",IF(I287&gt;G287,"LATE",""))</f>
        <v/>
      </c>
      <c r="K287" t="inlineStr">
        <is>
          <t>No application</t>
        </is>
      </c>
    </row>
    <row r="288">
      <c r="A288" t="inlineStr">
        <is>
          <t>TA-2024-00284</t>
        </is>
      </c>
      <c r="B288" t="inlineStr">
        <is>
          <t>Bright Path Stationery</t>
        </is>
      </c>
      <c r="C288" t="inlineStr">
        <is>
          <t>U-BV277-01-04</t>
        </is>
      </c>
      <c r="D288" t="inlineStr">
        <is>
          <t>Stationery &amp; Books</t>
        </is>
      </c>
      <c r="E288" s="4" t="n">
        <v>46507</v>
      </c>
      <c r="F288" s="5" t="n">
        <v>4120</v>
      </c>
      <c r="G288" s="4">
        <f>EDATE(E288,-6)</f>
        <v/>
      </c>
      <c r="I288" s="4" t="n"/>
      <c r="J288">
        <f>IF(I288="","",IF(I288&gt;G288,"LATE",""))</f>
        <v/>
      </c>
      <c r="K288" t="inlineStr">
        <is>
          <t>No application</t>
        </is>
      </c>
    </row>
    <row r="289">
      <c r="A289" t="inlineStr">
        <is>
          <t>TA-2024-00285</t>
        </is>
      </c>
      <c r="B289" t="inlineStr">
        <is>
          <t>Joo Chiat Store</t>
        </is>
      </c>
      <c r="C289" t="inlineStr">
        <is>
          <t>U-CD118-01-08</t>
        </is>
      </c>
      <c r="D289" t="inlineStr">
        <is>
          <t>Provision Shop</t>
        </is>
      </c>
      <c r="E289" s="4" t="n">
        <v>46507</v>
      </c>
      <c r="F289" s="5" t="n">
        <v>3210</v>
      </c>
      <c r="G289" s="4">
        <f>EDATE(E289,-6)</f>
        <v/>
      </c>
      <c r="I289" s="4" t="n"/>
      <c r="J289">
        <f>IF(I289="","",IF(I289&gt;G289,"LATE",""))</f>
        <v/>
      </c>
      <c r="K289" t="inlineStr">
        <is>
          <t>No application</t>
        </is>
      </c>
    </row>
    <row r="290">
      <c r="A290" t="inlineStr">
        <is>
          <t>TA-2024-00286</t>
        </is>
      </c>
      <c r="B290" t="inlineStr">
        <is>
          <t>Joo Chiat Hardware &amp; Electrical</t>
        </is>
      </c>
      <c r="C290" t="inlineStr">
        <is>
          <t>U-CD118-01-28</t>
        </is>
      </c>
      <c r="D290" t="inlineStr">
        <is>
          <t>Hardware</t>
        </is>
      </c>
      <c r="E290" s="4" t="n">
        <v>46507</v>
      </c>
      <c r="F290" s="5" t="n">
        <v>6600</v>
      </c>
      <c r="G290" s="4">
        <f>EDATE(E290,-6)</f>
        <v/>
      </c>
      <c r="I290" s="4" t="n"/>
      <c r="J290">
        <f>IF(I290="","",IF(I290&gt;G290,"LATE",""))</f>
        <v/>
      </c>
      <c r="K290" t="inlineStr">
        <is>
          <t>No application</t>
        </is>
      </c>
    </row>
    <row r="291">
      <c r="A291" t="inlineStr">
        <is>
          <t>TA-2024-00287</t>
        </is>
      </c>
      <c r="B291" t="inlineStr">
        <is>
          <t>Al-Ameen Education Hub</t>
        </is>
      </c>
      <c r="C291" t="inlineStr">
        <is>
          <t>U-CD118-01-33</t>
        </is>
      </c>
      <c r="D291" t="inlineStr">
        <is>
          <t>Tuition Centre</t>
        </is>
      </c>
      <c r="E291" s="4" t="n">
        <v>46507</v>
      </c>
      <c r="F291" s="5" t="n">
        <v>1920</v>
      </c>
      <c r="G291" s="4">
        <f>EDATE(E291,-6)</f>
        <v/>
      </c>
      <c r="I291" s="4" t="n"/>
      <c r="J291">
        <f>IF(I291="","",IF(I291&gt;G291,"LATE",""))</f>
        <v/>
      </c>
      <c r="K291" t="inlineStr">
        <is>
          <t>No application</t>
        </is>
      </c>
    </row>
    <row r="292">
      <c r="A292" t="inlineStr">
        <is>
          <t>TA-2024-00289</t>
        </is>
      </c>
      <c r="B292" t="inlineStr">
        <is>
          <t>Old Town Hair Studio</t>
        </is>
      </c>
      <c r="C292" t="inlineStr">
        <is>
          <t>U-CD120-01-03</t>
        </is>
      </c>
      <c r="D292" t="inlineStr">
        <is>
          <t>Hair Salon</t>
        </is>
      </c>
      <c r="E292" s="4" t="n">
        <v>46507</v>
      </c>
      <c r="F292" s="5" t="n">
        <v>6040</v>
      </c>
      <c r="G292" s="4">
        <f>EDATE(E292,-6)</f>
        <v/>
      </c>
      <c r="I292" s="4" t="n"/>
      <c r="J292">
        <f>IF(I292="","",IF(I292&gt;G292,"LATE",""))</f>
        <v/>
      </c>
      <c r="K292" t="inlineStr">
        <is>
          <t>No application</t>
        </is>
      </c>
    </row>
    <row r="293">
      <c r="A293" t="inlineStr">
        <is>
          <t>TA-2024-00290</t>
        </is>
      </c>
      <c r="B293" t="inlineStr">
        <is>
          <t>Little Sprouts Clinic &amp; Surgery</t>
        </is>
      </c>
      <c r="C293" t="inlineStr">
        <is>
          <t>U-CD120-01-08</t>
        </is>
      </c>
      <c r="D293" t="inlineStr">
        <is>
          <t>GP Clinic</t>
        </is>
      </c>
      <c r="E293" s="4" t="n">
        <v>46507</v>
      </c>
      <c r="F293" s="5" t="n">
        <v>2200</v>
      </c>
      <c r="G293" s="4">
        <f>EDATE(E293,-6)</f>
        <v/>
      </c>
      <c r="I293" s="4" t="n"/>
      <c r="J293">
        <f>IF(I293="","",IF(I293&gt;G293,"LATE",""))</f>
        <v/>
      </c>
      <c r="K293" t="inlineStr">
        <is>
          <t>No application</t>
        </is>
      </c>
    </row>
    <row r="294">
      <c r="A294" t="inlineStr">
        <is>
          <t>TA-2024-00292</t>
        </is>
      </c>
      <c r="B294" t="inlineStr">
        <is>
          <t>Bayu Consultancy</t>
        </is>
      </c>
      <c r="C294" t="inlineStr">
        <is>
          <t>U-CD120-01-13</t>
        </is>
      </c>
      <c r="D294" t="inlineStr">
        <is>
          <t>Professional Services Office</t>
        </is>
      </c>
      <c r="E294" s="4" t="n">
        <v>46507</v>
      </c>
      <c r="F294" s="5" t="n">
        <v>1810</v>
      </c>
      <c r="G294" s="4">
        <f>EDATE(E294,-6)</f>
        <v/>
      </c>
      <c r="I294" s="4" t="n"/>
      <c r="J294">
        <f>IF(I294="","",IF(I294&gt;G294,"LATE",""))</f>
        <v/>
      </c>
      <c r="K294" t="inlineStr">
        <is>
          <t>No application</t>
        </is>
      </c>
    </row>
    <row r="295">
      <c r="A295" t="inlineStr">
        <is>
          <t>TA-2024-00294</t>
        </is>
      </c>
      <c r="B295" t="inlineStr">
        <is>
          <t>Fortune Beauty &amp; Hair</t>
        </is>
      </c>
      <c r="C295" t="inlineStr">
        <is>
          <t>U-CD129-01-05</t>
        </is>
      </c>
      <c r="D295" t="inlineStr">
        <is>
          <t>Hair Salon</t>
        </is>
      </c>
      <c r="E295" s="4" t="n">
        <v>46507</v>
      </c>
      <c r="F295" s="5" t="n">
        <v>3000</v>
      </c>
      <c r="G295" s="4">
        <f>EDATE(E295,-6)</f>
        <v/>
      </c>
      <c r="I295" s="4" t="n"/>
      <c r="J295">
        <f>IF(I295="","",IF(I295&gt;G295,"LATE",""))</f>
        <v/>
      </c>
      <c r="K295" t="inlineStr">
        <is>
          <t>No application</t>
        </is>
      </c>
    </row>
    <row r="296">
      <c r="A296" t="inlineStr">
        <is>
          <t>TA-2024-00296</t>
        </is>
      </c>
      <c r="B296" t="inlineStr">
        <is>
          <t>Cahaya TCM Clinic</t>
        </is>
      </c>
      <c r="C296" t="inlineStr">
        <is>
          <t>U-CD131-02-08</t>
        </is>
      </c>
      <c r="D296" t="inlineStr">
        <is>
          <t>TCM Clinic</t>
        </is>
      </c>
      <c r="E296" s="4" t="n">
        <v>46507</v>
      </c>
      <c r="F296" s="5" t="n">
        <v>3940</v>
      </c>
      <c r="G296" s="4">
        <f>EDATE(E296,-6)</f>
        <v/>
      </c>
      <c r="I296" s="4" t="n"/>
      <c r="J296">
        <f>IF(I296="","",IF(I296&gt;G296,"LATE",""))</f>
        <v/>
      </c>
      <c r="K296" t="inlineStr">
        <is>
          <t>No application</t>
        </is>
      </c>
    </row>
    <row r="297">
      <c r="A297" t="inlineStr">
        <is>
          <t>TA-2024-00297</t>
        </is>
      </c>
      <c r="B297" t="inlineStr">
        <is>
          <t>Sri Ganesh Hardware</t>
        </is>
      </c>
      <c r="C297" t="inlineStr">
        <is>
          <t>U-CD133-01-02</t>
        </is>
      </c>
      <c r="D297" t="inlineStr">
        <is>
          <t>Hardware</t>
        </is>
      </c>
      <c r="E297" s="4" t="n">
        <v>46507</v>
      </c>
      <c r="F297" s="5" t="n">
        <v>3400</v>
      </c>
      <c r="G297" s="4">
        <f>EDATE(E297,-6)</f>
        <v/>
      </c>
      <c r="I297" s="4" t="n"/>
      <c r="J297">
        <f>IF(I297="","",IF(I297&gt;G297,"LATE",""))</f>
        <v/>
      </c>
      <c r="K297" t="inlineStr">
        <is>
          <t>No application</t>
        </is>
      </c>
    </row>
    <row r="298">
      <c r="A298" t="inlineStr">
        <is>
          <t>TA-2024-00299</t>
        </is>
      </c>
      <c r="B298" t="inlineStr">
        <is>
          <t>Prima Supermarket Pte Ltd</t>
        </is>
      </c>
      <c r="C298" t="inlineStr">
        <is>
          <t>U-CD136-01-07</t>
        </is>
      </c>
      <c r="D298" t="inlineStr">
        <is>
          <t>Minimart</t>
        </is>
      </c>
      <c r="E298" s="4" t="n">
        <v>46507</v>
      </c>
      <c r="F298" s="5" t="n">
        <v>3870</v>
      </c>
      <c r="G298" s="4">
        <f>EDATE(E298,-6)</f>
        <v/>
      </c>
      <c r="H298" t="inlineStr">
        <is>
          <t>APP-2026-0150</t>
        </is>
      </c>
      <c r="I298" s="4" t="n">
        <v>46157</v>
      </c>
      <c r="J298">
        <f>IF(I298="","",IF(I298&gt;G298,"LATE",""))</f>
        <v/>
      </c>
      <c r="K298" t="inlineStr">
        <is>
          <t>Approved</t>
        </is>
      </c>
    </row>
    <row r="299">
      <c r="A299" t="inlineStr">
        <is>
          <t>TA-2024-00300</t>
        </is>
      </c>
      <c r="B299" t="inlineStr">
        <is>
          <t>Red Lantern Cake House</t>
        </is>
      </c>
      <c r="C299" t="inlineStr">
        <is>
          <t>U-CD142-01-13</t>
        </is>
      </c>
      <c r="D299" t="inlineStr">
        <is>
          <t>Bakery &amp; Confectionery</t>
        </is>
      </c>
      <c r="E299" s="4" t="n">
        <v>46507</v>
      </c>
      <c r="F299" s="5" t="n">
        <v>3310</v>
      </c>
      <c r="G299" s="4">
        <f>EDATE(E299,-6)</f>
        <v/>
      </c>
      <c r="I299" s="4" t="n"/>
      <c r="J299">
        <f>IF(I299="","",IF(I299&gt;G299,"LATE",""))</f>
        <v/>
      </c>
      <c r="K299" t="inlineStr">
        <is>
          <t>No application</t>
        </is>
      </c>
    </row>
    <row r="300">
      <c r="A300" t="inlineStr">
        <is>
          <t>TA-2024-00301</t>
        </is>
      </c>
      <c r="B300" t="inlineStr">
        <is>
          <t>Nanyang Clinic &amp; Surgery</t>
        </is>
      </c>
      <c r="C300" t="inlineStr">
        <is>
          <t>U-CD189-01-08</t>
        </is>
      </c>
      <c r="D300" t="inlineStr">
        <is>
          <t>GP Clinic</t>
        </is>
      </c>
      <c r="E300" s="4" t="n">
        <v>46507</v>
      </c>
      <c r="F300" s="5" t="n">
        <v>3470</v>
      </c>
      <c r="G300" s="4">
        <f>EDATE(E300,-6)</f>
        <v/>
      </c>
      <c r="I300" s="4" t="n"/>
      <c r="J300">
        <f>IF(I300="","",IF(I300&gt;G300,"LATE",""))</f>
        <v/>
      </c>
      <c r="K300" t="inlineStr">
        <is>
          <t>No application</t>
        </is>
      </c>
    </row>
    <row r="301">
      <c r="A301" t="inlineStr">
        <is>
          <t>TA-2024-00302</t>
        </is>
      </c>
      <c r="B301" t="inlineStr">
        <is>
          <t>Happy Paws Dental Care Pte Ltd</t>
        </is>
      </c>
      <c r="C301" t="inlineStr">
        <is>
          <t>U-KR310-02-06</t>
        </is>
      </c>
      <c r="D301" t="inlineStr">
        <is>
          <t>Dental Clinic</t>
        </is>
      </c>
      <c r="E301" s="4" t="n">
        <v>46507</v>
      </c>
      <c r="F301" s="5" t="n">
        <v>2340</v>
      </c>
      <c r="G301" s="4">
        <f>EDATE(E301,-6)</f>
        <v/>
      </c>
      <c r="I301" s="4" t="n"/>
      <c r="J301">
        <f>IF(I301="","",IF(I301&gt;G301,"LATE",""))</f>
        <v/>
      </c>
      <c r="K301" t="inlineStr">
        <is>
          <t>No application</t>
        </is>
      </c>
    </row>
    <row r="302">
      <c r="A302" t="inlineStr">
        <is>
          <t>TA-2024-00303</t>
        </is>
      </c>
      <c r="B302" t="inlineStr">
        <is>
          <t>Harmony Beauty &amp; Hair Pte Ltd</t>
        </is>
      </c>
      <c r="C302" t="inlineStr">
        <is>
          <t>U-KR317-01-09</t>
        </is>
      </c>
      <c r="D302" t="inlineStr">
        <is>
          <t>Hair Salon</t>
        </is>
      </c>
      <c r="E302" s="4" t="n">
        <v>46507</v>
      </c>
      <c r="F302" s="5" t="n">
        <v>5910</v>
      </c>
      <c r="G302" s="4">
        <f>EDATE(E302,-6)</f>
        <v/>
      </c>
      <c r="I302" s="4" t="n"/>
      <c r="J302">
        <f>IF(I302="","",IF(I302&gt;G302,"LATE",""))</f>
        <v/>
      </c>
      <c r="K302" t="inlineStr">
        <is>
          <t>No application</t>
        </is>
      </c>
    </row>
    <row r="303">
      <c r="A303" t="inlineStr">
        <is>
          <t>TA-2024-00304</t>
        </is>
      </c>
      <c r="B303" t="inlineStr">
        <is>
          <t>Hock Lee Hair Studio</t>
        </is>
      </c>
      <c r="C303" t="inlineStr">
        <is>
          <t>U-KR333-01-14</t>
        </is>
      </c>
      <c r="D303" t="inlineStr">
        <is>
          <t>Hair Salon</t>
        </is>
      </c>
      <c r="E303" s="4" t="n">
        <v>46507</v>
      </c>
      <c r="F303" s="5" t="n">
        <v>4690</v>
      </c>
      <c r="G303" s="4">
        <f>EDATE(E303,-6)</f>
        <v/>
      </c>
      <c r="I303" s="4" t="n"/>
      <c r="J303">
        <f>IF(I303="","",IF(I303&gt;G303,"LATE",""))</f>
        <v/>
      </c>
      <c r="K303" t="inlineStr">
        <is>
          <t>No application</t>
        </is>
      </c>
    </row>
    <row r="304">
      <c r="A304" t="inlineStr">
        <is>
          <t>TA-2024-00305</t>
        </is>
      </c>
      <c r="B304" t="inlineStr">
        <is>
          <t>Teck Guan Medical Supplies Pte Ltd</t>
        </is>
      </c>
      <c r="C304" t="inlineStr">
        <is>
          <t>U-KR341-01-05</t>
        </is>
      </c>
      <c r="D304" t="inlineStr">
        <is>
          <t>Pharmacy</t>
        </is>
      </c>
      <c r="E304" s="4" t="n">
        <v>46507</v>
      </c>
      <c r="F304" s="5" t="n">
        <v>1770</v>
      </c>
      <c r="G304" s="4">
        <f>EDATE(E304,-6)</f>
        <v/>
      </c>
      <c r="H304" t="inlineStr">
        <is>
          <t>APP-2026-0079</t>
        </is>
      </c>
      <c r="I304" s="4" t="n">
        <v>46100</v>
      </c>
      <c r="J304">
        <f>IF(I304="","",IF(I304&gt;G304,"LATE",""))</f>
        <v/>
      </c>
      <c r="K304" t="inlineStr">
        <is>
          <t>Approved</t>
        </is>
      </c>
    </row>
    <row r="305">
      <c r="A305" t="inlineStr">
        <is>
          <t>TA-2024-00307</t>
        </is>
      </c>
      <c r="B305" t="inlineStr">
        <is>
          <t>Golden Leaf Beauty &amp; Hair</t>
        </is>
      </c>
      <c r="C305" t="inlineStr">
        <is>
          <t>U-KR341-01-08</t>
        </is>
      </c>
      <c r="D305" t="inlineStr">
        <is>
          <t>Hair Salon</t>
        </is>
      </c>
      <c r="E305" s="4" t="n">
        <v>46507</v>
      </c>
      <c r="F305" s="5" t="n">
        <v>5690</v>
      </c>
      <c r="G305" s="4">
        <f>EDATE(E305,-6)</f>
        <v/>
      </c>
      <c r="I305" s="4" t="n"/>
      <c r="J305">
        <f>IF(I305="","",IF(I305&gt;G305,"LATE",""))</f>
        <v/>
      </c>
      <c r="K305" t="inlineStr">
        <is>
          <t>No application</t>
        </is>
      </c>
    </row>
    <row r="306">
      <c r="A306" t="inlineStr">
        <is>
          <t>TA-2024-00309</t>
        </is>
      </c>
      <c r="B306" t="inlineStr">
        <is>
          <t>Unity Laundry</t>
        </is>
      </c>
      <c r="C306" t="inlineStr">
        <is>
          <t>U-KR345-01-01</t>
        </is>
      </c>
      <c r="D306" t="inlineStr">
        <is>
          <t>Laundry</t>
        </is>
      </c>
      <c r="E306" s="4" t="n">
        <v>46507</v>
      </c>
      <c r="F306" s="5" t="n">
        <v>3150</v>
      </c>
      <c r="G306" s="4">
        <f>EDATE(E306,-6)</f>
        <v/>
      </c>
      <c r="I306" s="4" t="n"/>
      <c r="J306">
        <f>IF(I306="","",IF(I306&gt;G306,"LATE",""))</f>
        <v/>
      </c>
      <c r="K306" t="inlineStr">
        <is>
          <t>No application</t>
        </is>
      </c>
    </row>
    <row r="307">
      <c r="A307" t="inlineStr">
        <is>
          <t>TA-2024-00310</t>
        </is>
      </c>
      <c r="B307" t="inlineStr">
        <is>
          <t>Swee Heng Supermarket Pte Ltd</t>
        </is>
      </c>
      <c r="C307" t="inlineStr">
        <is>
          <t>U-KR359-01-05</t>
        </is>
      </c>
      <c r="D307" t="inlineStr">
        <is>
          <t>Minimart</t>
        </is>
      </c>
      <c r="E307" s="4" t="n">
        <v>46507</v>
      </c>
      <c r="F307" s="5" t="n">
        <v>3350</v>
      </c>
      <c r="G307" s="4">
        <f>EDATE(E307,-6)</f>
        <v/>
      </c>
      <c r="I307" s="4" t="n"/>
      <c r="J307">
        <f>IF(I307="","",IF(I307&gt;G307,"LATE",""))</f>
        <v/>
      </c>
      <c r="K307" t="inlineStr">
        <is>
          <t>No application</t>
        </is>
      </c>
    </row>
    <row r="308">
      <c r="A308" t="inlineStr">
        <is>
          <t>TA-2024-00311</t>
        </is>
      </c>
      <c r="B308" t="inlineStr">
        <is>
          <t>Bloom Tuition Centre Pte Ltd</t>
        </is>
      </c>
      <c r="C308" t="inlineStr">
        <is>
          <t>U-KR362-01-05</t>
        </is>
      </c>
      <c r="D308" t="inlineStr">
        <is>
          <t>Tuition Centre</t>
        </is>
      </c>
      <c r="E308" s="4" t="n">
        <v>46507</v>
      </c>
      <c r="F308" s="5" t="n">
        <v>1790</v>
      </c>
      <c r="G308" s="4">
        <f>EDATE(E308,-6)</f>
        <v/>
      </c>
      <c r="I308" s="4" t="n"/>
      <c r="J308">
        <f>IF(I308="","",IF(I308&gt;G308,"LATE",""))</f>
        <v/>
      </c>
      <c r="K308" t="inlineStr">
        <is>
          <t>No application</t>
        </is>
      </c>
    </row>
    <row r="309">
      <c r="A309" t="inlineStr">
        <is>
          <t>TA-2024-00313</t>
        </is>
      </c>
      <c r="B309" t="inlineStr">
        <is>
          <t>Kampung Optical Pte Ltd</t>
        </is>
      </c>
      <c r="C309" t="inlineStr">
        <is>
          <t>U-KR371-01-11</t>
        </is>
      </c>
      <c r="D309" t="inlineStr">
        <is>
          <t>Optical</t>
        </is>
      </c>
      <c r="E309" s="4" t="n">
        <v>46507</v>
      </c>
      <c r="F309" s="5" t="n">
        <v>4440</v>
      </c>
      <c r="G309" s="4">
        <f>EDATE(E309,-6)</f>
        <v/>
      </c>
      <c r="H309" t="inlineStr">
        <is>
          <t>APP-2026-0162</t>
        </is>
      </c>
      <c r="I309" s="4" t="n">
        <v>46176</v>
      </c>
      <c r="J309">
        <f>IF(I309="","",IF(I309&gt;G309,"LATE",""))</f>
        <v/>
      </c>
      <c r="K309" t="inlineStr">
        <is>
          <t>Rejected</t>
        </is>
      </c>
    </row>
    <row r="310">
      <c r="A310" t="inlineStr">
        <is>
          <t>TA-2024-00314</t>
        </is>
      </c>
      <c r="B310" t="inlineStr">
        <is>
          <t>Al-Ameen Clinic &amp; Surgery</t>
        </is>
      </c>
      <c r="C310" t="inlineStr">
        <is>
          <t>U-KR385-01-03</t>
        </is>
      </c>
      <c r="D310" t="inlineStr">
        <is>
          <t>GP Clinic</t>
        </is>
      </c>
      <c r="E310" s="4" t="n">
        <v>46507</v>
      </c>
      <c r="F310" s="5" t="n">
        <v>4430</v>
      </c>
      <c r="G310" s="4">
        <f>EDATE(E310,-6)</f>
        <v/>
      </c>
      <c r="I310" s="4" t="n"/>
      <c r="J310">
        <f>IF(I310="","",IF(I310&gt;G310,"LATE",""))</f>
        <v/>
      </c>
      <c r="K310" t="inlineStr">
        <is>
          <t>No application</t>
        </is>
      </c>
    </row>
    <row r="311">
      <c r="A311" t="inlineStr">
        <is>
          <t>TA-2024-00316</t>
        </is>
      </c>
      <c r="B311" t="inlineStr">
        <is>
          <t>Raja Hair Salon Pte Ltd</t>
        </is>
      </c>
      <c r="C311" t="inlineStr">
        <is>
          <t>U-KR385-01-04</t>
        </is>
      </c>
      <c r="D311" t="inlineStr">
        <is>
          <t>Hair Salon</t>
        </is>
      </c>
      <c r="E311" s="4" t="n">
        <v>46507</v>
      </c>
      <c r="F311" s="5" t="n">
        <v>3580</v>
      </c>
      <c r="G311" s="4">
        <f>EDATE(E311,-6)</f>
        <v/>
      </c>
      <c r="I311" s="4" t="n"/>
      <c r="J311">
        <f>IF(I311="","",IF(I311&gt;G311,"LATE",""))</f>
        <v/>
      </c>
      <c r="K311" t="inlineStr">
        <is>
          <t>No application</t>
        </is>
      </c>
    </row>
    <row r="312">
      <c r="A312" t="inlineStr">
        <is>
          <t>TA-2024-00318</t>
        </is>
      </c>
      <c r="B312" t="inlineStr">
        <is>
          <t>Hock Lee Mart</t>
        </is>
      </c>
      <c r="C312" t="inlineStr">
        <is>
          <t>U-KR385-01-12</t>
        </is>
      </c>
      <c r="D312" t="inlineStr">
        <is>
          <t>Minimart</t>
        </is>
      </c>
      <c r="E312" s="4" t="n">
        <v>46507</v>
      </c>
      <c r="F312" s="5" t="n">
        <v>3390</v>
      </c>
      <c r="G312" s="4">
        <f>EDATE(E312,-6)</f>
        <v/>
      </c>
      <c r="I312" s="4" t="n"/>
      <c r="J312">
        <f>IF(I312="","",IF(I312&gt;G312,"LATE",""))</f>
        <v/>
      </c>
      <c r="K312" t="inlineStr">
        <is>
          <t>No application</t>
        </is>
      </c>
    </row>
    <row r="313">
      <c r="A313" t="inlineStr">
        <is>
          <t>TA-2024-00319</t>
        </is>
      </c>
      <c r="B313" t="inlineStr">
        <is>
          <t>Barakah Boba Bar Pte Ltd</t>
        </is>
      </c>
      <c r="C313" t="inlineStr">
        <is>
          <t>U-PI614-01-06</t>
        </is>
      </c>
      <c r="D313" t="inlineStr">
        <is>
          <t>Bubble Tea</t>
        </is>
      </c>
      <c r="E313" s="4" t="n">
        <v>46507</v>
      </c>
      <c r="F313" s="5" t="n">
        <v>4330</v>
      </c>
      <c r="G313" s="4">
        <f>EDATE(E313,-6)</f>
        <v/>
      </c>
      <c r="I313" s="4" t="n"/>
      <c r="J313">
        <f>IF(I313="","",IF(I313&gt;G313,"LATE",""))</f>
        <v/>
      </c>
      <c r="K313" t="inlineStr">
        <is>
          <t>No application</t>
        </is>
      </c>
    </row>
    <row r="314">
      <c r="A314" t="inlineStr">
        <is>
          <t>TA-2024-00320</t>
        </is>
      </c>
      <c r="B314" t="inlineStr">
        <is>
          <t>Raja Medical Supplies</t>
        </is>
      </c>
      <c r="C314" t="inlineStr">
        <is>
          <t>U-PI627-01-05</t>
        </is>
      </c>
      <c r="D314" t="inlineStr">
        <is>
          <t>Pharmacy</t>
        </is>
      </c>
      <c r="E314" s="4" t="n">
        <v>46507</v>
      </c>
      <c r="F314" s="5" t="n">
        <v>5060</v>
      </c>
      <c r="G314" s="4">
        <f>EDATE(E314,-6)</f>
        <v/>
      </c>
      <c r="H314" t="inlineStr">
        <is>
          <t>APP-2026-0014</t>
        </is>
      </c>
      <c r="I314" s="4" t="n">
        <v>46036</v>
      </c>
      <c r="J314">
        <f>IF(I314="","",IF(I314&gt;G314,"LATE",""))</f>
        <v/>
      </c>
      <c r="K314" t="inlineStr">
        <is>
          <t>Approved</t>
        </is>
      </c>
    </row>
    <row r="315">
      <c r="A315" t="inlineStr">
        <is>
          <t>TA-2024-00322</t>
        </is>
      </c>
      <c r="B315" t="inlineStr">
        <is>
          <t>Wisdom Supermarket Pte Ltd</t>
        </is>
      </c>
      <c r="C315" t="inlineStr">
        <is>
          <t>U-PI627-01-19</t>
        </is>
      </c>
      <c r="D315" t="inlineStr">
        <is>
          <t>Minimart</t>
        </is>
      </c>
      <c r="E315" s="4" t="n">
        <v>46507</v>
      </c>
      <c r="F315" s="5" t="n">
        <v>4370</v>
      </c>
      <c r="G315" s="4">
        <f>EDATE(E315,-6)</f>
        <v/>
      </c>
      <c r="I315" s="4" t="n"/>
      <c r="J315">
        <f>IF(I315="","",IF(I315&gt;G315,"LATE",""))</f>
        <v/>
      </c>
      <c r="K315" t="inlineStr">
        <is>
          <t>No application</t>
        </is>
      </c>
    </row>
    <row r="316">
      <c r="A316" t="inlineStr">
        <is>
          <t>TA-2024-00324</t>
        </is>
      </c>
      <c r="B316" t="inlineStr">
        <is>
          <t>Kopi Corner Medical Clinic</t>
        </is>
      </c>
      <c r="C316" t="inlineStr">
        <is>
          <t>U-PI627-02-18</t>
        </is>
      </c>
      <c r="D316" t="inlineStr">
        <is>
          <t>GP Clinic</t>
        </is>
      </c>
      <c r="E316" s="4" t="n">
        <v>46507</v>
      </c>
      <c r="F316" s="5" t="n">
        <v>2870</v>
      </c>
      <c r="G316" s="4">
        <f>EDATE(E316,-6)</f>
        <v/>
      </c>
      <c r="I316" s="4" t="n"/>
      <c r="J316">
        <f>IF(I316="","",IF(I316&gt;G316,"LATE",""))</f>
        <v/>
      </c>
      <c r="K316" t="inlineStr">
        <is>
          <t>No application</t>
        </is>
      </c>
    </row>
    <row r="317">
      <c r="A317" t="inlineStr">
        <is>
          <t>TA-2024-00326</t>
        </is>
      </c>
      <c r="B317" t="inlineStr">
        <is>
          <t>Smart Kids Medical Clinic</t>
        </is>
      </c>
      <c r="C317" t="inlineStr">
        <is>
          <t>U-PI634-02-03</t>
        </is>
      </c>
      <c r="D317" t="inlineStr">
        <is>
          <t>GP Clinic</t>
        </is>
      </c>
      <c r="E317" s="4" t="n">
        <v>46507</v>
      </c>
      <c r="F317" s="5" t="n">
        <v>4570</v>
      </c>
      <c r="G317" s="4">
        <f>EDATE(E317,-6)</f>
        <v/>
      </c>
      <c r="I317" s="4" t="n"/>
      <c r="J317">
        <f>IF(I317="","",IF(I317&gt;G317,"LATE",""))</f>
        <v/>
      </c>
      <c r="K317" t="inlineStr">
        <is>
          <t>No application</t>
        </is>
      </c>
    </row>
    <row r="318">
      <c r="A318" t="inlineStr">
        <is>
          <t>TA-2024-00327</t>
        </is>
      </c>
      <c r="B318" t="inlineStr">
        <is>
          <t>Siva Locksmith</t>
        </is>
      </c>
      <c r="C318" t="inlineStr">
        <is>
          <t>U-PI644-01-02</t>
        </is>
      </c>
      <c r="D318" t="inlineStr">
        <is>
          <t>Key Cutting &amp; Shoe Repair</t>
        </is>
      </c>
      <c r="E318" s="4" t="n">
        <v>46507</v>
      </c>
      <c r="F318" s="5" t="n">
        <v>1160</v>
      </c>
      <c r="G318" s="4">
        <f>EDATE(E318,-6)</f>
        <v/>
      </c>
      <c r="I318" s="4" t="n"/>
      <c r="J318">
        <f>IF(I318="","",IF(I318&gt;G318,"LATE",""))</f>
        <v/>
      </c>
      <c r="K318" t="inlineStr">
        <is>
          <t>No application</t>
        </is>
      </c>
    </row>
    <row r="319">
      <c r="A319" t="inlineStr">
        <is>
          <t>TA-2024-00329</t>
        </is>
      </c>
      <c r="B319" t="inlineStr">
        <is>
          <t>Golden Leaf Boba Bar</t>
        </is>
      </c>
      <c r="C319" t="inlineStr">
        <is>
          <t>U-PI648-01-11</t>
        </is>
      </c>
      <c r="D319" t="inlineStr">
        <is>
          <t>Bubble Tea</t>
        </is>
      </c>
      <c r="E319" s="4" t="n">
        <v>46507</v>
      </c>
      <c r="F319" s="5" t="n">
        <v>4860</v>
      </c>
      <c r="G319" s="4">
        <f>EDATE(E319,-6)</f>
        <v/>
      </c>
      <c r="I319" s="4" t="n"/>
      <c r="J319">
        <f>IF(I319="","",IF(I319&gt;G319,"LATE",""))</f>
        <v/>
      </c>
      <c r="K319" t="inlineStr">
        <is>
          <t>No application</t>
        </is>
      </c>
    </row>
    <row r="320">
      <c r="A320" t="inlineStr">
        <is>
          <t>TA-2024-00331</t>
        </is>
      </c>
      <c r="B320" t="inlineStr">
        <is>
          <t>Murugan Dry Cleaners</t>
        </is>
      </c>
      <c r="C320" t="inlineStr">
        <is>
          <t>U-PI667-01-04</t>
        </is>
      </c>
      <c r="D320" t="inlineStr">
        <is>
          <t>Laundry</t>
        </is>
      </c>
      <c r="E320" s="4" t="n">
        <v>46507</v>
      </c>
      <c r="F320" s="5" t="n">
        <v>2540</v>
      </c>
      <c r="G320" s="4">
        <f>EDATE(E320,-6)</f>
        <v/>
      </c>
      <c r="I320" s="4" t="n"/>
      <c r="J320">
        <f>IF(I320="","",IF(I320&gt;G320,"LATE",""))</f>
        <v/>
      </c>
      <c r="K320" t="inlineStr">
        <is>
          <t>No application</t>
        </is>
      </c>
    </row>
    <row r="321">
      <c r="A321" t="inlineStr">
        <is>
          <t>TA-2024-00332</t>
        </is>
      </c>
      <c r="B321" t="inlineStr">
        <is>
          <t>Wong's Dry Cleaners Pte Ltd</t>
        </is>
      </c>
      <c r="C321" t="inlineStr">
        <is>
          <t>U-RH401-01-08</t>
        </is>
      </c>
      <c r="D321" t="inlineStr">
        <is>
          <t>Laundry</t>
        </is>
      </c>
      <c r="E321" s="4" t="n">
        <v>46507</v>
      </c>
      <c r="F321" s="5" t="n">
        <v>3030</v>
      </c>
      <c r="G321" s="4">
        <f>EDATE(E321,-6)</f>
        <v/>
      </c>
      <c r="I321" s="4" t="n"/>
      <c r="J321">
        <f>IF(I321="","",IF(I321&gt;G321,"LATE",""))</f>
        <v/>
      </c>
      <c r="K321" t="inlineStr">
        <is>
          <t>No application</t>
        </is>
      </c>
    </row>
    <row r="322">
      <c r="A322" t="inlineStr">
        <is>
          <t>TA-2024-00333</t>
        </is>
      </c>
      <c r="B322" t="inlineStr">
        <is>
          <t>Lim's Education Hub</t>
        </is>
      </c>
      <c r="C322" t="inlineStr">
        <is>
          <t>U-RH401-01-09</t>
        </is>
      </c>
      <c r="D322" t="inlineStr">
        <is>
          <t>Tuition Centre</t>
        </is>
      </c>
      <c r="E322" s="4" t="n">
        <v>46507</v>
      </c>
      <c r="F322" s="5" t="n">
        <v>3370</v>
      </c>
      <c r="G322" s="4">
        <f>EDATE(E322,-6)</f>
        <v/>
      </c>
      <c r="I322" s="4" t="n"/>
      <c r="J322">
        <f>IF(I322="","",IF(I322&gt;G322,"LATE",""))</f>
        <v/>
      </c>
      <c r="K322" t="inlineStr">
        <is>
          <t>No application</t>
        </is>
      </c>
    </row>
    <row r="323">
      <c r="A323" t="inlineStr">
        <is>
          <t>TA-2024-00335</t>
        </is>
      </c>
      <c r="B323" t="inlineStr">
        <is>
          <t>Mei Ling Minimart</t>
        </is>
      </c>
      <c r="C323" t="inlineStr">
        <is>
          <t>U-RH456-01-05</t>
        </is>
      </c>
      <c r="D323" t="inlineStr">
        <is>
          <t>Minimart</t>
        </is>
      </c>
      <c r="E323" s="4" t="n">
        <v>46507</v>
      </c>
      <c r="F323" s="5" t="n">
        <v>1830</v>
      </c>
      <c r="G323" s="4">
        <f>EDATE(E323,-6)</f>
        <v/>
      </c>
      <c r="I323" s="4" t="n"/>
      <c r="J323">
        <f>IF(I323="","",IF(I323&gt;G323,"LATE",""))</f>
        <v/>
      </c>
      <c r="K323" t="inlineStr">
        <is>
          <t>No application</t>
        </is>
      </c>
    </row>
    <row r="324">
      <c r="A324" t="inlineStr">
        <is>
          <t>TA-2024-00337</t>
        </is>
      </c>
      <c r="B324" t="inlineStr">
        <is>
          <t>Seri Murni Trading Pte Ltd</t>
        </is>
      </c>
      <c r="C324" t="inlineStr">
        <is>
          <t>U-RH460-01-12</t>
        </is>
      </c>
      <c r="D324" t="inlineStr">
        <is>
          <t>Provision Shop</t>
        </is>
      </c>
      <c r="E324" s="4" t="n">
        <v>46507</v>
      </c>
      <c r="F324" s="5" t="n">
        <v>3290</v>
      </c>
      <c r="G324" s="4">
        <f>EDATE(E324,-6)</f>
        <v/>
      </c>
      <c r="I324" s="4" t="n"/>
      <c r="J324">
        <f>IF(I324="","",IF(I324&gt;G324,"LATE",""))</f>
        <v/>
      </c>
      <c r="K324" t="inlineStr">
        <is>
          <t>No application</t>
        </is>
      </c>
    </row>
    <row r="325">
      <c r="A325" t="inlineStr">
        <is>
          <t>TA-2024-00338</t>
        </is>
      </c>
      <c r="B325" t="inlineStr">
        <is>
          <t>Murugan Remittance</t>
        </is>
      </c>
      <c r="C325" t="inlineStr">
        <is>
          <t>U-RH464-01-04</t>
        </is>
      </c>
      <c r="D325" t="inlineStr">
        <is>
          <t>Remittance &amp; Money Changer</t>
        </is>
      </c>
      <c r="E325" s="4" t="n">
        <v>46507</v>
      </c>
      <c r="F325" s="5" t="n">
        <v>1180</v>
      </c>
      <c r="G325" s="4">
        <f>EDATE(E325,-6)</f>
        <v/>
      </c>
      <c r="I325" s="4" t="n"/>
      <c r="J325">
        <f>IF(I325="","",IF(I325&gt;G325,"LATE",""))</f>
        <v/>
      </c>
      <c r="K325" t="inlineStr">
        <is>
          <t>No application</t>
        </is>
      </c>
    </row>
    <row r="326">
      <c r="A326" t="inlineStr">
        <is>
          <t>TA-2024-00340</t>
        </is>
      </c>
      <c r="B326" t="inlineStr">
        <is>
          <t>Lucky Star Eye Centre Pte Ltd</t>
        </is>
      </c>
      <c r="C326" t="inlineStr">
        <is>
          <t>U-RH484-01-12</t>
        </is>
      </c>
      <c r="D326" t="inlineStr">
        <is>
          <t>Optical</t>
        </is>
      </c>
      <c r="E326" s="4" t="n">
        <v>46507</v>
      </c>
      <c r="F326" s="5" t="n">
        <v>2330</v>
      </c>
      <c r="G326" s="4">
        <f>EDATE(E326,-6)</f>
        <v/>
      </c>
      <c r="I326" s="4" t="n"/>
      <c r="J326">
        <f>IF(I326="","",IF(I326&gt;G326,"LATE",""))</f>
        <v/>
      </c>
      <c r="K326" t="inlineStr">
        <is>
          <t>No application</t>
        </is>
      </c>
    </row>
    <row r="327">
      <c r="A327" t="inlineStr">
        <is>
          <t>TA-2024-00342</t>
        </is>
      </c>
      <c r="B327" t="inlineStr">
        <is>
          <t>Kian Huat Minimart</t>
        </is>
      </c>
      <c r="C327" t="inlineStr">
        <is>
          <t>U-RH485-01-01</t>
        </is>
      </c>
      <c r="D327" t="inlineStr">
        <is>
          <t>Minimart</t>
        </is>
      </c>
      <c r="E327" s="4" t="n">
        <v>46507</v>
      </c>
      <c r="F327" s="5" t="n">
        <v>2300</v>
      </c>
      <c r="G327" s="4">
        <f>EDATE(E327,-6)</f>
        <v/>
      </c>
      <c r="I327" s="4" t="n"/>
      <c r="J327">
        <f>IF(I327="","",IF(I327&gt;G327,"LATE",""))</f>
        <v/>
      </c>
      <c r="K327" t="inlineStr">
        <is>
          <t>No application</t>
        </is>
      </c>
    </row>
    <row r="328">
      <c r="A328" t="inlineStr">
        <is>
          <t>TA-2024-00344</t>
        </is>
      </c>
      <c r="B328" t="inlineStr">
        <is>
          <t>Jade Garden Aquarium &amp; Pets Pte Ltd</t>
        </is>
      </c>
      <c r="C328" t="inlineStr">
        <is>
          <t>U-ST501-01-06</t>
        </is>
      </c>
      <c r="D328" t="inlineStr">
        <is>
          <t>Pet Shop</t>
        </is>
      </c>
      <c r="E328" s="4" t="n">
        <v>46507</v>
      </c>
      <c r="F328" s="5" t="n">
        <v>2300</v>
      </c>
      <c r="G328" s="4">
        <f>EDATE(E328,-6)</f>
        <v/>
      </c>
      <c r="I328" s="4" t="n"/>
      <c r="J328">
        <f>IF(I328="","",IF(I328&gt;G328,"LATE",""))</f>
        <v/>
      </c>
      <c r="K328" t="inlineStr">
        <is>
          <t>No application</t>
        </is>
      </c>
    </row>
    <row r="329">
      <c r="A329" t="inlineStr">
        <is>
          <t>TA-2024-00345</t>
        </is>
      </c>
      <c r="B329" t="inlineStr">
        <is>
          <t>Al-Ameen Hardware &amp; Electrical</t>
        </is>
      </c>
      <c r="C329" t="inlineStr">
        <is>
          <t>U-ST535-01-01</t>
        </is>
      </c>
      <c r="D329" t="inlineStr">
        <is>
          <t>Hardware</t>
        </is>
      </c>
      <c r="E329" s="4" t="n">
        <v>46507</v>
      </c>
      <c r="F329" s="5" t="n">
        <v>2850</v>
      </c>
      <c r="G329" s="4">
        <f>EDATE(E329,-6)</f>
        <v/>
      </c>
      <c r="I329" s="4" t="n"/>
      <c r="J329">
        <f>IF(I329="","",IF(I329&gt;G329,"LATE",""))</f>
        <v/>
      </c>
      <c r="K329" t="inlineStr">
        <is>
          <t>No application</t>
        </is>
      </c>
    </row>
    <row r="330">
      <c r="A330" t="inlineStr">
        <is>
          <t>TA-2024-00347</t>
        </is>
      </c>
      <c r="B330" t="inlineStr">
        <is>
          <t>Brilliant Hair Salon Pte Ltd</t>
        </is>
      </c>
      <c r="C330" t="inlineStr">
        <is>
          <t>U-ST583-01-03</t>
        </is>
      </c>
      <c r="D330" t="inlineStr">
        <is>
          <t>Hair Salon</t>
        </is>
      </c>
      <c r="E330" s="4" t="n">
        <v>46507</v>
      </c>
      <c r="F330" s="5" t="n">
        <v>2350</v>
      </c>
      <c r="G330" s="4">
        <f>EDATE(E330,-6)</f>
        <v/>
      </c>
      <c r="I330" s="4" t="n"/>
      <c r="J330">
        <f>IF(I330="","",IF(I330&gt;G330,"LATE",""))</f>
        <v/>
      </c>
      <c r="K330" t="inlineStr">
        <is>
          <t>No application</t>
        </is>
      </c>
    </row>
    <row r="331">
      <c r="A331" t="inlineStr">
        <is>
          <t>TA-2024-00348</t>
        </is>
      </c>
      <c r="B331" t="inlineStr">
        <is>
          <t>Tian Fu Fruits</t>
        </is>
      </c>
      <c r="C331" t="inlineStr">
        <is>
          <t>U-ST589-01-01</t>
        </is>
      </c>
      <c r="D331" t="inlineStr">
        <is>
          <t>Fruit Shop</t>
        </is>
      </c>
      <c r="E331" s="4" t="n">
        <v>46507</v>
      </c>
      <c r="F331" s="5" t="n">
        <v>1830</v>
      </c>
      <c r="G331" s="4">
        <f>EDATE(E331,-6)</f>
        <v/>
      </c>
      <c r="I331" s="4" t="n"/>
      <c r="J331">
        <f>IF(I331="","",IF(I331&gt;G331,"LATE",""))</f>
        <v/>
      </c>
      <c r="K331" t="inlineStr">
        <is>
          <t>No application</t>
        </is>
      </c>
    </row>
    <row r="332">
      <c r="A332" t="inlineStr">
        <is>
          <t>TA-2024-00350</t>
        </is>
      </c>
      <c r="B332" t="inlineStr">
        <is>
          <t>Lotus Minimart Pte Ltd</t>
        </is>
      </c>
      <c r="C332" t="inlineStr">
        <is>
          <t>U-ST590-01-03</t>
        </is>
      </c>
      <c r="D332" t="inlineStr">
        <is>
          <t>Minimart</t>
        </is>
      </c>
      <c r="E332" s="4" t="n">
        <v>46507</v>
      </c>
      <c r="F332" s="5" t="n">
        <v>3250</v>
      </c>
      <c r="G332" s="4">
        <f>EDATE(E332,-6)</f>
        <v/>
      </c>
      <c r="I332" s="4" t="n"/>
      <c r="J332">
        <f>IF(I332="","",IF(I332&gt;G332,"LATE",""))</f>
        <v/>
      </c>
      <c r="K332" t="inlineStr">
        <is>
          <t>No application</t>
        </is>
      </c>
    </row>
    <row r="333">
      <c r="A333" t="inlineStr">
        <is>
          <t>TA-2024-00352</t>
        </is>
      </c>
      <c r="B333" t="inlineStr">
        <is>
          <t>Hup Seng Confectionery</t>
        </is>
      </c>
      <c r="C333" t="inlineStr">
        <is>
          <t>U-BV214-01-18</t>
        </is>
      </c>
      <c r="D333" t="inlineStr">
        <is>
          <t>Bakery &amp; Confectionery</t>
        </is>
      </c>
      <c r="E333" s="4" t="n">
        <v>46538</v>
      </c>
      <c r="F333" s="5" t="n">
        <v>5280</v>
      </c>
      <c r="G333" s="4">
        <f>EDATE(E333,-6)</f>
        <v/>
      </c>
      <c r="I333" s="4" t="n"/>
      <c r="J333">
        <f>IF(I333="","",IF(I333&gt;G333,"LATE",""))</f>
        <v/>
      </c>
      <c r="K333" t="inlineStr">
        <is>
          <t>No application</t>
        </is>
      </c>
    </row>
    <row r="334">
      <c r="A334" t="inlineStr">
        <is>
          <t>TA-2024-00353</t>
        </is>
      </c>
      <c r="B334" t="inlineStr">
        <is>
          <t>Sin Hock Supermarket</t>
        </is>
      </c>
      <c r="C334" t="inlineStr">
        <is>
          <t>U-BV219-01-03</t>
        </is>
      </c>
      <c r="D334" t="inlineStr">
        <is>
          <t>Minimart</t>
        </is>
      </c>
      <c r="E334" s="4" t="n">
        <v>46538</v>
      </c>
      <c r="F334" s="5" t="n">
        <v>2690</v>
      </c>
      <c r="G334" s="4">
        <f>EDATE(E334,-6)</f>
        <v/>
      </c>
      <c r="I334" s="4" t="n"/>
      <c r="J334">
        <f>IF(I334="","",IF(I334&gt;G334,"LATE",""))</f>
        <v/>
      </c>
      <c r="K334" t="inlineStr">
        <is>
          <t>No application</t>
        </is>
      </c>
    </row>
    <row r="335">
      <c r="A335" t="inlineStr">
        <is>
          <t>TA-2024-00354</t>
        </is>
      </c>
      <c r="B335" t="inlineStr">
        <is>
          <t>Everbright Kueh Corner</t>
        </is>
      </c>
      <c r="C335" t="inlineStr">
        <is>
          <t>U-BV283-01-03</t>
        </is>
      </c>
      <c r="D335" t="inlineStr">
        <is>
          <t>Snack Kiosk</t>
        </is>
      </c>
      <c r="E335" s="4" t="n">
        <v>46538</v>
      </c>
      <c r="F335" s="5" t="n">
        <v>970</v>
      </c>
      <c r="G335" s="4">
        <f>EDATE(E335,-6)</f>
        <v/>
      </c>
      <c r="I335" s="4" t="n"/>
      <c r="J335">
        <f>IF(I335="","",IF(I335&gt;G335,"LATE",""))</f>
        <v/>
      </c>
      <c r="K335" t="inlineStr">
        <is>
          <t>No application</t>
        </is>
      </c>
    </row>
    <row r="336">
      <c r="A336" t="inlineStr">
        <is>
          <t>TA-2024-00356</t>
        </is>
      </c>
      <c r="B336" t="inlineStr">
        <is>
          <t>Orchid Confectionery</t>
        </is>
      </c>
      <c r="C336" t="inlineStr">
        <is>
          <t>U-CD105-01-06</t>
        </is>
      </c>
      <c r="D336" t="inlineStr">
        <is>
          <t>Bakery &amp; Confectionery</t>
        </is>
      </c>
      <c r="E336" s="4" t="n">
        <v>46538</v>
      </c>
      <c r="F336" s="5" t="n">
        <v>4880</v>
      </c>
      <c r="G336" s="4">
        <f>EDATE(E336,-6)</f>
        <v/>
      </c>
      <c r="H336" t="inlineStr">
        <is>
          <t>APP-2026-0114</t>
        </is>
      </c>
      <c r="I336" s="4" t="n">
        <v>46131</v>
      </c>
      <c r="J336">
        <f>IF(I336="","",IF(I336&gt;G336,"LATE",""))</f>
        <v/>
      </c>
      <c r="K336" t="inlineStr">
        <is>
          <t>Approved</t>
        </is>
      </c>
    </row>
    <row r="337">
      <c r="A337" t="inlineStr">
        <is>
          <t>TA-2024-00357</t>
        </is>
      </c>
      <c r="B337" t="inlineStr">
        <is>
          <t>Siva Eating Place</t>
        </is>
      </c>
      <c r="C337" t="inlineStr">
        <is>
          <t>U-CD118-01-23</t>
        </is>
      </c>
      <c r="D337" t="inlineStr">
        <is>
          <t>Restaurant</t>
        </is>
      </c>
      <c r="E337" s="4" t="n">
        <v>46538</v>
      </c>
      <c r="F337" s="5" t="n">
        <v>3990</v>
      </c>
      <c r="G337" s="4">
        <f>EDATE(E337,-6)</f>
        <v/>
      </c>
      <c r="I337" s="4" t="n"/>
      <c r="J337">
        <f>IF(I337="","",IF(I337&gt;G337,"LATE",""))</f>
        <v/>
      </c>
      <c r="K337" t="inlineStr">
        <is>
          <t>No application</t>
        </is>
      </c>
    </row>
    <row r="338">
      <c r="A338" t="inlineStr">
        <is>
          <t>TA-2024-00359</t>
        </is>
      </c>
      <c r="B338" t="inlineStr">
        <is>
          <t>Teck Guan Education Hub</t>
        </is>
      </c>
      <c r="C338" t="inlineStr">
        <is>
          <t>U-CD118-02-05</t>
        </is>
      </c>
      <c r="D338" t="inlineStr">
        <is>
          <t>Tuition Centre</t>
        </is>
      </c>
      <c r="E338" s="4" t="n">
        <v>46538</v>
      </c>
      <c r="F338" s="5" t="n">
        <v>3470</v>
      </c>
      <c r="G338" s="4">
        <f>EDATE(E338,-6)</f>
        <v/>
      </c>
      <c r="I338" s="4" t="n"/>
      <c r="J338">
        <f>IF(I338="","",IF(I338&gt;G338,"LATE",""))</f>
        <v/>
      </c>
      <c r="K338" t="inlineStr">
        <is>
          <t>No application</t>
        </is>
      </c>
    </row>
    <row r="339">
      <c r="A339" t="inlineStr">
        <is>
          <t>TA-2024-00360</t>
        </is>
      </c>
      <c r="B339" t="inlineStr">
        <is>
          <t>Blue Pearl Bubble Tea</t>
        </is>
      </c>
      <c r="C339" t="inlineStr">
        <is>
          <t>U-CD120-01-09</t>
        </is>
      </c>
      <c r="D339" t="inlineStr">
        <is>
          <t>Bubble Tea</t>
        </is>
      </c>
      <c r="E339" s="4" t="n">
        <v>46538</v>
      </c>
      <c r="F339" s="5" t="n">
        <v>2720</v>
      </c>
      <c r="G339" s="4">
        <f>EDATE(E339,-6)</f>
        <v/>
      </c>
      <c r="I339" s="4" t="n"/>
      <c r="J339">
        <f>IF(I339="","",IF(I339&gt;G339,"LATE",""))</f>
        <v/>
      </c>
      <c r="K339" t="inlineStr">
        <is>
          <t>No application</t>
        </is>
      </c>
    </row>
    <row r="340">
      <c r="A340" t="inlineStr">
        <is>
          <t>TA-2024-00362</t>
        </is>
      </c>
      <c r="B340" t="inlineStr">
        <is>
          <t>Peng Kee Learning Centre Pte Ltd</t>
        </is>
      </c>
      <c r="C340" t="inlineStr">
        <is>
          <t>U-CD135-01-05</t>
        </is>
      </c>
      <c r="D340" t="inlineStr">
        <is>
          <t>Tuition Centre</t>
        </is>
      </c>
      <c r="E340" s="4" t="n">
        <v>46538</v>
      </c>
      <c r="F340" s="5" t="n">
        <v>4810</v>
      </c>
      <c r="G340" s="4">
        <f>EDATE(E340,-6)</f>
        <v/>
      </c>
      <c r="I340" s="4" t="n"/>
      <c r="J340">
        <f>IF(I340="","",IF(I340&gt;G340,"LATE",""))</f>
        <v/>
      </c>
      <c r="K340" t="inlineStr">
        <is>
          <t>No application</t>
        </is>
      </c>
    </row>
    <row r="341">
      <c r="A341" t="inlineStr">
        <is>
          <t>TA-2024-00364</t>
        </is>
      </c>
      <c r="B341" t="inlineStr">
        <is>
          <t>Hometown Minimart</t>
        </is>
      </c>
      <c r="C341" t="inlineStr">
        <is>
          <t>U-CD135-01-07</t>
        </is>
      </c>
      <c r="D341" t="inlineStr">
        <is>
          <t>Minimart</t>
        </is>
      </c>
      <c r="E341" s="4" t="n">
        <v>46538</v>
      </c>
      <c r="F341" s="5" t="n">
        <v>3050</v>
      </c>
      <c r="G341" s="4">
        <f>EDATE(E341,-6)</f>
        <v/>
      </c>
      <c r="I341" s="4" t="n"/>
      <c r="J341">
        <f>IF(I341="","",IF(I341&gt;G341,"LATE",""))</f>
        <v/>
      </c>
      <c r="K341" t="inlineStr">
        <is>
          <t>No application</t>
        </is>
      </c>
    </row>
    <row r="342">
      <c r="A342" t="inlineStr">
        <is>
          <t>TA-2024-00365</t>
        </is>
      </c>
      <c r="B342" t="inlineStr">
        <is>
          <t>Brilliant Beauty &amp; Hair</t>
        </is>
      </c>
      <c r="C342" t="inlineStr">
        <is>
          <t>U-CD142-01-03</t>
        </is>
      </c>
      <c r="D342" t="inlineStr">
        <is>
          <t>Hair Salon</t>
        </is>
      </c>
      <c r="E342" s="4" t="n">
        <v>46538</v>
      </c>
      <c r="F342" s="5" t="n">
        <v>1930</v>
      </c>
      <c r="G342" s="4">
        <f>EDATE(E342,-6)</f>
        <v/>
      </c>
      <c r="I342" s="4" t="n"/>
      <c r="J342">
        <f>IF(I342="","",IF(I342&gt;G342,"LATE",""))</f>
        <v/>
      </c>
      <c r="K342" t="inlineStr">
        <is>
          <t>No application</t>
        </is>
      </c>
    </row>
    <row r="343">
      <c r="A343" t="inlineStr">
        <is>
          <t>TA-2024-00366</t>
        </is>
      </c>
      <c r="B343" t="inlineStr">
        <is>
          <t>New Life Fruit Trading Pte Ltd</t>
        </is>
      </c>
      <c r="C343" t="inlineStr">
        <is>
          <t>U-CD194-01-01</t>
        </is>
      </c>
      <c r="D343" t="inlineStr">
        <is>
          <t>Fruit Shop</t>
        </is>
      </c>
      <c r="E343" s="4" t="n">
        <v>46538</v>
      </c>
      <c r="F343" s="5" t="n">
        <v>2410</v>
      </c>
      <c r="G343" s="4">
        <f>EDATE(E343,-6)</f>
        <v/>
      </c>
      <c r="I343" s="4" t="n"/>
      <c r="J343">
        <f>IF(I343="","",IF(I343&gt;G343,"LATE",""))</f>
        <v/>
      </c>
      <c r="K343" t="inlineStr">
        <is>
          <t>No application</t>
        </is>
      </c>
    </row>
    <row r="344">
      <c r="A344" t="inlineStr">
        <is>
          <t>TA-2024-00368</t>
        </is>
      </c>
      <c r="B344" t="inlineStr">
        <is>
          <t>Lotus Bakery Pte Ltd</t>
        </is>
      </c>
      <c r="C344" t="inlineStr">
        <is>
          <t>U-CD194-01-04</t>
        </is>
      </c>
      <c r="D344" t="inlineStr">
        <is>
          <t>Bakery &amp; Confectionery</t>
        </is>
      </c>
      <c r="E344" s="4" t="n">
        <v>46538</v>
      </c>
      <c r="F344" s="5" t="n">
        <v>4530</v>
      </c>
      <c r="G344" s="4">
        <f>EDATE(E344,-6)</f>
        <v/>
      </c>
      <c r="I344" s="4" t="n"/>
      <c r="J344">
        <f>IF(I344="","",IF(I344&gt;G344,"LATE",""))</f>
        <v/>
      </c>
      <c r="K344" t="inlineStr">
        <is>
          <t>No application</t>
        </is>
      </c>
    </row>
    <row r="345">
      <c r="A345" t="inlineStr">
        <is>
          <t>TA-2024-00369</t>
        </is>
      </c>
      <c r="B345" t="inlineStr">
        <is>
          <t>Sin Hock Beauty &amp; Hair Pte Ltd</t>
        </is>
      </c>
      <c r="C345" t="inlineStr">
        <is>
          <t>U-KR345-01-08</t>
        </is>
      </c>
      <c r="D345" t="inlineStr">
        <is>
          <t>Hair Salon</t>
        </is>
      </c>
      <c r="E345" s="4" t="n">
        <v>46538</v>
      </c>
      <c r="F345" s="5" t="n">
        <v>5310</v>
      </c>
      <c r="G345" s="4">
        <f>EDATE(E345,-6)</f>
        <v/>
      </c>
      <c r="I345" s="4" t="n"/>
      <c r="J345">
        <f>IF(I345="","",IF(I345&gt;G345,"LATE",""))</f>
        <v/>
      </c>
      <c r="K345" t="inlineStr">
        <is>
          <t>No application</t>
        </is>
      </c>
    </row>
    <row r="346">
      <c r="A346" t="inlineStr">
        <is>
          <t>TA-2024-00370</t>
        </is>
      </c>
      <c r="B346" t="inlineStr">
        <is>
          <t>Brilliant Medical Hall Pte Ltd</t>
        </is>
      </c>
      <c r="C346" t="inlineStr">
        <is>
          <t>U-KR345-01-12</t>
        </is>
      </c>
      <c r="D346" t="inlineStr">
        <is>
          <t>TCM Clinic</t>
        </is>
      </c>
      <c r="E346" s="4" t="n">
        <v>46538</v>
      </c>
      <c r="F346" s="5" t="n">
        <v>6090</v>
      </c>
      <c r="G346" s="4">
        <f>EDATE(E346,-6)</f>
        <v/>
      </c>
      <c r="I346" s="4" t="n"/>
      <c r="J346">
        <f>IF(I346="","",IF(I346&gt;G346,"LATE",""))</f>
        <v/>
      </c>
      <c r="K346" t="inlineStr">
        <is>
          <t>No application</t>
        </is>
      </c>
    </row>
    <row r="347">
      <c r="A347" t="inlineStr">
        <is>
          <t>TA-2024-00371</t>
        </is>
      </c>
      <c r="B347" t="inlineStr">
        <is>
          <t>Golden Leaf Tuition Centre</t>
        </is>
      </c>
      <c r="C347" t="inlineStr">
        <is>
          <t>U-KR358-01-02</t>
        </is>
      </c>
      <c r="D347" t="inlineStr">
        <is>
          <t>Tuition Centre</t>
        </is>
      </c>
      <c r="E347" s="4" t="n">
        <v>46538</v>
      </c>
      <c r="F347" s="5" t="n">
        <v>4380</v>
      </c>
      <c r="G347" s="4">
        <f>EDATE(E347,-6)</f>
        <v/>
      </c>
      <c r="I347" s="4" t="n"/>
      <c r="J347">
        <f>IF(I347="","",IF(I347&gt;G347,"LATE",""))</f>
        <v/>
      </c>
      <c r="K347" t="inlineStr">
        <is>
          <t>No application</t>
        </is>
      </c>
    </row>
    <row r="348">
      <c r="A348" t="inlineStr">
        <is>
          <t>TA-2024-00372</t>
        </is>
      </c>
      <c r="B348" t="inlineStr">
        <is>
          <t>Swee Heng Florist Pte Ltd</t>
        </is>
      </c>
      <c r="C348" t="inlineStr">
        <is>
          <t>U-KR372-01-01</t>
        </is>
      </c>
      <c r="D348" t="inlineStr">
        <is>
          <t>Florist</t>
        </is>
      </c>
      <c r="E348" s="4" t="n">
        <v>46538</v>
      </c>
      <c r="F348" s="5" t="n">
        <v>3380</v>
      </c>
      <c r="G348" s="4">
        <f>EDATE(E348,-6)</f>
        <v/>
      </c>
      <c r="I348" s="4" t="n"/>
      <c r="J348">
        <f>IF(I348="","",IF(I348&gt;G348,"LATE",""))</f>
        <v/>
      </c>
      <c r="K348" t="inlineStr">
        <is>
          <t>No application</t>
        </is>
      </c>
    </row>
    <row r="349">
      <c r="A349" t="inlineStr">
        <is>
          <t>TA-2024-00374</t>
        </is>
      </c>
      <c r="B349" t="inlineStr">
        <is>
          <t>New Life Minimart Pte Ltd</t>
        </is>
      </c>
      <c r="C349" t="inlineStr">
        <is>
          <t>U-KR372-01-09</t>
        </is>
      </c>
      <c r="D349" t="inlineStr">
        <is>
          <t>Minimart</t>
        </is>
      </c>
      <c r="E349" s="4" t="n">
        <v>46538</v>
      </c>
      <c r="F349" s="5" t="n">
        <v>2240</v>
      </c>
      <c r="G349" s="4">
        <f>EDATE(E349,-6)</f>
        <v/>
      </c>
      <c r="I349" s="4" t="n"/>
      <c r="J349">
        <f>IF(I349="","",IF(I349&gt;G349,"LATE",""))</f>
        <v/>
      </c>
      <c r="K349" t="inlineStr">
        <is>
          <t>No application</t>
        </is>
      </c>
    </row>
    <row r="350">
      <c r="A350" t="inlineStr">
        <is>
          <t>TA-2024-00375</t>
        </is>
      </c>
      <c r="B350" t="inlineStr">
        <is>
          <t>Green Leaf Provision Shop Pte Ltd</t>
        </is>
      </c>
      <c r="C350" t="inlineStr">
        <is>
          <t>U-PI615-01-10</t>
        </is>
      </c>
      <c r="D350" t="inlineStr">
        <is>
          <t>Provision Shop</t>
        </is>
      </c>
      <c r="E350" s="4" t="n">
        <v>46538</v>
      </c>
      <c r="F350" s="5" t="n">
        <v>3940</v>
      </c>
      <c r="G350" s="4">
        <f>EDATE(E350,-6)</f>
        <v/>
      </c>
      <c r="I350" s="4" t="n"/>
      <c r="J350">
        <f>IF(I350="","",IF(I350&gt;G350,"LATE",""))</f>
        <v/>
      </c>
      <c r="K350" t="inlineStr">
        <is>
          <t>No application</t>
        </is>
      </c>
    </row>
    <row r="351">
      <c r="A351" t="inlineStr">
        <is>
          <t>TA-2024-00377</t>
        </is>
      </c>
      <c r="B351" t="inlineStr">
        <is>
          <t>Hup Seng Minimart</t>
        </is>
      </c>
      <c r="C351" t="inlineStr">
        <is>
          <t>U-PI625-01-02</t>
        </is>
      </c>
      <c r="D351" t="inlineStr">
        <is>
          <t>Minimart</t>
        </is>
      </c>
      <c r="E351" s="4" t="n">
        <v>46538</v>
      </c>
      <c r="F351" s="5" t="n">
        <v>5240</v>
      </c>
      <c r="G351" s="4">
        <f>EDATE(E351,-6)</f>
        <v/>
      </c>
      <c r="I351" s="4" t="n"/>
      <c r="J351">
        <f>IF(I351="","",IF(I351&gt;G351,"LATE",""))</f>
        <v/>
      </c>
      <c r="K351" t="inlineStr">
        <is>
          <t>No application</t>
        </is>
      </c>
    </row>
    <row r="352">
      <c r="A352" t="inlineStr">
        <is>
          <t>TA-2024-00379</t>
        </is>
      </c>
      <c r="B352" t="inlineStr">
        <is>
          <t>Hock Lee Dry Cleaners</t>
        </is>
      </c>
      <c r="C352" t="inlineStr">
        <is>
          <t>U-PI626-01-08</t>
        </is>
      </c>
      <c r="D352" t="inlineStr">
        <is>
          <t>Laundry</t>
        </is>
      </c>
      <c r="E352" s="4" t="n">
        <v>46538</v>
      </c>
      <c r="F352" s="5" t="n">
        <v>2880</v>
      </c>
      <c r="G352" s="4">
        <f>EDATE(E352,-6)</f>
        <v/>
      </c>
      <c r="I352" s="4" t="n"/>
      <c r="J352">
        <f>IF(I352="","",IF(I352&gt;G352,"LATE",""))</f>
        <v/>
      </c>
      <c r="K352" t="inlineStr">
        <is>
          <t>No application</t>
        </is>
      </c>
    </row>
    <row r="353">
      <c r="A353" t="inlineStr">
        <is>
          <t>TA-2024-00380</t>
        </is>
      </c>
      <c r="B353" t="inlineStr">
        <is>
          <t>Gold Coin Provision Shop</t>
        </is>
      </c>
      <c r="C353" t="inlineStr">
        <is>
          <t>U-PI627-01-10</t>
        </is>
      </c>
      <c r="D353" t="inlineStr">
        <is>
          <t>Provision Shop</t>
        </is>
      </c>
      <c r="E353" s="4" t="n">
        <v>46538</v>
      </c>
      <c r="F353" s="5" t="n">
        <v>2310</v>
      </c>
      <c r="G353" s="4">
        <f>EDATE(E353,-6)</f>
        <v/>
      </c>
      <c r="I353" s="4" t="n"/>
      <c r="J353">
        <f>IF(I353="","",IF(I353&gt;G353,"LATE",""))</f>
        <v/>
      </c>
      <c r="K353" t="inlineStr">
        <is>
          <t>No application</t>
        </is>
      </c>
    </row>
    <row r="354">
      <c r="A354" t="inlineStr">
        <is>
          <t>TA-2024-00381</t>
        </is>
      </c>
      <c r="B354" t="inlineStr">
        <is>
          <t>Starlight Supermarket</t>
        </is>
      </c>
      <c r="C354" t="inlineStr">
        <is>
          <t>U-PI642-01-11</t>
        </is>
      </c>
      <c r="D354" t="inlineStr">
        <is>
          <t>Minimart</t>
        </is>
      </c>
      <c r="E354" s="4" t="n">
        <v>46538</v>
      </c>
      <c r="F354" s="5" t="n">
        <v>4020</v>
      </c>
      <c r="G354" s="4">
        <f>EDATE(E354,-6)</f>
        <v/>
      </c>
      <c r="H354" t="inlineStr">
        <is>
          <t>APP-2026-0151</t>
        </is>
      </c>
      <c r="I354" s="4" t="n">
        <v>46158</v>
      </c>
      <c r="J354">
        <f>IF(I354="","",IF(I354&gt;G354,"LATE",""))</f>
        <v/>
      </c>
      <c r="K354" t="inlineStr">
        <is>
          <t>Approved</t>
        </is>
      </c>
    </row>
    <row r="355">
      <c r="A355" t="inlineStr">
        <is>
          <t>TA-2024-00383</t>
        </is>
      </c>
      <c r="B355" t="inlineStr">
        <is>
          <t>Heng Ann TCM Clinic</t>
        </is>
      </c>
      <c r="C355" t="inlineStr">
        <is>
          <t>U-PI642-01-12</t>
        </is>
      </c>
      <c r="D355" t="inlineStr">
        <is>
          <t>TCM Clinic</t>
        </is>
      </c>
      <c r="E355" s="4" t="n">
        <v>46538</v>
      </c>
      <c r="F355" s="5" t="n">
        <v>3320</v>
      </c>
      <c r="G355" s="4">
        <f>EDATE(E355,-6)</f>
        <v/>
      </c>
      <c r="I355" s="4" t="n"/>
      <c r="J355">
        <f>IF(I355="","",IF(I355&gt;G355,"LATE",""))</f>
        <v/>
      </c>
      <c r="K355" t="inlineStr">
        <is>
          <t>No application</t>
        </is>
      </c>
    </row>
    <row r="356">
      <c r="A356" t="inlineStr">
        <is>
          <t>TA-2024-00385</t>
        </is>
      </c>
      <c r="B356" t="inlineStr">
        <is>
          <t>PrimeValue Mart Pte Ltd</t>
        </is>
      </c>
      <c r="C356" t="inlineStr">
        <is>
          <t>U-PI642-01-14</t>
        </is>
      </c>
      <c r="D356" t="inlineStr">
        <is>
          <t>Minimart</t>
        </is>
      </c>
      <c r="E356" s="4" t="n">
        <v>46538</v>
      </c>
      <c r="F356" s="5" t="n">
        <v>5490</v>
      </c>
      <c r="G356" s="4">
        <f>EDATE(E356,-6)</f>
        <v/>
      </c>
      <c r="I356" s="4" t="n"/>
      <c r="J356">
        <f>IF(I356="","",IF(I356&gt;G356,"LATE",""))</f>
        <v/>
      </c>
      <c r="K356" t="inlineStr">
        <is>
          <t>No application</t>
        </is>
      </c>
    </row>
    <row r="357">
      <c r="A357" t="inlineStr">
        <is>
          <t>TA-2024-00386</t>
        </is>
      </c>
      <c r="B357" t="inlineStr">
        <is>
          <t>Gold Coin Optical</t>
        </is>
      </c>
      <c r="C357" t="inlineStr">
        <is>
          <t>U-PI678-01-08</t>
        </is>
      </c>
      <c r="D357" t="inlineStr">
        <is>
          <t>Optical</t>
        </is>
      </c>
      <c r="E357" s="4" t="n">
        <v>46538</v>
      </c>
      <c r="F357" s="5" t="n">
        <v>5380</v>
      </c>
      <c r="G357" s="4">
        <f>EDATE(E357,-6)</f>
        <v/>
      </c>
      <c r="I357" s="4" t="n"/>
      <c r="J357">
        <f>IF(I357="","",IF(I357&gt;G357,"LATE",""))</f>
        <v/>
      </c>
      <c r="K357" t="inlineStr">
        <is>
          <t>No application</t>
        </is>
      </c>
    </row>
    <row r="358">
      <c r="A358" t="inlineStr">
        <is>
          <t>TA-2024-00388</t>
        </is>
      </c>
      <c r="B358" t="inlineStr">
        <is>
          <t>PrimeValue Mart Pte Ltd</t>
        </is>
      </c>
      <c r="C358" t="inlineStr">
        <is>
          <t>U-PI684-01-01</t>
        </is>
      </c>
      <c r="D358" t="inlineStr">
        <is>
          <t>Minimart</t>
        </is>
      </c>
      <c r="E358" s="4" t="n">
        <v>46538</v>
      </c>
      <c r="F358" s="5" t="n">
        <v>3620</v>
      </c>
      <c r="G358" s="4">
        <f>EDATE(E358,-6)</f>
        <v/>
      </c>
      <c r="I358" s="4" t="n"/>
      <c r="J358">
        <f>IF(I358="","",IF(I358&gt;G358,"LATE",""))</f>
        <v/>
      </c>
      <c r="K358" t="inlineStr">
        <is>
          <t>No application</t>
        </is>
      </c>
    </row>
    <row r="359">
      <c r="A359" t="inlineStr">
        <is>
          <t>TA-2024-00389</t>
        </is>
      </c>
      <c r="B359" t="inlineStr">
        <is>
          <t>Ever Joy Clinic &amp; Surgery</t>
        </is>
      </c>
      <c r="C359" t="inlineStr">
        <is>
          <t>U-RH408-01-04</t>
        </is>
      </c>
      <c r="D359" t="inlineStr">
        <is>
          <t>GP Clinic</t>
        </is>
      </c>
      <c r="E359" s="4" t="n">
        <v>46538</v>
      </c>
      <c r="F359" s="5" t="n">
        <v>3510</v>
      </c>
      <c r="G359" s="4">
        <f>EDATE(E359,-6)</f>
        <v/>
      </c>
      <c r="I359" s="4" t="n"/>
      <c r="J359">
        <f>IF(I359="","",IF(I359&gt;G359,"LATE",""))</f>
        <v/>
      </c>
      <c r="K359" t="inlineStr">
        <is>
          <t>No application</t>
        </is>
      </c>
    </row>
    <row r="360">
      <c r="A360" t="inlineStr">
        <is>
          <t>TA-2024-00391</t>
        </is>
      </c>
      <c r="B360" t="inlineStr">
        <is>
          <t>Soon Hin Mobile Pte Ltd</t>
        </is>
      </c>
      <c r="C360" t="inlineStr">
        <is>
          <t>U-RH428-01-01</t>
        </is>
      </c>
      <c r="D360" t="inlineStr">
        <is>
          <t>Mobile Phone &amp; Accessories</t>
        </is>
      </c>
      <c r="E360" s="4" t="n">
        <v>46538</v>
      </c>
      <c r="F360" s="5" t="n">
        <v>3300</v>
      </c>
      <c r="G360" s="4">
        <f>EDATE(E360,-6)</f>
        <v/>
      </c>
      <c r="I360" s="4" t="n"/>
      <c r="J360">
        <f>IF(I360="","",IF(I360&gt;G360,"LATE",""))</f>
        <v/>
      </c>
      <c r="K360" t="inlineStr">
        <is>
          <t>No application</t>
        </is>
      </c>
    </row>
    <row r="361">
      <c r="A361" t="inlineStr">
        <is>
          <t>TA-2024-00393</t>
        </is>
      </c>
      <c r="B361" t="inlineStr">
        <is>
          <t>Lotus Hair Salon</t>
        </is>
      </c>
      <c r="C361" t="inlineStr">
        <is>
          <t>U-RH463-01-04</t>
        </is>
      </c>
      <c r="D361" t="inlineStr">
        <is>
          <t>Hair Salon</t>
        </is>
      </c>
      <c r="E361" s="4" t="n">
        <v>46538</v>
      </c>
      <c r="F361" s="5" t="n">
        <v>2160</v>
      </c>
      <c r="G361" s="4">
        <f>EDATE(E361,-6)</f>
        <v/>
      </c>
      <c r="I361" s="4" t="n"/>
      <c r="J361">
        <f>IF(I361="","",IF(I361&gt;G361,"LATE",""))</f>
        <v/>
      </c>
      <c r="K361" t="inlineStr">
        <is>
          <t>No application</t>
        </is>
      </c>
    </row>
    <row r="362">
      <c r="A362" t="inlineStr">
        <is>
          <t>TA-2024-00395</t>
        </is>
      </c>
      <c r="B362" t="inlineStr">
        <is>
          <t>Green Leaf Medical Clinic</t>
        </is>
      </c>
      <c r="C362" t="inlineStr">
        <is>
          <t>U-RH476-01-06</t>
        </is>
      </c>
      <c r="D362" t="inlineStr">
        <is>
          <t>GP Clinic</t>
        </is>
      </c>
      <c r="E362" s="4" t="n">
        <v>46538</v>
      </c>
      <c r="F362" s="5" t="n">
        <v>3030</v>
      </c>
      <c r="G362" s="4">
        <f>EDATE(E362,-6)</f>
        <v/>
      </c>
      <c r="I362" s="4" t="n"/>
      <c r="J362">
        <f>IF(I362="","",IF(I362&gt;G362,"LATE",""))</f>
        <v/>
      </c>
      <c r="K362" t="inlineStr">
        <is>
          <t>No application</t>
        </is>
      </c>
    </row>
    <row r="363">
      <c r="A363" t="inlineStr">
        <is>
          <t>TA-2024-00397</t>
        </is>
      </c>
      <c r="B363" t="inlineStr">
        <is>
          <t>PrimeValue Mart Pte Ltd</t>
        </is>
      </c>
      <c r="C363" t="inlineStr">
        <is>
          <t>U-RH485-01-04</t>
        </is>
      </c>
      <c r="D363" t="inlineStr">
        <is>
          <t>Minimart</t>
        </is>
      </c>
      <c r="E363" s="4" t="n">
        <v>46538</v>
      </c>
      <c r="F363" s="5" t="n">
        <v>4760</v>
      </c>
      <c r="G363" s="4">
        <f>EDATE(E363,-6)</f>
        <v/>
      </c>
      <c r="I363" s="4" t="n"/>
      <c r="J363">
        <f>IF(I363="","",IF(I363&gt;G363,"LATE",""))</f>
        <v/>
      </c>
      <c r="K363" t="inlineStr">
        <is>
          <t>No application</t>
        </is>
      </c>
    </row>
    <row r="364">
      <c r="A364" t="inlineStr">
        <is>
          <t>TA-2024-00398</t>
        </is>
      </c>
      <c r="B364" t="inlineStr">
        <is>
          <t>Wellcare Store Pte Ltd</t>
        </is>
      </c>
      <c r="C364" t="inlineStr">
        <is>
          <t>U-ST538-01-07</t>
        </is>
      </c>
      <c r="D364" t="inlineStr">
        <is>
          <t>Provision Shop</t>
        </is>
      </c>
      <c r="E364" s="4" t="n">
        <v>46538</v>
      </c>
      <c r="F364" s="5" t="n">
        <v>2400</v>
      </c>
      <c r="G364" s="4">
        <f>EDATE(E364,-6)</f>
        <v/>
      </c>
      <c r="I364" s="4" t="n"/>
      <c r="J364">
        <f>IF(I364="","",IF(I364&gt;G364,"LATE",""))</f>
        <v/>
      </c>
      <c r="K364" t="inlineStr">
        <is>
          <t>No application</t>
        </is>
      </c>
    </row>
    <row r="365">
      <c r="A365" t="inlineStr">
        <is>
          <t>TA-2024-00399</t>
        </is>
      </c>
      <c r="B365" t="inlineStr">
        <is>
          <t>Teck Guan Snacks</t>
        </is>
      </c>
      <c r="C365" t="inlineStr">
        <is>
          <t>U-ST545-01-08</t>
        </is>
      </c>
      <c r="D365" t="inlineStr">
        <is>
          <t>Snack Kiosk</t>
        </is>
      </c>
      <c r="E365" s="4" t="n">
        <v>46538</v>
      </c>
      <c r="F365" s="5" t="n">
        <v>1140</v>
      </c>
      <c r="G365" s="4">
        <f>EDATE(E365,-6)</f>
        <v/>
      </c>
      <c r="H365" t="inlineStr">
        <is>
          <t>APP-2026-0196</t>
        </is>
      </c>
      <c r="I365" s="4" t="n">
        <v>46210</v>
      </c>
      <c r="J365">
        <f>IF(I365="","",IF(I365&gt;G365,"LATE",""))</f>
        <v/>
      </c>
      <c r="K365" t="inlineStr">
        <is>
          <t>Approved</t>
        </is>
      </c>
    </row>
    <row r="366">
      <c r="A366" t="inlineStr">
        <is>
          <t>TA-2024-00400</t>
        </is>
      </c>
      <c r="B366" t="inlineStr">
        <is>
          <t>Heng Ann Mart Pte Ltd</t>
        </is>
      </c>
      <c r="C366" t="inlineStr">
        <is>
          <t>U-ST566-01-05</t>
        </is>
      </c>
      <c r="D366" t="inlineStr">
        <is>
          <t>Minimart</t>
        </is>
      </c>
      <c r="E366" s="4" t="n">
        <v>46538</v>
      </c>
      <c r="F366" s="5" t="n">
        <v>3090</v>
      </c>
      <c r="G366" s="4">
        <f>EDATE(E366,-6)</f>
        <v/>
      </c>
      <c r="I366" s="4" t="n"/>
      <c r="J366">
        <f>IF(I366="","",IF(I366&gt;G366,"LATE",""))</f>
        <v/>
      </c>
      <c r="K366" t="inlineStr">
        <is>
          <t>No application</t>
        </is>
      </c>
    </row>
    <row r="367">
      <c r="A367" t="inlineStr">
        <is>
          <t>TA-2024-00402</t>
        </is>
      </c>
      <c r="B367" t="inlineStr">
        <is>
          <t>Siva Supermarket</t>
        </is>
      </c>
      <c r="C367" t="inlineStr">
        <is>
          <t>U-ST591-01-07</t>
        </is>
      </c>
      <c r="D367" t="inlineStr">
        <is>
          <t>Minimart</t>
        </is>
      </c>
      <c r="E367" s="4" t="n">
        <v>46538</v>
      </c>
      <c r="F367" s="5" t="n">
        <v>3070</v>
      </c>
      <c r="G367" s="4">
        <f>EDATE(E367,-6)</f>
        <v/>
      </c>
      <c r="I367" s="4" t="n"/>
      <c r="J367">
        <f>IF(I367="","",IF(I367&gt;G367,"LATE",""))</f>
        <v/>
      </c>
      <c r="K367" t="inlineStr">
        <is>
          <t>No application</t>
        </is>
      </c>
    </row>
    <row r="368">
      <c r="A368" t="inlineStr">
        <is>
          <t>TA-2024-00403</t>
        </is>
      </c>
      <c r="B368" t="inlineStr">
        <is>
          <t>Evergreen Family Clinic</t>
        </is>
      </c>
      <c r="C368" t="inlineStr">
        <is>
          <t>U-ST591-01-08</t>
        </is>
      </c>
      <c r="D368" t="inlineStr">
        <is>
          <t>GP Clinic</t>
        </is>
      </c>
      <c r="E368" s="4" t="n">
        <v>46538</v>
      </c>
      <c r="F368" s="5" t="n">
        <v>4060</v>
      </c>
      <c r="G368" s="4">
        <f>EDATE(E368,-6)</f>
        <v/>
      </c>
      <c r="I368" s="4" t="n"/>
      <c r="J368">
        <f>IF(I368="","",IF(I368&gt;G368,"LATE",""))</f>
        <v/>
      </c>
      <c r="K368" t="inlineStr">
        <is>
          <t>No application</t>
        </is>
      </c>
    </row>
    <row r="369">
      <c r="A369" t="inlineStr">
        <is>
          <t>TA-2024-00405</t>
        </is>
      </c>
      <c r="B369" t="inlineStr">
        <is>
          <t>Fresh Valley Bubble Tea</t>
        </is>
      </c>
      <c r="C369" t="inlineStr">
        <is>
          <t>U-ST593-01-02</t>
        </is>
      </c>
      <c r="D369" t="inlineStr">
        <is>
          <t>Bubble Tea</t>
        </is>
      </c>
      <c r="E369" s="4" t="n">
        <v>46538</v>
      </c>
      <c r="F369" s="5" t="n">
        <v>910</v>
      </c>
      <c r="G369" s="4">
        <f>EDATE(E369,-6)</f>
        <v/>
      </c>
      <c r="I369" s="4" t="n"/>
      <c r="J369">
        <f>IF(I369="","",IF(I369&gt;G369,"LATE",""))</f>
        <v/>
      </c>
      <c r="K369" t="inlineStr">
        <is>
          <t>No application</t>
        </is>
      </c>
    </row>
    <row r="370">
      <c r="A370" t="inlineStr">
        <is>
          <t>TA-2024-00406</t>
        </is>
      </c>
      <c r="B370" t="inlineStr">
        <is>
          <t>Kampung Cake House Pte Ltd</t>
        </is>
      </c>
      <c r="C370" t="inlineStr">
        <is>
          <t>U-BV205-01-06</t>
        </is>
      </c>
      <c r="D370" t="inlineStr">
        <is>
          <t>Bakery &amp; Confectionery</t>
        </is>
      </c>
      <c r="E370" s="4" t="n">
        <v>46568</v>
      </c>
      <c r="F370" s="5" t="n">
        <v>4670</v>
      </c>
      <c r="G370" s="4">
        <f>EDATE(E370,-6)</f>
        <v/>
      </c>
      <c r="I370" s="4" t="n"/>
      <c r="J370">
        <f>IF(I370="","",IF(I370&gt;G370,"LATE",""))</f>
        <v/>
      </c>
      <c r="K370" t="inlineStr">
        <is>
          <t>No application</t>
        </is>
      </c>
    </row>
    <row r="371">
      <c r="A371" t="inlineStr">
        <is>
          <t>TA-2024-00408</t>
        </is>
      </c>
      <c r="B371" t="inlineStr">
        <is>
          <t>Peng Kee Tuition Centre</t>
        </is>
      </c>
      <c r="C371" t="inlineStr">
        <is>
          <t>U-BV214-01-23</t>
        </is>
      </c>
      <c r="D371" t="inlineStr">
        <is>
          <t>Tuition Centre</t>
        </is>
      </c>
      <c r="E371" s="4" t="n">
        <v>46568</v>
      </c>
      <c r="F371" s="5" t="n">
        <v>2140</v>
      </c>
      <c r="G371" s="4">
        <f>EDATE(E371,-6)</f>
        <v/>
      </c>
      <c r="I371" s="4" t="n"/>
      <c r="J371">
        <f>IF(I371="","",IF(I371&gt;G371,"LATE",""))</f>
        <v/>
      </c>
      <c r="K371" t="inlineStr">
        <is>
          <t>No application</t>
        </is>
      </c>
    </row>
    <row r="372">
      <c r="A372" t="inlineStr">
        <is>
          <t>TA-2024-00410</t>
        </is>
      </c>
      <c r="B372" t="inlineStr">
        <is>
          <t>Sin Hock Learning Centre</t>
        </is>
      </c>
      <c r="C372" t="inlineStr">
        <is>
          <t>U-BV214-02-09</t>
        </is>
      </c>
      <c r="D372" t="inlineStr">
        <is>
          <t>Tuition Centre</t>
        </is>
      </c>
      <c r="E372" s="4" t="n">
        <v>46568</v>
      </c>
      <c r="F372" s="5" t="n">
        <v>3470</v>
      </c>
      <c r="G372" s="4">
        <f>EDATE(E372,-6)</f>
        <v/>
      </c>
      <c r="I372" s="4" t="n"/>
      <c r="J372">
        <f>IF(I372="","",IF(I372&gt;G372,"LATE",""))</f>
        <v/>
      </c>
      <c r="K372" t="inlineStr">
        <is>
          <t>No application</t>
        </is>
      </c>
    </row>
    <row r="373">
      <c r="A373" t="inlineStr">
        <is>
          <t>TA-2024-00412</t>
        </is>
      </c>
      <c r="B373" t="inlineStr">
        <is>
          <t>Ever Joy Supermarket</t>
        </is>
      </c>
      <c r="C373" t="inlineStr">
        <is>
          <t>U-BV219-01-06</t>
        </is>
      </c>
      <c r="D373" t="inlineStr">
        <is>
          <t>Minimart</t>
        </is>
      </c>
      <c r="E373" s="4" t="n">
        <v>46568</v>
      </c>
      <c r="F373" s="5" t="n">
        <v>2110</v>
      </c>
      <c r="G373" s="4">
        <f>EDATE(E373,-6)</f>
        <v/>
      </c>
      <c r="I373" s="4" t="n"/>
      <c r="J373">
        <f>IF(I373="","",IF(I373&gt;G373,"LATE",""))</f>
        <v/>
      </c>
      <c r="K373" t="inlineStr">
        <is>
          <t>No application</t>
        </is>
      </c>
    </row>
    <row r="374">
      <c r="A374" t="inlineStr">
        <is>
          <t>TA-2024-00414</t>
        </is>
      </c>
      <c r="B374" t="inlineStr">
        <is>
          <t>New Life Family Clinic Pte Ltd</t>
        </is>
      </c>
      <c r="C374" t="inlineStr">
        <is>
          <t>U-BV296-01-08</t>
        </is>
      </c>
      <c r="D374" t="inlineStr">
        <is>
          <t>GP Clinic</t>
        </is>
      </c>
      <c r="E374" s="4" t="n">
        <v>46568</v>
      </c>
      <c r="F374" s="5" t="n">
        <v>2680</v>
      </c>
      <c r="G374" s="4">
        <f>EDATE(E374,-6)</f>
        <v/>
      </c>
      <c r="H374" t="inlineStr">
        <is>
          <t>APP-2026-0246</t>
        </is>
      </c>
      <c r="I374" s="4" t="n">
        <v>46250</v>
      </c>
      <c r="J374">
        <f>IF(I374="","",IF(I374&gt;G374,"LATE",""))</f>
        <v/>
      </c>
      <c r="K374" t="inlineStr">
        <is>
          <t>Rejected</t>
        </is>
      </c>
    </row>
    <row r="375">
      <c r="A375" t="inlineStr">
        <is>
          <t>TA-2024-00415</t>
        </is>
      </c>
      <c r="B375" t="inlineStr">
        <is>
          <t>Hock Lee Laundry</t>
        </is>
      </c>
      <c r="C375" t="inlineStr">
        <is>
          <t>U-CD105-01-03</t>
        </is>
      </c>
      <c r="D375" t="inlineStr">
        <is>
          <t>Laundry</t>
        </is>
      </c>
      <c r="E375" s="4" t="n">
        <v>46568</v>
      </c>
      <c r="F375" s="5" t="n">
        <v>2520</v>
      </c>
      <c r="G375" s="4">
        <f>EDATE(E375,-6)</f>
        <v/>
      </c>
      <c r="I375" s="4" t="n"/>
      <c r="J375">
        <f>IF(I375="","",IF(I375&gt;G375,"LATE",""))</f>
        <v/>
      </c>
      <c r="K375" t="inlineStr">
        <is>
          <t>No application</t>
        </is>
      </c>
    </row>
    <row r="376">
      <c r="A376" t="inlineStr">
        <is>
          <t>TA-2024-00416</t>
        </is>
      </c>
      <c r="B376" t="inlineStr">
        <is>
          <t>Unity Florist</t>
        </is>
      </c>
      <c r="C376" t="inlineStr">
        <is>
          <t>U-CD118-01-29</t>
        </is>
      </c>
      <c r="D376" t="inlineStr">
        <is>
          <t>Florist</t>
        </is>
      </c>
      <c r="E376" s="4" t="n">
        <v>46568</v>
      </c>
      <c r="F376" s="5" t="n">
        <v>5450</v>
      </c>
      <c r="G376" s="4">
        <f>EDATE(E376,-6)</f>
        <v/>
      </c>
      <c r="I376" s="4" t="n"/>
      <c r="J376">
        <f>IF(I376="","",IF(I376&gt;G376,"LATE",""))</f>
        <v/>
      </c>
      <c r="K376" t="inlineStr">
        <is>
          <t>No application</t>
        </is>
      </c>
    </row>
    <row r="377">
      <c r="A377" t="inlineStr">
        <is>
          <t>TA-2024-00417</t>
        </is>
      </c>
      <c r="B377" t="inlineStr">
        <is>
          <t>Brilliant Bookstore</t>
        </is>
      </c>
      <c r="C377" t="inlineStr">
        <is>
          <t>U-CD120-01-02</t>
        </is>
      </c>
      <c r="D377" t="inlineStr">
        <is>
          <t>Stationery &amp; Books</t>
        </is>
      </c>
      <c r="E377" s="4" t="n">
        <v>46568</v>
      </c>
      <c r="F377" s="5" t="n">
        <v>6290</v>
      </c>
      <c r="G377" s="4">
        <f>EDATE(E377,-6)</f>
        <v/>
      </c>
      <c r="I377" s="4" t="n"/>
      <c r="J377">
        <f>IF(I377="","",IF(I377&gt;G377,"LATE",""))</f>
        <v/>
      </c>
      <c r="K377" t="inlineStr">
        <is>
          <t>No application</t>
        </is>
      </c>
    </row>
    <row r="378">
      <c r="A378" t="inlineStr">
        <is>
          <t>TA-2024-00418</t>
        </is>
      </c>
      <c r="B378" t="inlineStr">
        <is>
          <t>Bright Path Hardware Pte Ltd</t>
        </is>
      </c>
      <c r="C378" t="inlineStr">
        <is>
          <t>U-CD143-01-04</t>
        </is>
      </c>
      <c r="D378" t="inlineStr">
        <is>
          <t>Hardware</t>
        </is>
      </c>
      <c r="E378" s="4" t="n">
        <v>46568</v>
      </c>
      <c r="F378" s="5" t="n">
        <v>3580</v>
      </c>
      <c r="G378" s="4">
        <f>EDATE(E378,-6)</f>
        <v/>
      </c>
      <c r="I378" s="4" t="n"/>
      <c r="J378">
        <f>IF(I378="","",IF(I378&gt;G378,"LATE",""))</f>
        <v/>
      </c>
      <c r="K378" t="inlineStr">
        <is>
          <t>No application</t>
        </is>
      </c>
    </row>
    <row r="379">
      <c r="A379" t="inlineStr">
        <is>
          <t>TA-2024-00420</t>
        </is>
      </c>
      <c r="B379" t="inlineStr">
        <is>
          <t>Tian Fu Clinic &amp; Surgery</t>
        </is>
      </c>
      <c r="C379" t="inlineStr">
        <is>
          <t>U-CD185-01-07</t>
        </is>
      </c>
      <c r="D379" t="inlineStr">
        <is>
          <t>GP Clinic</t>
        </is>
      </c>
      <c r="E379" s="4" t="n">
        <v>46568</v>
      </c>
      <c r="F379" s="5" t="n">
        <v>3380</v>
      </c>
      <c r="G379" s="4">
        <f>EDATE(E379,-6)</f>
        <v/>
      </c>
      <c r="I379" s="4" t="n"/>
      <c r="J379">
        <f>IF(I379="","",IF(I379&gt;G379,"LATE",""))</f>
        <v/>
      </c>
      <c r="K379" t="inlineStr">
        <is>
          <t>No application</t>
        </is>
      </c>
    </row>
    <row r="380">
      <c r="A380" t="inlineStr">
        <is>
          <t>TA-2024-00421</t>
        </is>
      </c>
      <c r="B380" t="inlineStr">
        <is>
          <t>Hock Lee Tea House Pte Ltd</t>
        </is>
      </c>
      <c r="C380" t="inlineStr">
        <is>
          <t>U-KR310-01-04</t>
        </is>
      </c>
      <c r="D380" t="inlineStr">
        <is>
          <t>Bubble Tea</t>
        </is>
      </c>
      <c r="E380" s="4" t="n">
        <v>46568</v>
      </c>
      <c r="F380" s="5" t="n">
        <v>900</v>
      </c>
      <c r="G380" s="4">
        <f>EDATE(E380,-6)</f>
        <v/>
      </c>
      <c r="H380" t="inlineStr">
        <is>
          <t>APP-2025-0066</t>
        </is>
      </c>
      <c r="I380" s="4" t="n">
        <v>45979</v>
      </c>
      <c r="J380">
        <f>IF(I380="","",IF(I380&gt;G380,"LATE",""))</f>
        <v/>
      </c>
      <c r="K380" t="inlineStr">
        <is>
          <t>Rejected</t>
        </is>
      </c>
    </row>
    <row r="381">
      <c r="A381" t="inlineStr">
        <is>
          <t>TA-2024-00423</t>
        </is>
      </c>
      <c r="B381" t="inlineStr">
        <is>
          <t>Soon Hin Eating Place</t>
        </is>
      </c>
      <c r="C381" t="inlineStr">
        <is>
          <t>U-KR323-01-04</t>
        </is>
      </c>
      <c r="D381" t="inlineStr">
        <is>
          <t>Restaurant</t>
        </is>
      </c>
      <c r="E381" s="4" t="n">
        <v>46568</v>
      </c>
      <c r="F381" s="5" t="n">
        <v>2750</v>
      </c>
      <c r="G381" s="4">
        <f>EDATE(E381,-6)</f>
        <v/>
      </c>
      <c r="I381" s="4" t="n"/>
      <c r="J381">
        <f>IF(I381="","",IF(I381&gt;G381,"LATE",""))</f>
        <v/>
      </c>
      <c r="K381" t="inlineStr">
        <is>
          <t>No application</t>
        </is>
      </c>
    </row>
    <row r="382">
      <c r="A382" t="inlineStr">
        <is>
          <t>TA-2024-00425</t>
        </is>
      </c>
      <c r="B382" t="inlineStr">
        <is>
          <t>Harmony Supermarket Pte Ltd</t>
        </is>
      </c>
      <c r="C382" t="inlineStr">
        <is>
          <t>U-KR341-01-12</t>
        </is>
      </c>
      <c r="D382" t="inlineStr">
        <is>
          <t>Minimart</t>
        </is>
      </c>
      <c r="E382" s="4" t="n">
        <v>46568</v>
      </c>
      <c r="F382" s="5" t="n">
        <v>5180</v>
      </c>
      <c r="G382" s="4">
        <f>EDATE(E382,-6)</f>
        <v/>
      </c>
      <c r="H382" t="inlineStr">
        <is>
          <t>APP-2025-0028</t>
        </is>
      </c>
      <c r="I382" s="4" t="n">
        <v>45951</v>
      </c>
      <c r="J382">
        <f>IF(I382="","",IF(I382&gt;G382,"LATE",""))</f>
        <v/>
      </c>
      <c r="K382" t="inlineStr">
        <is>
          <t>Approved</t>
        </is>
      </c>
    </row>
    <row r="383">
      <c r="A383" t="inlineStr">
        <is>
          <t>TA-2024-00426</t>
        </is>
      </c>
      <c r="B383" t="inlineStr">
        <is>
          <t>Al-Ameen Medical Hall Pte Ltd</t>
        </is>
      </c>
      <c r="C383" t="inlineStr">
        <is>
          <t>U-KR349-01-01</t>
        </is>
      </c>
      <c r="D383" t="inlineStr">
        <is>
          <t>TCM Clinic</t>
        </is>
      </c>
      <c r="E383" s="4" t="n">
        <v>46568</v>
      </c>
      <c r="F383" s="5" t="n">
        <v>1530</v>
      </c>
      <c r="G383" s="4">
        <f>EDATE(E383,-6)</f>
        <v/>
      </c>
      <c r="I383" s="4" t="n"/>
      <c r="J383">
        <f>IF(I383="","",IF(I383&gt;G383,"LATE",""))</f>
        <v/>
      </c>
      <c r="K383" t="inlineStr">
        <is>
          <t>No application</t>
        </is>
      </c>
    </row>
    <row r="384">
      <c r="A384" t="inlineStr">
        <is>
          <t>TA-2024-00428</t>
        </is>
      </c>
      <c r="B384" t="inlineStr">
        <is>
          <t>Orchid Hardware &amp; Electrical Pte Ltd</t>
        </is>
      </c>
      <c r="C384" t="inlineStr">
        <is>
          <t>U-KR356-01-03</t>
        </is>
      </c>
      <c r="D384" t="inlineStr">
        <is>
          <t>Hardware</t>
        </is>
      </c>
      <c r="E384" s="4" t="n">
        <v>46568</v>
      </c>
      <c r="F384" s="5" t="n">
        <v>2460</v>
      </c>
      <c r="G384" s="4">
        <f>EDATE(E384,-6)</f>
        <v/>
      </c>
      <c r="I384" s="4" t="n"/>
      <c r="J384">
        <f>IF(I384="","",IF(I384&gt;G384,"LATE",""))</f>
        <v/>
      </c>
      <c r="K384" t="inlineStr">
        <is>
          <t>No application</t>
        </is>
      </c>
    </row>
    <row r="385">
      <c r="A385" t="inlineStr">
        <is>
          <t>TA-2024-00430</t>
        </is>
      </c>
      <c r="B385" t="inlineStr">
        <is>
          <t>Swee Heng Trading</t>
        </is>
      </c>
      <c r="C385" t="inlineStr">
        <is>
          <t>U-KR362-01-02</t>
        </is>
      </c>
      <c r="D385" t="inlineStr">
        <is>
          <t>Provision Shop</t>
        </is>
      </c>
      <c r="E385" s="4" t="n">
        <v>46568</v>
      </c>
      <c r="F385" s="5" t="n">
        <v>3780</v>
      </c>
      <c r="G385" s="4">
        <f>EDATE(E385,-6)</f>
        <v/>
      </c>
      <c r="I385" s="4" t="n"/>
      <c r="J385">
        <f>IF(I385="","",IF(I385&gt;G385,"LATE",""))</f>
        <v/>
      </c>
      <c r="K385" t="inlineStr">
        <is>
          <t>No application</t>
        </is>
      </c>
    </row>
    <row r="386">
      <c r="A386" t="inlineStr">
        <is>
          <t>TA-2024-00432</t>
        </is>
      </c>
      <c r="B386" t="inlineStr">
        <is>
          <t>Peng Kee Education Hub Pte Ltd</t>
        </is>
      </c>
      <c r="C386" t="inlineStr">
        <is>
          <t>U-KR371-01-09</t>
        </is>
      </c>
      <c r="D386" t="inlineStr">
        <is>
          <t>Tuition Centre</t>
        </is>
      </c>
      <c r="E386" s="4" t="n">
        <v>46568</v>
      </c>
      <c r="F386" s="5" t="n">
        <v>3050</v>
      </c>
      <c r="G386" s="4">
        <f>EDATE(E386,-6)</f>
        <v/>
      </c>
      <c r="I386" s="4" t="n"/>
      <c r="J386">
        <f>IF(I386="","",IF(I386&gt;G386,"LATE",""))</f>
        <v/>
      </c>
      <c r="K386" t="inlineStr">
        <is>
          <t>No application</t>
        </is>
      </c>
    </row>
    <row r="387">
      <c r="A387" t="inlineStr">
        <is>
          <t>TA-2024-00433</t>
        </is>
      </c>
      <c r="B387" t="inlineStr">
        <is>
          <t>Green Leaf Boba Bar Pte Ltd</t>
        </is>
      </c>
      <c r="C387" t="inlineStr">
        <is>
          <t>U-PI614-01-02</t>
        </is>
      </c>
      <c r="D387" t="inlineStr">
        <is>
          <t>Bubble Tea</t>
        </is>
      </c>
      <c r="E387" s="4" t="n">
        <v>46568</v>
      </c>
      <c r="F387" s="5" t="n">
        <v>4800</v>
      </c>
      <c r="G387" s="4">
        <f>EDATE(E387,-6)</f>
        <v/>
      </c>
      <c r="I387" s="4" t="n"/>
      <c r="J387">
        <f>IF(I387="","",IF(I387&gt;G387,"LATE",""))</f>
        <v/>
      </c>
      <c r="K387" t="inlineStr">
        <is>
          <t>No application</t>
        </is>
      </c>
    </row>
    <row r="388">
      <c r="A388" t="inlineStr">
        <is>
          <t>TA-2024-00435</t>
        </is>
      </c>
      <c r="B388" t="inlineStr">
        <is>
          <t>PrimeValue Mart Pte Ltd</t>
        </is>
      </c>
      <c r="C388" t="inlineStr">
        <is>
          <t>U-PI646-01-06</t>
        </is>
      </c>
      <c r="D388" t="inlineStr">
        <is>
          <t>Minimart</t>
        </is>
      </c>
      <c r="E388" s="4" t="n">
        <v>46568</v>
      </c>
      <c r="F388" s="5" t="n">
        <v>2330</v>
      </c>
      <c r="G388" s="4">
        <f>EDATE(E388,-6)</f>
        <v/>
      </c>
      <c r="I388" s="4" t="n"/>
      <c r="J388">
        <f>IF(I388="","",IF(I388&gt;G388,"LATE",""))</f>
        <v/>
      </c>
      <c r="K388" t="inlineStr">
        <is>
          <t>No application</t>
        </is>
      </c>
    </row>
    <row r="389">
      <c r="A389" t="inlineStr">
        <is>
          <t>TA-2024-00436</t>
        </is>
      </c>
      <c r="B389" t="inlineStr">
        <is>
          <t>Wong's TCM Clinic Pte Ltd</t>
        </is>
      </c>
      <c r="C389" t="inlineStr">
        <is>
          <t>U-PI657-01-07</t>
        </is>
      </c>
      <c r="D389" t="inlineStr">
        <is>
          <t>TCM Clinic</t>
        </is>
      </c>
      <c r="E389" s="4" t="n">
        <v>46568</v>
      </c>
      <c r="F389" s="5" t="n">
        <v>1710</v>
      </c>
      <c r="G389" s="4">
        <f>EDATE(E389,-6)</f>
        <v/>
      </c>
      <c r="I389" s="4" t="n"/>
      <c r="J389">
        <f>IF(I389="","",IF(I389&gt;G389,"LATE",""))</f>
        <v/>
      </c>
      <c r="K389" t="inlineStr">
        <is>
          <t>No application</t>
        </is>
      </c>
    </row>
    <row r="390">
      <c r="A390" t="inlineStr">
        <is>
          <t>TA-2024-00438</t>
        </is>
      </c>
      <c r="B390" t="inlineStr">
        <is>
          <t>Barakah Mart Pte Ltd</t>
        </is>
      </c>
      <c r="C390" t="inlineStr">
        <is>
          <t>U-PI668-01-08</t>
        </is>
      </c>
      <c r="D390" t="inlineStr">
        <is>
          <t>Minimart</t>
        </is>
      </c>
      <c r="E390" s="4" t="n">
        <v>46568</v>
      </c>
      <c r="F390" s="5" t="n">
        <v>1900</v>
      </c>
      <c r="G390" s="4">
        <f>EDATE(E390,-6)</f>
        <v/>
      </c>
      <c r="I390" s="4" t="n"/>
      <c r="J390">
        <f>IF(I390="","",IF(I390&gt;G390,"LATE",""))</f>
        <v/>
      </c>
      <c r="K390" t="inlineStr">
        <is>
          <t>No application</t>
        </is>
      </c>
    </row>
    <row r="391">
      <c r="A391" t="inlineStr">
        <is>
          <t>TA-2024-00439</t>
        </is>
      </c>
      <c r="B391" t="inlineStr">
        <is>
          <t>Hup Seng Medical Clinic Pte Ltd</t>
        </is>
      </c>
      <c r="C391" t="inlineStr">
        <is>
          <t>U-PI675-01-08</t>
        </is>
      </c>
      <c r="D391" t="inlineStr">
        <is>
          <t>GP Clinic</t>
        </is>
      </c>
      <c r="E391" s="4" t="n">
        <v>46568</v>
      </c>
      <c r="F391" s="5" t="n">
        <v>3190</v>
      </c>
      <c r="G391" s="4">
        <f>EDATE(E391,-6)</f>
        <v/>
      </c>
      <c r="I391" s="4" t="n"/>
      <c r="J391">
        <f>IF(I391="","",IF(I391&gt;G391,"LATE",""))</f>
        <v/>
      </c>
      <c r="K391" t="inlineStr">
        <is>
          <t>No application</t>
        </is>
      </c>
    </row>
    <row r="392">
      <c r="A392" t="inlineStr">
        <is>
          <t>TA-2024-00441</t>
        </is>
      </c>
      <c r="B392" t="inlineStr">
        <is>
          <t>Barakah Flowers &amp; Gifts</t>
        </is>
      </c>
      <c r="C392" t="inlineStr">
        <is>
          <t>U-RH407-01-02</t>
        </is>
      </c>
      <c r="D392" t="inlineStr">
        <is>
          <t>Florist</t>
        </is>
      </c>
      <c r="E392" s="4" t="n">
        <v>46568</v>
      </c>
      <c r="F392" s="5" t="n">
        <v>3040</v>
      </c>
      <c r="G392" s="4">
        <f>EDATE(E392,-6)</f>
        <v/>
      </c>
      <c r="I392" s="4" t="n"/>
      <c r="J392">
        <f>IF(I392="","",IF(I392&gt;G392,"LATE",""))</f>
        <v/>
      </c>
      <c r="K392" t="inlineStr">
        <is>
          <t>No application</t>
        </is>
      </c>
    </row>
    <row r="393">
      <c r="A393" t="inlineStr">
        <is>
          <t>TA-2024-00442</t>
        </is>
      </c>
      <c r="B393" t="inlineStr">
        <is>
          <t>Happy Paws Mobile Pte Ltd</t>
        </is>
      </c>
      <c r="C393" t="inlineStr">
        <is>
          <t>U-RH455-01-07</t>
        </is>
      </c>
      <c r="D393" t="inlineStr">
        <is>
          <t>Mobile Phone &amp; Accessories</t>
        </is>
      </c>
      <c r="E393" s="4" t="n">
        <v>46568</v>
      </c>
      <c r="F393" s="5" t="n">
        <v>4210</v>
      </c>
      <c r="G393" s="4">
        <f>EDATE(E393,-6)</f>
        <v/>
      </c>
      <c r="I393" s="4" t="n"/>
      <c r="J393">
        <f>IF(I393="","",IF(I393&gt;G393,"LATE",""))</f>
        <v/>
      </c>
      <c r="K393" t="inlineStr">
        <is>
          <t>No application</t>
        </is>
      </c>
    </row>
    <row r="394">
      <c r="A394" t="inlineStr">
        <is>
          <t>TA-2024-00443</t>
        </is>
      </c>
      <c r="B394" t="inlineStr">
        <is>
          <t>Ah Seng Eating Place</t>
        </is>
      </c>
      <c r="C394" t="inlineStr">
        <is>
          <t>U-RH455-01-25</t>
        </is>
      </c>
      <c r="D394" t="inlineStr">
        <is>
          <t>Restaurant</t>
        </is>
      </c>
      <c r="E394" s="4" t="n">
        <v>46568</v>
      </c>
      <c r="F394" s="5" t="n">
        <v>2800</v>
      </c>
      <c r="G394" s="4">
        <f>EDATE(E394,-6)</f>
        <v/>
      </c>
      <c r="I394" s="4" t="n"/>
      <c r="J394">
        <f>IF(I394="","",IF(I394&gt;G394,"LATE",""))</f>
        <v/>
      </c>
      <c r="K394" t="inlineStr">
        <is>
          <t>No application</t>
        </is>
      </c>
    </row>
    <row r="395">
      <c r="A395" t="inlineStr">
        <is>
          <t>TA-2024-00445</t>
        </is>
      </c>
      <c r="B395" t="inlineStr">
        <is>
          <t>Lakshmi Pet Shop</t>
        </is>
      </c>
      <c r="C395" t="inlineStr">
        <is>
          <t>U-RH455-01-32</t>
        </is>
      </c>
      <c r="D395" t="inlineStr">
        <is>
          <t>Pet Shop</t>
        </is>
      </c>
      <c r="E395" s="4" t="n">
        <v>46568</v>
      </c>
      <c r="F395" s="5" t="n">
        <v>3370</v>
      </c>
      <c r="G395" s="4">
        <f>EDATE(E395,-6)</f>
        <v/>
      </c>
      <c r="I395" s="4" t="n"/>
      <c r="J395">
        <f>IF(I395="","",IF(I395&gt;G395,"LATE",""))</f>
        <v/>
      </c>
      <c r="K395" t="inlineStr">
        <is>
          <t>No application</t>
        </is>
      </c>
    </row>
    <row r="396">
      <c r="A396" t="inlineStr">
        <is>
          <t>TA-2024-00446</t>
        </is>
      </c>
      <c r="B396" t="inlineStr">
        <is>
          <t>Tian Fu Family Clinic Pte Ltd</t>
        </is>
      </c>
      <c r="C396" t="inlineStr">
        <is>
          <t>U-RH460-01-01</t>
        </is>
      </c>
      <c r="D396" t="inlineStr">
        <is>
          <t>GP Clinic</t>
        </is>
      </c>
      <c r="E396" s="4" t="n">
        <v>46568</v>
      </c>
      <c r="F396" s="5" t="n">
        <v>2410</v>
      </c>
      <c r="G396" s="4">
        <f>EDATE(E396,-6)</f>
        <v/>
      </c>
      <c r="H396" t="inlineStr">
        <is>
          <t>APP-2026-0133</t>
        </is>
      </c>
      <c r="I396" s="4" t="n">
        <v>46151</v>
      </c>
      <c r="J396">
        <f>IF(I396="","",IF(I396&gt;G396,"LATE",""))</f>
        <v/>
      </c>
      <c r="K396" t="inlineStr">
        <is>
          <t>Withdrawn</t>
        </is>
      </c>
    </row>
    <row r="397">
      <c r="A397" t="inlineStr">
        <is>
          <t>TA-2024-00448</t>
        </is>
      </c>
      <c r="B397" t="inlineStr">
        <is>
          <t>Smart Kids Bakery Pte Ltd</t>
        </is>
      </c>
      <c r="C397" t="inlineStr">
        <is>
          <t>U-RH460-01-07</t>
        </is>
      </c>
      <c r="D397" t="inlineStr">
        <is>
          <t>Bakery &amp; Confectionery</t>
        </is>
      </c>
      <c r="E397" s="4" t="n">
        <v>46568</v>
      </c>
      <c r="F397" s="5" t="n">
        <v>2490</v>
      </c>
      <c r="G397" s="4">
        <f>EDATE(E397,-6)</f>
        <v/>
      </c>
      <c r="I397" s="4" t="n"/>
      <c r="J397">
        <f>IF(I397="","",IF(I397&gt;G397,"LATE",""))</f>
        <v/>
      </c>
      <c r="K397" t="inlineStr">
        <is>
          <t>No application</t>
        </is>
      </c>
    </row>
    <row r="398">
      <c r="A398" t="inlineStr">
        <is>
          <t>TA-2024-00449</t>
        </is>
      </c>
      <c r="B398" t="inlineStr">
        <is>
          <t>Ong &amp; Sons Supermarket Pte Ltd</t>
        </is>
      </c>
      <c r="C398" t="inlineStr">
        <is>
          <t>U-RH473-01-01</t>
        </is>
      </c>
      <c r="D398" t="inlineStr">
        <is>
          <t>Minimart</t>
        </is>
      </c>
      <c r="E398" s="4" t="n">
        <v>46568</v>
      </c>
      <c r="F398" s="5" t="n">
        <v>1980</v>
      </c>
      <c r="G398" s="4">
        <f>EDATE(E398,-6)</f>
        <v/>
      </c>
      <c r="I398" s="4" t="n"/>
      <c r="J398">
        <f>IF(I398="","",IF(I398&gt;G398,"LATE",""))</f>
        <v/>
      </c>
      <c r="K398" t="inlineStr">
        <is>
          <t>No application</t>
        </is>
      </c>
    </row>
    <row r="399">
      <c r="A399" t="inlineStr">
        <is>
          <t>TA-2024-00450</t>
        </is>
      </c>
      <c r="B399" t="inlineStr">
        <is>
          <t>Harmony Trading Pte Ltd</t>
        </is>
      </c>
      <c r="C399" t="inlineStr">
        <is>
          <t>U-RH486-01-01</t>
        </is>
      </c>
      <c r="D399" t="inlineStr">
        <is>
          <t>Provision Shop</t>
        </is>
      </c>
      <c r="E399" s="4" t="n">
        <v>46568</v>
      </c>
      <c r="F399" s="5" t="n">
        <v>2700</v>
      </c>
      <c r="G399" s="4">
        <f>EDATE(E399,-6)</f>
        <v/>
      </c>
      <c r="I399" s="4" t="n"/>
      <c r="J399">
        <f>IF(I399="","",IF(I399&gt;G399,"LATE",""))</f>
        <v/>
      </c>
      <c r="K399" t="inlineStr">
        <is>
          <t>No application</t>
        </is>
      </c>
    </row>
    <row r="400">
      <c r="A400" t="inlineStr">
        <is>
          <t>TA-2024-00451</t>
        </is>
      </c>
      <c r="B400" t="inlineStr">
        <is>
          <t>Heng Ann Confectionery</t>
        </is>
      </c>
      <c r="C400" t="inlineStr">
        <is>
          <t>U-ST512-01-05</t>
        </is>
      </c>
      <c r="D400" t="inlineStr">
        <is>
          <t>Bakery &amp; Confectionery</t>
        </is>
      </c>
      <c r="E400" s="4" t="n">
        <v>46568</v>
      </c>
      <c r="F400" s="5" t="n">
        <v>4850</v>
      </c>
      <c r="G400" s="4">
        <f>EDATE(E400,-6)</f>
        <v/>
      </c>
      <c r="I400" s="4" t="n"/>
      <c r="J400">
        <f>IF(I400="","",IF(I400&gt;G400,"LATE",""))</f>
        <v/>
      </c>
      <c r="K400" t="inlineStr">
        <is>
          <t>No application</t>
        </is>
      </c>
    </row>
    <row r="401">
      <c r="A401" t="inlineStr">
        <is>
          <t>TA-2024-00453</t>
        </is>
      </c>
      <c r="B401" t="inlineStr">
        <is>
          <t>Kian Huat Provision Shop Pte Ltd</t>
        </is>
      </c>
      <c r="C401" t="inlineStr">
        <is>
          <t>U-ST512-01-17</t>
        </is>
      </c>
      <c r="D401" t="inlineStr">
        <is>
          <t>Provision Shop</t>
        </is>
      </c>
      <c r="E401" s="4" t="n">
        <v>46568</v>
      </c>
      <c r="F401" s="5" t="n">
        <v>4690</v>
      </c>
      <c r="G401" s="4">
        <f>EDATE(E401,-6)</f>
        <v/>
      </c>
      <c r="I401" s="4" t="n"/>
      <c r="J401">
        <f>IF(I401="","",IF(I401&gt;G401,"LATE",""))</f>
        <v/>
      </c>
      <c r="K401" t="inlineStr">
        <is>
          <t>No application</t>
        </is>
      </c>
    </row>
    <row r="402">
      <c r="A402" t="inlineStr">
        <is>
          <t>TA-2024-00455</t>
        </is>
      </c>
      <c r="B402" t="inlineStr">
        <is>
          <t>Seri Murni Hardware</t>
        </is>
      </c>
      <c r="C402" t="inlineStr">
        <is>
          <t>U-ST512-01-23</t>
        </is>
      </c>
      <c r="D402" t="inlineStr">
        <is>
          <t>Hardware</t>
        </is>
      </c>
      <c r="E402" s="4" t="n">
        <v>46568</v>
      </c>
      <c r="F402" s="5" t="n">
        <v>2390</v>
      </c>
      <c r="G402" s="4">
        <f>EDATE(E402,-6)</f>
        <v/>
      </c>
      <c r="I402" s="4" t="n"/>
      <c r="J402">
        <f>IF(I402="","",IF(I402&gt;G402,"LATE",""))</f>
        <v/>
      </c>
      <c r="K402" t="inlineStr">
        <is>
          <t>No application</t>
        </is>
      </c>
    </row>
    <row r="403">
      <c r="A403" t="inlineStr">
        <is>
          <t>TA-2024-00457</t>
        </is>
      </c>
      <c r="B403" t="inlineStr">
        <is>
          <t>Ever Joy Tuition Centre Pte Ltd</t>
        </is>
      </c>
      <c r="C403" t="inlineStr">
        <is>
          <t>U-ST512-01-25</t>
        </is>
      </c>
      <c r="D403" t="inlineStr">
        <is>
          <t>Tuition Centre</t>
        </is>
      </c>
      <c r="E403" s="4" t="n">
        <v>46568</v>
      </c>
      <c r="F403" s="5" t="n">
        <v>2540</v>
      </c>
      <c r="G403" s="4">
        <f>EDATE(E403,-6)</f>
        <v/>
      </c>
      <c r="I403" s="4" t="n"/>
      <c r="J403">
        <f>IF(I403="","",IF(I403&gt;G403,"LATE",""))</f>
        <v/>
      </c>
      <c r="K403" t="inlineStr">
        <is>
          <t>No application</t>
        </is>
      </c>
    </row>
    <row r="404">
      <c r="A404" t="inlineStr">
        <is>
          <t>TA-2024-00459</t>
        </is>
      </c>
      <c r="B404" t="inlineStr">
        <is>
          <t>Lucky Star Medical Hall Pte Ltd</t>
        </is>
      </c>
      <c r="C404" t="inlineStr">
        <is>
          <t>U-ST518-01-06</t>
        </is>
      </c>
      <c r="D404" t="inlineStr">
        <is>
          <t>TCM Clinic</t>
        </is>
      </c>
      <c r="E404" s="4" t="n">
        <v>46568</v>
      </c>
      <c r="F404" s="5" t="n">
        <v>2160</v>
      </c>
      <c r="G404" s="4">
        <f>EDATE(E404,-6)</f>
        <v/>
      </c>
      <c r="I404" s="4" t="n"/>
      <c r="J404">
        <f>IF(I404="","",IF(I404&gt;G404,"LATE",""))</f>
        <v/>
      </c>
      <c r="K404" t="inlineStr">
        <is>
          <t>No application</t>
        </is>
      </c>
    </row>
    <row r="405">
      <c r="A405" t="inlineStr">
        <is>
          <t>TA-2024-00460</t>
        </is>
      </c>
      <c r="B405" t="inlineStr">
        <is>
          <t>Sunflower Consultancy</t>
        </is>
      </c>
      <c r="C405" t="inlineStr">
        <is>
          <t>U-ST579-01-01</t>
        </is>
      </c>
      <c r="D405" t="inlineStr">
        <is>
          <t>Professional Services Office</t>
        </is>
      </c>
      <c r="E405" s="4" t="n">
        <v>46568</v>
      </c>
      <c r="F405" s="5" t="n">
        <v>2410</v>
      </c>
      <c r="G405" s="4">
        <f>EDATE(E405,-6)</f>
        <v/>
      </c>
      <c r="I405" s="4" t="n"/>
      <c r="J405">
        <f>IF(I405="","",IF(I405&gt;G405,"LATE",""))</f>
        <v/>
      </c>
      <c r="K405" t="inlineStr">
        <is>
          <t>No application</t>
        </is>
      </c>
    </row>
    <row r="406">
      <c r="A406" t="inlineStr">
        <is>
          <t>TA-2024-00461</t>
        </is>
      </c>
      <c r="B406" t="inlineStr">
        <is>
          <t>Hassan Eating Place</t>
        </is>
      </c>
      <c r="C406" t="inlineStr">
        <is>
          <t>U-ST579-01-02</t>
        </is>
      </c>
      <c r="D406" t="inlineStr">
        <is>
          <t>Restaurant</t>
        </is>
      </c>
      <c r="E406" s="4" t="n">
        <v>46568</v>
      </c>
      <c r="F406" s="5" t="n">
        <v>2450</v>
      </c>
      <c r="G406" s="4">
        <f>EDATE(E406,-6)</f>
        <v/>
      </c>
      <c r="I406" s="4" t="n"/>
      <c r="J406">
        <f>IF(I406="","",IF(I406&gt;G406,"LATE",""))</f>
        <v/>
      </c>
      <c r="K406" t="inlineStr">
        <is>
          <t>No application</t>
        </is>
      </c>
    </row>
    <row r="407">
      <c r="A407" t="inlineStr">
        <is>
          <t>TA-2024-00463</t>
        </is>
      </c>
      <c r="B407" t="inlineStr">
        <is>
          <t>Gold Coin Medical Supplies</t>
        </is>
      </c>
      <c r="C407" t="inlineStr">
        <is>
          <t>U-BV204-01-05</t>
        </is>
      </c>
      <c r="D407" t="inlineStr">
        <is>
          <t>Pharmacy</t>
        </is>
      </c>
      <c r="E407" s="4" t="n">
        <v>46599</v>
      </c>
      <c r="F407" s="5" t="n">
        <v>2800</v>
      </c>
      <c r="G407" s="4">
        <f>EDATE(E407,-6)</f>
        <v/>
      </c>
      <c r="I407" s="4" t="n"/>
      <c r="J407">
        <f>IF(I407="","",IF(I407&gt;G407,"LATE",""))</f>
        <v/>
      </c>
      <c r="K407" t="inlineStr">
        <is>
          <t>No application</t>
        </is>
      </c>
    </row>
    <row r="408">
      <c r="A408" t="inlineStr">
        <is>
          <t>TA-2024-00465</t>
        </is>
      </c>
      <c r="B408" t="inlineStr">
        <is>
          <t>Ah Seng Consultancy</t>
        </is>
      </c>
      <c r="C408" t="inlineStr">
        <is>
          <t>U-BV205-01-04</t>
        </is>
      </c>
      <c r="D408" t="inlineStr">
        <is>
          <t>Professional Services Office</t>
        </is>
      </c>
      <c r="E408" s="4" t="n">
        <v>46599</v>
      </c>
      <c r="F408" s="5" t="n">
        <v>3210</v>
      </c>
      <c r="G408" s="4">
        <f>EDATE(E408,-6)</f>
        <v/>
      </c>
      <c r="I408" s="4" t="n"/>
      <c r="J408">
        <f>IF(I408="","",IF(I408&gt;G408,"LATE",""))</f>
        <v/>
      </c>
      <c r="K408" t="inlineStr">
        <is>
          <t>No application</t>
        </is>
      </c>
    </row>
    <row r="409">
      <c r="A409" t="inlineStr">
        <is>
          <t>TA-2024-00466</t>
        </is>
      </c>
      <c r="B409" t="inlineStr">
        <is>
          <t>Fresh Valley Kindergarten Pte Ltd</t>
        </is>
      </c>
      <c r="C409" t="inlineStr">
        <is>
          <t>U-BV212-02-14</t>
        </is>
      </c>
      <c r="D409" t="inlineStr">
        <is>
          <t>Childcare Centre</t>
        </is>
      </c>
      <c r="E409" s="4" t="n">
        <v>46599</v>
      </c>
      <c r="F409" s="5" t="n">
        <v>4050</v>
      </c>
      <c r="G409" s="4">
        <f>EDATE(E409,-6)</f>
        <v/>
      </c>
      <c r="I409" s="4" t="n"/>
      <c r="J409">
        <f>IF(I409="","",IF(I409&gt;G409,"LATE",""))</f>
        <v/>
      </c>
      <c r="K409" t="inlineStr">
        <is>
          <t>No application</t>
        </is>
      </c>
    </row>
    <row r="410">
      <c r="A410" t="inlineStr">
        <is>
          <t>TA-2024-00467</t>
        </is>
      </c>
      <c r="B410" t="inlineStr">
        <is>
          <t>Starlight Trading Pte Ltd</t>
        </is>
      </c>
      <c r="C410" t="inlineStr">
        <is>
          <t>U-BV214-01-01</t>
        </is>
      </c>
      <c r="D410" t="inlineStr">
        <is>
          <t>Provision Shop</t>
        </is>
      </c>
      <c r="E410" s="4" t="n">
        <v>46599</v>
      </c>
      <c r="F410" s="5" t="n">
        <v>2450</v>
      </c>
      <c r="G410" s="4">
        <f>EDATE(E410,-6)</f>
        <v/>
      </c>
      <c r="I410" s="4" t="n"/>
      <c r="J410">
        <f>IF(I410="","",IF(I410&gt;G410,"LATE",""))</f>
        <v/>
      </c>
      <c r="K410" t="inlineStr">
        <is>
          <t>No application</t>
        </is>
      </c>
    </row>
    <row r="411">
      <c r="A411" t="inlineStr">
        <is>
          <t>TA-2024-00468</t>
        </is>
      </c>
      <c r="B411" t="inlineStr">
        <is>
          <t>Wellcare Learning Centre</t>
        </is>
      </c>
      <c r="C411" t="inlineStr">
        <is>
          <t>U-BV214-01-05</t>
        </is>
      </c>
      <c r="D411" t="inlineStr">
        <is>
          <t>Tuition Centre</t>
        </is>
      </c>
      <c r="E411" s="4" t="n">
        <v>46599</v>
      </c>
      <c r="F411" s="5" t="n">
        <v>4520</v>
      </c>
      <c r="G411" s="4">
        <f>EDATE(E411,-6)</f>
        <v/>
      </c>
      <c r="I411" s="4" t="n"/>
      <c r="J411">
        <f>IF(I411="","",IF(I411&gt;G411,"LATE",""))</f>
        <v/>
      </c>
      <c r="K411" t="inlineStr">
        <is>
          <t>No application</t>
        </is>
      </c>
    </row>
    <row r="412">
      <c r="A412" t="inlineStr">
        <is>
          <t>TA-2024-00469</t>
        </is>
      </c>
      <c r="B412" t="inlineStr">
        <is>
          <t>Chin Lee Fruits Pte Ltd</t>
        </is>
      </c>
      <c r="C412" t="inlineStr">
        <is>
          <t>U-BV216-01-05</t>
        </is>
      </c>
      <c r="D412" t="inlineStr">
        <is>
          <t>Fruit Shop</t>
        </is>
      </c>
      <c r="E412" s="4" t="n">
        <v>46599</v>
      </c>
      <c r="F412" s="5" t="n">
        <v>6050</v>
      </c>
      <c r="G412" s="4">
        <f>EDATE(E412,-6)</f>
        <v/>
      </c>
      <c r="I412" s="4" t="n"/>
      <c r="J412">
        <f>IF(I412="","",IF(I412&gt;G412,"LATE",""))</f>
        <v/>
      </c>
      <c r="K412" t="inlineStr">
        <is>
          <t>No application</t>
        </is>
      </c>
    </row>
    <row r="413">
      <c r="A413" t="inlineStr">
        <is>
          <t>TA-2024-00470</t>
        </is>
      </c>
      <c r="B413" t="inlineStr">
        <is>
          <t>Happy Paws Education Hub</t>
        </is>
      </c>
      <c r="C413" t="inlineStr">
        <is>
          <t>U-BV216-01-09</t>
        </is>
      </c>
      <c r="D413" t="inlineStr">
        <is>
          <t>Tuition Centre</t>
        </is>
      </c>
      <c r="E413" s="4" t="n">
        <v>46599</v>
      </c>
      <c r="F413" s="5" t="n">
        <v>5580</v>
      </c>
      <c r="G413" s="4">
        <f>EDATE(E413,-6)</f>
        <v/>
      </c>
      <c r="I413" s="4" t="n"/>
      <c r="J413">
        <f>IF(I413="","",IF(I413&gt;G413,"LATE",""))</f>
        <v/>
      </c>
      <c r="K413" t="inlineStr">
        <is>
          <t>No application</t>
        </is>
      </c>
    </row>
    <row r="414">
      <c r="A414" t="inlineStr">
        <is>
          <t>TA-2024-00472</t>
        </is>
      </c>
      <c r="B414" t="inlineStr">
        <is>
          <t>Amanah Cake House Pte Ltd</t>
        </is>
      </c>
      <c r="C414" t="inlineStr">
        <is>
          <t>U-BV229-01-07</t>
        </is>
      </c>
      <c r="D414" t="inlineStr">
        <is>
          <t>Bakery &amp; Confectionery</t>
        </is>
      </c>
      <c r="E414" s="4" t="n">
        <v>46599</v>
      </c>
      <c r="F414" s="5" t="n">
        <v>3160</v>
      </c>
      <c r="G414" s="4">
        <f>EDATE(E414,-6)</f>
        <v/>
      </c>
      <c r="I414" s="4" t="n"/>
      <c r="J414">
        <f>IF(I414="","",IF(I414&gt;G414,"LATE",""))</f>
        <v/>
      </c>
      <c r="K414" t="inlineStr">
        <is>
          <t>No application</t>
        </is>
      </c>
    </row>
    <row r="415">
      <c r="A415" t="inlineStr">
        <is>
          <t>TA-2024-00474</t>
        </is>
      </c>
      <c r="B415" t="inlineStr">
        <is>
          <t>Hock Lee Family Clinic</t>
        </is>
      </c>
      <c r="C415" t="inlineStr">
        <is>
          <t>U-BV231-01-03</t>
        </is>
      </c>
      <c r="D415" t="inlineStr">
        <is>
          <t>GP Clinic</t>
        </is>
      </c>
      <c r="E415" s="4" t="n">
        <v>46599</v>
      </c>
      <c r="F415" s="5" t="n">
        <v>5460</v>
      </c>
      <c r="G415" s="4">
        <f>EDATE(E415,-6)</f>
        <v/>
      </c>
      <c r="I415" s="4" t="n"/>
      <c r="J415">
        <f>IF(I415="","",IF(I415&gt;G415,"LATE",""))</f>
        <v/>
      </c>
      <c r="K415" t="inlineStr">
        <is>
          <t>No application</t>
        </is>
      </c>
    </row>
    <row r="416">
      <c r="A416" t="inlineStr">
        <is>
          <t>TA-2024-00476</t>
        </is>
      </c>
      <c r="B416" t="inlineStr">
        <is>
          <t>Chin Lee Medical Clinic Pte Ltd</t>
        </is>
      </c>
      <c r="C416" t="inlineStr">
        <is>
          <t>U-BV256-01-11</t>
        </is>
      </c>
      <c r="D416" t="inlineStr">
        <is>
          <t>GP Clinic</t>
        </is>
      </c>
      <c r="E416" s="4" t="n">
        <v>46599</v>
      </c>
      <c r="F416" s="5" t="n">
        <v>2310</v>
      </c>
      <c r="G416" s="4">
        <f>EDATE(E416,-6)</f>
        <v/>
      </c>
      <c r="I416" s="4" t="n"/>
      <c r="J416">
        <f>IF(I416="","",IF(I416&gt;G416,"LATE",""))</f>
        <v/>
      </c>
      <c r="K416" t="inlineStr">
        <is>
          <t>No application</t>
        </is>
      </c>
    </row>
    <row r="417">
      <c r="A417" t="inlineStr">
        <is>
          <t>TA-2024-00477</t>
        </is>
      </c>
      <c r="B417" t="inlineStr">
        <is>
          <t>Nur Remittance</t>
        </is>
      </c>
      <c r="C417" t="inlineStr">
        <is>
          <t>U-BV256-01-13</t>
        </is>
      </c>
      <c r="D417" t="inlineStr">
        <is>
          <t>Remittance &amp; Money Changer</t>
        </is>
      </c>
      <c r="E417" s="4" t="n">
        <v>46599</v>
      </c>
      <c r="F417" s="5" t="n">
        <v>3290</v>
      </c>
      <c r="G417" s="4">
        <f>EDATE(E417,-6)</f>
        <v/>
      </c>
      <c r="I417" s="4" t="n"/>
      <c r="J417">
        <f>IF(I417="","",IF(I417&gt;G417,"LATE",""))</f>
        <v/>
      </c>
      <c r="K417" t="inlineStr">
        <is>
          <t>No application</t>
        </is>
      </c>
    </row>
    <row r="418">
      <c r="A418" t="inlineStr">
        <is>
          <t>TA-2024-00478</t>
        </is>
      </c>
      <c r="B418" t="inlineStr">
        <is>
          <t>PrimeValue Mart Pte Ltd</t>
        </is>
      </c>
      <c r="C418" t="inlineStr">
        <is>
          <t>U-BV266-01-12</t>
        </is>
      </c>
      <c r="D418" t="inlineStr">
        <is>
          <t>Minimart</t>
        </is>
      </c>
      <c r="E418" s="4" t="n">
        <v>46599</v>
      </c>
      <c r="F418" s="5" t="n">
        <v>5190</v>
      </c>
      <c r="G418" s="4">
        <f>EDATE(E418,-6)</f>
        <v/>
      </c>
      <c r="I418" s="4" t="n"/>
      <c r="J418">
        <f>IF(I418="","",IF(I418&gt;G418,"LATE",""))</f>
        <v/>
      </c>
      <c r="K418" t="inlineStr">
        <is>
          <t>No application</t>
        </is>
      </c>
    </row>
    <row r="419">
      <c r="A419" t="inlineStr">
        <is>
          <t>TA-2024-00479</t>
        </is>
      </c>
      <c r="B419" t="inlineStr">
        <is>
          <t>Rainbow Supermarket</t>
        </is>
      </c>
      <c r="C419" t="inlineStr">
        <is>
          <t>U-BV271-01-12</t>
        </is>
      </c>
      <c r="D419" t="inlineStr">
        <is>
          <t>Minimart</t>
        </is>
      </c>
      <c r="E419" s="4" t="n">
        <v>46599</v>
      </c>
      <c r="F419" s="5" t="n">
        <v>2470</v>
      </c>
      <c r="G419" s="4">
        <f>EDATE(E419,-6)</f>
        <v/>
      </c>
      <c r="I419" s="4" t="n"/>
      <c r="J419">
        <f>IF(I419="","",IF(I419&gt;G419,"LATE",""))</f>
        <v/>
      </c>
      <c r="K419" t="inlineStr">
        <is>
          <t>No application</t>
        </is>
      </c>
    </row>
    <row r="420">
      <c r="A420" t="inlineStr">
        <is>
          <t>TA-2024-00481</t>
        </is>
      </c>
      <c r="B420" t="inlineStr">
        <is>
          <t>Harmony Florist Pte Ltd</t>
        </is>
      </c>
      <c r="C420" t="inlineStr">
        <is>
          <t>U-BV296-01-06</t>
        </is>
      </c>
      <c r="D420" t="inlineStr">
        <is>
          <t>Florist</t>
        </is>
      </c>
      <c r="E420" s="4" t="n">
        <v>46599</v>
      </c>
      <c r="F420" s="5" t="n">
        <v>4970</v>
      </c>
      <c r="G420" s="4">
        <f>EDATE(E420,-6)</f>
        <v/>
      </c>
      <c r="I420" s="4" t="n"/>
      <c r="J420">
        <f>IF(I420="","",IF(I420&gt;G420,"LATE",""))</f>
        <v/>
      </c>
      <c r="K420" t="inlineStr">
        <is>
          <t>No application</t>
        </is>
      </c>
    </row>
    <row r="421">
      <c r="A421" t="inlineStr">
        <is>
          <t>TA-2024-00483</t>
        </is>
      </c>
      <c r="B421" t="inlineStr">
        <is>
          <t>Sin Hock Dental Surgery</t>
        </is>
      </c>
      <c r="C421" t="inlineStr">
        <is>
          <t>U-BV297-01-01</t>
        </is>
      </c>
      <c r="D421" t="inlineStr">
        <is>
          <t>Dental Clinic</t>
        </is>
      </c>
      <c r="E421" s="4" t="n">
        <v>46599</v>
      </c>
      <c r="F421" s="5" t="n">
        <v>4620</v>
      </c>
      <c r="G421" s="4">
        <f>EDATE(E421,-6)</f>
        <v/>
      </c>
      <c r="I421" s="4" t="n"/>
      <c r="J421">
        <f>IF(I421="","",IF(I421&gt;G421,"LATE",""))</f>
        <v/>
      </c>
      <c r="K421" t="inlineStr">
        <is>
          <t>No application</t>
        </is>
      </c>
    </row>
    <row r="422">
      <c r="A422" t="inlineStr">
        <is>
          <t>TA-2024-00484</t>
        </is>
      </c>
      <c r="B422" t="inlineStr">
        <is>
          <t>Fortune TCM Clinic Pte Ltd</t>
        </is>
      </c>
      <c r="C422" t="inlineStr">
        <is>
          <t>U-CD105-01-12</t>
        </is>
      </c>
      <c r="D422" t="inlineStr">
        <is>
          <t>TCM Clinic</t>
        </is>
      </c>
      <c r="E422" s="4" t="n">
        <v>46599</v>
      </c>
      <c r="F422" s="5" t="n">
        <v>6020</v>
      </c>
      <c r="G422" s="4">
        <f>EDATE(E422,-6)</f>
        <v/>
      </c>
      <c r="I422" s="4" t="n"/>
      <c r="J422">
        <f>IF(I422="","",IF(I422&gt;G422,"LATE",""))</f>
        <v/>
      </c>
      <c r="K422" t="inlineStr">
        <is>
          <t>No application</t>
        </is>
      </c>
    </row>
    <row r="423">
      <c r="A423" t="inlineStr">
        <is>
          <t>TA-2024-00486</t>
        </is>
      </c>
      <c r="B423" t="inlineStr">
        <is>
          <t>Tian Fu Mart Pte Ltd</t>
        </is>
      </c>
      <c r="C423" t="inlineStr">
        <is>
          <t>U-CD129-01-03</t>
        </is>
      </c>
      <c r="D423" t="inlineStr">
        <is>
          <t>Minimart</t>
        </is>
      </c>
      <c r="E423" s="4" t="n">
        <v>46599</v>
      </c>
      <c r="F423" s="5" t="n">
        <v>6370</v>
      </c>
      <c r="G423" s="4">
        <f>EDATE(E423,-6)</f>
        <v/>
      </c>
      <c r="I423" s="4" t="n"/>
      <c r="J423">
        <f>IF(I423="","",IF(I423&gt;G423,"LATE",""))</f>
        <v/>
      </c>
      <c r="K423" t="inlineStr">
        <is>
          <t>No application</t>
        </is>
      </c>
    </row>
    <row r="424">
      <c r="A424" t="inlineStr">
        <is>
          <t>TA-2024-00487</t>
        </is>
      </c>
      <c r="B424" t="inlineStr">
        <is>
          <t>Bloom Trading</t>
        </is>
      </c>
      <c r="C424" t="inlineStr">
        <is>
          <t>U-CD129-01-06</t>
        </is>
      </c>
      <c r="D424" t="inlineStr">
        <is>
          <t>Provision Shop</t>
        </is>
      </c>
      <c r="E424" s="4" t="n">
        <v>46599</v>
      </c>
      <c r="F424" s="5" t="n">
        <v>3740</v>
      </c>
      <c r="G424" s="4">
        <f>EDATE(E424,-6)</f>
        <v/>
      </c>
      <c r="I424" s="4" t="n"/>
      <c r="J424">
        <f>IF(I424="","",IF(I424&gt;G424,"LATE",""))</f>
        <v/>
      </c>
      <c r="K424" t="inlineStr">
        <is>
          <t>No application</t>
        </is>
      </c>
    </row>
    <row r="425">
      <c r="A425" t="inlineStr">
        <is>
          <t>TA-2024-00488</t>
        </is>
      </c>
      <c r="B425" t="inlineStr">
        <is>
          <t>Teck Guan Kitchen</t>
        </is>
      </c>
      <c r="C425" t="inlineStr">
        <is>
          <t>U-CD143-01-05</t>
        </is>
      </c>
      <c r="D425" t="inlineStr">
        <is>
          <t>Restaurant</t>
        </is>
      </c>
      <c r="E425" s="4" t="n">
        <v>46599</v>
      </c>
      <c r="F425" s="5" t="n">
        <v>4390</v>
      </c>
      <c r="G425" s="4">
        <f>EDATE(E425,-6)</f>
        <v/>
      </c>
      <c r="I425" s="4" t="n"/>
      <c r="J425">
        <f>IF(I425="","",IF(I425&gt;G425,"LATE",""))</f>
        <v/>
      </c>
      <c r="K425" t="inlineStr">
        <is>
          <t>No application</t>
        </is>
      </c>
    </row>
    <row r="426">
      <c r="A426" t="inlineStr">
        <is>
          <t>TA-2024-00490</t>
        </is>
      </c>
      <c r="B426" t="inlineStr">
        <is>
          <t>Kumar Laundry</t>
        </is>
      </c>
      <c r="C426" t="inlineStr">
        <is>
          <t>U-CD153-01-08</t>
        </is>
      </c>
      <c r="D426" t="inlineStr">
        <is>
          <t>Laundry</t>
        </is>
      </c>
      <c r="E426" s="4" t="n">
        <v>46599</v>
      </c>
      <c r="F426" s="5" t="n">
        <v>3810</v>
      </c>
      <c r="G426" s="4">
        <f>EDATE(E426,-6)</f>
        <v/>
      </c>
      <c r="I426" s="4" t="n"/>
      <c r="J426">
        <f>IF(I426="","",IF(I426&gt;G426,"LATE",""))</f>
        <v/>
      </c>
      <c r="K426" t="inlineStr">
        <is>
          <t>No application</t>
        </is>
      </c>
    </row>
    <row r="427">
      <c r="A427" t="inlineStr">
        <is>
          <t>TA-2024-00491</t>
        </is>
      </c>
      <c r="B427" t="inlineStr">
        <is>
          <t>PrimeValue Mart Pte Ltd</t>
        </is>
      </c>
      <c r="C427" t="inlineStr">
        <is>
          <t>U-KR305-01-06</t>
        </is>
      </c>
      <c r="D427" t="inlineStr">
        <is>
          <t>Minimart</t>
        </is>
      </c>
      <c r="E427" s="4" t="n">
        <v>46599</v>
      </c>
      <c r="F427" s="5" t="n">
        <v>4180</v>
      </c>
      <c r="G427" s="4">
        <f>EDATE(E427,-6)</f>
        <v/>
      </c>
      <c r="H427" t="inlineStr">
        <is>
          <t>APP-2026-0229</t>
        </is>
      </c>
      <c r="I427" s="4" t="n">
        <v>46237</v>
      </c>
      <c r="J427">
        <f>IF(I427="","",IF(I427&gt;G427,"LATE",""))</f>
        <v/>
      </c>
      <c r="K427" t="inlineStr">
        <is>
          <t>Approved</t>
        </is>
      </c>
    </row>
    <row r="428">
      <c r="A428" t="inlineStr">
        <is>
          <t>TA-2024-00493</t>
        </is>
      </c>
      <c r="B428" t="inlineStr">
        <is>
          <t>Lotus Mobile</t>
        </is>
      </c>
      <c r="C428" t="inlineStr">
        <is>
          <t>U-KR317-01-04</t>
        </is>
      </c>
      <c r="D428" t="inlineStr">
        <is>
          <t>Mobile Phone &amp; Accessories</t>
        </is>
      </c>
      <c r="E428" s="4" t="n">
        <v>46599</v>
      </c>
      <c r="F428" s="5" t="n">
        <v>4360</v>
      </c>
      <c r="G428" s="4">
        <f>EDATE(E428,-6)</f>
        <v/>
      </c>
      <c r="I428" s="4" t="n"/>
      <c r="J428">
        <f>IF(I428="","",IF(I428&gt;G428,"LATE",""))</f>
        <v/>
      </c>
      <c r="K428" t="inlineStr">
        <is>
          <t>No application</t>
        </is>
      </c>
    </row>
    <row r="429">
      <c r="A429" t="inlineStr">
        <is>
          <t>TA-2024-00495</t>
        </is>
      </c>
      <c r="B429" t="inlineStr">
        <is>
          <t>Unity Eating House</t>
        </is>
      </c>
      <c r="C429" t="inlineStr">
        <is>
          <t>U-KR327-01-01</t>
        </is>
      </c>
      <c r="D429" t="inlineStr">
        <is>
          <t>Coffeeshop</t>
        </is>
      </c>
      <c r="E429" s="4" t="n">
        <v>46599</v>
      </c>
      <c r="F429" s="5" t="n">
        <v>12000</v>
      </c>
      <c r="G429" s="4">
        <f>EDATE(E429,-6)</f>
        <v/>
      </c>
      <c r="I429" s="4" t="n"/>
      <c r="J429">
        <f>IF(I429="","",IF(I429&gt;G429,"LATE",""))</f>
        <v/>
      </c>
      <c r="K429" t="inlineStr">
        <is>
          <t>No application</t>
        </is>
      </c>
    </row>
    <row r="430">
      <c r="A430" t="inlineStr">
        <is>
          <t>TA-2024-00497</t>
        </is>
      </c>
      <c r="B430" t="inlineStr">
        <is>
          <t>Bloom Locksmith Pte Ltd</t>
        </is>
      </c>
      <c r="C430" t="inlineStr">
        <is>
          <t>U-KR335-01-12</t>
        </is>
      </c>
      <c r="D430" t="inlineStr">
        <is>
          <t>Key Cutting &amp; Shoe Repair</t>
        </is>
      </c>
      <c r="E430" s="4" t="n">
        <v>46599</v>
      </c>
      <c r="F430" s="5" t="n">
        <v>900</v>
      </c>
      <c r="G430" s="4">
        <f>EDATE(E430,-6)</f>
        <v/>
      </c>
      <c r="I430" s="4" t="n"/>
      <c r="J430">
        <f>IF(I430="","",IF(I430&gt;G430,"LATE",""))</f>
        <v/>
      </c>
      <c r="K430" t="inlineStr">
        <is>
          <t>No application</t>
        </is>
      </c>
    </row>
    <row r="431">
      <c r="A431" t="inlineStr">
        <is>
          <t>TA-2024-00498</t>
        </is>
      </c>
      <c r="B431" t="inlineStr">
        <is>
          <t>Raja Tuition Centre Pte Ltd</t>
        </is>
      </c>
      <c r="C431" t="inlineStr">
        <is>
          <t>U-KR341-01-01</t>
        </is>
      </c>
      <c r="D431" t="inlineStr">
        <is>
          <t>Tuition Centre</t>
        </is>
      </c>
      <c r="E431" s="4" t="n">
        <v>46599</v>
      </c>
      <c r="F431" s="5" t="n">
        <v>5740</v>
      </c>
      <c r="G431" s="4">
        <f>EDATE(E431,-6)</f>
        <v/>
      </c>
      <c r="I431" s="4" t="n"/>
      <c r="J431">
        <f>IF(I431="","",IF(I431&gt;G431,"LATE",""))</f>
        <v/>
      </c>
      <c r="K431" t="inlineStr">
        <is>
          <t>No application</t>
        </is>
      </c>
    </row>
    <row r="432">
      <c r="A432" t="inlineStr">
        <is>
          <t>TA-2024-00499</t>
        </is>
      </c>
      <c r="B432" t="inlineStr">
        <is>
          <t>Treasure Tea House Pte Ltd</t>
        </is>
      </c>
      <c r="C432" t="inlineStr">
        <is>
          <t>U-KR353-01-04</t>
        </is>
      </c>
      <c r="D432" t="inlineStr">
        <is>
          <t>Bubble Tea</t>
        </is>
      </c>
      <c r="E432" s="4" t="n">
        <v>46599</v>
      </c>
      <c r="F432" s="5" t="n">
        <v>1380</v>
      </c>
      <c r="G432" s="4">
        <f>EDATE(E432,-6)</f>
        <v/>
      </c>
      <c r="I432" s="4" t="n"/>
      <c r="J432">
        <f>IF(I432="","",IF(I432&gt;G432,"LATE",""))</f>
        <v/>
      </c>
      <c r="K432" t="inlineStr">
        <is>
          <t>No application</t>
        </is>
      </c>
    </row>
    <row r="433">
      <c r="A433" t="inlineStr">
        <is>
          <t>TA-2024-00500</t>
        </is>
      </c>
      <c r="B433" t="inlineStr">
        <is>
          <t>Sri Ganesh Family Clinic Pte Ltd</t>
        </is>
      </c>
      <c r="C433" t="inlineStr">
        <is>
          <t>U-KR356-02-04</t>
        </is>
      </c>
      <c r="D433" t="inlineStr">
        <is>
          <t>GP Clinic</t>
        </is>
      </c>
      <c r="E433" s="4" t="n">
        <v>46599</v>
      </c>
      <c r="F433" s="5" t="n">
        <v>2680</v>
      </c>
      <c r="G433" s="4">
        <f>EDATE(E433,-6)</f>
        <v/>
      </c>
      <c r="I433" s="4" t="n"/>
      <c r="J433">
        <f>IF(I433="","",IF(I433&gt;G433,"LATE",""))</f>
        <v/>
      </c>
      <c r="K433" t="inlineStr">
        <is>
          <t>No application</t>
        </is>
      </c>
    </row>
    <row r="434">
      <c r="A434" t="inlineStr">
        <is>
          <t>TA-2024-00501</t>
        </is>
      </c>
      <c r="B434" t="inlineStr">
        <is>
          <t>Hassan Supermarket Pte Ltd</t>
        </is>
      </c>
      <c r="C434" t="inlineStr">
        <is>
          <t>U-KR358-01-05</t>
        </is>
      </c>
      <c r="D434" t="inlineStr">
        <is>
          <t>Minimart</t>
        </is>
      </c>
      <c r="E434" s="4" t="n">
        <v>46599</v>
      </c>
      <c r="F434" s="5" t="n">
        <v>2550</v>
      </c>
      <c r="G434" s="4">
        <f>EDATE(E434,-6)</f>
        <v/>
      </c>
      <c r="I434" s="4" t="n"/>
      <c r="J434">
        <f>IF(I434="","",IF(I434&gt;G434,"LATE",""))</f>
        <v/>
      </c>
      <c r="K434" t="inlineStr">
        <is>
          <t>No application</t>
        </is>
      </c>
    </row>
    <row r="435">
      <c r="A435" t="inlineStr">
        <is>
          <t>TA-2024-00503</t>
        </is>
      </c>
      <c r="B435" t="inlineStr">
        <is>
          <t>Kim Hiap Medical Clinic</t>
        </is>
      </c>
      <c r="C435" t="inlineStr">
        <is>
          <t>U-KR359-02-09</t>
        </is>
      </c>
      <c r="D435" t="inlineStr">
        <is>
          <t>GP Clinic</t>
        </is>
      </c>
      <c r="E435" s="4" t="n">
        <v>46599</v>
      </c>
      <c r="F435" s="5" t="n">
        <v>1670</v>
      </c>
      <c r="G435" s="4">
        <f>EDATE(E435,-6)</f>
        <v/>
      </c>
      <c r="I435" s="4" t="n"/>
      <c r="J435">
        <f>IF(I435="","",IF(I435&gt;G435,"LATE",""))</f>
        <v/>
      </c>
      <c r="K435" t="inlineStr">
        <is>
          <t>No application</t>
        </is>
      </c>
    </row>
    <row r="436">
      <c r="A436" t="inlineStr">
        <is>
          <t>TA-2024-00505</t>
        </is>
      </c>
      <c r="B436" t="inlineStr">
        <is>
          <t>Lim's Restaurant</t>
        </is>
      </c>
      <c r="C436" t="inlineStr">
        <is>
          <t>U-KR362-01-07</t>
        </is>
      </c>
      <c r="D436" t="inlineStr">
        <is>
          <t>Restaurant</t>
        </is>
      </c>
      <c r="E436" s="4" t="n">
        <v>46599</v>
      </c>
      <c r="F436" s="5" t="n">
        <v>2910</v>
      </c>
      <c r="G436" s="4">
        <f>EDATE(E436,-6)</f>
        <v/>
      </c>
      <c r="I436" s="4" t="n"/>
      <c r="J436">
        <f>IF(I436="","",IF(I436&gt;G436,"LATE",""))</f>
        <v/>
      </c>
      <c r="K436" t="inlineStr">
        <is>
          <t>No application</t>
        </is>
      </c>
    </row>
    <row r="437">
      <c r="A437" t="inlineStr">
        <is>
          <t>TA-2024-00506</t>
        </is>
      </c>
      <c r="B437" t="inlineStr">
        <is>
          <t>Value Money Changer</t>
        </is>
      </c>
      <c r="C437" t="inlineStr">
        <is>
          <t>U-KR368-01-08</t>
        </is>
      </c>
      <c r="D437" t="inlineStr">
        <is>
          <t>Remittance &amp; Money Changer</t>
        </is>
      </c>
      <c r="E437" s="4" t="n">
        <v>46599</v>
      </c>
      <c r="F437" s="5" t="n">
        <v>5250</v>
      </c>
      <c r="G437" s="4">
        <f>EDATE(E437,-6)</f>
        <v/>
      </c>
      <c r="I437" s="4" t="n"/>
      <c r="J437">
        <f>IF(I437="","",IF(I437&gt;G437,"LATE",""))</f>
        <v/>
      </c>
      <c r="K437" t="inlineStr">
        <is>
          <t>No application</t>
        </is>
      </c>
    </row>
    <row r="438">
      <c r="A438" t="inlineStr">
        <is>
          <t>TA-2024-00508</t>
        </is>
      </c>
      <c r="B438" t="inlineStr">
        <is>
          <t>Fresh Valley Store</t>
        </is>
      </c>
      <c r="C438" t="inlineStr">
        <is>
          <t>U-PI609-01-03</t>
        </is>
      </c>
      <c r="D438" t="inlineStr">
        <is>
          <t>Provision Shop</t>
        </is>
      </c>
      <c r="E438" s="4" t="n">
        <v>46599</v>
      </c>
      <c r="F438" s="5" t="n">
        <v>4370</v>
      </c>
      <c r="G438" s="4">
        <f>EDATE(E438,-6)</f>
        <v/>
      </c>
      <c r="I438" s="4" t="n"/>
      <c r="J438">
        <f>IF(I438="","",IF(I438&gt;G438,"LATE",""))</f>
        <v/>
      </c>
      <c r="K438" t="inlineStr">
        <is>
          <t>No application</t>
        </is>
      </c>
    </row>
    <row r="439">
      <c r="A439" t="inlineStr">
        <is>
          <t>TA-2024-00509</t>
        </is>
      </c>
      <c r="B439" t="inlineStr">
        <is>
          <t>Jade Garden Store Pte Ltd</t>
        </is>
      </c>
      <c r="C439" t="inlineStr">
        <is>
          <t>U-PI609-01-04</t>
        </is>
      </c>
      <c r="D439" t="inlineStr">
        <is>
          <t>Provision Shop</t>
        </is>
      </c>
      <c r="E439" s="4" t="n">
        <v>46599</v>
      </c>
      <c r="F439" s="5" t="n">
        <v>2910</v>
      </c>
      <c r="G439" s="4">
        <f>EDATE(E439,-6)</f>
        <v/>
      </c>
      <c r="I439" s="4" t="n"/>
      <c r="J439">
        <f>IF(I439="","",IF(I439&gt;G439,"LATE",""))</f>
        <v/>
      </c>
      <c r="K439" t="inlineStr">
        <is>
          <t>No application</t>
        </is>
      </c>
    </row>
    <row r="440">
      <c r="A440" t="inlineStr">
        <is>
          <t>TA-2024-00510</t>
        </is>
      </c>
      <c r="B440" t="inlineStr">
        <is>
          <t>Heng Ann Locksmith</t>
        </is>
      </c>
      <c r="C440" t="inlineStr">
        <is>
          <t>U-PI614-01-05</t>
        </is>
      </c>
      <c r="D440" t="inlineStr">
        <is>
          <t>Key Cutting &amp; Shoe Repair</t>
        </is>
      </c>
      <c r="E440" s="4" t="n">
        <v>46599</v>
      </c>
      <c r="F440" s="5" t="n">
        <v>1200</v>
      </c>
      <c r="G440" s="4">
        <f>EDATE(E440,-6)</f>
        <v/>
      </c>
      <c r="I440" s="4" t="n"/>
      <c r="J440">
        <f>IF(I440="","",IF(I440&gt;G440,"LATE",""))</f>
        <v/>
      </c>
      <c r="K440" t="inlineStr">
        <is>
          <t>No application</t>
        </is>
      </c>
    </row>
    <row r="441">
      <c r="A441" t="inlineStr">
        <is>
          <t>TA-2024-00511</t>
        </is>
      </c>
      <c r="B441" t="inlineStr">
        <is>
          <t>Kampung Confectionery</t>
        </is>
      </c>
      <c r="C441" t="inlineStr">
        <is>
          <t>U-PI625-01-07</t>
        </is>
      </c>
      <c r="D441" t="inlineStr">
        <is>
          <t>Bakery &amp; Confectionery</t>
        </is>
      </c>
      <c r="E441" s="4" t="n">
        <v>46599</v>
      </c>
      <c r="F441" s="5" t="n">
        <v>4460</v>
      </c>
      <c r="G441" s="4">
        <f>EDATE(E441,-6)</f>
        <v/>
      </c>
      <c r="I441" s="4" t="n"/>
      <c r="J441">
        <f>IF(I441="","",IF(I441&gt;G441,"LATE",""))</f>
        <v/>
      </c>
      <c r="K441" t="inlineStr">
        <is>
          <t>No application</t>
        </is>
      </c>
    </row>
    <row r="442">
      <c r="A442" t="inlineStr">
        <is>
          <t>TA-2024-00513</t>
        </is>
      </c>
      <c r="B442" t="inlineStr">
        <is>
          <t>Cosy Supermarket</t>
        </is>
      </c>
      <c r="C442" t="inlineStr">
        <is>
          <t>U-PI627-01-03</t>
        </is>
      </c>
      <c r="D442" t="inlineStr">
        <is>
          <t>Minimart</t>
        </is>
      </c>
      <c r="E442" s="4" t="n">
        <v>46599</v>
      </c>
      <c r="F442" s="5" t="n">
        <v>2610</v>
      </c>
      <c r="G442" s="4">
        <f>EDATE(E442,-6)</f>
        <v/>
      </c>
      <c r="I442" s="4" t="n"/>
      <c r="J442">
        <f>IF(I442="","",IF(I442&gt;G442,"LATE",""))</f>
        <v/>
      </c>
      <c r="K442" t="inlineStr">
        <is>
          <t>No application</t>
        </is>
      </c>
    </row>
    <row r="443">
      <c r="A443" t="inlineStr">
        <is>
          <t>TA-2024-00514</t>
        </is>
      </c>
      <c r="B443" t="inlineStr">
        <is>
          <t>Hock Lee Optical Pte Ltd</t>
        </is>
      </c>
      <c r="C443" t="inlineStr">
        <is>
          <t>U-PI634-01-14</t>
        </is>
      </c>
      <c r="D443" t="inlineStr">
        <is>
          <t>Optical</t>
        </is>
      </c>
      <c r="E443" s="4" t="n">
        <v>46599</v>
      </c>
      <c r="F443" s="5" t="n">
        <v>3680</v>
      </c>
      <c r="G443" s="4">
        <f>EDATE(E443,-6)</f>
        <v/>
      </c>
      <c r="I443" s="4" t="n"/>
      <c r="J443">
        <f>IF(I443="","",IF(I443&gt;G443,"LATE",""))</f>
        <v/>
      </c>
      <c r="K443" t="inlineStr">
        <is>
          <t>No application</t>
        </is>
      </c>
    </row>
    <row r="444">
      <c r="A444" t="inlineStr">
        <is>
          <t>TA-2024-00515</t>
        </is>
      </c>
      <c r="B444" t="inlineStr">
        <is>
          <t>PrimeValue Mart Pte Ltd</t>
        </is>
      </c>
      <c r="C444" t="inlineStr">
        <is>
          <t>U-PI667-01-02</t>
        </is>
      </c>
      <c r="D444" t="inlineStr">
        <is>
          <t>Minimart</t>
        </is>
      </c>
      <c r="E444" s="4" t="n">
        <v>46599</v>
      </c>
      <c r="F444" s="5" t="n">
        <v>2210</v>
      </c>
      <c r="G444" s="4">
        <f>EDATE(E444,-6)</f>
        <v/>
      </c>
      <c r="H444" t="inlineStr">
        <is>
          <t>APP-2026-0288</t>
        </is>
      </c>
      <c r="I444" s="4" t="n">
        <v>46281</v>
      </c>
      <c r="J444">
        <f>IF(I444="","",IF(I444&gt;G444,"LATE",""))</f>
        <v/>
      </c>
      <c r="K444" t="inlineStr">
        <is>
          <t>Pending Documents</t>
        </is>
      </c>
    </row>
    <row r="445">
      <c r="A445" t="inlineStr">
        <is>
          <t>TA-2024-00516</t>
        </is>
      </c>
      <c r="B445" t="inlineStr">
        <is>
          <t>Golden Leaf Mart</t>
        </is>
      </c>
      <c r="C445" t="inlineStr">
        <is>
          <t>U-PI684-01-12</t>
        </is>
      </c>
      <c r="D445" t="inlineStr">
        <is>
          <t>Minimart</t>
        </is>
      </c>
      <c r="E445" s="4" t="n">
        <v>46599</v>
      </c>
      <c r="F445" s="5" t="n">
        <v>3670</v>
      </c>
      <c r="G445" s="4">
        <f>EDATE(E445,-6)</f>
        <v/>
      </c>
      <c r="I445" s="4" t="n"/>
      <c r="J445">
        <f>IF(I445="","",IF(I445&gt;G445,"LATE",""))</f>
        <v/>
      </c>
      <c r="K445" t="inlineStr">
        <is>
          <t>No application</t>
        </is>
      </c>
    </row>
    <row r="446">
      <c r="A446" t="inlineStr">
        <is>
          <t>TA-2024-00517</t>
        </is>
      </c>
      <c r="B446" t="inlineStr">
        <is>
          <t>Silver Moon Optical</t>
        </is>
      </c>
      <c r="C446" t="inlineStr">
        <is>
          <t>U-RH401-01-05</t>
        </is>
      </c>
      <c r="D446" t="inlineStr">
        <is>
          <t>Optical</t>
        </is>
      </c>
      <c r="E446" s="4" t="n">
        <v>46599</v>
      </c>
      <c r="F446" s="5" t="n">
        <v>1910</v>
      </c>
      <c r="G446" s="4">
        <f>EDATE(E446,-6)</f>
        <v/>
      </c>
      <c r="I446" s="4" t="n"/>
      <c r="J446">
        <f>IF(I446="","",IF(I446&gt;G446,"LATE",""))</f>
        <v/>
      </c>
      <c r="K446" t="inlineStr">
        <is>
          <t>No application</t>
        </is>
      </c>
    </row>
    <row r="447">
      <c r="A447" t="inlineStr">
        <is>
          <t>TA-2024-00519</t>
        </is>
      </c>
      <c r="B447" t="inlineStr">
        <is>
          <t>Ananda Kopitiam</t>
        </is>
      </c>
      <c r="C447" t="inlineStr">
        <is>
          <t>U-RH408-01-01</t>
        </is>
      </c>
      <c r="D447" t="inlineStr">
        <is>
          <t>Coffeeshop</t>
        </is>
      </c>
      <c r="E447" s="4" t="n">
        <v>46599</v>
      </c>
      <c r="F447" s="5" t="n">
        <v>11690</v>
      </c>
      <c r="G447" s="4">
        <f>EDATE(E447,-6)</f>
        <v/>
      </c>
      <c r="I447" s="4" t="n"/>
      <c r="J447">
        <f>IF(I447="","",IF(I447&gt;G447,"LATE",""))</f>
        <v/>
      </c>
      <c r="K447" t="inlineStr">
        <is>
          <t>No application</t>
        </is>
      </c>
    </row>
    <row r="448">
      <c r="A448" t="inlineStr">
        <is>
          <t>TA-2024-00520</t>
        </is>
      </c>
      <c r="B448" t="inlineStr">
        <is>
          <t>Peng Kee Cake House</t>
        </is>
      </c>
      <c r="C448" t="inlineStr">
        <is>
          <t>U-RH420-01-04</t>
        </is>
      </c>
      <c r="D448" t="inlineStr">
        <is>
          <t>Bakery &amp; Confectionery</t>
        </is>
      </c>
      <c r="E448" s="4" t="n">
        <v>46599</v>
      </c>
      <c r="F448" s="5" t="n">
        <v>3390</v>
      </c>
      <c r="G448" s="4">
        <f>EDATE(E448,-6)</f>
        <v/>
      </c>
      <c r="I448" s="4" t="n"/>
      <c r="J448">
        <f>IF(I448="","",IF(I448&gt;G448,"LATE",""))</f>
        <v/>
      </c>
      <c r="K448" t="inlineStr">
        <is>
          <t>No application</t>
        </is>
      </c>
    </row>
    <row r="449">
      <c r="A449" t="inlineStr">
        <is>
          <t>TA-2024-00522</t>
        </is>
      </c>
      <c r="B449" t="inlineStr">
        <is>
          <t>Hassan Mart Pte Ltd</t>
        </is>
      </c>
      <c r="C449" t="inlineStr">
        <is>
          <t>U-RH438-01-07</t>
        </is>
      </c>
      <c r="D449" t="inlineStr">
        <is>
          <t>Minimart</t>
        </is>
      </c>
      <c r="E449" s="4" t="n">
        <v>46599</v>
      </c>
      <c r="F449" s="5" t="n">
        <v>2370</v>
      </c>
      <c r="G449" s="4">
        <f>EDATE(E449,-6)</f>
        <v/>
      </c>
      <c r="I449" s="4" t="n"/>
      <c r="J449">
        <f>IF(I449="","",IF(I449&gt;G449,"LATE",""))</f>
        <v/>
      </c>
      <c r="K449" t="inlineStr">
        <is>
          <t>No application</t>
        </is>
      </c>
    </row>
    <row r="450">
      <c r="A450" t="inlineStr">
        <is>
          <t>TA-2024-00523</t>
        </is>
      </c>
      <c r="B450" t="inlineStr">
        <is>
          <t>Blue Pearl Eye Centre</t>
        </is>
      </c>
      <c r="C450" t="inlineStr">
        <is>
          <t>U-RH441-01-04</t>
        </is>
      </c>
      <c r="D450" t="inlineStr">
        <is>
          <t>Optical</t>
        </is>
      </c>
      <c r="E450" s="4" t="n">
        <v>46599</v>
      </c>
      <c r="F450" s="5" t="n">
        <v>3150</v>
      </c>
      <c r="G450" s="4">
        <f>EDATE(E450,-6)</f>
        <v/>
      </c>
      <c r="I450" s="4" t="n"/>
      <c r="J450">
        <f>IF(I450="","",IF(I450&gt;G450,"LATE",""))</f>
        <v/>
      </c>
      <c r="K450" t="inlineStr">
        <is>
          <t>No application</t>
        </is>
      </c>
    </row>
    <row r="451">
      <c r="A451" t="inlineStr">
        <is>
          <t>TA-2024-00525</t>
        </is>
      </c>
      <c r="B451" t="inlineStr">
        <is>
          <t>Barakah Fruits Pte Ltd</t>
        </is>
      </c>
      <c r="C451" t="inlineStr">
        <is>
          <t>U-RH464-01-08</t>
        </is>
      </c>
      <c r="D451" t="inlineStr">
        <is>
          <t>Fruit Shop</t>
        </is>
      </c>
      <c r="E451" s="4" t="n">
        <v>46599</v>
      </c>
      <c r="F451" s="5" t="n">
        <v>900</v>
      </c>
      <c r="G451" s="4">
        <f>EDATE(E451,-6)</f>
        <v/>
      </c>
      <c r="I451" s="4" t="n"/>
      <c r="J451">
        <f>IF(I451="","",IF(I451&gt;G451,"LATE",""))</f>
        <v/>
      </c>
      <c r="K451" t="inlineStr">
        <is>
          <t>No application</t>
        </is>
      </c>
    </row>
    <row r="452">
      <c r="A452" t="inlineStr">
        <is>
          <t>TA-2024-00527</t>
        </is>
      </c>
      <c r="B452" t="inlineStr">
        <is>
          <t>Hock Lee Kueh Corner Pte Ltd</t>
        </is>
      </c>
      <c r="C452" t="inlineStr">
        <is>
          <t>U-RH476-01-04</t>
        </is>
      </c>
      <c r="D452" t="inlineStr">
        <is>
          <t>Snack Kiosk</t>
        </is>
      </c>
      <c r="E452" s="4" t="n">
        <v>46599</v>
      </c>
      <c r="F452" s="5" t="n">
        <v>900</v>
      </c>
      <c r="G452" s="4">
        <f>EDATE(E452,-6)</f>
        <v/>
      </c>
      <c r="I452" s="4" t="n"/>
      <c r="J452">
        <f>IF(I452="","",IF(I452&gt;G452,"LATE",""))</f>
        <v/>
      </c>
      <c r="K452" t="inlineStr">
        <is>
          <t>No application</t>
        </is>
      </c>
    </row>
    <row r="453">
      <c r="A453" t="inlineStr">
        <is>
          <t>TA-2024-00529</t>
        </is>
      </c>
      <c r="B453" t="inlineStr">
        <is>
          <t>Lakshmi Kindergarten Pte Ltd</t>
        </is>
      </c>
      <c r="C453" t="inlineStr">
        <is>
          <t>U-RH482-02-06</t>
        </is>
      </c>
      <c r="D453" t="inlineStr">
        <is>
          <t>Childcare Centre</t>
        </is>
      </c>
      <c r="E453" s="4" t="n">
        <v>46599</v>
      </c>
      <c r="F453" s="5" t="n">
        <v>3140</v>
      </c>
      <c r="G453" s="4">
        <f>EDATE(E453,-6)</f>
        <v/>
      </c>
      <c r="I453" s="4" t="n"/>
      <c r="J453">
        <f>IF(I453="","",IF(I453&gt;G453,"LATE",""))</f>
        <v/>
      </c>
      <c r="K453" t="inlineStr">
        <is>
          <t>No application</t>
        </is>
      </c>
    </row>
    <row r="454">
      <c r="A454" t="inlineStr">
        <is>
          <t>TA-2024-00531</t>
        </is>
      </c>
      <c r="B454" t="inlineStr">
        <is>
          <t>Mutiara Learning Centre Pte Ltd</t>
        </is>
      </c>
      <c r="C454" t="inlineStr">
        <is>
          <t>U-ST501-01-09</t>
        </is>
      </c>
      <c r="D454" t="inlineStr">
        <is>
          <t>Tuition Centre</t>
        </is>
      </c>
      <c r="E454" s="4" t="n">
        <v>46599</v>
      </c>
      <c r="F454" s="5" t="n">
        <v>4700</v>
      </c>
      <c r="G454" s="4">
        <f>EDATE(E454,-6)</f>
        <v/>
      </c>
      <c r="I454" s="4" t="n"/>
      <c r="J454">
        <f>IF(I454="","",IF(I454&gt;G454,"LATE",""))</f>
        <v/>
      </c>
      <c r="K454" t="inlineStr">
        <is>
          <t>No application</t>
        </is>
      </c>
    </row>
    <row r="455">
      <c r="A455" t="inlineStr">
        <is>
          <t>TA-2024-00532</t>
        </is>
      </c>
      <c r="B455" t="inlineStr">
        <is>
          <t>Bright Path Mart</t>
        </is>
      </c>
      <c r="C455" t="inlineStr">
        <is>
          <t>U-ST507-01-03</t>
        </is>
      </c>
      <c r="D455" t="inlineStr">
        <is>
          <t>Minimart</t>
        </is>
      </c>
      <c r="E455" s="4" t="n">
        <v>46599</v>
      </c>
      <c r="F455" s="5" t="n">
        <v>1640</v>
      </c>
      <c r="G455" s="4">
        <f>EDATE(E455,-6)</f>
        <v/>
      </c>
      <c r="I455" s="4" t="n"/>
      <c r="J455">
        <f>IF(I455="","",IF(I455&gt;G455,"LATE",""))</f>
        <v/>
      </c>
      <c r="K455" t="inlineStr">
        <is>
          <t>No application</t>
        </is>
      </c>
    </row>
    <row r="456">
      <c r="A456" t="inlineStr">
        <is>
          <t>TA-2024-00533</t>
        </is>
      </c>
      <c r="B456" t="inlineStr">
        <is>
          <t>Bright Path Medical Clinic Pte Ltd</t>
        </is>
      </c>
      <c r="C456" t="inlineStr">
        <is>
          <t>U-ST536-01-07</t>
        </is>
      </c>
      <c r="D456" t="inlineStr">
        <is>
          <t>GP Clinic</t>
        </is>
      </c>
      <c r="E456" s="4" t="n">
        <v>46599</v>
      </c>
      <c r="F456" s="5" t="n">
        <v>3920</v>
      </c>
      <c r="G456" s="4">
        <f>EDATE(E456,-6)</f>
        <v/>
      </c>
      <c r="I456" s="4" t="n"/>
      <c r="J456">
        <f>IF(I456="","",IF(I456&gt;G456,"LATE",""))</f>
        <v/>
      </c>
      <c r="K456" t="inlineStr">
        <is>
          <t>No application</t>
        </is>
      </c>
    </row>
    <row r="457">
      <c r="A457" t="inlineStr">
        <is>
          <t>TA-2024-00535</t>
        </is>
      </c>
      <c r="B457" t="inlineStr">
        <is>
          <t>Fortune Beauty &amp; Hair Pte Ltd</t>
        </is>
      </c>
      <c r="C457" t="inlineStr">
        <is>
          <t>U-ST538-01-06</t>
        </is>
      </c>
      <c r="D457" t="inlineStr">
        <is>
          <t>Hair Salon</t>
        </is>
      </c>
      <c r="E457" s="4" t="n">
        <v>46599</v>
      </c>
      <c r="F457" s="5" t="n">
        <v>3190</v>
      </c>
      <c r="G457" s="4">
        <f>EDATE(E457,-6)</f>
        <v/>
      </c>
      <c r="I457" s="4" t="n"/>
      <c r="J457">
        <f>IF(I457="","",IF(I457&gt;G457,"LATE",""))</f>
        <v/>
      </c>
      <c r="K457" t="inlineStr">
        <is>
          <t>No application</t>
        </is>
      </c>
    </row>
    <row r="458">
      <c r="A458" t="inlineStr">
        <is>
          <t>TA-2024-00537</t>
        </is>
      </c>
      <c r="B458" t="inlineStr">
        <is>
          <t>Phoenix Clinic &amp; Surgery</t>
        </is>
      </c>
      <c r="C458" t="inlineStr">
        <is>
          <t>U-ST564-01-12</t>
        </is>
      </c>
      <c r="D458" t="inlineStr">
        <is>
          <t>GP Clinic</t>
        </is>
      </c>
      <c r="E458" s="4" t="n">
        <v>46599</v>
      </c>
      <c r="F458" s="5" t="n">
        <v>3140</v>
      </c>
      <c r="G458" s="4">
        <f>EDATE(E458,-6)</f>
        <v/>
      </c>
      <c r="I458" s="4" t="n"/>
      <c r="J458">
        <f>IF(I458="","",IF(I458&gt;G458,"LATE",""))</f>
        <v/>
      </c>
      <c r="K458" t="inlineStr">
        <is>
          <t>No application</t>
        </is>
      </c>
    </row>
    <row r="459">
      <c r="A459" t="inlineStr">
        <is>
          <t>TA-2024-00539</t>
        </is>
      </c>
      <c r="B459" t="inlineStr">
        <is>
          <t>Prima Medical Hall Pte Ltd</t>
        </is>
      </c>
      <c r="C459" t="inlineStr">
        <is>
          <t>U-ST583-02-01</t>
        </is>
      </c>
      <c r="D459" t="inlineStr">
        <is>
          <t>TCM Clinic</t>
        </is>
      </c>
      <c r="E459" s="4" t="n">
        <v>46599</v>
      </c>
      <c r="F459" s="5" t="n">
        <v>1770</v>
      </c>
      <c r="G459" s="4">
        <f>EDATE(E459,-6)</f>
        <v/>
      </c>
      <c r="I459" s="4" t="n"/>
      <c r="J459">
        <f>IF(I459="","",IF(I459&gt;G459,"LATE",""))</f>
        <v/>
      </c>
      <c r="K459" t="inlineStr">
        <is>
          <t>No application</t>
        </is>
      </c>
    </row>
    <row r="460">
      <c r="A460" t="inlineStr">
        <is>
          <t>TA-2024-00540</t>
        </is>
      </c>
      <c r="B460" t="inlineStr">
        <is>
          <t>Joo Chiat Dry Cleaners Pte Ltd</t>
        </is>
      </c>
      <c r="C460" t="inlineStr">
        <is>
          <t>U-BV214-01-17</t>
        </is>
      </c>
      <c r="D460" t="inlineStr">
        <is>
          <t>Laundry</t>
        </is>
      </c>
      <c r="E460" s="4" t="n">
        <v>46630</v>
      </c>
      <c r="F460" s="5" t="n">
        <v>5380</v>
      </c>
      <c r="G460" s="4">
        <f>EDATE(E460,-6)</f>
        <v/>
      </c>
      <c r="I460" s="4" t="n"/>
      <c r="J460">
        <f>IF(I460="","",IF(I460&gt;G460,"LATE",""))</f>
        <v/>
      </c>
      <c r="K460" t="inlineStr">
        <is>
          <t>No application</t>
        </is>
      </c>
    </row>
    <row r="461">
      <c r="A461" t="inlineStr">
        <is>
          <t>TA-2024-00542</t>
        </is>
      </c>
      <c r="B461" t="inlineStr">
        <is>
          <t>Golden Leaf Minimart Pte Ltd</t>
        </is>
      </c>
      <c r="C461" t="inlineStr">
        <is>
          <t>U-BV214-01-32</t>
        </is>
      </c>
      <c r="D461" t="inlineStr">
        <is>
          <t>Minimart</t>
        </is>
      </c>
      <c r="E461" s="4" t="n">
        <v>46630</v>
      </c>
      <c r="F461" s="5" t="n">
        <v>5200</v>
      </c>
      <c r="G461" s="4">
        <f>EDATE(E461,-6)</f>
        <v/>
      </c>
      <c r="I461" s="4" t="n"/>
      <c r="J461">
        <f>IF(I461="","",IF(I461&gt;G461,"LATE",""))</f>
        <v/>
      </c>
      <c r="K461" t="inlineStr">
        <is>
          <t>No application</t>
        </is>
      </c>
    </row>
    <row r="462">
      <c r="A462" t="inlineStr">
        <is>
          <t>TA-2024-00544</t>
        </is>
      </c>
      <c r="B462" t="inlineStr">
        <is>
          <t>Bayu Fruit Trading</t>
        </is>
      </c>
      <c r="C462" t="inlineStr">
        <is>
          <t>U-BV256-01-02</t>
        </is>
      </c>
      <c r="D462" t="inlineStr">
        <is>
          <t>Fruit Shop</t>
        </is>
      </c>
      <c r="E462" s="4" t="n">
        <v>46630</v>
      </c>
      <c r="F462" s="5" t="n">
        <v>5770</v>
      </c>
      <c r="G462" s="4">
        <f>EDATE(E462,-6)</f>
        <v/>
      </c>
      <c r="I462" s="4" t="n"/>
      <c r="J462">
        <f>IF(I462="","",IF(I462&gt;G462,"LATE",""))</f>
        <v/>
      </c>
      <c r="K462" t="inlineStr">
        <is>
          <t>No application</t>
        </is>
      </c>
    </row>
    <row r="463">
      <c r="A463" t="inlineStr">
        <is>
          <t>TA-2024-00546</t>
        </is>
      </c>
      <c r="B463" t="inlineStr">
        <is>
          <t>Tan Brothers Trading</t>
        </is>
      </c>
      <c r="C463" t="inlineStr">
        <is>
          <t>U-BV256-01-12</t>
        </is>
      </c>
      <c r="D463" t="inlineStr">
        <is>
          <t>Provision Shop</t>
        </is>
      </c>
      <c r="E463" s="4" t="n">
        <v>46630</v>
      </c>
      <c r="F463" s="5" t="n">
        <v>6360</v>
      </c>
      <c r="G463" s="4">
        <f>EDATE(E463,-6)</f>
        <v/>
      </c>
      <c r="I463" s="4" t="n"/>
      <c r="J463">
        <f>IF(I463="","",IF(I463&gt;G463,"LATE",""))</f>
        <v/>
      </c>
      <c r="K463" t="inlineStr">
        <is>
          <t>No application</t>
        </is>
      </c>
    </row>
    <row r="464">
      <c r="A464" t="inlineStr">
        <is>
          <t>TA-2024-00547</t>
        </is>
      </c>
      <c r="B464" t="inlineStr">
        <is>
          <t>Wong's Mart</t>
        </is>
      </c>
      <c r="C464" t="inlineStr">
        <is>
          <t>U-BV266-01-01</t>
        </is>
      </c>
      <c r="D464" t="inlineStr">
        <is>
          <t>Minimart</t>
        </is>
      </c>
      <c r="E464" s="4" t="n">
        <v>46630</v>
      </c>
      <c r="F464" s="5" t="n">
        <v>5430</v>
      </c>
      <c r="G464" s="4">
        <f>EDATE(E464,-6)</f>
        <v/>
      </c>
      <c r="I464" s="4" t="n"/>
      <c r="J464">
        <f>IF(I464="","",IF(I464&gt;G464,"LATE",""))</f>
        <v/>
      </c>
      <c r="K464" t="inlineStr">
        <is>
          <t>No application</t>
        </is>
      </c>
    </row>
    <row r="465">
      <c r="A465" t="inlineStr">
        <is>
          <t>TA-2024-00548</t>
        </is>
      </c>
      <c r="B465" t="inlineStr">
        <is>
          <t>Suria Boba Bar</t>
        </is>
      </c>
      <c r="C465" t="inlineStr">
        <is>
          <t>U-BV271-01-04</t>
        </is>
      </c>
      <c r="D465" t="inlineStr">
        <is>
          <t>Bubble Tea</t>
        </is>
      </c>
      <c r="E465" s="4" t="n">
        <v>46630</v>
      </c>
      <c r="F465" s="5" t="n">
        <v>1050</v>
      </c>
      <c r="G465" s="4">
        <f>EDATE(E465,-6)</f>
        <v/>
      </c>
      <c r="H465" t="inlineStr">
        <is>
          <t>APP-2025-0076</t>
        </is>
      </c>
      <c r="I465" s="4" t="n">
        <v>45989</v>
      </c>
      <c r="J465">
        <f>IF(I465="","",IF(I465&gt;G465,"LATE",""))</f>
        <v/>
      </c>
      <c r="K465" t="inlineStr">
        <is>
          <t>Approved</t>
        </is>
      </c>
    </row>
    <row r="466">
      <c r="A466" t="inlineStr">
        <is>
          <t>TA-2024-00549</t>
        </is>
      </c>
      <c r="B466" t="inlineStr">
        <is>
          <t>Lim's Medical Hall</t>
        </is>
      </c>
      <c r="C466" t="inlineStr">
        <is>
          <t>U-BV290-01-10</t>
        </is>
      </c>
      <c r="D466" t="inlineStr">
        <is>
          <t>TCM Clinic</t>
        </is>
      </c>
      <c r="E466" s="4" t="n">
        <v>46630</v>
      </c>
      <c r="F466" s="5" t="n">
        <v>2640</v>
      </c>
      <c r="G466" s="4">
        <f>EDATE(E466,-6)</f>
        <v/>
      </c>
      <c r="I466" s="4" t="n"/>
      <c r="J466">
        <f>IF(I466="","",IF(I466&gt;G466,"LATE",""))</f>
        <v/>
      </c>
      <c r="K466" t="inlineStr">
        <is>
          <t>No application</t>
        </is>
      </c>
    </row>
    <row r="467">
      <c r="A467" t="inlineStr">
        <is>
          <t>TA-2024-00550</t>
        </is>
      </c>
      <c r="B467" t="inlineStr">
        <is>
          <t>Bayu Store Pte Ltd</t>
        </is>
      </c>
      <c r="C467" t="inlineStr">
        <is>
          <t>U-BV290-01-11</t>
        </is>
      </c>
      <c r="D467" t="inlineStr">
        <is>
          <t>Provision Shop</t>
        </is>
      </c>
      <c r="E467" s="4" t="n">
        <v>46630</v>
      </c>
      <c r="F467" s="5" t="n">
        <v>4120</v>
      </c>
      <c r="G467" s="4">
        <f>EDATE(E467,-6)</f>
        <v/>
      </c>
      <c r="H467" t="inlineStr">
        <is>
          <t>APP-2026-0254</t>
        </is>
      </c>
      <c r="I467" s="4" t="n">
        <v>46255</v>
      </c>
      <c r="J467">
        <f>IF(I467="","",IF(I467&gt;G467,"LATE",""))</f>
        <v/>
      </c>
      <c r="K467" t="inlineStr">
        <is>
          <t>Approved</t>
        </is>
      </c>
    </row>
    <row r="468">
      <c r="A468" t="inlineStr">
        <is>
          <t>TA-2024-00551</t>
        </is>
      </c>
      <c r="B468" t="inlineStr">
        <is>
          <t>Sin Hock Minimart</t>
        </is>
      </c>
      <c r="C468" t="inlineStr">
        <is>
          <t>U-BV296-01-04</t>
        </is>
      </c>
      <c r="D468" t="inlineStr">
        <is>
          <t>Minimart</t>
        </is>
      </c>
      <c r="E468" s="4" t="n">
        <v>46630</v>
      </c>
      <c r="F468" s="5" t="n">
        <v>2950</v>
      </c>
      <c r="G468" s="4">
        <f>EDATE(E468,-6)</f>
        <v/>
      </c>
      <c r="I468" s="4" t="n"/>
      <c r="J468">
        <f>IF(I468="","",IF(I468&gt;G468,"LATE",""))</f>
        <v/>
      </c>
      <c r="K468" t="inlineStr">
        <is>
          <t>No application</t>
        </is>
      </c>
    </row>
    <row r="469">
      <c r="A469" t="inlineStr">
        <is>
          <t>TA-2024-00552</t>
        </is>
      </c>
      <c r="B469" t="inlineStr">
        <is>
          <t>Golden Leaf Supermarket</t>
        </is>
      </c>
      <c r="C469" t="inlineStr">
        <is>
          <t>U-CD108-01-08</t>
        </is>
      </c>
      <c r="D469" t="inlineStr">
        <is>
          <t>Minimart</t>
        </is>
      </c>
      <c r="E469" s="4" t="n">
        <v>46630</v>
      </c>
      <c r="F469" s="5" t="n">
        <v>2930</v>
      </c>
      <c r="G469" s="4">
        <f>EDATE(E469,-6)</f>
        <v/>
      </c>
      <c r="I469" s="4" t="n"/>
      <c r="J469">
        <f>IF(I469="","",IF(I469&gt;G469,"LATE",""))</f>
        <v/>
      </c>
      <c r="K469" t="inlineStr">
        <is>
          <t>No application</t>
        </is>
      </c>
    </row>
    <row r="470">
      <c r="A470" t="inlineStr">
        <is>
          <t>TA-2024-00553</t>
        </is>
      </c>
      <c r="B470" t="inlineStr">
        <is>
          <t>Tian Fu Medical Supplies Pte Ltd</t>
        </is>
      </c>
      <c r="C470" t="inlineStr">
        <is>
          <t>U-CD109-01-03</t>
        </is>
      </c>
      <c r="D470" t="inlineStr">
        <is>
          <t>Pharmacy</t>
        </is>
      </c>
      <c r="E470" s="4" t="n">
        <v>46630</v>
      </c>
      <c r="F470" s="5" t="n">
        <v>4500</v>
      </c>
      <c r="G470" s="4">
        <f>EDATE(E470,-6)</f>
        <v/>
      </c>
      <c r="H470" t="inlineStr">
        <is>
          <t>APP-2026-0023</t>
        </is>
      </c>
      <c r="I470" s="4" t="n">
        <v>46045</v>
      </c>
      <c r="J470">
        <f>IF(I470="","",IF(I470&gt;G470,"LATE",""))</f>
        <v/>
      </c>
      <c r="K470" t="inlineStr">
        <is>
          <t>Rejected</t>
        </is>
      </c>
    </row>
    <row r="471">
      <c r="A471" t="inlineStr">
        <is>
          <t>TA-2024-00554</t>
        </is>
      </c>
      <c r="B471" t="inlineStr">
        <is>
          <t>Bayu Education Hub Pte Ltd</t>
        </is>
      </c>
      <c r="C471" t="inlineStr">
        <is>
          <t>U-CD131-01-05</t>
        </is>
      </c>
      <c r="D471" t="inlineStr">
        <is>
          <t>Tuition Centre</t>
        </is>
      </c>
      <c r="E471" s="4" t="n">
        <v>46630</v>
      </c>
      <c r="F471" s="5" t="n">
        <v>5550</v>
      </c>
      <c r="G471" s="4">
        <f>EDATE(E471,-6)</f>
        <v/>
      </c>
      <c r="I471" s="4" t="n"/>
      <c r="J471">
        <f>IF(I471="","",IF(I471&gt;G471,"LATE",""))</f>
        <v/>
      </c>
      <c r="K471" t="inlineStr">
        <is>
          <t>No application</t>
        </is>
      </c>
    </row>
    <row r="472">
      <c r="A472" t="inlineStr">
        <is>
          <t>TA-2024-00556</t>
        </is>
      </c>
      <c r="B472" t="inlineStr">
        <is>
          <t>Everbright Laundry</t>
        </is>
      </c>
      <c r="C472" t="inlineStr">
        <is>
          <t>U-CD136-01-06</t>
        </is>
      </c>
      <c r="D472" t="inlineStr">
        <is>
          <t>Laundry</t>
        </is>
      </c>
      <c r="E472" s="4" t="n">
        <v>46630</v>
      </c>
      <c r="F472" s="5" t="n">
        <v>5580</v>
      </c>
      <c r="G472" s="4">
        <f>EDATE(E472,-6)</f>
        <v/>
      </c>
      <c r="I472" s="4" t="n"/>
      <c r="J472">
        <f>IF(I472="","",IF(I472&gt;G472,"LATE",""))</f>
        <v/>
      </c>
      <c r="K472" t="inlineStr">
        <is>
          <t>No application</t>
        </is>
      </c>
    </row>
    <row r="473">
      <c r="A473" t="inlineStr">
        <is>
          <t>TA-2024-00558</t>
        </is>
      </c>
      <c r="B473" t="inlineStr">
        <is>
          <t>Silver Moon Kitchen Pte Ltd</t>
        </is>
      </c>
      <c r="C473" t="inlineStr">
        <is>
          <t>U-CD160-01-03</t>
        </is>
      </c>
      <c r="D473" t="inlineStr">
        <is>
          <t>Restaurant</t>
        </is>
      </c>
      <c r="E473" s="4" t="n">
        <v>46630</v>
      </c>
      <c r="F473" s="5" t="n">
        <v>4150</v>
      </c>
      <c r="G473" s="4">
        <f>EDATE(E473,-6)</f>
        <v/>
      </c>
      <c r="I473" s="4" t="n"/>
      <c r="J473">
        <f>IF(I473="","",IF(I473&gt;G473,"LATE",""))</f>
        <v/>
      </c>
      <c r="K473" t="inlineStr">
        <is>
          <t>No application</t>
        </is>
      </c>
    </row>
    <row r="474">
      <c r="A474" t="inlineStr">
        <is>
          <t>TA-2024-00559</t>
        </is>
      </c>
      <c r="B474" t="inlineStr">
        <is>
          <t>Nanyang Medical Clinic</t>
        </is>
      </c>
      <c r="C474" t="inlineStr">
        <is>
          <t>U-CD189-01-06</t>
        </is>
      </c>
      <c r="D474" t="inlineStr">
        <is>
          <t>GP Clinic</t>
        </is>
      </c>
      <c r="E474" s="4" t="n">
        <v>46630</v>
      </c>
      <c r="F474" s="5" t="n">
        <v>2630</v>
      </c>
      <c r="G474" s="4">
        <f>EDATE(E474,-6)</f>
        <v/>
      </c>
      <c r="I474" s="4" t="n"/>
      <c r="J474">
        <f>IF(I474="","",IF(I474&gt;G474,"LATE",""))</f>
        <v/>
      </c>
      <c r="K474" t="inlineStr">
        <is>
          <t>No application</t>
        </is>
      </c>
    </row>
    <row r="475">
      <c r="A475" t="inlineStr">
        <is>
          <t>TA-2024-00561</t>
        </is>
      </c>
      <c r="B475" t="inlineStr">
        <is>
          <t>Sin Hock Eye Centre Pte Ltd</t>
        </is>
      </c>
      <c r="C475" t="inlineStr">
        <is>
          <t>U-CD189-01-10</t>
        </is>
      </c>
      <c r="D475" t="inlineStr">
        <is>
          <t>Optical</t>
        </is>
      </c>
      <c r="E475" s="4" t="n">
        <v>46630</v>
      </c>
      <c r="F475" s="5" t="n">
        <v>3870</v>
      </c>
      <c r="G475" s="4">
        <f>EDATE(E475,-6)</f>
        <v/>
      </c>
      <c r="I475" s="4" t="n"/>
      <c r="J475">
        <f>IF(I475="","",IF(I475&gt;G475,"LATE",""))</f>
        <v/>
      </c>
      <c r="K475" t="inlineStr">
        <is>
          <t>No application</t>
        </is>
      </c>
    </row>
    <row r="476">
      <c r="A476" t="inlineStr">
        <is>
          <t>TA-2024-00563</t>
        </is>
      </c>
      <c r="B476" t="inlineStr">
        <is>
          <t>Soon Hin Telecom Pte Ltd</t>
        </is>
      </c>
      <c r="C476" t="inlineStr">
        <is>
          <t>U-KR345-01-04</t>
        </is>
      </c>
      <c r="D476" t="inlineStr">
        <is>
          <t>Mobile Phone &amp; Accessories</t>
        </is>
      </c>
      <c r="E476" s="4" t="n">
        <v>46630</v>
      </c>
      <c r="F476" s="5" t="n">
        <v>3720</v>
      </c>
      <c r="G476" s="4">
        <f>EDATE(E476,-6)</f>
        <v/>
      </c>
      <c r="I476" s="4" t="n"/>
      <c r="J476">
        <f>IF(I476="","",IF(I476&gt;G476,"LATE",""))</f>
        <v/>
      </c>
      <c r="K476" t="inlineStr">
        <is>
          <t>No application</t>
        </is>
      </c>
    </row>
    <row r="477">
      <c r="A477" t="inlineStr">
        <is>
          <t>TA-2024-00564</t>
        </is>
      </c>
      <c r="B477" t="inlineStr">
        <is>
          <t>Ananda Mobile</t>
        </is>
      </c>
      <c r="C477" t="inlineStr">
        <is>
          <t>U-KR345-01-07</t>
        </is>
      </c>
      <c r="D477" t="inlineStr">
        <is>
          <t>Mobile Phone &amp; Accessories</t>
        </is>
      </c>
      <c r="E477" s="4" t="n">
        <v>46630</v>
      </c>
      <c r="F477" s="5" t="n">
        <v>2360</v>
      </c>
      <c r="G477" s="4">
        <f>EDATE(E477,-6)</f>
        <v/>
      </c>
      <c r="I477" s="4" t="n"/>
      <c r="J477">
        <f>IF(I477="","",IF(I477&gt;G477,"LATE",""))</f>
        <v/>
      </c>
      <c r="K477" t="inlineStr">
        <is>
          <t>No application</t>
        </is>
      </c>
    </row>
    <row r="478">
      <c r="A478" t="inlineStr">
        <is>
          <t>TA-2024-00566</t>
        </is>
      </c>
      <c r="B478" t="inlineStr">
        <is>
          <t>Ever Joy Minimart</t>
        </is>
      </c>
      <c r="C478" t="inlineStr">
        <is>
          <t>U-KR359-01-10</t>
        </is>
      </c>
      <c r="D478" t="inlineStr">
        <is>
          <t>Minimart</t>
        </is>
      </c>
      <c r="E478" s="4" t="n">
        <v>46630</v>
      </c>
      <c r="F478" s="5" t="n">
        <v>2780</v>
      </c>
      <c r="G478" s="4">
        <f>EDATE(E478,-6)</f>
        <v/>
      </c>
      <c r="I478" s="4" t="n"/>
      <c r="J478">
        <f>IF(I478="","",IF(I478&gt;G478,"LATE",""))</f>
        <v/>
      </c>
      <c r="K478" t="inlineStr">
        <is>
          <t>No application</t>
        </is>
      </c>
    </row>
    <row r="479">
      <c r="A479" t="inlineStr">
        <is>
          <t>TA-2024-00567</t>
        </is>
      </c>
      <c r="B479" t="inlineStr">
        <is>
          <t>Daily Fresh Learning Centre</t>
        </is>
      </c>
      <c r="C479" t="inlineStr">
        <is>
          <t>U-KR371-01-02</t>
        </is>
      </c>
      <c r="D479" t="inlineStr">
        <is>
          <t>Tuition Centre</t>
        </is>
      </c>
      <c r="E479" s="4" t="n">
        <v>46630</v>
      </c>
      <c r="F479" s="5" t="n">
        <v>2240</v>
      </c>
      <c r="G479" s="4">
        <f>EDATE(E479,-6)</f>
        <v/>
      </c>
      <c r="I479" s="4" t="n"/>
      <c r="J479">
        <f>IF(I479="","",IF(I479&gt;G479,"LATE",""))</f>
        <v/>
      </c>
      <c r="K479" t="inlineStr">
        <is>
          <t>No application</t>
        </is>
      </c>
    </row>
    <row r="480">
      <c r="A480" t="inlineStr">
        <is>
          <t>TA-2024-00568</t>
        </is>
      </c>
      <c r="B480" t="inlineStr">
        <is>
          <t>Teck Guan Medical Hall</t>
        </is>
      </c>
      <c r="C480" t="inlineStr">
        <is>
          <t>U-KR372-01-05</t>
        </is>
      </c>
      <c r="D480" t="inlineStr">
        <is>
          <t>TCM Clinic</t>
        </is>
      </c>
      <c r="E480" s="4" t="n">
        <v>46630</v>
      </c>
      <c r="F480" s="5" t="n">
        <v>4690</v>
      </c>
      <c r="G480" s="4">
        <f>EDATE(E480,-6)</f>
        <v/>
      </c>
      <c r="I480" s="4" t="n"/>
      <c r="J480">
        <f>IF(I480="","",IF(I480&gt;G480,"LATE",""))</f>
        <v/>
      </c>
      <c r="K480" t="inlineStr">
        <is>
          <t>No application</t>
        </is>
      </c>
    </row>
    <row r="481">
      <c r="A481" t="inlineStr">
        <is>
          <t>TA-2024-00569</t>
        </is>
      </c>
      <c r="B481" t="inlineStr">
        <is>
          <t>Mutiara Flowers &amp; Gifts</t>
        </is>
      </c>
      <c r="C481" t="inlineStr">
        <is>
          <t>U-PI609-01-07</t>
        </is>
      </c>
      <c r="D481" t="inlineStr">
        <is>
          <t>Florist</t>
        </is>
      </c>
      <c r="E481" s="4" t="n">
        <v>46630</v>
      </c>
      <c r="F481" s="5" t="n">
        <v>3980</v>
      </c>
      <c r="G481" s="4">
        <f>EDATE(E481,-6)</f>
        <v/>
      </c>
      <c r="I481" s="4" t="n"/>
      <c r="J481">
        <f>IF(I481="","",IF(I481&gt;G481,"LATE",""))</f>
        <v/>
      </c>
      <c r="K481" t="inlineStr">
        <is>
          <t>No application</t>
        </is>
      </c>
    </row>
    <row r="482">
      <c r="A482" t="inlineStr">
        <is>
          <t>TA-2024-00570</t>
        </is>
      </c>
      <c r="B482" t="inlineStr">
        <is>
          <t>Hassan Mart</t>
        </is>
      </c>
      <c r="C482" t="inlineStr">
        <is>
          <t>U-PI615-01-12</t>
        </is>
      </c>
      <c r="D482" t="inlineStr">
        <is>
          <t>Minimart</t>
        </is>
      </c>
      <c r="E482" s="4" t="n">
        <v>46630</v>
      </c>
      <c r="F482" s="5" t="n">
        <v>4360</v>
      </c>
      <c r="G482" s="4">
        <f>EDATE(E482,-6)</f>
        <v/>
      </c>
      <c r="I482" s="4" t="n"/>
      <c r="J482">
        <f>IF(I482="","",IF(I482&gt;G482,"LATE",""))</f>
        <v/>
      </c>
      <c r="K482" t="inlineStr">
        <is>
          <t>No application</t>
        </is>
      </c>
    </row>
    <row r="483">
      <c r="A483" t="inlineStr">
        <is>
          <t>TA-2024-00572</t>
        </is>
      </c>
      <c r="B483" t="inlineStr">
        <is>
          <t>Nur Minimart</t>
        </is>
      </c>
      <c r="C483" t="inlineStr">
        <is>
          <t>U-PI634-01-01</t>
        </is>
      </c>
      <c r="D483" t="inlineStr">
        <is>
          <t>Minimart</t>
        </is>
      </c>
      <c r="E483" s="4" t="n">
        <v>46630</v>
      </c>
      <c r="F483" s="5" t="n">
        <v>4190</v>
      </c>
      <c r="G483" s="4">
        <f>EDATE(E483,-6)</f>
        <v/>
      </c>
      <c r="I483" s="4" t="n"/>
      <c r="J483">
        <f>IF(I483="","",IF(I483&gt;G483,"LATE",""))</f>
        <v/>
      </c>
      <c r="K483" t="inlineStr">
        <is>
          <t>No application</t>
        </is>
      </c>
    </row>
    <row r="484">
      <c r="A484" t="inlineStr">
        <is>
          <t>TA-2024-00574</t>
        </is>
      </c>
      <c r="B484" t="inlineStr">
        <is>
          <t>Gold Coin Fruit Trading Pte Ltd</t>
        </is>
      </c>
      <c r="C484" t="inlineStr">
        <is>
          <t>U-PI634-01-10</t>
        </is>
      </c>
      <c r="D484" t="inlineStr">
        <is>
          <t>Fruit Shop</t>
        </is>
      </c>
      <c r="E484" s="4" t="n">
        <v>46630</v>
      </c>
      <c r="F484" s="5" t="n">
        <v>3970</v>
      </c>
      <c r="G484" s="4">
        <f>EDATE(E484,-6)</f>
        <v/>
      </c>
      <c r="H484" t="inlineStr">
        <is>
          <t>APP-2026-0012</t>
        </is>
      </c>
      <c r="I484" s="4" t="n">
        <v>46034</v>
      </c>
      <c r="J484">
        <f>IF(I484="","",IF(I484&gt;G484,"LATE",""))</f>
        <v/>
      </c>
      <c r="K484" t="inlineStr">
        <is>
          <t>Withdrawn</t>
        </is>
      </c>
    </row>
    <row r="485">
      <c r="A485" t="inlineStr">
        <is>
          <t>TA-2024-00575</t>
        </is>
      </c>
      <c r="B485" t="inlineStr">
        <is>
          <t>Sunflower Laundry</t>
        </is>
      </c>
      <c r="C485" t="inlineStr">
        <is>
          <t>U-PI634-01-13</t>
        </is>
      </c>
      <c r="D485" t="inlineStr">
        <is>
          <t>Laundry</t>
        </is>
      </c>
      <c r="E485" s="4" t="n">
        <v>46630</v>
      </c>
      <c r="F485" s="5" t="n">
        <v>3510</v>
      </c>
      <c r="G485" s="4">
        <f>EDATE(E485,-6)</f>
        <v/>
      </c>
      <c r="I485" s="4" t="n"/>
      <c r="J485">
        <f>IF(I485="","",IF(I485&gt;G485,"LATE",""))</f>
        <v/>
      </c>
      <c r="K485" t="inlineStr">
        <is>
          <t>No application</t>
        </is>
      </c>
    </row>
    <row r="486">
      <c r="A486" t="inlineStr">
        <is>
          <t>TA-2024-00577</t>
        </is>
      </c>
      <c r="B486" t="inlineStr">
        <is>
          <t>Hup Seng Education Hub</t>
        </is>
      </c>
      <c r="C486" t="inlineStr">
        <is>
          <t>U-PI648-01-06</t>
        </is>
      </c>
      <c r="D486" t="inlineStr">
        <is>
          <t>Tuition Centre</t>
        </is>
      </c>
      <c r="E486" s="4" t="n">
        <v>46630</v>
      </c>
      <c r="F486" s="5" t="n">
        <v>2490</v>
      </c>
      <c r="G486" s="4">
        <f>EDATE(E486,-6)</f>
        <v/>
      </c>
      <c r="I486" s="4" t="n"/>
      <c r="J486">
        <f>IF(I486="","",IF(I486&gt;G486,"LATE",""))</f>
        <v/>
      </c>
      <c r="K486" t="inlineStr">
        <is>
          <t>No application</t>
        </is>
      </c>
    </row>
    <row r="487">
      <c r="A487" t="inlineStr">
        <is>
          <t>TA-2024-00578</t>
        </is>
      </c>
      <c r="B487" t="inlineStr">
        <is>
          <t>Phoenix Mart Pte Ltd</t>
        </is>
      </c>
      <c r="C487" t="inlineStr">
        <is>
          <t>U-PI651-01-01</t>
        </is>
      </c>
      <c r="D487" t="inlineStr">
        <is>
          <t>Minimart</t>
        </is>
      </c>
      <c r="E487" s="4" t="n">
        <v>46630</v>
      </c>
      <c r="F487" s="5" t="n">
        <v>5940</v>
      </c>
      <c r="G487" s="4">
        <f>EDATE(E487,-6)</f>
        <v/>
      </c>
      <c r="I487" s="4" t="n"/>
      <c r="J487">
        <f>IF(I487="","",IF(I487&gt;G487,"LATE",""))</f>
        <v/>
      </c>
      <c r="K487" t="inlineStr">
        <is>
          <t>No application</t>
        </is>
      </c>
    </row>
    <row r="488">
      <c r="A488" t="inlineStr">
        <is>
          <t>TA-2024-00579</t>
        </is>
      </c>
      <c r="B488" t="inlineStr">
        <is>
          <t>Raja Flowers &amp; Gifts</t>
        </is>
      </c>
      <c r="C488" t="inlineStr">
        <is>
          <t>U-PI667-01-13</t>
        </is>
      </c>
      <c r="D488" t="inlineStr">
        <is>
          <t>Florist</t>
        </is>
      </c>
      <c r="E488" s="4" t="n">
        <v>46630</v>
      </c>
      <c r="F488" s="5" t="n">
        <v>900</v>
      </c>
      <c r="G488" s="4">
        <f>EDATE(E488,-6)</f>
        <v/>
      </c>
      <c r="I488" s="4" t="n"/>
      <c r="J488">
        <f>IF(I488="","",IF(I488&gt;G488,"LATE",""))</f>
        <v/>
      </c>
      <c r="K488" t="inlineStr">
        <is>
          <t>No application</t>
        </is>
      </c>
    </row>
    <row r="489">
      <c r="A489" t="inlineStr">
        <is>
          <t>TA-2024-00580</t>
        </is>
      </c>
      <c r="B489" t="inlineStr">
        <is>
          <t>Bright Path Hardware &amp; Electrical</t>
        </is>
      </c>
      <c r="C489" t="inlineStr">
        <is>
          <t>U-PI693-01-02</t>
        </is>
      </c>
      <c r="D489" t="inlineStr">
        <is>
          <t>Hardware</t>
        </is>
      </c>
      <c r="E489" s="4" t="n">
        <v>46630</v>
      </c>
      <c r="F489" s="5" t="n">
        <v>4400</v>
      </c>
      <c r="G489" s="4">
        <f>EDATE(E489,-6)</f>
        <v/>
      </c>
      <c r="I489" s="4" t="n"/>
      <c r="J489">
        <f>IF(I489="","",IF(I489&gt;G489,"LATE",""))</f>
        <v/>
      </c>
      <c r="K489" t="inlineStr">
        <is>
          <t>No application</t>
        </is>
      </c>
    </row>
    <row r="490">
      <c r="A490" t="inlineStr">
        <is>
          <t>TA-2024-00581</t>
        </is>
      </c>
      <c r="B490" t="inlineStr">
        <is>
          <t>Lim's Dental Care Pte Ltd</t>
        </is>
      </c>
      <c r="C490" t="inlineStr">
        <is>
          <t>U-PI696-02-06</t>
        </is>
      </c>
      <c r="D490" t="inlineStr">
        <is>
          <t>Dental Clinic</t>
        </is>
      </c>
      <c r="E490" s="4" t="n">
        <v>46630</v>
      </c>
      <c r="F490" s="5" t="n">
        <v>1850</v>
      </c>
      <c r="G490" s="4">
        <f>EDATE(E490,-6)</f>
        <v/>
      </c>
      <c r="I490" s="4" t="n"/>
      <c r="J490">
        <f>IF(I490="","",IF(I490&gt;G490,"LATE",""))</f>
        <v/>
      </c>
      <c r="K490" t="inlineStr">
        <is>
          <t>No application</t>
        </is>
      </c>
    </row>
    <row r="491">
      <c r="A491" t="inlineStr">
        <is>
          <t>TA-2024-00582</t>
        </is>
      </c>
      <c r="B491" t="inlineStr">
        <is>
          <t>Gold Coin Learning Centre</t>
        </is>
      </c>
      <c r="C491" t="inlineStr">
        <is>
          <t>U-RH420-01-06</t>
        </is>
      </c>
      <c r="D491" t="inlineStr">
        <is>
          <t>Tuition Centre</t>
        </is>
      </c>
      <c r="E491" s="4" t="n">
        <v>46630</v>
      </c>
      <c r="F491" s="5" t="n">
        <v>2060</v>
      </c>
      <c r="G491" s="4">
        <f>EDATE(E491,-6)</f>
        <v/>
      </c>
      <c r="I491" s="4" t="n"/>
      <c r="J491">
        <f>IF(I491="","",IF(I491&gt;G491,"LATE",""))</f>
        <v/>
      </c>
      <c r="K491" t="inlineStr">
        <is>
          <t>No application</t>
        </is>
      </c>
    </row>
    <row r="492">
      <c r="A492" t="inlineStr">
        <is>
          <t>TA-2024-00583</t>
        </is>
      </c>
      <c r="B492" t="inlineStr">
        <is>
          <t>Daily Fresh Fruit Trading Pte Ltd</t>
        </is>
      </c>
      <c r="C492" t="inlineStr">
        <is>
          <t>U-RH437-01-10</t>
        </is>
      </c>
      <c r="D492" t="inlineStr">
        <is>
          <t>Fruit Shop</t>
        </is>
      </c>
      <c r="E492" s="4" t="n">
        <v>46630</v>
      </c>
      <c r="F492" s="5" t="n">
        <v>1140</v>
      </c>
      <c r="G492" s="4">
        <f>EDATE(E492,-6)</f>
        <v/>
      </c>
      <c r="I492" s="4" t="n"/>
      <c r="J492">
        <f>IF(I492="","",IF(I492&gt;G492,"LATE",""))</f>
        <v/>
      </c>
      <c r="K492" t="inlineStr">
        <is>
          <t>No application</t>
        </is>
      </c>
    </row>
    <row r="493">
      <c r="A493" t="inlineStr">
        <is>
          <t>TA-2024-00584</t>
        </is>
      </c>
      <c r="B493" t="inlineStr">
        <is>
          <t>Thye Hin Supermarket</t>
        </is>
      </c>
      <c r="C493" t="inlineStr">
        <is>
          <t>U-RH460-01-03</t>
        </is>
      </c>
      <c r="D493" t="inlineStr">
        <is>
          <t>Minimart</t>
        </is>
      </c>
      <c r="E493" s="4" t="n">
        <v>46630</v>
      </c>
      <c r="F493" s="5" t="n">
        <v>3790</v>
      </c>
      <c r="G493" s="4">
        <f>EDATE(E493,-6)</f>
        <v/>
      </c>
      <c r="I493" s="4" t="n"/>
      <c r="J493">
        <f>IF(I493="","",IF(I493&gt;G493,"LATE",""))</f>
        <v/>
      </c>
      <c r="K493" t="inlineStr">
        <is>
          <t>No application</t>
        </is>
      </c>
    </row>
    <row r="494">
      <c r="A494" t="inlineStr">
        <is>
          <t>TA-2024-00585</t>
        </is>
      </c>
      <c r="B494" t="inlineStr">
        <is>
          <t>Kian Huat TCM Clinic Pte Ltd</t>
        </is>
      </c>
      <c r="C494" t="inlineStr">
        <is>
          <t>U-RH460-01-14</t>
        </is>
      </c>
      <c r="D494" t="inlineStr">
        <is>
          <t>TCM Clinic</t>
        </is>
      </c>
      <c r="E494" s="4" t="n">
        <v>46630</v>
      </c>
      <c r="F494" s="5" t="n">
        <v>2350</v>
      </c>
      <c r="G494" s="4">
        <f>EDATE(E494,-6)</f>
        <v/>
      </c>
      <c r="I494" s="4" t="n"/>
      <c r="J494">
        <f>IF(I494="","",IF(I494&gt;G494,"LATE",""))</f>
        <v/>
      </c>
      <c r="K494" t="inlineStr">
        <is>
          <t>No application</t>
        </is>
      </c>
    </row>
    <row r="495">
      <c r="A495" t="inlineStr">
        <is>
          <t>TA-2024-00587</t>
        </is>
      </c>
      <c r="B495" t="inlineStr">
        <is>
          <t>Sejahtera Mart</t>
        </is>
      </c>
      <c r="C495" t="inlineStr">
        <is>
          <t>U-RH466-01-06</t>
        </is>
      </c>
      <c r="D495" t="inlineStr">
        <is>
          <t>Minimart</t>
        </is>
      </c>
      <c r="E495" s="4" t="n">
        <v>46630</v>
      </c>
      <c r="F495" s="5" t="n">
        <v>2020</v>
      </c>
      <c r="G495" s="4">
        <f>EDATE(E495,-6)</f>
        <v/>
      </c>
      <c r="I495" s="4" t="n"/>
      <c r="J495">
        <f>IF(I495="","",IF(I495&gt;G495,"LATE",""))</f>
        <v/>
      </c>
      <c r="K495" t="inlineStr">
        <is>
          <t>No application</t>
        </is>
      </c>
    </row>
    <row r="496">
      <c r="A496" t="inlineStr">
        <is>
          <t>TA-2024-00588</t>
        </is>
      </c>
      <c r="B496" t="inlineStr">
        <is>
          <t>Silver Moon Medical Clinic Pte Ltd</t>
        </is>
      </c>
      <c r="C496" t="inlineStr">
        <is>
          <t>U-RH466-02-08</t>
        </is>
      </c>
      <c r="D496" t="inlineStr">
        <is>
          <t>GP Clinic</t>
        </is>
      </c>
      <c r="E496" s="4" t="n">
        <v>46630</v>
      </c>
      <c r="F496" s="5" t="n">
        <v>1420</v>
      </c>
      <c r="G496" s="4">
        <f>EDATE(E496,-6)</f>
        <v/>
      </c>
      <c r="I496" s="4" t="n"/>
      <c r="J496">
        <f>IF(I496="","",IF(I496&gt;G496,"LATE",""))</f>
        <v/>
      </c>
      <c r="K496" t="inlineStr">
        <is>
          <t>No application</t>
        </is>
      </c>
    </row>
    <row r="497">
      <c r="A497" t="inlineStr">
        <is>
          <t>TA-2024-00590</t>
        </is>
      </c>
      <c r="B497" t="inlineStr">
        <is>
          <t>Sin Hock Bakery Pte Ltd</t>
        </is>
      </c>
      <c r="C497" t="inlineStr">
        <is>
          <t>U-RH473-01-06</t>
        </is>
      </c>
      <c r="D497" t="inlineStr">
        <is>
          <t>Bakery &amp; Confectionery</t>
        </is>
      </c>
      <c r="E497" s="4" t="n">
        <v>46630</v>
      </c>
      <c r="F497" s="5" t="n">
        <v>2210</v>
      </c>
      <c r="G497" s="4">
        <f>EDATE(E497,-6)</f>
        <v/>
      </c>
      <c r="I497" s="4" t="n"/>
      <c r="J497">
        <f>IF(I497="","",IF(I497&gt;G497,"LATE",""))</f>
        <v/>
      </c>
      <c r="K497" t="inlineStr">
        <is>
          <t>No application</t>
        </is>
      </c>
    </row>
    <row r="498">
      <c r="A498" t="inlineStr">
        <is>
          <t>TA-2024-00591</t>
        </is>
      </c>
      <c r="B498" t="inlineStr">
        <is>
          <t>Wisdom Eye Centre Pte Ltd</t>
        </is>
      </c>
      <c r="C498" t="inlineStr">
        <is>
          <t>U-RH485-01-10</t>
        </is>
      </c>
      <c r="D498" t="inlineStr">
        <is>
          <t>Optical</t>
        </is>
      </c>
      <c r="E498" s="4" t="n">
        <v>46630</v>
      </c>
      <c r="F498" s="5" t="n">
        <v>1630</v>
      </c>
      <c r="G498" s="4">
        <f>EDATE(E498,-6)</f>
        <v/>
      </c>
      <c r="I498" s="4" t="n"/>
      <c r="J498">
        <f>IF(I498="","",IF(I498&gt;G498,"LATE",""))</f>
        <v/>
      </c>
      <c r="K498" t="inlineStr">
        <is>
          <t>No application</t>
        </is>
      </c>
    </row>
    <row r="499">
      <c r="A499" t="inlineStr">
        <is>
          <t>TA-2024-00592</t>
        </is>
      </c>
      <c r="B499" t="inlineStr">
        <is>
          <t>Teck Guan Fruit Trading Pte Ltd</t>
        </is>
      </c>
      <c r="C499" t="inlineStr">
        <is>
          <t>U-RH491-01-13</t>
        </is>
      </c>
      <c r="D499" t="inlineStr">
        <is>
          <t>Fruit Shop</t>
        </is>
      </c>
      <c r="E499" s="4" t="n">
        <v>46630</v>
      </c>
      <c r="F499" s="5" t="n">
        <v>3140</v>
      </c>
      <c r="G499" s="4">
        <f>EDATE(E499,-6)</f>
        <v/>
      </c>
      <c r="I499" s="4" t="n"/>
      <c r="J499">
        <f>IF(I499="","",IF(I499&gt;G499,"LATE",""))</f>
        <v/>
      </c>
      <c r="K499" t="inlineStr">
        <is>
          <t>No application</t>
        </is>
      </c>
    </row>
    <row r="500">
      <c r="A500" t="inlineStr">
        <is>
          <t>TA-2024-00593</t>
        </is>
      </c>
      <c r="B500" t="inlineStr">
        <is>
          <t>Hock Lee Beauty &amp; Hair Pte Ltd</t>
        </is>
      </c>
      <c r="C500" t="inlineStr">
        <is>
          <t>U-ST512-01-31</t>
        </is>
      </c>
      <c r="D500" t="inlineStr">
        <is>
          <t>Hair Salon</t>
        </is>
      </c>
      <c r="E500" s="4" t="n">
        <v>46630</v>
      </c>
      <c r="F500" s="5" t="n">
        <v>2340</v>
      </c>
      <c r="G500" s="4">
        <f>EDATE(E500,-6)</f>
        <v/>
      </c>
      <c r="I500" s="4" t="n"/>
      <c r="J500">
        <f>IF(I500="","",IF(I500&gt;G500,"LATE",""))</f>
        <v/>
      </c>
      <c r="K500" t="inlineStr">
        <is>
          <t>No application</t>
        </is>
      </c>
    </row>
    <row r="501">
      <c r="A501" t="inlineStr">
        <is>
          <t>TA-2024-00595</t>
        </is>
      </c>
      <c r="B501" t="inlineStr">
        <is>
          <t>PrimeValue Mart Pte Ltd</t>
        </is>
      </c>
      <c r="C501" t="inlineStr">
        <is>
          <t>U-ST518-01-02</t>
        </is>
      </c>
      <c r="D501" t="inlineStr">
        <is>
          <t>Minimart</t>
        </is>
      </c>
      <c r="E501" s="4" t="n">
        <v>46630</v>
      </c>
      <c r="F501" s="5" t="n">
        <v>1860</v>
      </c>
      <c r="G501" s="4">
        <f>EDATE(E501,-6)</f>
        <v/>
      </c>
      <c r="I501" s="4" t="n"/>
      <c r="J501">
        <f>IF(I501="","",IF(I501&gt;G501,"LATE",""))</f>
        <v/>
      </c>
      <c r="K501" t="inlineStr">
        <is>
          <t>No application</t>
        </is>
      </c>
    </row>
    <row r="502">
      <c r="A502" t="inlineStr">
        <is>
          <t>TA-2024-00597</t>
        </is>
      </c>
      <c r="B502" t="inlineStr">
        <is>
          <t>Tian Fu Hair Studio</t>
        </is>
      </c>
      <c r="C502" t="inlineStr">
        <is>
          <t>U-ST528-01-03</t>
        </is>
      </c>
      <c r="D502" t="inlineStr">
        <is>
          <t>Hair Salon</t>
        </is>
      </c>
      <c r="E502" s="4" t="n">
        <v>46630</v>
      </c>
      <c r="F502" s="5" t="n">
        <v>2010</v>
      </c>
      <c r="G502" s="4">
        <f>EDATE(E502,-6)</f>
        <v/>
      </c>
      <c r="I502" s="4" t="n"/>
      <c r="J502">
        <f>IF(I502="","",IF(I502&gt;G502,"LATE",""))</f>
        <v/>
      </c>
      <c r="K502" t="inlineStr">
        <is>
          <t>No application</t>
        </is>
      </c>
    </row>
    <row r="503">
      <c r="A503" t="inlineStr">
        <is>
          <t>TA-2024-00599</t>
        </is>
      </c>
      <c r="B503" t="inlineStr">
        <is>
          <t>Lucky Star Confectionery</t>
        </is>
      </c>
      <c r="C503" t="inlineStr">
        <is>
          <t>U-ST564-01-04</t>
        </is>
      </c>
      <c r="D503" t="inlineStr">
        <is>
          <t>Bakery &amp; Confectionery</t>
        </is>
      </c>
      <c r="E503" s="4" t="n">
        <v>46630</v>
      </c>
      <c r="F503" s="5" t="n">
        <v>3720</v>
      </c>
      <c r="G503" s="4">
        <f>EDATE(E503,-6)</f>
        <v/>
      </c>
      <c r="I503" s="4" t="n"/>
      <c r="J503">
        <f>IF(I503="","",IF(I503&gt;G503,"LATE",""))</f>
        <v/>
      </c>
      <c r="K503" t="inlineStr">
        <is>
          <t>No application</t>
        </is>
      </c>
    </row>
    <row r="504">
      <c r="A504" t="inlineStr">
        <is>
          <t>TA-2024-00600</t>
        </is>
      </c>
      <c r="B504" t="inlineStr">
        <is>
          <t>Little Sprouts Accounting Services Pte Ltd</t>
        </is>
      </c>
      <c r="C504" t="inlineStr">
        <is>
          <t>U-ST566-02-01</t>
        </is>
      </c>
      <c r="D504" t="inlineStr">
        <is>
          <t>Professional Services Office</t>
        </is>
      </c>
      <c r="E504" s="4" t="n">
        <v>46630</v>
      </c>
      <c r="F504" s="5" t="n">
        <v>3070</v>
      </c>
      <c r="G504" s="4">
        <f>EDATE(E504,-6)</f>
        <v/>
      </c>
      <c r="H504" t="inlineStr">
        <is>
          <t>APP-2026-0241</t>
        </is>
      </c>
      <c r="I504" s="4" t="n">
        <v>46248</v>
      </c>
      <c r="J504">
        <f>IF(I504="","",IF(I504&gt;G504,"LATE",""))</f>
        <v/>
      </c>
      <c r="K504" t="inlineStr">
        <is>
          <t>Under Review</t>
        </is>
      </c>
    </row>
    <row r="505">
      <c r="A505" t="inlineStr">
        <is>
          <t>TA-2024-00602</t>
        </is>
      </c>
      <c r="B505" t="inlineStr">
        <is>
          <t>Daily Fresh Dental Surgery</t>
        </is>
      </c>
      <c r="C505" t="inlineStr">
        <is>
          <t>U-ST579-02-03</t>
        </is>
      </c>
      <c r="D505" t="inlineStr">
        <is>
          <t>Dental Clinic</t>
        </is>
      </c>
      <c r="E505" s="4" t="n">
        <v>46630</v>
      </c>
      <c r="F505" s="5" t="n">
        <v>3750</v>
      </c>
      <c r="G505" s="4">
        <f>EDATE(E505,-6)</f>
        <v/>
      </c>
      <c r="I505" s="4" t="n"/>
      <c r="J505">
        <f>IF(I505="","",IF(I505&gt;G505,"LATE",""))</f>
        <v/>
      </c>
      <c r="K505" t="inlineStr">
        <is>
          <t>No application</t>
        </is>
      </c>
    </row>
    <row r="506">
      <c r="A506" t="inlineStr">
        <is>
          <t>TA-2024-00604</t>
        </is>
      </c>
      <c r="B506" t="inlineStr">
        <is>
          <t>Old Town Tuition Centre</t>
        </is>
      </c>
      <c r="C506" t="inlineStr">
        <is>
          <t>U-BV212-02-06</t>
        </is>
      </c>
      <c r="D506" t="inlineStr">
        <is>
          <t>Tuition Centre</t>
        </is>
      </c>
      <c r="E506" s="4" t="n">
        <v>46660</v>
      </c>
      <c r="F506" s="5" t="n">
        <v>2920</v>
      </c>
      <c r="G506" s="4">
        <f>EDATE(E506,-6)</f>
        <v/>
      </c>
      <c r="I506" s="4" t="n"/>
      <c r="J506">
        <f>IF(I506="","",IF(I506&gt;G506,"LATE",""))</f>
        <v/>
      </c>
      <c r="K506" t="inlineStr">
        <is>
          <t>No application</t>
        </is>
      </c>
    </row>
    <row r="507">
      <c r="A507" t="inlineStr">
        <is>
          <t>TA-2024-00605</t>
        </is>
      </c>
      <c r="B507" t="inlineStr">
        <is>
          <t>Brilliant Mart</t>
        </is>
      </c>
      <c r="C507" t="inlineStr">
        <is>
          <t>U-BV214-01-22</t>
        </is>
      </c>
      <c r="D507" t="inlineStr">
        <is>
          <t>Minimart</t>
        </is>
      </c>
      <c r="E507" s="4" t="n">
        <v>46660</v>
      </c>
      <c r="F507" s="5" t="n">
        <v>5730</v>
      </c>
      <c r="G507" s="4">
        <f>EDATE(E507,-6)</f>
        <v/>
      </c>
      <c r="I507" s="4" t="n"/>
      <c r="J507">
        <f>IF(I507="","",IF(I507&gt;G507,"LATE",""))</f>
        <v/>
      </c>
      <c r="K507" t="inlineStr">
        <is>
          <t>No application</t>
        </is>
      </c>
    </row>
    <row r="508">
      <c r="A508" t="inlineStr">
        <is>
          <t>TA-2024-00607</t>
        </is>
      </c>
      <c r="B508" t="inlineStr">
        <is>
          <t>Sunflower Trading</t>
        </is>
      </c>
      <c r="C508" t="inlineStr">
        <is>
          <t>U-BV214-01-31</t>
        </is>
      </c>
      <c r="D508" t="inlineStr">
        <is>
          <t>Provision Shop</t>
        </is>
      </c>
      <c r="E508" s="4" t="n">
        <v>46660</v>
      </c>
      <c r="F508" s="5" t="n">
        <v>5030</v>
      </c>
      <c r="G508" s="4">
        <f>EDATE(E508,-6)</f>
        <v/>
      </c>
      <c r="I508" s="4" t="n"/>
      <c r="J508">
        <f>IF(I508="","",IF(I508&gt;G508,"LATE",""))</f>
        <v/>
      </c>
      <c r="K508" t="inlineStr">
        <is>
          <t>No application</t>
        </is>
      </c>
    </row>
    <row r="509">
      <c r="A509" t="inlineStr">
        <is>
          <t>TA-2024-00609</t>
        </is>
      </c>
      <c r="B509" t="inlineStr">
        <is>
          <t>Sunflower Provision Shop Pte Ltd</t>
        </is>
      </c>
      <c r="C509" t="inlineStr">
        <is>
          <t>U-BV216-01-12</t>
        </is>
      </c>
      <c r="D509" t="inlineStr">
        <is>
          <t>Provision Shop</t>
        </is>
      </c>
      <c r="E509" s="4" t="n">
        <v>46660</v>
      </c>
      <c r="F509" s="5" t="n">
        <v>4910</v>
      </c>
      <c r="G509" s="4">
        <f>EDATE(E509,-6)</f>
        <v/>
      </c>
      <c r="I509" s="4" t="n"/>
      <c r="J509">
        <f>IF(I509="","",IF(I509&gt;G509,"LATE",""))</f>
        <v/>
      </c>
      <c r="K509" t="inlineStr">
        <is>
          <t>No application</t>
        </is>
      </c>
    </row>
    <row r="510">
      <c r="A510" t="inlineStr">
        <is>
          <t>TA-2024-00610</t>
        </is>
      </c>
      <c r="B510" t="inlineStr">
        <is>
          <t>Sejahtera Store</t>
        </is>
      </c>
      <c r="C510" t="inlineStr">
        <is>
          <t>U-BV219-01-08</t>
        </is>
      </c>
      <c r="D510" t="inlineStr">
        <is>
          <t>Provision Shop</t>
        </is>
      </c>
      <c r="E510" s="4" t="n">
        <v>46660</v>
      </c>
      <c r="F510" s="5" t="n">
        <v>6430</v>
      </c>
      <c r="G510" s="4">
        <f>EDATE(E510,-6)</f>
        <v/>
      </c>
      <c r="I510" s="4" t="n"/>
      <c r="J510">
        <f>IF(I510="","",IF(I510&gt;G510,"LATE",""))</f>
        <v/>
      </c>
      <c r="K510" t="inlineStr">
        <is>
          <t>No application</t>
        </is>
      </c>
    </row>
    <row r="511">
      <c r="A511" t="inlineStr">
        <is>
          <t>TA-2024-00612</t>
        </is>
      </c>
      <c r="B511" t="inlineStr">
        <is>
          <t>Jade Garden Accounting Services Pte Ltd</t>
        </is>
      </c>
      <c r="C511" t="inlineStr">
        <is>
          <t>U-BV231-02-10</t>
        </is>
      </c>
      <c r="D511" t="inlineStr">
        <is>
          <t>Professional Services Office</t>
        </is>
      </c>
      <c r="E511" s="4" t="n">
        <v>46660</v>
      </c>
      <c r="F511" s="5" t="n">
        <v>3130</v>
      </c>
      <c r="G511" s="4">
        <f>EDATE(E511,-6)</f>
        <v/>
      </c>
      <c r="I511" s="4" t="n"/>
      <c r="J511">
        <f>IF(I511="","",IF(I511&gt;G511,"LATE",""))</f>
        <v/>
      </c>
      <c r="K511" t="inlineStr">
        <is>
          <t>No application</t>
        </is>
      </c>
    </row>
    <row r="512">
      <c r="A512" t="inlineStr">
        <is>
          <t>TA-2024-00614</t>
        </is>
      </c>
      <c r="B512" t="inlineStr">
        <is>
          <t>Bloom Bakery Pte Ltd</t>
        </is>
      </c>
      <c r="C512" t="inlineStr">
        <is>
          <t>U-BV233-01-03</t>
        </is>
      </c>
      <c r="D512" t="inlineStr">
        <is>
          <t>Bakery &amp; Confectionery</t>
        </is>
      </c>
      <c r="E512" s="4" t="n">
        <v>46660</v>
      </c>
      <c r="F512" s="5" t="n">
        <v>4070</v>
      </c>
      <c r="G512" s="4">
        <f>EDATE(E512,-6)</f>
        <v/>
      </c>
      <c r="I512" s="4" t="n"/>
      <c r="J512">
        <f>IF(I512="","",IF(I512&gt;G512,"LATE",""))</f>
        <v/>
      </c>
      <c r="K512" t="inlineStr">
        <is>
          <t>No application</t>
        </is>
      </c>
    </row>
    <row r="513">
      <c r="A513" t="inlineStr">
        <is>
          <t>TA-2024-00616</t>
        </is>
      </c>
      <c r="B513" t="inlineStr">
        <is>
          <t>Nanyang Aquarium &amp; Pets</t>
        </is>
      </c>
      <c r="C513" t="inlineStr">
        <is>
          <t>U-BV271-01-09</t>
        </is>
      </c>
      <c r="D513" t="inlineStr">
        <is>
          <t>Pet Shop</t>
        </is>
      </c>
      <c r="E513" s="4" t="n">
        <v>46660</v>
      </c>
      <c r="F513" s="5" t="n">
        <v>2340</v>
      </c>
      <c r="G513" s="4">
        <f>EDATE(E513,-6)</f>
        <v/>
      </c>
      <c r="I513" s="4" t="n"/>
      <c r="J513">
        <f>IF(I513="","",IF(I513&gt;G513,"LATE",""))</f>
        <v/>
      </c>
      <c r="K513" t="inlineStr">
        <is>
          <t>No application</t>
        </is>
      </c>
    </row>
    <row r="514">
      <c r="A514" t="inlineStr">
        <is>
          <t>TA-2024-00618</t>
        </is>
      </c>
      <c r="B514" t="inlineStr">
        <is>
          <t>Hock Lee Education Hub</t>
        </is>
      </c>
      <c r="C514" t="inlineStr">
        <is>
          <t>U-BV273-01-02</t>
        </is>
      </c>
      <c r="D514" t="inlineStr">
        <is>
          <t>Tuition Centre</t>
        </is>
      </c>
      <c r="E514" s="4" t="n">
        <v>46660</v>
      </c>
      <c r="F514" s="5" t="n">
        <v>2900</v>
      </c>
      <c r="G514" s="4">
        <f>EDATE(E514,-6)</f>
        <v/>
      </c>
      <c r="I514" s="4" t="n"/>
      <c r="J514">
        <f>IF(I514="","",IF(I514&gt;G514,"LATE",""))</f>
        <v/>
      </c>
      <c r="K514" t="inlineStr">
        <is>
          <t>No application</t>
        </is>
      </c>
    </row>
    <row r="515">
      <c r="A515" t="inlineStr">
        <is>
          <t>TA-2024-00619</t>
        </is>
      </c>
      <c r="B515" t="inlineStr">
        <is>
          <t>Suria Education Hub Pte Ltd</t>
        </is>
      </c>
      <c r="C515" t="inlineStr">
        <is>
          <t>U-BV283-01-01</t>
        </is>
      </c>
      <c r="D515" t="inlineStr">
        <is>
          <t>Tuition Centre</t>
        </is>
      </c>
      <c r="E515" s="4" t="n">
        <v>46660</v>
      </c>
      <c r="F515" s="5" t="n">
        <v>5710</v>
      </c>
      <c r="G515" s="4">
        <f>EDATE(E515,-6)</f>
        <v/>
      </c>
      <c r="I515" s="4" t="n"/>
      <c r="J515">
        <f>IF(I515="","",IF(I515&gt;G515,"LATE",""))</f>
        <v/>
      </c>
      <c r="K515" t="inlineStr">
        <is>
          <t>No application</t>
        </is>
      </c>
    </row>
    <row r="516">
      <c r="A516" t="inlineStr">
        <is>
          <t>TA-2024-00621</t>
        </is>
      </c>
      <c r="B516" t="inlineStr">
        <is>
          <t>PrimeValue Mart Pte Ltd</t>
        </is>
      </c>
      <c r="C516" t="inlineStr">
        <is>
          <t>U-BV290-01-06</t>
        </is>
      </c>
      <c r="D516" t="inlineStr">
        <is>
          <t>Minimart</t>
        </is>
      </c>
      <c r="E516" s="4" t="n">
        <v>46660</v>
      </c>
      <c r="F516" s="5" t="n">
        <v>6320</v>
      </c>
      <c r="G516" s="4">
        <f>EDATE(E516,-6)</f>
        <v/>
      </c>
      <c r="I516" s="4" t="n"/>
      <c r="J516">
        <f>IF(I516="","",IF(I516&gt;G516,"LATE",""))</f>
        <v/>
      </c>
      <c r="K516" t="inlineStr">
        <is>
          <t>No application</t>
        </is>
      </c>
    </row>
    <row r="517">
      <c r="A517" t="inlineStr">
        <is>
          <t>TA-2024-00623</t>
        </is>
      </c>
      <c r="B517" t="inlineStr">
        <is>
          <t>Pinnacle Family Clinic</t>
        </is>
      </c>
      <c r="C517" t="inlineStr">
        <is>
          <t>U-CD118-01-10</t>
        </is>
      </c>
      <c r="D517" t="inlineStr">
        <is>
          <t>GP Clinic</t>
        </is>
      </c>
      <c r="E517" s="4" t="n">
        <v>46660</v>
      </c>
      <c r="F517" s="5" t="n">
        <v>4060</v>
      </c>
      <c r="G517" s="4">
        <f>EDATE(E517,-6)</f>
        <v/>
      </c>
      <c r="I517" s="4" t="n"/>
      <c r="J517">
        <f>IF(I517="","",IF(I517&gt;G517,"LATE",""))</f>
        <v/>
      </c>
      <c r="K517" t="inlineStr">
        <is>
          <t>No application</t>
        </is>
      </c>
    </row>
    <row r="518">
      <c r="A518" t="inlineStr">
        <is>
          <t>TA-2024-00624</t>
        </is>
      </c>
      <c r="B518" t="inlineStr">
        <is>
          <t>New Life Learning Centre</t>
        </is>
      </c>
      <c r="C518" t="inlineStr">
        <is>
          <t>U-CD118-01-21</t>
        </is>
      </c>
      <c r="D518" t="inlineStr">
        <is>
          <t>Tuition Centre</t>
        </is>
      </c>
      <c r="E518" s="4" t="n">
        <v>46660</v>
      </c>
      <c r="F518" s="5" t="n">
        <v>3550</v>
      </c>
      <c r="G518" s="4">
        <f>EDATE(E518,-6)</f>
        <v/>
      </c>
      <c r="I518" s="4" t="n"/>
      <c r="J518">
        <f>IF(I518="","",IF(I518&gt;G518,"LATE",""))</f>
        <v/>
      </c>
      <c r="K518" t="inlineStr">
        <is>
          <t>No application</t>
        </is>
      </c>
    </row>
    <row r="519">
      <c r="A519" t="inlineStr">
        <is>
          <t>TA-2024-00625</t>
        </is>
      </c>
      <c r="B519" t="inlineStr">
        <is>
          <t>Lakshmi Accounting Services Pte Ltd</t>
        </is>
      </c>
      <c r="C519" t="inlineStr">
        <is>
          <t>U-CD119-02-07</t>
        </is>
      </c>
      <c r="D519" t="inlineStr">
        <is>
          <t>Professional Services Office</t>
        </is>
      </c>
      <c r="E519" s="4" t="n">
        <v>46660</v>
      </c>
      <c r="F519" s="5" t="n">
        <v>2410</v>
      </c>
      <c r="G519" s="4">
        <f>EDATE(E519,-6)</f>
        <v/>
      </c>
      <c r="I519" s="4" t="n"/>
      <c r="J519">
        <f>IF(I519="","",IF(I519&gt;G519,"LATE",""))</f>
        <v/>
      </c>
      <c r="K519" t="inlineStr">
        <is>
          <t>No application</t>
        </is>
      </c>
    </row>
    <row r="520">
      <c r="A520" t="inlineStr">
        <is>
          <t>TA-2024-00626</t>
        </is>
      </c>
      <c r="B520" t="inlineStr">
        <is>
          <t>Bayu Learning Centre Pte Ltd</t>
        </is>
      </c>
      <c r="C520" t="inlineStr">
        <is>
          <t>U-CD131-02-06</t>
        </is>
      </c>
      <c r="D520" t="inlineStr">
        <is>
          <t>Tuition Centre</t>
        </is>
      </c>
      <c r="E520" s="4" t="n">
        <v>46660</v>
      </c>
      <c r="F520" s="5" t="n">
        <v>2050</v>
      </c>
      <c r="G520" s="4">
        <f>EDATE(E520,-6)</f>
        <v/>
      </c>
      <c r="I520" s="4" t="n"/>
      <c r="J520">
        <f>IF(I520="","",IF(I520&gt;G520,"LATE",""))</f>
        <v/>
      </c>
      <c r="K520" t="inlineStr">
        <is>
          <t>No application</t>
        </is>
      </c>
    </row>
    <row r="521">
      <c r="A521" t="inlineStr">
        <is>
          <t>TA-2024-00628</t>
        </is>
      </c>
      <c r="B521" t="inlineStr">
        <is>
          <t>Old Town Medical Hall</t>
        </is>
      </c>
      <c r="C521" t="inlineStr">
        <is>
          <t>U-CD133-02-11</t>
        </is>
      </c>
      <c r="D521" t="inlineStr">
        <is>
          <t>TCM Clinic</t>
        </is>
      </c>
      <c r="E521" s="4" t="n">
        <v>46660</v>
      </c>
      <c r="F521" s="5" t="n">
        <v>2770</v>
      </c>
      <c r="G521" s="4">
        <f>EDATE(E521,-6)</f>
        <v/>
      </c>
      <c r="I521" s="4" t="n"/>
      <c r="J521">
        <f>IF(I521="","",IF(I521&gt;G521,"LATE",""))</f>
        <v/>
      </c>
      <c r="K521" t="inlineStr">
        <is>
          <t>No application</t>
        </is>
      </c>
    </row>
    <row r="522">
      <c r="A522" t="inlineStr">
        <is>
          <t>TA-2024-00630</t>
        </is>
      </c>
      <c r="B522" t="inlineStr">
        <is>
          <t>New Life Bubble Tea</t>
        </is>
      </c>
      <c r="C522" t="inlineStr">
        <is>
          <t>U-CD143-01-03</t>
        </is>
      </c>
      <c r="D522" t="inlineStr">
        <is>
          <t>Bubble Tea</t>
        </is>
      </c>
      <c r="E522" s="4" t="n">
        <v>46660</v>
      </c>
      <c r="F522" s="5" t="n">
        <v>2250</v>
      </c>
      <c r="G522" s="4">
        <f>EDATE(E522,-6)</f>
        <v/>
      </c>
      <c r="I522" s="4" t="n"/>
      <c r="J522">
        <f>IF(I522="","",IF(I522&gt;G522,"LATE",""))</f>
        <v/>
      </c>
      <c r="K522" t="inlineStr">
        <is>
          <t>No application</t>
        </is>
      </c>
    </row>
    <row r="523">
      <c r="A523" t="inlineStr">
        <is>
          <t>TA-2024-00631</t>
        </is>
      </c>
      <c r="B523" t="inlineStr">
        <is>
          <t>Smart Kids Beauty &amp; Hair</t>
        </is>
      </c>
      <c r="C523" t="inlineStr">
        <is>
          <t>U-CD173-01-04</t>
        </is>
      </c>
      <c r="D523" t="inlineStr">
        <is>
          <t>Hair Salon</t>
        </is>
      </c>
      <c r="E523" s="4" t="n">
        <v>46660</v>
      </c>
      <c r="F523" s="5" t="n">
        <v>2740</v>
      </c>
      <c r="G523" s="4">
        <f>EDATE(E523,-6)</f>
        <v/>
      </c>
      <c r="H523" t="inlineStr">
        <is>
          <t>APP-2026-0097</t>
        </is>
      </c>
      <c r="I523" s="4" t="n">
        <v>46115</v>
      </c>
      <c r="J523">
        <f>IF(I523="","",IF(I523&gt;G523,"LATE",""))</f>
        <v/>
      </c>
      <c r="K523" t="inlineStr">
        <is>
          <t>Approved</t>
        </is>
      </c>
    </row>
    <row r="524">
      <c r="A524" t="inlineStr">
        <is>
          <t>TA-2024-00632</t>
        </is>
      </c>
      <c r="B524" t="inlineStr">
        <is>
          <t>Raja Hardware &amp; Electrical Pte Ltd</t>
        </is>
      </c>
      <c r="C524" t="inlineStr">
        <is>
          <t>U-CD173-01-09</t>
        </is>
      </c>
      <c r="D524" t="inlineStr">
        <is>
          <t>Hardware</t>
        </is>
      </c>
      <c r="E524" s="4" t="n">
        <v>46660</v>
      </c>
      <c r="F524" s="5" t="n">
        <v>5420</v>
      </c>
      <c r="G524" s="4">
        <f>EDATE(E524,-6)</f>
        <v/>
      </c>
      <c r="I524" s="4" t="n"/>
      <c r="J524">
        <f>IF(I524="","",IF(I524&gt;G524,"LATE",""))</f>
        <v/>
      </c>
      <c r="K524" t="inlineStr">
        <is>
          <t>No application</t>
        </is>
      </c>
    </row>
    <row r="525">
      <c r="A525" t="inlineStr">
        <is>
          <t>TA-2024-00633</t>
        </is>
      </c>
      <c r="B525" t="inlineStr">
        <is>
          <t>Evergreen Eating Place</t>
        </is>
      </c>
      <c r="C525" t="inlineStr">
        <is>
          <t>U-CD185-01-09</t>
        </is>
      </c>
      <c r="D525" t="inlineStr">
        <is>
          <t>Restaurant</t>
        </is>
      </c>
      <c r="E525" s="4" t="n">
        <v>46660</v>
      </c>
      <c r="F525" s="5" t="n">
        <v>5160</v>
      </c>
      <c r="G525" s="4">
        <f>EDATE(E525,-6)</f>
        <v/>
      </c>
      <c r="H525" t="inlineStr">
        <is>
          <t>APP-2026-0029</t>
        </is>
      </c>
      <c r="I525" s="4" t="n">
        <v>46054</v>
      </c>
      <c r="J525">
        <f>IF(I525="","",IF(I525&gt;G525,"LATE",""))</f>
        <v/>
      </c>
      <c r="K525" t="inlineStr">
        <is>
          <t>Approved</t>
        </is>
      </c>
    </row>
    <row r="526">
      <c r="A526" t="inlineStr">
        <is>
          <t>TA-2024-00635</t>
        </is>
      </c>
      <c r="B526" t="inlineStr">
        <is>
          <t>Kim Hiap Telecom</t>
        </is>
      </c>
      <c r="C526" t="inlineStr">
        <is>
          <t>U-KR305-01-16</t>
        </is>
      </c>
      <c r="D526" t="inlineStr">
        <is>
          <t>Mobile Phone &amp; Accessories</t>
        </is>
      </c>
      <c r="E526" s="4" t="n">
        <v>46660</v>
      </c>
      <c r="F526" s="5" t="n">
        <v>4510</v>
      </c>
      <c r="G526" s="4">
        <f>EDATE(E526,-6)</f>
        <v/>
      </c>
      <c r="I526" s="4" t="n"/>
      <c r="J526">
        <f>IF(I526="","",IF(I526&gt;G526,"LATE",""))</f>
        <v/>
      </c>
      <c r="K526" t="inlineStr">
        <is>
          <t>No application</t>
        </is>
      </c>
    </row>
    <row r="527">
      <c r="A527" t="inlineStr">
        <is>
          <t>TA-2024-00636</t>
        </is>
      </c>
      <c r="B527" t="inlineStr">
        <is>
          <t>Soon Hin Kindergarten Pte Ltd</t>
        </is>
      </c>
      <c r="C527" t="inlineStr">
        <is>
          <t>U-KR318-02-07</t>
        </is>
      </c>
      <c r="D527" t="inlineStr">
        <is>
          <t>Childcare Centre</t>
        </is>
      </c>
      <c r="E527" s="4" t="n">
        <v>46660</v>
      </c>
      <c r="F527" s="5" t="n">
        <v>4520</v>
      </c>
      <c r="G527" s="4">
        <f>EDATE(E527,-6)</f>
        <v/>
      </c>
      <c r="I527" s="4" t="n"/>
      <c r="J527">
        <f>IF(I527="","",IF(I527&gt;G527,"LATE",""))</f>
        <v/>
      </c>
      <c r="K527" t="inlineStr">
        <is>
          <t>No application</t>
        </is>
      </c>
    </row>
    <row r="528">
      <c r="A528" t="inlineStr">
        <is>
          <t>TA-2024-00637</t>
        </is>
      </c>
      <c r="B528" t="inlineStr">
        <is>
          <t>Bayu Kindergarten</t>
        </is>
      </c>
      <c r="C528" t="inlineStr">
        <is>
          <t>U-KR333-02-10</t>
        </is>
      </c>
      <c r="D528" t="inlineStr">
        <is>
          <t>Childcare Centre</t>
        </is>
      </c>
      <c r="E528" s="4" t="n">
        <v>46660</v>
      </c>
      <c r="F528" s="5" t="n">
        <v>2550</v>
      </c>
      <c r="G528" s="4">
        <f>EDATE(E528,-6)</f>
        <v/>
      </c>
      <c r="I528" s="4" t="n"/>
      <c r="J528">
        <f>IF(I528="","",IF(I528&gt;G528,"LATE",""))</f>
        <v/>
      </c>
      <c r="K528" t="inlineStr">
        <is>
          <t>No application</t>
        </is>
      </c>
    </row>
    <row r="529">
      <c r="A529" t="inlineStr">
        <is>
          <t>TA-2024-00639</t>
        </is>
      </c>
      <c r="B529" t="inlineStr">
        <is>
          <t>Fortune Mart Pte Ltd</t>
        </is>
      </c>
      <c r="C529" t="inlineStr">
        <is>
          <t>U-KR356-01-09</t>
        </is>
      </c>
      <c r="D529" t="inlineStr">
        <is>
          <t>Minimart</t>
        </is>
      </c>
      <c r="E529" s="4" t="n">
        <v>46660</v>
      </c>
      <c r="F529" s="5" t="n">
        <v>4600</v>
      </c>
      <c r="G529" s="4">
        <f>EDATE(E529,-6)</f>
        <v/>
      </c>
      <c r="I529" s="4" t="n"/>
      <c r="J529">
        <f>IF(I529="","",IF(I529&gt;G529,"LATE",""))</f>
        <v/>
      </c>
      <c r="K529" t="inlineStr">
        <is>
          <t>No application</t>
        </is>
      </c>
    </row>
    <row r="530">
      <c r="A530" t="inlineStr">
        <is>
          <t>TA-2024-00640</t>
        </is>
      </c>
      <c r="B530" t="inlineStr">
        <is>
          <t>Mei Ling Medical Clinic</t>
        </is>
      </c>
      <c r="C530" t="inlineStr">
        <is>
          <t>U-KR372-01-08</t>
        </is>
      </c>
      <c r="D530" t="inlineStr">
        <is>
          <t>GP Clinic</t>
        </is>
      </c>
      <c r="E530" s="4" t="n">
        <v>46660</v>
      </c>
      <c r="F530" s="5" t="n">
        <v>3210</v>
      </c>
      <c r="G530" s="4">
        <f>EDATE(E530,-6)</f>
        <v/>
      </c>
      <c r="I530" s="4" t="n"/>
      <c r="J530">
        <f>IF(I530="","",IF(I530&gt;G530,"LATE",""))</f>
        <v/>
      </c>
      <c r="K530" t="inlineStr">
        <is>
          <t>No application</t>
        </is>
      </c>
    </row>
    <row r="531">
      <c r="A531" t="inlineStr">
        <is>
          <t>TA-2024-00641</t>
        </is>
      </c>
      <c r="B531" t="inlineStr">
        <is>
          <t>Little Sprouts Fruits</t>
        </is>
      </c>
      <c r="C531" t="inlineStr">
        <is>
          <t>U-KR379-01-04</t>
        </is>
      </c>
      <c r="D531" t="inlineStr">
        <is>
          <t>Fruit Shop</t>
        </is>
      </c>
      <c r="E531" s="4" t="n">
        <v>46660</v>
      </c>
      <c r="F531" s="5" t="n">
        <v>5300</v>
      </c>
      <c r="G531" s="4">
        <f>EDATE(E531,-6)</f>
        <v/>
      </c>
      <c r="I531" s="4" t="n"/>
      <c r="J531">
        <f>IF(I531="","",IF(I531&gt;G531,"LATE",""))</f>
        <v/>
      </c>
      <c r="K531" t="inlineStr">
        <is>
          <t>No application</t>
        </is>
      </c>
    </row>
    <row r="532">
      <c r="A532" t="inlineStr">
        <is>
          <t>TA-2024-00642</t>
        </is>
      </c>
      <c r="B532" t="inlineStr">
        <is>
          <t>Kian Huat Mobile Pte Ltd</t>
        </is>
      </c>
      <c r="C532" t="inlineStr">
        <is>
          <t>U-PI606-01-03</t>
        </is>
      </c>
      <c r="D532" t="inlineStr">
        <is>
          <t>Mobile Phone &amp; Accessories</t>
        </is>
      </c>
      <c r="E532" s="4" t="n">
        <v>46660</v>
      </c>
      <c r="F532" s="5" t="n">
        <v>3920</v>
      </c>
      <c r="G532" s="4">
        <f>EDATE(E532,-6)</f>
        <v/>
      </c>
      <c r="I532" s="4" t="n"/>
      <c r="J532">
        <f>IF(I532="","",IF(I532&gt;G532,"LATE",""))</f>
        <v/>
      </c>
      <c r="K532" t="inlineStr">
        <is>
          <t>No application</t>
        </is>
      </c>
    </row>
    <row r="533">
      <c r="A533" t="inlineStr">
        <is>
          <t>TA-2024-00643</t>
        </is>
      </c>
      <c r="B533" t="inlineStr">
        <is>
          <t>Phoenix Supermarket Pte Ltd</t>
        </is>
      </c>
      <c r="C533" t="inlineStr">
        <is>
          <t>U-PI609-01-05</t>
        </is>
      </c>
      <c r="D533" t="inlineStr">
        <is>
          <t>Minimart</t>
        </is>
      </c>
      <c r="E533" s="4" t="n">
        <v>46660</v>
      </c>
      <c r="F533" s="5" t="n">
        <v>4510</v>
      </c>
      <c r="G533" s="4">
        <f>EDATE(E533,-6)</f>
        <v/>
      </c>
      <c r="I533" s="4" t="n"/>
      <c r="J533">
        <f>IF(I533="","",IF(I533&gt;G533,"LATE",""))</f>
        <v/>
      </c>
      <c r="K533" t="inlineStr">
        <is>
          <t>No application</t>
        </is>
      </c>
    </row>
    <row r="534">
      <c r="A534" t="inlineStr">
        <is>
          <t>TA-2024-00645</t>
        </is>
      </c>
      <c r="B534" t="inlineStr">
        <is>
          <t>PrimeValue Mart Pte Ltd</t>
        </is>
      </c>
      <c r="C534" t="inlineStr">
        <is>
          <t>U-PI615-01-06</t>
        </is>
      </c>
      <c r="D534" t="inlineStr">
        <is>
          <t>Minimart</t>
        </is>
      </c>
      <c r="E534" s="4" t="n">
        <v>46660</v>
      </c>
      <c r="F534" s="5" t="n">
        <v>3620</v>
      </c>
      <c r="G534" s="4">
        <f>EDATE(E534,-6)</f>
        <v/>
      </c>
      <c r="I534" s="4" t="n"/>
      <c r="J534">
        <f>IF(I534="","",IF(I534&gt;G534,"LATE",""))</f>
        <v/>
      </c>
      <c r="K534" t="inlineStr">
        <is>
          <t>No application</t>
        </is>
      </c>
    </row>
    <row r="535">
      <c r="A535" t="inlineStr">
        <is>
          <t>TA-2024-00647</t>
        </is>
      </c>
      <c r="B535" t="inlineStr">
        <is>
          <t>Fortune TCM Clinic</t>
        </is>
      </c>
      <c r="C535" t="inlineStr">
        <is>
          <t>U-PI626-01-09</t>
        </is>
      </c>
      <c r="D535" t="inlineStr">
        <is>
          <t>TCM Clinic</t>
        </is>
      </c>
      <c r="E535" s="4" t="n">
        <v>46660</v>
      </c>
      <c r="F535" s="5" t="n">
        <v>3180</v>
      </c>
      <c r="G535" s="4">
        <f>EDATE(E535,-6)</f>
        <v/>
      </c>
      <c r="I535" s="4" t="n"/>
      <c r="J535">
        <f>IF(I535="","",IF(I535&gt;G535,"LATE",""))</f>
        <v/>
      </c>
      <c r="K535" t="inlineStr">
        <is>
          <t>No application</t>
        </is>
      </c>
    </row>
    <row r="536">
      <c r="A536" t="inlineStr">
        <is>
          <t>TA-2024-00648</t>
        </is>
      </c>
      <c r="B536" t="inlineStr">
        <is>
          <t>Mutiara Provision Shop</t>
        </is>
      </c>
      <c r="C536" t="inlineStr">
        <is>
          <t>U-PI627-01-08</t>
        </is>
      </c>
      <c r="D536" t="inlineStr">
        <is>
          <t>Provision Shop</t>
        </is>
      </c>
      <c r="E536" s="4" t="n">
        <v>46660</v>
      </c>
      <c r="F536" s="5" t="n">
        <v>3900</v>
      </c>
      <c r="G536" s="4">
        <f>EDATE(E536,-6)</f>
        <v/>
      </c>
      <c r="I536" s="4" t="n"/>
      <c r="J536">
        <f>IF(I536="","",IF(I536&gt;G536,"LATE",""))</f>
        <v/>
      </c>
      <c r="K536" t="inlineStr">
        <is>
          <t>No application</t>
        </is>
      </c>
    </row>
    <row r="537">
      <c r="A537" t="inlineStr">
        <is>
          <t>TA-2024-00649</t>
        </is>
      </c>
      <c r="B537" t="inlineStr">
        <is>
          <t>Tan Brothers Mart Pte Ltd</t>
        </is>
      </c>
      <c r="C537" t="inlineStr">
        <is>
          <t>U-PI634-01-05</t>
        </is>
      </c>
      <c r="D537" t="inlineStr">
        <is>
          <t>Minimart</t>
        </is>
      </c>
      <c r="E537" s="4" t="n">
        <v>46660</v>
      </c>
      <c r="F537" s="5" t="n">
        <v>2750</v>
      </c>
      <c r="G537" s="4">
        <f>EDATE(E537,-6)</f>
        <v/>
      </c>
      <c r="I537" s="4" t="n"/>
      <c r="J537">
        <f>IF(I537="","",IF(I537&gt;G537,"LATE",""))</f>
        <v/>
      </c>
      <c r="K537" t="inlineStr">
        <is>
          <t>No application</t>
        </is>
      </c>
    </row>
    <row r="538">
      <c r="A538" t="inlineStr">
        <is>
          <t>TA-2024-00650</t>
        </is>
      </c>
      <c r="B538" t="inlineStr">
        <is>
          <t>Sin Hock Consultancy</t>
        </is>
      </c>
      <c r="C538" t="inlineStr">
        <is>
          <t>U-PI644-02-05</t>
        </is>
      </c>
      <c r="D538" t="inlineStr">
        <is>
          <t>Professional Services Office</t>
        </is>
      </c>
      <c r="E538" s="4" t="n">
        <v>46660</v>
      </c>
      <c r="F538" s="5" t="n">
        <v>1620</v>
      </c>
      <c r="G538" s="4">
        <f>EDATE(E538,-6)</f>
        <v/>
      </c>
      <c r="I538" s="4" t="n"/>
      <c r="J538">
        <f>IF(I538="","",IF(I538&gt;G538,"LATE",""))</f>
        <v/>
      </c>
      <c r="K538" t="inlineStr">
        <is>
          <t>No application</t>
        </is>
      </c>
    </row>
    <row r="539">
      <c r="A539" t="inlineStr">
        <is>
          <t>TA-2024-00651</t>
        </is>
      </c>
      <c r="B539" t="inlineStr">
        <is>
          <t>Amanah Hair Salon</t>
        </is>
      </c>
      <c r="C539" t="inlineStr">
        <is>
          <t>U-PI679-01-08</t>
        </is>
      </c>
      <c r="D539" t="inlineStr">
        <is>
          <t>Hair Salon</t>
        </is>
      </c>
      <c r="E539" s="4" t="n">
        <v>46660</v>
      </c>
      <c r="F539" s="5" t="n">
        <v>2310</v>
      </c>
      <c r="G539" s="4">
        <f>EDATE(E539,-6)</f>
        <v/>
      </c>
      <c r="I539" s="4" t="n"/>
      <c r="J539">
        <f>IF(I539="","",IF(I539&gt;G539,"LATE",""))</f>
        <v/>
      </c>
      <c r="K539" t="inlineStr">
        <is>
          <t>No application</t>
        </is>
      </c>
    </row>
    <row r="540">
      <c r="A540" t="inlineStr">
        <is>
          <t>TA-2024-00653</t>
        </is>
      </c>
      <c r="B540" t="inlineStr">
        <is>
          <t>Thye Hin Optical Pte Ltd</t>
        </is>
      </c>
      <c r="C540" t="inlineStr">
        <is>
          <t>U-PI684-01-04</t>
        </is>
      </c>
      <c r="D540" t="inlineStr">
        <is>
          <t>Optical</t>
        </is>
      </c>
      <c r="E540" s="4" t="n">
        <v>46660</v>
      </c>
      <c r="F540" s="5" t="n">
        <v>3340</v>
      </c>
      <c r="G540" s="4">
        <f>EDATE(E540,-6)</f>
        <v/>
      </c>
      <c r="I540" s="4" t="n"/>
      <c r="J540">
        <f>IF(I540="","",IF(I540&gt;G540,"LATE",""))</f>
        <v/>
      </c>
      <c r="K540" t="inlineStr">
        <is>
          <t>No application</t>
        </is>
      </c>
    </row>
    <row r="541">
      <c r="A541" t="inlineStr">
        <is>
          <t>TA-2024-00655</t>
        </is>
      </c>
      <c r="B541" t="inlineStr">
        <is>
          <t>Kampung Mobile Pte Ltd</t>
        </is>
      </c>
      <c r="C541" t="inlineStr">
        <is>
          <t>U-PI693-01-01</t>
        </is>
      </c>
      <c r="D541" t="inlineStr">
        <is>
          <t>Mobile Phone &amp; Accessories</t>
        </is>
      </c>
      <c r="E541" s="4" t="n">
        <v>46660</v>
      </c>
      <c r="F541" s="5" t="n">
        <v>1640</v>
      </c>
      <c r="G541" s="4">
        <f>EDATE(E541,-6)</f>
        <v/>
      </c>
      <c r="I541" s="4" t="n"/>
      <c r="J541">
        <f>IF(I541="","",IF(I541&gt;G541,"LATE",""))</f>
        <v/>
      </c>
      <c r="K541" t="inlineStr">
        <is>
          <t>No application</t>
        </is>
      </c>
    </row>
    <row r="542">
      <c r="A542" t="inlineStr">
        <is>
          <t>TA-2024-00657</t>
        </is>
      </c>
      <c r="B542" t="inlineStr">
        <is>
          <t>Kumar Telecom</t>
        </is>
      </c>
      <c r="C542" t="inlineStr">
        <is>
          <t>U-PI693-01-03</t>
        </is>
      </c>
      <c r="D542" t="inlineStr">
        <is>
          <t>Mobile Phone &amp; Accessories</t>
        </is>
      </c>
      <c r="E542" s="4" t="n">
        <v>46660</v>
      </c>
      <c r="F542" s="5" t="n">
        <v>1360</v>
      </c>
      <c r="G542" s="4">
        <f>EDATE(E542,-6)</f>
        <v/>
      </c>
      <c r="I542" s="4" t="n"/>
      <c r="J542">
        <f>IF(I542="","",IF(I542&gt;G542,"LATE",""))</f>
        <v/>
      </c>
      <c r="K542" t="inlineStr">
        <is>
          <t>No application</t>
        </is>
      </c>
    </row>
    <row r="543">
      <c r="A543" t="inlineStr">
        <is>
          <t>TA-2024-00658</t>
        </is>
      </c>
      <c r="B543" t="inlineStr">
        <is>
          <t>Tian Fu Minimart Pte Ltd</t>
        </is>
      </c>
      <c r="C543" t="inlineStr">
        <is>
          <t>U-RH450-01-07</t>
        </is>
      </c>
      <c r="D543" t="inlineStr">
        <is>
          <t>Minimart</t>
        </is>
      </c>
      <c r="E543" s="4" t="n">
        <v>46660</v>
      </c>
      <c r="F543" s="5" t="n">
        <v>3900</v>
      </c>
      <c r="G543" s="4">
        <f>EDATE(E543,-6)</f>
        <v/>
      </c>
      <c r="I543" s="4" t="n"/>
      <c r="J543">
        <f>IF(I543="","",IF(I543&gt;G543,"LATE",""))</f>
        <v/>
      </c>
      <c r="K543" t="inlineStr">
        <is>
          <t>No application</t>
        </is>
      </c>
    </row>
    <row r="544">
      <c r="A544" t="inlineStr">
        <is>
          <t>TA-2024-00660</t>
        </is>
      </c>
      <c r="B544" t="inlineStr">
        <is>
          <t>Ah Seng Medical Supplies Pte Ltd</t>
        </is>
      </c>
      <c r="C544" t="inlineStr">
        <is>
          <t>U-RH456-01-01</t>
        </is>
      </c>
      <c r="D544" t="inlineStr">
        <is>
          <t>Pharmacy</t>
        </is>
      </c>
      <c r="E544" s="4" t="n">
        <v>46660</v>
      </c>
      <c r="F544" s="5" t="n">
        <v>2220</v>
      </c>
      <c r="G544" s="4">
        <f>EDATE(E544,-6)</f>
        <v/>
      </c>
      <c r="I544" s="4" t="n"/>
      <c r="J544">
        <f>IF(I544="","",IF(I544&gt;G544,"LATE",""))</f>
        <v/>
      </c>
      <c r="K544" t="inlineStr">
        <is>
          <t>No application</t>
        </is>
      </c>
    </row>
    <row r="545">
      <c r="A545" t="inlineStr">
        <is>
          <t>TA-2024-00661</t>
        </is>
      </c>
      <c r="B545" t="inlineStr">
        <is>
          <t>Evergreen Learning Centre Pte Ltd</t>
        </is>
      </c>
      <c r="C545" t="inlineStr">
        <is>
          <t>U-RH456-01-07</t>
        </is>
      </c>
      <c r="D545" t="inlineStr">
        <is>
          <t>Tuition Centre</t>
        </is>
      </c>
      <c r="E545" s="4" t="n">
        <v>46660</v>
      </c>
      <c r="F545" s="5" t="n">
        <v>3780</v>
      </c>
      <c r="G545" s="4">
        <f>EDATE(E545,-6)</f>
        <v/>
      </c>
      <c r="I545" s="4" t="n"/>
      <c r="J545">
        <f>IF(I545="","",IF(I545&gt;G545,"LATE",""))</f>
        <v/>
      </c>
      <c r="K545" t="inlineStr">
        <is>
          <t>No application</t>
        </is>
      </c>
    </row>
    <row r="546">
      <c r="A546" t="inlineStr">
        <is>
          <t>TA-2024-00663</t>
        </is>
      </c>
      <c r="B546" t="inlineStr">
        <is>
          <t>Joo Chiat Dental Care</t>
        </is>
      </c>
      <c r="C546" t="inlineStr">
        <is>
          <t>U-RH482-02-03</t>
        </is>
      </c>
      <c r="D546" t="inlineStr">
        <is>
          <t>Dental Clinic</t>
        </is>
      </c>
      <c r="E546" s="4" t="n">
        <v>46660</v>
      </c>
      <c r="F546" s="5" t="n">
        <v>1990</v>
      </c>
      <c r="G546" s="4">
        <f>EDATE(E546,-6)</f>
        <v/>
      </c>
      <c r="I546" s="4" t="n"/>
      <c r="J546">
        <f>IF(I546="","",IF(I546&gt;G546,"LATE",""))</f>
        <v/>
      </c>
      <c r="K546" t="inlineStr">
        <is>
          <t>No application</t>
        </is>
      </c>
    </row>
    <row r="547">
      <c r="A547" t="inlineStr">
        <is>
          <t>TA-2024-00664</t>
        </is>
      </c>
      <c r="B547" t="inlineStr">
        <is>
          <t>Bloom Education Hub Pte Ltd</t>
        </is>
      </c>
      <c r="C547" t="inlineStr">
        <is>
          <t>U-RH485-01-07</t>
        </is>
      </c>
      <c r="D547" t="inlineStr">
        <is>
          <t>Tuition Centre</t>
        </is>
      </c>
      <c r="E547" s="4" t="n">
        <v>46660</v>
      </c>
      <c r="F547" s="5" t="n">
        <v>4120</v>
      </c>
      <c r="G547" s="4">
        <f>EDATE(E547,-6)</f>
        <v/>
      </c>
      <c r="I547" s="4" t="n"/>
      <c r="J547">
        <f>IF(I547="","",IF(I547&gt;G547,"LATE",""))</f>
        <v/>
      </c>
      <c r="K547" t="inlineStr">
        <is>
          <t>No application</t>
        </is>
      </c>
    </row>
    <row r="548">
      <c r="A548" t="inlineStr">
        <is>
          <t>TA-2024-00666</t>
        </is>
      </c>
      <c r="B548" t="inlineStr">
        <is>
          <t>Thye Hin Mart Pte Ltd</t>
        </is>
      </c>
      <c r="C548" t="inlineStr">
        <is>
          <t>U-RH491-01-05</t>
        </is>
      </c>
      <c r="D548" t="inlineStr">
        <is>
          <t>Minimart</t>
        </is>
      </c>
      <c r="E548" s="4" t="n">
        <v>46660</v>
      </c>
      <c r="F548" s="5" t="n">
        <v>4350</v>
      </c>
      <c r="G548" s="4">
        <f>EDATE(E548,-6)</f>
        <v/>
      </c>
      <c r="I548" s="4" t="n"/>
      <c r="J548">
        <f>IF(I548="","",IF(I548&gt;G548,"LATE",""))</f>
        <v/>
      </c>
      <c r="K548" t="inlineStr">
        <is>
          <t>No application</t>
        </is>
      </c>
    </row>
    <row r="549">
      <c r="A549" t="inlineStr">
        <is>
          <t>TA-2024-00667</t>
        </is>
      </c>
      <c r="B549" t="inlineStr">
        <is>
          <t>PrimeValue Mart Pte Ltd</t>
        </is>
      </c>
      <c r="C549" t="inlineStr">
        <is>
          <t>U-ST528-01-04</t>
        </is>
      </c>
      <c r="D549" t="inlineStr">
        <is>
          <t>Minimart</t>
        </is>
      </c>
      <c r="E549" s="4" t="n">
        <v>46660</v>
      </c>
      <c r="F549" s="5" t="n">
        <v>3010</v>
      </c>
      <c r="G549" s="4">
        <f>EDATE(E549,-6)</f>
        <v/>
      </c>
      <c r="I549" s="4" t="n"/>
      <c r="J549">
        <f>IF(I549="","",IF(I549&gt;G549,"LATE",""))</f>
        <v/>
      </c>
      <c r="K549" t="inlineStr">
        <is>
          <t>No application</t>
        </is>
      </c>
    </row>
    <row r="550">
      <c r="A550" t="inlineStr">
        <is>
          <t>TA-2024-00668</t>
        </is>
      </c>
      <c r="B550" t="inlineStr">
        <is>
          <t>Kian Huat Accounting Services</t>
        </is>
      </c>
      <c r="C550" t="inlineStr">
        <is>
          <t>U-ST556-02-04</t>
        </is>
      </c>
      <c r="D550" t="inlineStr">
        <is>
          <t>Professional Services Office</t>
        </is>
      </c>
      <c r="E550" s="4" t="n">
        <v>46660</v>
      </c>
      <c r="F550" s="5" t="n">
        <v>2140</v>
      </c>
      <c r="G550" s="4">
        <f>EDATE(E550,-6)</f>
        <v/>
      </c>
      <c r="I550" s="4" t="n"/>
      <c r="J550">
        <f>IF(I550="","",IF(I550&gt;G550,"LATE",""))</f>
        <v/>
      </c>
      <c r="K550" t="inlineStr">
        <is>
          <t>No application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Aishah Yusof</dc:creator>
  <dc:title xmlns:dc="http://purl.org/dc/elements/1.1/">Renewals Pipeline FY2026</dc:title>
  <dcterms:created xmlns:dcterms="http://purl.org/dc/terms/" xmlns:xsi="http://www.w3.org/2001/XMLSchema-instance" xsi:type="dcterms:W3CDTF">2026-09-25T09:00:00Z</dcterms:created>
  <dcterms:modified xmlns:dcterms="http://purl.org/dc/terms/" xmlns:xsi="http://www.w3.org/2001/XMLSchema-instance" xsi:type="dcterms:W3CDTF">2026-10-10T09:29:41Z</dcterms:modified>
  <cp:lastModifiedBy>Siti Aishah Yusof</cp:lastModifiedBy>
</cp:coreProperties>
</file>