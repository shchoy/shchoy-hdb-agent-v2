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By Town" sheetId="2" state="visible" r:id="rId2"/>
    <sheet xmlns:r="http://schemas.openxmlformats.org/officeDocument/2006/relationships"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S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3A5F"/>
      <sz val="14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6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  <col width="10" customWidth="1" min="10" max="10"/>
    <col width="14" customWidth="1" min="11" max="11"/>
    <col width="14" customWidth="1" min="12" max="12"/>
  </cols>
  <sheetData>
    <row r="1">
      <c r="A1" s="1" t="inlineStr">
        <is>
          <t>Tenancy ID</t>
        </is>
      </c>
      <c r="B1" s="1" t="inlineStr">
        <is>
          <t>Unit ID</t>
        </is>
      </c>
      <c r="C1" s="1" t="inlineStr">
        <is>
          <t>Tenant</t>
        </is>
      </c>
      <c r="D1" s="1" t="inlineStr">
        <is>
          <t>Trade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Monthly rent</t>
        </is>
      </c>
      <c r="H1" s="1" t="inlineStr">
        <is>
          <t>Town (lookup)</t>
        </is>
      </c>
      <c r="I1" s="1" t="inlineStr">
        <is>
          <t>Area sqm (lookup)</t>
        </is>
      </c>
      <c r="J1" s="1" t="inlineStr">
        <is>
          <t>Rent psm</t>
        </is>
      </c>
      <c r="K1" s="1" t="inlineStr">
        <is>
          <t>Annual rent</t>
        </is>
      </c>
      <c r="L1" s="1" t="inlineStr">
        <is>
          <t>Deposit held</t>
        </is>
      </c>
    </row>
    <row r="2">
      <c r="A2" t="inlineStr">
        <is>
          <t>TA-2023-00002</t>
        </is>
      </c>
      <c r="B2" t="inlineStr">
        <is>
          <t>U-BV212-01-11</t>
        </is>
      </c>
      <c r="C2" t="inlineStr">
        <is>
          <t>Nanyang Mart</t>
        </is>
      </c>
      <c r="D2" t="inlineStr">
        <is>
          <t>Minimart</t>
        </is>
      </c>
      <c r="E2" s="2" t="n">
        <v>45200</v>
      </c>
      <c r="F2" s="2" t="n">
        <v>46295</v>
      </c>
      <c r="G2" s="3" t="n">
        <v>5110</v>
      </c>
      <c r="H2">
        <f>VLOOKUP(B2,Units!$A$2:$G$1646,2,FALSE)</f>
        <v/>
      </c>
      <c r="I2">
        <f>VLOOKUP(B2,Units!$A$2:$G$1646,5,FALSE)</f>
        <v/>
      </c>
      <c r="J2" s="3">
        <f>G2/I2</f>
        <v/>
      </c>
      <c r="K2" s="3">
        <f>G2*12</f>
        <v/>
      </c>
      <c r="L2" s="3" t="n">
        <v>15330</v>
      </c>
    </row>
    <row r="3">
      <c r="A3" t="inlineStr">
        <is>
          <t>TA-2023-00003</t>
        </is>
      </c>
      <c r="B3" t="inlineStr">
        <is>
          <t>U-BV215-01-02</t>
        </is>
      </c>
      <c r="C3" t="inlineStr">
        <is>
          <t>PrimeValue Mart Pte Ltd</t>
        </is>
      </c>
      <c r="D3" t="inlineStr">
        <is>
          <t>Minimart</t>
        </is>
      </c>
      <c r="E3" s="2" t="n">
        <v>45200</v>
      </c>
      <c r="F3" s="2" t="n">
        <v>46295</v>
      </c>
      <c r="G3" s="3" t="n">
        <v>4530</v>
      </c>
      <c r="H3">
        <f>VLOOKUP(B3,Units!$A$2:$G$1646,2,FALSE)</f>
        <v/>
      </c>
      <c r="I3">
        <f>VLOOKUP(B3,Units!$A$2:$G$1646,5,FALSE)</f>
        <v/>
      </c>
      <c r="J3" s="3">
        <f>G3/I3</f>
        <v/>
      </c>
      <c r="K3" s="3">
        <f>G3*12</f>
        <v/>
      </c>
      <c r="L3" s="3" t="n">
        <v>13590</v>
      </c>
    </row>
    <row r="4">
      <c r="A4" t="inlineStr">
        <is>
          <t>TA-2023-00005</t>
        </is>
      </c>
      <c r="B4" t="inlineStr">
        <is>
          <t>U-BV229-01-05</t>
        </is>
      </c>
      <c r="C4" t="inlineStr">
        <is>
          <t>Hometown Minimart Pte Ltd</t>
        </is>
      </c>
      <c r="D4" t="inlineStr">
        <is>
          <t>Minimart</t>
        </is>
      </c>
      <c r="E4" s="2" t="n">
        <v>45200</v>
      </c>
      <c r="F4" s="2" t="n">
        <v>46295</v>
      </c>
      <c r="G4" s="3" t="n">
        <v>3290</v>
      </c>
      <c r="H4">
        <f>VLOOKUP(B4,Units!$A$2:$G$1646,2,FALSE)</f>
        <v/>
      </c>
      <c r="I4">
        <f>VLOOKUP(B4,Units!$A$2:$G$1646,5,FALSE)</f>
        <v/>
      </c>
      <c r="J4" s="3">
        <f>G4/I4</f>
        <v/>
      </c>
      <c r="K4" s="3">
        <f>G4*12</f>
        <v/>
      </c>
      <c r="L4" s="3" t="n">
        <v>9870</v>
      </c>
    </row>
    <row r="5">
      <c r="A5" t="inlineStr">
        <is>
          <t>TA-2023-00006</t>
        </is>
      </c>
      <c r="B5" t="inlineStr">
        <is>
          <t>U-BV229-02-01</t>
        </is>
      </c>
      <c r="C5" t="inlineStr">
        <is>
          <t>Barakah Tuition Centre</t>
        </is>
      </c>
      <c r="D5" t="inlineStr">
        <is>
          <t>Tuition Centre</t>
        </is>
      </c>
      <c r="E5" s="2" t="n">
        <v>45200</v>
      </c>
      <c r="F5" s="2" t="n">
        <v>46295</v>
      </c>
      <c r="G5" s="3" t="n">
        <v>3150</v>
      </c>
      <c r="H5">
        <f>VLOOKUP(B5,Units!$A$2:$G$1646,2,FALSE)</f>
        <v/>
      </c>
      <c r="I5">
        <f>VLOOKUP(B5,Units!$A$2:$G$1646,5,FALSE)</f>
        <v/>
      </c>
      <c r="J5" s="3">
        <f>G5/I5</f>
        <v/>
      </c>
      <c r="K5" s="3">
        <f>G5*12</f>
        <v/>
      </c>
      <c r="L5" s="3" t="n">
        <v>9450</v>
      </c>
    </row>
    <row r="6">
      <c r="A6" t="inlineStr">
        <is>
          <t>TA-2023-00007</t>
        </is>
      </c>
      <c r="B6" t="inlineStr">
        <is>
          <t>U-BV279-01-07</t>
        </is>
      </c>
      <c r="C6" t="inlineStr">
        <is>
          <t>Amanah Fruit Trading</t>
        </is>
      </c>
      <c r="D6" t="inlineStr">
        <is>
          <t>Fruit Shop</t>
        </is>
      </c>
      <c r="E6" s="2" t="n">
        <v>45200</v>
      </c>
      <c r="F6" s="2" t="n">
        <v>46295</v>
      </c>
      <c r="G6" s="3" t="n">
        <v>6320</v>
      </c>
      <c r="H6">
        <f>VLOOKUP(B6,Units!$A$2:$G$1646,2,FALSE)</f>
        <v/>
      </c>
      <c r="I6">
        <f>VLOOKUP(B6,Units!$A$2:$G$1646,5,FALSE)</f>
        <v/>
      </c>
      <c r="J6" s="3">
        <f>G6/I6</f>
        <v/>
      </c>
      <c r="K6" s="3">
        <f>G6*12</f>
        <v/>
      </c>
      <c r="L6" s="3" t="n">
        <v>18960</v>
      </c>
    </row>
    <row r="7">
      <c r="A7" t="inlineStr">
        <is>
          <t>TA-2023-00008</t>
        </is>
      </c>
      <c r="B7" t="inlineStr">
        <is>
          <t>U-BV283-01-07</t>
        </is>
      </c>
      <c r="C7" t="inlineStr">
        <is>
          <t>Mutiara Clinic &amp; Surgery</t>
        </is>
      </c>
      <c r="D7" t="inlineStr">
        <is>
          <t>GP Clinic</t>
        </is>
      </c>
      <c r="E7" s="2" t="n">
        <v>45200</v>
      </c>
      <c r="F7" s="2" t="n">
        <v>46295</v>
      </c>
      <c r="G7" s="3" t="n">
        <v>4150</v>
      </c>
      <c r="H7">
        <f>VLOOKUP(B7,Units!$A$2:$G$1646,2,FALSE)</f>
        <v/>
      </c>
      <c r="I7">
        <f>VLOOKUP(B7,Units!$A$2:$G$1646,5,FALSE)</f>
        <v/>
      </c>
      <c r="J7" s="3">
        <f>G7/I7</f>
        <v/>
      </c>
      <c r="K7" s="3">
        <f>G7*12</f>
        <v/>
      </c>
      <c r="L7" s="3" t="n">
        <v>12450</v>
      </c>
    </row>
    <row r="8">
      <c r="A8" t="inlineStr">
        <is>
          <t>TA-2023-00009</t>
        </is>
      </c>
      <c r="B8" t="inlineStr">
        <is>
          <t>U-BV290-01-12</t>
        </is>
      </c>
      <c r="C8" t="inlineStr">
        <is>
          <t>Tian Fu Learning Centre</t>
        </is>
      </c>
      <c r="D8" t="inlineStr">
        <is>
          <t>Tuition Centre</t>
        </is>
      </c>
      <c r="E8" s="2" t="n">
        <v>45200</v>
      </c>
      <c r="F8" s="2" t="n">
        <v>46295</v>
      </c>
      <c r="G8" s="3" t="n">
        <v>5040</v>
      </c>
      <c r="H8">
        <f>VLOOKUP(B8,Units!$A$2:$G$1646,2,FALSE)</f>
        <v/>
      </c>
      <c r="I8">
        <f>VLOOKUP(B8,Units!$A$2:$G$1646,5,FALSE)</f>
        <v/>
      </c>
      <c r="J8" s="3">
        <f>G8/I8</f>
        <v/>
      </c>
      <c r="K8" s="3">
        <f>G8*12</f>
        <v/>
      </c>
      <c r="L8" s="3" t="n">
        <v>15120</v>
      </c>
    </row>
    <row r="9">
      <c r="A9" t="inlineStr">
        <is>
          <t>TA-2023-00011</t>
        </is>
      </c>
      <c r="B9" t="inlineStr">
        <is>
          <t>U-CD109-01-01</t>
        </is>
      </c>
      <c r="C9" t="inlineStr">
        <is>
          <t>Little Sprouts Kopitiam Pte Ltd</t>
        </is>
      </c>
      <c r="D9" t="inlineStr">
        <is>
          <t>Coffeeshop</t>
        </is>
      </c>
      <c r="E9" s="2" t="n">
        <v>45200</v>
      </c>
      <c r="F9" s="2" t="n">
        <v>46295</v>
      </c>
      <c r="G9" s="3" t="n">
        <v>10760</v>
      </c>
      <c r="H9">
        <f>VLOOKUP(B9,Units!$A$2:$G$1646,2,FALSE)</f>
        <v/>
      </c>
      <c r="I9">
        <f>VLOOKUP(B9,Units!$A$2:$G$1646,5,FALSE)</f>
        <v/>
      </c>
      <c r="J9" s="3">
        <f>G9/I9</f>
        <v/>
      </c>
      <c r="K9" s="3">
        <f>G9*12</f>
        <v/>
      </c>
      <c r="L9" s="3" t="n">
        <v>32280</v>
      </c>
    </row>
    <row r="10">
      <c r="A10" t="inlineStr">
        <is>
          <t>TA-2023-00013</t>
        </is>
      </c>
      <c r="B10" t="inlineStr">
        <is>
          <t>U-CD109-01-06</t>
        </is>
      </c>
      <c r="C10" t="inlineStr">
        <is>
          <t>Old Town Mart Pte Ltd</t>
        </is>
      </c>
      <c r="D10" t="inlineStr">
        <is>
          <t>Minimart</t>
        </is>
      </c>
      <c r="E10" s="2" t="n">
        <v>45200</v>
      </c>
      <c r="F10" s="2" t="n">
        <v>46295</v>
      </c>
      <c r="G10" s="3" t="n">
        <v>4490</v>
      </c>
      <c r="H10">
        <f>VLOOKUP(B10,Units!$A$2:$G$1646,2,FALSE)</f>
        <v/>
      </c>
      <c r="I10">
        <f>VLOOKUP(B10,Units!$A$2:$G$1646,5,FALSE)</f>
        <v/>
      </c>
      <c r="J10" s="3">
        <f>G10/I10</f>
        <v/>
      </c>
      <c r="K10" s="3">
        <f>G10*12</f>
        <v/>
      </c>
      <c r="L10" s="3" t="n">
        <v>13470</v>
      </c>
    </row>
    <row r="11">
      <c r="A11" t="inlineStr">
        <is>
          <t>TA-2023-00014</t>
        </is>
      </c>
      <c r="B11" t="inlineStr">
        <is>
          <t>U-CD118-01-12</t>
        </is>
      </c>
      <c r="C11" t="inlineStr">
        <is>
          <t>Everbright Bookstore</t>
        </is>
      </c>
      <c r="D11" t="inlineStr">
        <is>
          <t>Stationery &amp; Books</t>
        </is>
      </c>
      <c r="E11" s="2" t="n">
        <v>45200</v>
      </c>
      <c r="F11" s="2" t="n">
        <v>46295</v>
      </c>
      <c r="G11" s="3" t="n">
        <v>3960</v>
      </c>
      <c r="H11">
        <f>VLOOKUP(B11,Units!$A$2:$G$1646,2,FALSE)</f>
        <v/>
      </c>
      <c r="I11">
        <f>VLOOKUP(B11,Units!$A$2:$G$1646,5,FALSE)</f>
        <v/>
      </c>
      <c r="J11" s="3">
        <f>G11/I11</f>
        <v/>
      </c>
      <c r="K11" s="3">
        <f>G11*12</f>
        <v/>
      </c>
      <c r="L11" s="3" t="n">
        <v>11880</v>
      </c>
    </row>
    <row r="12">
      <c r="A12" t="inlineStr">
        <is>
          <t>TA-2023-00015</t>
        </is>
      </c>
      <c r="B12" t="inlineStr">
        <is>
          <t>U-CD118-01-14</t>
        </is>
      </c>
      <c r="C12" t="inlineStr">
        <is>
          <t>Evergreen Cake House</t>
        </is>
      </c>
      <c r="D12" t="inlineStr">
        <is>
          <t>Bakery &amp; Confectionery</t>
        </is>
      </c>
      <c r="E12" s="2" t="n">
        <v>45200</v>
      </c>
      <c r="F12" s="2" t="n">
        <v>46295</v>
      </c>
      <c r="G12" s="3" t="n">
        <v>5380</v>
      </c>
      <c r="H12">
        <f>VLOOKUP(B12,Units!$A$2:$G$1646,2,FALSE)</f>
        <v/>
      </c>
      <c r="I12">
        <f>VLOOKUP(B12,Units!$A$2:$G$1646,5,FALSE)</f>
        <v/>
      </c>
      <c r="J12" s="3">
        <f>G12/I12</f>
        <v/>
      </c>
      <c r="K12" s="3">
        <f>G12*12</f>
        <v/>
      </c>
      <c r="L12" s="3" t="n">
        <v>16140</v>
      </c>
    </row>
    <row r="13">
      <c r="A13" t="inlineStr">
        <is>
          <t>TA-2023-00016</t>
        </is>
      </c>
      <c r="B13" t="inlineStr">
        <is>
          <t>U-KR305-01-30</t>
        </is>
      </c>
      <c r="C13" t="inlineStr">
        <is>
          <t>Peng Kee Tuition Centre Pte Ltd</t>
        </is>
      </c>
      <c r="D13" t="inlineStr">
        <is>
          <t>Tuition Centre</t>
        </is>
      </c>
      <c r="E13" s="2" t="n">
        <v>45200</v>
      </c>
      <c r="F13" s="2" t="n">
        <v>46295</v>
      </c>
      <c r="G13" s="3" t="n">
        <v>4460</v>
      </c>
      <c r="H13">
        <f>VLOOKUP(B13,Units!$A$2:$G$1646,2,FALSE)</f>
        <v/>
      </c>
      <c r="I13">
        <f>VLOOKUP(B13,Units!$A$2:$G$1646,5,FALSE)</f>
        <v/>
      </c>
      <c r="J13" s="3">
        <f>G13/I13</f>
        <v/>
      </c>
      <c r="K13" s="3">
        <f>G13*12</f>
        <v/>
      </c>
      <c r="L13" s="3" t="n">
        <v>13380</v>
      </c>
    </row>
    <row r="14">
      <c r="A14" t="inlineStr">
        <is>
          <t>TA-2023-00017</t>
        </is>
      </c>
      <c r="B14" t="inlineStr">
        <is>
          <t>U-KR333-01-09</t>
        </is>
      </c>
      <c r="C14" t="inlineStr">
        <is>
          <t>Amanah Trading</t>
        </is>
      </c>
      <c r="D14" t="inlineStr">
        <is>
          <t>Provision Shop</t>
        </is>
      </c>
      <c r="E14" s="2" t="n">
        <v>45200</v>
      </c>
      <c r="F14" s="2" t="n">
        <v>46295</v>
      </c>
      <c r="G14" s="3" t="n">
        <v>5210</v>
      </c>
      <c r="H14">
        <f>VLOOKUP(B14,Units!$A$2:$G$1646,2,FALSE)</f>
        <v/>
      </c>
      <c r="I14">
        <f>VLOOKUP(B14,Units!$A$2:$G$1646,5,FALSE)</f>
        <v/>
      </c>
      <c r="J14" s="3">
        <f>G14/I14</f>
        <v/>
      </c>
      <c r="K14" s="3">
        <f>G14*12</f>
        <v/>
      </c>
      <c r="L14" s="3" t="n">
        <v>15630</v>
      </c>
    </row>
    <row r="15">
      <c r="A15" t="inlineStr">
        <is>
          <t>TA-2023-00019</t>
        </is>
      </c>
      <c r="B15" t="inlineStr">
        <is>
          <t>U-KR372-01-06</t>
        </is>
      </c>
      <c r="C15" t="inlineStr">
        <is>
          <t>Red Lantern Tuition Centre Pte Ltd</t>
        </is>
      </c>
      <c r="D15" t="inlineStr">
        <is>
          <t>Tuition Centre</t>
        </is>
      </c>
      <c r="E15" s="2" t="n">
        <v>45200</v>
      </c>
      <c r="F15" s="2" t="n">
        <v>46295</v>
      </c>
      <c r="G15" s="3" t="n">
        <v>3640</v>
      </c>
      <c r="H15">
        <f>VLOOKUP(B15,Units!$A$2:$G$1646,2,FALSE)</f>
        <v/>
      </c>
      <c r="I15">
        <f>VLOOKUP(B15,Units!$A$2:$G$1646,5,FALSE)</f>
        <v/>
      </c>
      <c r="J15" s="3">
        <f>G15/I15</f>
        <v/>
      </c>
      <c r="K15" s="3">
        <f>G15*12</f>
        <v/>
      </c>
      <c r="L15" s="3" t="n">
        <v>10920</v>
      </c>
    </row>
    <row r="16">
      <c r="A16" t="inlineStr">
        <is>
          <t>TA-2023-00021</t>
        </is>
      </c>
      <c r="B16" t="inlineStr">
        <is>
          <t>U-PI615-01-05</t>
        </is>
      </c>
      <c r="C16" t="inlineStr">
        <is>
          <t>Joo Chiat Hair Studio Pte Ltd</t>
        </is>
      </c>
      <c r="D16" t="inlineStr">
        <is>
          <t>Hair Salon</t>
        </is>
      </c>
      <c r="E16" s="2" t="n">
        <v>45200</v>
      </c>
      <c r="F16" s="2" t="n">
        <v>46295</v>
      </c>
      <c r="G16" s="3" t="n">
        <v>3020</v>
      </c>
      <c r="H16">
        <f>VLOOKUP(B16,Units!$A$2:$G$1646,2,FALSE)</f>
        <v/>
      </c>
      <c r="I16">
        <f>VLOOKUP(B16,Units!$A$2:$G$1646,5,FALSE)</f>
        <v/>
      </c>
      <c r="J16" s="3">
        <f>G16/I16</f>
        <v/>
      </c>
      <c r="K16" s="3">
        <f>G16*12</f>
        <v/>
      </c>
      <c r="L16" s="3" t="n">
        <v>9060</v>
      </c>
    </row>
    <row r="17">
      <c r="A17" t="inlineStr">
        <is>
          <t>TA-2023-00023</t>
        </is>
      </c>
      <c r="B17" t="inlineStr">
        <is>
          <t>U-PI625-01-06</t>
        </is>
      </c>
      <c r="C17" t="inlineStr">
        <is>
          <t>Kim Hiap Store</t>
        </is>
      </c>
      <c r="D17" t="inlineStr">
        <is>
          <t>Provision Shop</t>
        </is>
      </c>
      <c r="E17" s="2" t="n">
        <v>45200</v>
      </c>
      <c r="F17" s="2" t="n">
        <v>46295</v>
      </c>
      <c r="G17" s="3" t="n">
        <v>2960</v>
      </c>
      <c r="H17">
        <f>VLOOKUP(B17,Units!$A$2:$G$1646,2,FALSE)</f>
        <v/>
      </c>
      <c r="I17">
        <f>VLOOKUP(B17,Units!$A$2:$G$1646,5,FALSE)</f>
        <v/>
      </c>
      <c r="J17" s="3">
        <f>G17/I17</f>
        <v/>
      </c>
      <c r="K17" s="3">
        <f>G17*12</f>
        <v/>
      </c>
      <c r="L17" s="3" t="n">
        <v>8880</v>
      </c>
    </row>
    <row r="18">
      <c r="A18" t="inlineStr">
        <is>
          <t>TA-2023-00024</t>
        </is>
      </c>
      <c r="B18" t="inlineStr">
        <is>
          <t>U-PI625-01-08</t>
        </is>
      </c>
      <c r="C18" t="inlineStr">
        <is>
          <t>Swee Heng Mart</t>
        </is>
      </c>
      <c r="D18" t="inlineStr">
        <is>
          <t>Minimart</t>
        </is>
      </c>
      <c r="E18" s="2" t="n">
        <v>45200</v>
      </c>
      <c r="F18" s="2" t="n">
        <v>46295</v>
      </c>
      <c r="G18" s="3" t="n">
        <v>3010</v>
      </c>
      <c r="H18">
        <f>VLOOKUP(B18,Units!$A$2:$G$1646,2,FALSE)</f>
        <v/>
      </c>
      <c r="I18">
        <f>VLOOKUP(B18,Units!$A$2:$G$1646,5,FALSE)</f>
        <v/>
      </c>
      <c r="J18" s="3">
        <f>G18/I18</f>
        <v/>
      </c>
      <c r="K18" s="3">
        <f>G18*12</f>
        <v/>
      </c>
      <c r="L18" s="3" t="n">
        <v>9030</v>
      </c>
    </row>
    <row r="19">
      <c r="A19" t="inlineStr">
        <is>
          <t>TA-2023-00025</t>
        </is>
      </c>
      <c r="B19" t="inlineStr">
        <is>
          <t>U-PI626-01-14</t>
        </is>
      </c>
      <c r="C19" t="inlineStr">
        <is>
          <t>Happy Paws Dental Surgery Pte Ltd</t>
        </is>
      </c>
      <c r="D19" t="inlineStr">
        <is>
          <t>Dental Clinic</t>
        </is>
      </c>
      <c r="E19" s="2" t="n">
        <v>45200</v>
      </c>
      <c r="F19" s="2" t="n">
        <v>46295</v>
      </c>
      <c r="G19" s="3" t="n">
        <v>2700</v>
      </c>
      <c r="H19">
        <f>VLOOKUP(B19,Units!$A$2:$G$1646,2,FALSE)</f>
        <v/>
      </c>
      <c r="I19">
        <f>VLOOKUP(B19,Units!$A$2:$G$1646,5,FALSE)</f>
        <v/>
      </c>
      <c r="J19" s="3">
        <f>G19/I19</f>
        <v/>
      </c>
      <c r="K19" s="3">
        <f>G19*12</f>
        <v/>
      </c>
      <c r="L19" s="3" t="n">
        <v>8100</v>
      </c>
    </row>
    <row r="20">
      <c r="A20" t="inlineStr">
        <is>
          <t>TA-2023-00026</t>
        </is>
      </c>
      <c r="B20" t="inlineStr">
        <is>
          <t>U-PI651-01-03</t>
        </is>
      </c>
      <c r="C20" t="inlineStr">
        <is>
          <t>Ah Seng Tuition Centre</t>
        </is>
      </c>
      <c r="D20" t="inlineStr">
        <is>
          <t>Tuition Centre</t>
        </is>
      </c>
      <c r="E20" s="2" t="n">
        <v>45200</v>
      </c>
      <c r="F20" s="2" t="n">
        <v>46295</v>
      </c>
      <c r="G20" s="3" t="n">
        <v>2040</v>
      </c>
      <c r="H20">
        <f>VLOOKUP(B20,Units!$A$2:$G$1646,2,FALSE)</f>
        <v/>
      </c>
      <c r="I20">
        <f>VLOOKUP(B20,Units!$A$2:$G$1646,5,FALSE)</f>
        <v/>
      </c>
      <c r="J20" s="3">
        <f>G20/I20</f>
        <v/>
      </c>
      <c r="K20" s="3">
        <f>G20*12</f>
        <v/>
      </c>
      <c r="L20" s="3" t="n">
        <v>6120</v>
      </c>
    </row>
    <row r="21">
      <c r="A21" t="inlineStr">
        <is>
          <t>TA-2023-00028</t>
        </is>
      </c>
      <c r="B21" t="inlineStr">
        <is>
          <t>U-PI657-01-11</t>
        </is>
      </c>
      <c r="C21" t="inlineStr">
        <is>
          <t>Tan Brothers Hair Studio Pte Ltd</t>
        </is>
      </c>
      <c r="D21" t="inlineStr">
        <is>
          <t>Hair Salon</t>
        </is>
      </c>
      <c r="E21" s="2" t="n">
        <v>45200</v>
      </c>
      <c r="F21" s="2" t="n">
        <v>46295</v>
      </c>
      <c r="G21" s="3" t="n">
        <v>4500</v>
      </c>
      <c r="H21">
        <f>VLOOKUP(B21,Units!$A$2:$G$1646,2,FALSE)</f>
        <v/>
      </c>
      <c r="I21">
        <f>VLOOKUP(B21,Units!$A$2:$G$1646,5,FALSE)</f>
        <v/>
      </c>
      <c r="J21" s="3">
        <f>G21/I21</f>
        <v/>
      </c>
      <c r="K21" s="3">
        <f>G21*12</f>
        <v/>
      </c>
      <c r="L21" s="3" t="n">
        <v>13500</v>
      </c>
    </row>
    <row r="22">
      <c r="A22" t="inlineStr">
        <is>
          <t>TA-2023-00029</t>
        </is>
      </c>
      <c r="B22" t="inlineStr">
        <is>
          <t>U-PI675-01-04</t>
        </is>
      </c>
      <c r="C22" t="inlineStr">
        <is>
          <t>Harmony Learning Centre Pte Ltd</t>
        </is>
      </c>
      <c r="D22" t="inlineStr">
        <is>
          <t>Tuition Centre</t>
        </is>
      </c>
      <c r="E22" s="2" t="n">
        <v>45200</v>
      </c>
      <c r="F22" s="2" t="n">
        <v>46295</v>
      </c>
      <c r="G22" s="3" t="n">
        <v>3600</v>
      </c>
      <c r="H22">
        <f>VLOOKUP(B22,Units!$A$2:$G$1646,2,FALSE)</f>
        <v/>
      </c>
      <c r="I22">
        <f>VLOOKUP(B22,Units!$A$2:$G$1646,5,FALSE)</f>
        <v/>
      </c>
      <c r="J22" s="3">
        <f>G22/I22</f>
        <v/>
      </c>
      <c r="K22" s="3">
        <f>G22*12</f>
        <v/>
      </c>
      <c r="L22" s="3" t="n">
        <v>10800</v>
      </c>
    </row>
    <row r="23">
      <c r="A23" t="inlineStr">
        <is>
          <t>TA-2023-00031</t>
        </is>
      </c>
      <c r="B23" t="inlineStr">
        <is>
          <t>U-PI684-01-06</t>
        </is>
      </c>
      <c r="C23" t="inlineStr">
        <is>
          <t>Brilliant Optical</t>
        </is>
      </c>
      <c r="D23" t="inlineStr">
        <is>
          <t>Optical</t>
        </is>
      </c>
      <c r="E23" s="2" t="n">
        <v>45200</v>
      </c>
      <c r="F23" s="2" t="n">
        <v>46295</v>
      </c>
      <c r="G23" s="3" t="n">
        <v>2510</v>
      </c>
      <c r="H23">
        <f>VLOOKUP(B23,Units!$A$2:$G$1646,2,FALSE)</f>
        <v/>
      </c>
      <c r="I23">
        <f>VLOOKUP(B23,Units!$A$2:$G$1646,5,FALSE)</f>
        <v/>
      </c>
      <c r="J23" s="3">
        <f>G23/I23</f>
        <v/>
      </c>
      <c r="K23" s="3">
        <f>G23*12</f>
        <v/>
      </c>
      <c r="L23" s="3" t="n">
        <v>7530</v>
      </c>
    </row>
    <row r="24">
      <c r="A24" t="inlineStr">
        <is>
          <t>TA-2023-00032</t>
        </is>
      </c>
      <c r="B24" t="inlineStr">
        <is>
          <t>U-PI696-01-04</t>
        </is>
      </c>
      <c r="C24" t="inlineStr">
        <is>
          <t>Mutiara Trading</t>
        </is>
      </c>
      <c r="D24" t="inlineStr">
        <is>
          <t>Provision Shop</t>
        </is>
      </c>
      <c r="E24" s="2" t="n">
        <v>45200</v>
      </c>
      <c r="F24" s="2" t="n">
        <v>46295</v>
      </c>
      <c r="G24" s="3" t="n">
        <v>2200</v>
      </c>
      <c r="H24">
        <f>VLOOKUP(B24,Units!$A$2:$G$1646,2,FALSE)</f>
        <v/>
      </c>
      <c r="I24">
        <f>VLOOKUP(B24,Units!$A$2:$G$1646,5,FALSE)</f>
        <v/>
      </c>
      <c r="J24" s="3">
        <f>G24/I24</f>
        <v/>
      </c>
      <c r="K24" s="3">
        <f>G24*12</f>
        <v/>
      </c>
      <c r="L24" s="3" t="n">
        <v>6600</v>
      </c>
    </row>
    <row r="25">
      <c r="A25" t="inlineStr">
        <is>
          <t>TA-2023-00034</t>
        </is>
      </c>
      <c r="B25" t="inlineStr">
        <is>
          <t>U-RH437-01-07</t>
        </is>
      </c>
      <c r="C25" t="inlineStr">
        <is>
          <t>Wisdom Store Pte Ltd</t>
        </is>
      </c>
      <c r="D25" t="inlineStr">
        <is>
          <t>Provision Shop</t>
        </is>
      </c>
      <c r="E25" s="2" t="n">
        <v>45200</v>
      </c>
      <c r="F25" s="2" t="n">
        <v>46295</v>
      </c>
      <c r="G25" s="3" t="n">
        <v>2140</v>
      </c>
      <c r="H25">
        <f>VLOOKUP(B25,Units!$A$2:$G$1646,2,FALSE)</f>
        <v/>
      </c>
      <c r="I25">
        <f>VLOOKUP(B25,Units!$A$2:$G$1646,5,FALSE)</f>
        <v/>
      </c>
      <c r="J25" s="3">
        <f>G25/I25</f>
        <v/>
      </c>
      <c r="K25" s="3">
        <f>G25*12</f>
        <v/>
      </c>
      <c r="L25" s="3" t="n">
        <v>6420</v>
      </c>
    </row>
    <row r="26">
      <c r="A26" t="inlineStr">
        <is>
          <t>TA-2023-00035</t>
        </is>
      </c>
      <c r="B26" t="inlineStr">
        <is>
          <t>U-RH438-02-06</t>
        </is>
      </c>
      <c r="C26" t="inlineStr">
        <is>
          <t>Amanah Education Hub</t>
        </is>
      </c>
      <c r="D26" t="inlineStr">
        <is>
          <t>Tuition Centre</t>
        </is>
      </c>
      <c r="E26" s="2" t="n">
        <v>45200</v>
      </c>
      <c r="F26" s="2" t="n">
        <v>46295</v>
      </c>
      <c r="G26" s="3" t="n">
        <v>3350</v>
      </c>
      <c r="H26">
        <f>VLOOKUP(B26,Units!$A$2:$G$1646,2,FALSE)</f>
        <v/>
      </c>
      <c r="I26">
        <f>VLOOKUP(B26,Units!$A$2:$G$1646,5,FALSE)</f>
        <v/>
      </c>
      <c r="J26" s="3">
        <f>G26/I26</f>
        <v/>
      </c>
      <c r="K26" s="3">
        <f>G26*12</f>
        <v/>
      </c>
      <c r="L26" s="3" t="n">
        <v>10050</v>
      </c>
    </row>
    <row r="27">
      <c r="A27" t="inlineStr">
        <is>
          <t>TA-2023-00036</t>
        </is>
      </c>
      <c r="B27" t="inlineStr">
        <is>
          <t>U-RH455-01-22</t>
        </is>
      </c>
      <c r="C27" t="inlineStr">
        <is>
          <t>Peng Kee Florist Pte Ltd</t>
        </is>
      </c>
      <c r="D27" t="inlineStr">
        <is>
          <t>Florist</t>
        </is>
      </c>
      <c r="E27" s="2" t="n">
        <v>45200</v>
      </c>
      <c r="F27" s="2" t="n">
        <v>46295</v>
      </c>
      <c r="G27" s="3" t="n">
        <v>1750</v>
      </c>
      <c r="H27">
        <f>VLOOKUP(B27,Units!$A$2:$G$1646,2,FALSE)</f>
        <v/>
      </c>
      <c r="I27">
        <f>VLOOKUP(B27,Units!$A$2:$G$1646,5,FALSE)</f>
        <v/>
      </c>
      <c r="J27" s="3">
        <f>G27/I27</f>
        <v/>
      </c>
      <c r="K27" s="3">
        <f>G27*12</f>
        <v/>
      </c>
      <c r="L27" s="3" t="n">
        <v>5250</v>
      </c>
    </row>
    <row r="28">
      <c r="A28" t="inlineStr">
        <is>
          <t>TA-2023-00037</t>
        </is>
      </c>
      <c r="B28" t="inlineStr">
        <is>
          <t>U-RH464-01-09</t>
        </is>
      </c>
      <c r="C28" t="inlineStr">
        <is>
          <t>Teck Guan Medical Hall Pte Ltd</t>
        </is>
      </c>
      <c r="D28" t="inlineStr">
        <is>
          <t>TCM Clinic</t>
        </is>
      </c>
      <c r="E28" s="2" t="n">
        <v>45200</v>
      </c>
      <c r="F28" s="2" t="n">
        <v>46295</v>
      </c>
      <c r="G28" s="3" t="n">
        <v>4260</v>
      </c>
      <c r="H28">
        <f>VLOOKUP(B28,Units!$A$2:$G$1646,2,FALSE)</f>
        <v/>
      </c>
      <c r="I28">
        <f>VLOOKUP(B28,Units!$A$2:$G$1646,5,FALSE)</f>
        <v/>
      </c>
      <c r="J28" s="3">
        <f>G28/I28</f>
        <v/>
      </c>
      <c r="K28" s="3">
        <f>G28*12</f>
        <v/>
      </c>
      <c r="L28" s="3" t="n">
        <v>12780</v>
      </c>
    </row>
    <row r="29">
      <c r="A29" t="inlineStr">
        <is>
          <t>TA-2023-00039</t>
        </is>
      </c>
      <c r="B29" t="inlineStr">
        <is>
          <t>U-RH466-01-03</t>
        </is>
      </c>
      <c r="C29" t="inlineStr">
        <is>
          <t>Hock Lee Fruits Pte Ltd</t>
        </is>
      </c>
      <c r="D29" t="inlineStr">
        <is>
          <t>Fruit Shop</t>
        </is>
      </c>
      <c r="E29" s="2" t="n">
        <v>45200</v>
      </c>
      <c r="F29" s="2" t="n">
        <v>46295</v>
      </c>
      <c r="G29" s="3" t="n">
        <v>2730</v>
      </c>
      <c r="H29">
        <f>VLOOKUP(B29,Units!$A$2:$G$1646,2,FALSE)</f>
        <v/>
      </c>
      <c r="I29">
        <f>VLOOKUP(B29,Units!$A$2:$G$1646,5,FALSE)</f>
        <v/>
      </c>
      <c r="J29" s="3">
        <f>G29/I29</f>
        <v/>
      </c>
      <c r="K29" s="3">
        <f>G29*12</f>
        <v/>
      </c>
      <c r="L29" s="3" t="n">
        <v>8190</v>
      </c>
    </row>
    <row r="30">
      <c r="A30" t="inlineStr">
        <is>
          <t>TA-2023-00041</t>
        </is>
      </c>
      <c r="B30" t="inlineStr">
        <is>
          <t>U-ST506-01-08</t>
        </is>
      </c>
      <c r="C30" t="inlineStr">
        <is>
          <t>Siva Education Hub</t>
        </is>
      </c>
      <c r="D30" t="inlineStr">
        <is>
          <t>Tuition Centre</t>
        </is>
      </c>
      <c r="E30" s="2" t="n">
        <v>45200</v>
      </c>
      <c r="F30" s="2" t="n">
        <v>46295</v>
      </c>
      <c r="G30" s="3" t="n">
        <v>3450</v>
      </c>
      <c r="H30">
        <f>VLOOKUP(B30,Units!$A$2:$G$1646,2,FALSE)</f>
        <v/>
      </c>
      <c r="I30">
        <f>VLOOKUP(B30,Units!$A$2:$G$1646,5,FALSE)</f>
        <v/>
      </c>
      <c r="J30" s="3">
        <f>G30/I30</f>
        <v/>
      </c>
      <c r="K30" s="3">
        <f>G30*12</f>
        <v/>
      </c>
      <c r="L30" s="3" t="n">
        <v>10350</v>
      </c>
    </row>
    <row r="31">
      <c r="A31" t="inlineStr">
        <is>
          <t>TA-2023-00043</t>
        </is>
      </c>
      <c r="B31" t="inlineStr">
        <is>
          <t>U-ST513-01-05</t>
        </is>
      </c>
      <c r="C31" t="inlineStr">
        <is>
          <t>Bright Path Beauty &amp; Hair</t>
        </is>
      </c>
      <c r="D31" t="inlineStr">
        <is>
          <t>Hair Salon</t>
        </is>
      </c>
      <c r="E31" s="2" t="n">
        <v>45200</v>
      </c>
      <c r="F31" s="2" t="n">
        <v>46295</v>
      </c>
      <c r="G31" s="3" t="n">
        <v>3700</v>
      </c>
      <c r="H31">
        <f>VLOOKUP(B31,Units!$A$2:$G$1646,2,FALSE)</f>
        <v/>
      </c>
      <c r="I31">
        <f>VLOOKUP(B31,Units!$A$2:$G$1646,5,FALSE)</f>
        <v/>
      </c>
      <c r="J31" s="3">
        <f>G31/I31</f>
        <v/>
      </c>
      <c r="K31" s="3">
        <f>G31*12</f>
        <v/>
      </c>
      <c r="L31" s="3" t="n">
        <v>11100</v>
      </c>
    </row>
    <row r="32">
      <c r="A32" t="inlineStr">
        <is>
          <t>TA-2023-00045</t>
        </is>
      </c>
      <c r="B32" t="inlineStr">
        <is>
          <t>U-ST528-01-07</t>
        </is>
      </c>
      <c r="C32" t="inlineStr">
        <is>
          <t>Peng Kee Fruit Trading</t>
        </is>
      </c>
      <c r="D32" t="inlineStr">
        <is>
          <t>Fruit Shop</t>
        </is>
      </c>
      <c r="E32" s="2" t="n">
        <v>45200</v>
      </c>
      <c r="F32" s="2" t="n">
        <v>46295</v>
      </c>
      <c r="G32" s="3" t="n">
        <v>900</v>
      </c>
      <c r="H32">
        <f>VLOOKUP(B32,Units!$A$2:$G$1646,2,FALSE)</f>
        <v/>
      </c>
      <c r="I32">
        <f>VLOOKUP(B32,Units!$A$2:$G$1646,5,FALSE)</f>
        <v/>
      </c>
      <c r="J32" s="3">
        <f>G32/I32</f>
        <v/>
      </c>
      <c r="K32" s="3">
        <f>G32*12</f>
        <v/>
      </c>
      <c r="L32" s="3" t="n">
        <v>2700</v>
      </c>
    </row>
    <row r="33">
      <c r="A33" t="inlineStr">
        <is>
          <t>TA-2023-00046</t>
        </is>
      </c>
      <c r="B33" t="inlineStr">
        <is>
          <t>U-ST537-01-03</t>
        </is>
      </c>
      <c r="C33" t="inlineStr">
        <is>
          <t>Barakah Dental Surgery</t>
        </is>
      </c>
      <c r="D33" t="inlineStr">
        <is>
          <t>Dental Clinic</t>
        </is>
      </c>
      <c r="E33" s="2" t="n">
        <v>45200</v>
      </c>
      <c r="F33" s="2" t="n">
        <v>46295</v>
      </c>
      <c r="G33" s="3" t="n">
        <v>2440</v>
      </c>
      <c r="H33">
        <f>VLOOKUP(B33,Units!$A$2:$G$1646,2,FALSE)</f>
        <v/>
      </c>
      <c r="I33">
        <f>VLOOKUP(B33,Units!$A$2:$G$1646,5,FALSE)</f>
        <v/>
      </c>
      <c r="J33" s="3">
        <f>G33/I33</f>
        <v/>
      </c>
      <c r="K33" s="3">
        <f>G33*12</f>
        <v/>
      </c>
      <c r="L33" s="3" t="n">
        <v>7320</v>
      </c>
    </row>
    <row r="34">
      <c r="A34" t="inlineStr">
        <is>
          <t>TA-2023-00047</t>
        </is>
      </c>
      <c r="B34" t="inlineStr">
        <is>
          <t>U-ST564-02-07</t>
        </is>
      </c>
      <c r="C34" t="inlineStr">
        <is>
          <t>Sin Hock Learning Centre Pte Ltd</t>
        </is>
      </c>
      <c r="D34" t="inlineStr">
        <is>
          <t>Tuition Centre</t>
        </is>
      </c>
      <c r="E34" s="2" t="n">
        <v>45200</v>
      </c>
      <c r="F34" s="2" t="n">
        <v>46295</v>
      </c>
      <c r="G34" s="3" t="n">
        <v>3300</v>
      </c>
      <c r="H34">
        <f>VLOOKUP(B34,Units!$A$2:$G$1646,2,FALSE)</f>
        <v/>
      </c>
      <c r="I34">
        <f>VLOOKUP(B34,Units!$A$2:$G$1646,5,FALSE)</f>
        <v/>
      </c>
      <c r="J34" s="3">
        <f>G34/I34</f>
        <v/>
      </c>
      <c r="K34" s="3">
        <f>G34*12</f>
        <v/>
      </c>
      <c r="L34" s="3" t="n">
        <v>9900</v>
      </c>
    </row>
    <row r="35">
      <c r="A35" t="inlineStr">
        <is>
          <t>TA-2023-00049</t>
        </is>
      </c>
      <c r="B35" t="inlineStr">
        <is>
          <t>U-ST579-01-08</t>
        </is>
      </c>
      <c r="C35" t="inlineStr">
        <is>
          <t>Brilliant Tuition Centre Pte Ltd</t>
        </is>
      </c>
      <c r="D35" t="inlineStr">
        <is>
          <t>Tuition Centre</t>
        </is>
      </c>
      <c r="E35" s="2" t="n">
        <v>45200</v>
      </c>
      <c r="F35" s="2" t="n">
        <v>46295</v>
      </c>
      <c r="G35" s="3" t="n">
        <v>2530</v>
      </c>
      <c r="H35">
        <f>VLOOKUP(B35,Units!$A$2:$G$1646,2,FALSE)</f>
        <v/>
      </c>
      <c r="I35">
        <f>VLOOKUP(B35,Units!$A$2:$G$1646,5,FALSE)</f>
        <v/>
      </c>
      <c r="J35" s="3">
        <f>G35/I35</f>
        <v/>
      </c>
      <c r="K35" s="3">
        <f>G35*12</f>
        <v/>
      </c>
      <c r="L35" s="3" t="n">
        <v>7590</v>
      </c>
    </row>
    <row r="36">
      <c r="A36" t="inlineStr">
        <is>
          <t>TA-2023-00050</t>
        </is>
      </c>
      <c r="B36" t="inlineStr">
        <is>
          <t>U-ST596-01-01</t>
        </is>
      </c>
      <c r="C36" t="inlineStr">
        <is>
          <t>Old Town Pharmacy Pte Ltd</t>
        </is>
      </c>
      <c r="D36" t="inlineStr">
        <is>
          <t>Pharmacy</t>
        </is>
      </c>
      <c r="E36" s="2" t="n">
        <v>45200</v>
      </c>
      <c r="F36" s="2" t="n">
        <v>46295</v>
      </c>
      <c r="G36" s="3" t="n">
        <v>4270</v>
      </c>
      <c r="H36">
        <f>VLOOKUP(B36,Units!$A$2:$G$1646,2,FALSE)</f>
        <v/>
      </c>
      <c r="I36">
        <f>VLOOKUP(B36,Units!$A$2:$G$1646,5,FALSE)</f>
        <v/>
      </c>
      <c r="J36" s="3">
        <f>G36/I36</f>
        <v/>
      </c>
      <c r="K36" s="3">
        <f>G36*12</f>
        <v/>
      </c>
      <c r="L36" s="3" t="n">
        <v>12810</v>
      </c>
    </row>
    <row r="37">
      <c r="A37" t="inlineStr">
        <is>
          <t>TA-2023-00052</t>
        </is>
      </c>
      <c r="B37" t="inlineStr">
        <is>
          <t>U-BV205-01-11</t>
        </is>
      </c>
      <c r="C37" t="inlineStr">
        <is>
          <t>Happy Paws TCM Clinic</t>
        </is>
      </c>
      <c r="D37" t="inlineStr">
        <is>
          <t>TCM Clinic</t>
        </is>
      </c>
      <c r="E37" s="2" t="n">
        <v>45231</v>
      </c>
      <c r="F37" s="2" t="n">
        <v>46326</v>
      </c>
      <c r="G37" s="3" t="n">
        <v>3590</v>
      </c>
      <c r="H37">
        <f>VLOOKUP(B37,Units!$A$2:$G$1646,2,FALSE)</f>
        <v/>
      </c>
      <c r="I37">
        <f>VLOOKUP(B37,Units!$A$2:$G$1646,5,FALSE)</f>
        <v/>
      </c>
      <c r="J37" s="3">
        <f>G37/I37</f>
        <v/>
      </c>
      <c r="K37" s="3">
        <f>G37*12</f>
        <v/>
      </c>
      <c r="L37" s="3" t="n">
        <v>10770</v>
      </c>
    </row>
    <row r="38">
      <c r="A38" t="inlineStr">
        <is>
          <t>TA-2023-00054</t>
        </is>
      </c>
      <c r="B38" t="inlineStr">
        <is>
          <t>U-BV214-01-26</t>
        </is>
      </c>
      <c r="C38" t="inlineStr">
        <is>
          <t>Evergreen TCM Clinic Pte Ltd</t>
        </is>
      </c>
      <c r="D38" t="inlineStr">
        <is>
          <t>TCM Clinic</t>
        </is>
      </c>
      <c r="E38" s="2" t="n">
        <v>45231</v>
      </c>
      <c r="F38" s="2" t="n">
        <v>46326</v>
      </c>
      <c r="G38" s="3" t="n">
        <v>2880</v>
      </c>
      <c r="H38">
        <f>VLOOKUP(B38,Units!$A$2:$G$1646,2,FALSE)</f>
        <v/>
      </c>
      <c r="I38">
        <f>VLOOKUP(B38,Units!$A$2:$G$1646,5,FALSE)</f>
        <v/>
      </c>
      <c r="J38" s="3">
        <f>G38/I38</f>
        <v/>
      </c>
      <c r="K38" s="3">
        <f>G38*12</f>
        <v/>
      </c>
      <c r="L38" s="3" t="n">
        <v>8640</v>
      </c>
    </row>
    <row r="39">
      <c r="A39" t="inlineStr">
        <is>
          <t>TA-2023-00055</t>
        </is>
      </c>
      <c r="B39" t="inlineStr">
        <is>
          <t>U-BV214-02-19</t>
        </is>
      </c>
      <c r="C39" t="inlineStr">
        <is>
          <t>Heng Ann Tuition Centre Pte Ltd</t>
        </is>
      </c>
      <c r="D39" t="inlineStr">
        <is>
          <t>Tuition Centre</t>
        </is>
      </c>
      <c r="E39" s="2" t="n">
        <v>45231</v>
      </c>
      <c r="F39" s="2" t="n">
        <v>46326</v>
      </c>
      <c r="G39" s="3" t="n">
        <v>1500</v>
      </c>
      <c r="H39">
        <f>VLOOKUP(B39,Units!$A$2:$G$1646,2,FALSE)</f>
        <v/>
      </c>
      <c r="I39">
        <f>VLOOKUP(B39,Units!$A$2:$G$1646,5,FALSE)</f>
        <v/>
      </c>
      <c r="J39" s="3">
        <f>G39/I39</f>
        <v/>
      </c>
      <c r="K39" s="3">
        <f>G39*12</f>
        <v/>
      </c>
      <c r="L39" s="3" t="n">
        <v>4500</v>
      </c>
    </row>
    <row r="40">
      <c r="A40" t="inlineStr">
        <is>
          <t>TA-2023-00056</t>
        </is>
      </c>
      <c r="B40" t="inlineStr">
        <is>
          <t>U-BV215-01-05</t>
        </is>
      </c>
      <c r="C40" t="inlineStr">
        <is>
          <t>Golden Leaf Key &amp; Shoe Service</t>
        </is>
      </c>
      <c r="D40" t="inlineStr">
        <is>
          <t>Key Cutting &amp; Shoe Repair</t>
        </is>
      </c>
      <c r="E40" s="2" t="n">
        <v>45231</v>
      </c>
      <c r="F40" s="2" t="n">
        <v>46326</v>
      </c>
      <c r="G40" s="3" t="n">
        <v>1500</v>
      </c>
      <c r="H40">
        <f>VLOOKUP(B40,Units!$A$2:$G$1646,2,FALSE)</f>
        <v/>
      </c>
      <c r="I40">
        <f>VLOOKUP(B40,Units!$A$2:$G$1646,5,FALSE)</f>
        <v/>
      </c>
      <c r="J40" s="3">
        <f>G40/I40</f>
        <v/>
      </c>
      <c r="K40" s="3">
        <f>G40*12</f>
        <v/>
      </c>
      <c r="L40" s="3" t="n">
        <v>4500</v>
      </c>
    </row>
    <row r="41">
      <c r="A41" t="inlineStr">
        <is>
          <t>TA-2023-00057</t>
        </is>
      </c>
      <c r="B41" t="inlineStr">
        <is>
          <t>U-BV216-01-01</t>
        </is>
      </c>
      <c r="C41" t="inlineStr">
        <is>
          <t>Tian Fu Flowers &amp; Gifts Pte Ltd</t>
        </is>
      </c>
      <c r="D41" t="inlineStr">
        <is>
          <t>Florist</t>
        </is>
      </c>
      <c r="E41" s="2" t="n">
        <v>45231</v>
      </c>
      <c r="F41" s="2" t="n">
        <v>46326</v>
      </c>
      <c r="G41" s="3" t="n">
        <v>2500</v>
      </c>
      <c r="H41">
        <f>VLOOKUP(B41,Units!$A$2:$G$1646,2,FALSE)</f>
        <v/>
      </c>
      <c r="I41">
        <f>VLOOKUP(B41,Units!$A$2:$G$1646,5,FALSE)</f>
        <v/>
      </c>
      <c r="J41" s="3">
        <f>G41/I41</f>
        <v/>
      </c>
      <c r="K41" s="3">
        <f>G41*12</f>
        <v/>
      </c>
      <c r="L41" s="3" t="n">
        <v>7500</v>
      </c>
    </row>
    <row r="42">
      <c r="A42" t="inlineStr">
        <is>
          <t>TA-2023-00058</t>
        </is>
      </c>
      <c r="B42" t="inlineStr">
        <is>
          <t>U-BV219-01-09</t>
        </is>
      </c>
      <c r="C42" t="inlineStr">
        <is>
          <t>Little Sprouts Minimart</t>
        </is>
      </c>
      <c r="D42" t="inlineStr">
        <is>
          <t>Minimart</t>
        </is>
      </c>
      <c r="E42" s="2" t="n">
        <v>45231</v>
      </c>
      <c r="F42" s="2" t="n">
        <v>46326</v>
      </c>
      <c r="G42" s="3" t="n">
        <v>5970</v>
      </c>
      <c r="H42">
        <f>VLOOKUP(B42,Units!$A$2:$G$1646,2,FALSE)</f>
        <v/>
      </c>
      <c r="I42">
        <f>VLOOKUP(B42,Units!$A$2:$G$1646,5,FALSE)</f>
        <v/>
      </c>
      <c r="J42" s="3">
        <f>G42/I42</f>
        <v/>
      </c>
      <c r="K42" s="3">
        <f>G42*12</f>
        <v/>
      </c>
      <c r="L42" s="3" t="n">
        <v>17910</v>
      </c>
    </row>
    <row r="43">
      <c r="A43" t="inlineStr">
        <is>
          <t>TA-2023-00060</t>
        </is>
      </c>
      <c r="B43" t="inlineStr">
        <is>
          <t>U-BV229-01-02</t>
        </is>
      </c>
      <c r="C43" t="inlineStr">
        <is>
          <t>Nur Trading</t>
        </is>
      </c>
      <c r="D43" t="inlineStr">
        <is>
          <t>Provision Shop</t>
        </is>
      </c>
      <c r="E43" s="2" t="n">
        <v>45231</v>
      </c>
      <c r="F43" s="2" t="n">
        <v>46326</v>
      </c>
      <c r="G43" s="3" t="n">
        <v>4980</v>
      </c>
      <c r="H43">
        <f>VLOOKUP(B43,Units!$A$2:$G$1646,2,FALSE)</f>
        <v/>
      </c>
      <c r="I43">
        <f>VLOOKUP(B43,Units!$A$2:$G$1646,5,FALSE)</f>
        <v/>
      </c>
      <c r="J43" s="3">
        <f>G43/I43</f>
        <v/>
      </c>
      <c r="K43" s="3">
        <f>G43*12</f>
        <v/>
      </c>
      <c r="L43" s="3" t="n">
        <v>14940</v>
      </c>
    </row>
    <row r="44">
      <c r="A44" t="inlineStr">
        <is>
          <t>TA-2023-00062</t>
        </is>
      </c>
      <c r="B44" t="inlineStr">
        <is>
          <t>U-BV233-01-13</t>
        </is>
      </c>
      <c r="C44" t="inlineStr">
        <is>
          <t>Mutiara Dental Care</t>
        </is>
      </c>
      <c r="D44" t="inlineStr">
        <is>
          <t>Dental Clinic</t>
        </is>
      </c>
      <c r="E44" s="2" t="n">
        <v>45231</v>
      </c>
      <c r="F44" s="2" t="n">
        <v>46326</v>
      </c>
      <c r="G44" s="3" t="n">
        <v>3580</v>
      </c>
      <c r="H44">
        <f>VLOOKUP(B44,Units!$A$2:$G$1646,2,FALSE)</f>
        <v/>
      </c>
      <c r="I44">
        <f>VLOOKUP(B44,Units!$A$2:$G$1646,5,FALSE)</f>
        <v/>
      </c>
      <c r="J44" s="3">
        <f>G44/I44</f>
        <v/>
      </c>
      <c r="K44" s="3">
        <f>G44*12</f>
        <v/>
      </c>
      <c r="L44" s="3" t="n">
        <v>10740</v>
      </c>
    </row>
    <row r="45">
      <c r="A45" t="inlineStr">
        <is>
          <t>TA-2023-00064</t>
        </is>
      </c>
      <c r="B45" t="inlineStr">
        <is>
          <t>U-BV271-01-02</t>
        </is>
      </c>
      <c r="C45" t="inlineStr">
        <is>
          <t>Lakshmi Pharmacy Pte Ltd</t>
        </is>
      </c>
      <c r="D45" t="inlineStr">
        <is>
          <t>Pharmacy</t>
        </is>
      </c>
      <c r="E45" s="2" t="n">
        <v>45231</v>
      </c>
      <c r="F45" s="2" t="n">
        <v>46326</v>
      </c>
      <c r="G45" s="3" t="n">
        <v>4820</v>
      </c>
      <c r="H45">
        <f>VLOOKUP(B45,Units!$A$2:$G$1646,2,FALSE)</f>
        <v/>
      </c>
      <c r="I45">
        <f>VLOOKUP(B45,Units!$A$2:$G$1646,5,FALSE)</f>
        <v/>
      </c>
      <c r="J45" s="3">
        <f>G45/I45</f>
        <v/>
      </c>
      <c r="K45" s="3">
        <f>G45*12</f>
        <v/>
      </c>
      <c r="L45" s="3" t="n">
        <v>14460</v>
      </c>
    </row>
    <row r="46">
      <c r="A46" t="inlineStr">
        <is>
          <t>TA-2023-00065</t>
        </is>
      </c>
      <c r="B46" t="inlineStr">
        <is>
          <t>U-BV273-01-05</t>
        </is>
      </c>
      <c r="C46" t="inlineStr">
        <is>
          <t>Tan Brothers Medical Hall</t>
        </is>
      </c>
      <c r="D46" t="inlineStr">
        <is>
          <t>TCM Clinic</t>
        </is>
      </c>
      <c r="E46" s="2" t="n">
        <v>45231</v>
      </c>
      <c r="F46" s="2" t="n">
        <v>46326</v>
      </c>
      <c r="G46" s="3" t="n">
        <v>5180</v>
      </c>
      <c r="H46">
        <f>VLOOKUP(B46,Units!$A$2:$G$1646,2,FALSE)</f>
        <v/>
      </c>
      <c r="I46">
        <f>VLOOKUP(B46,Units!$A$2:$G$1646,5,FALSE)</f>
        <v/>
      </c>
      <c r="J46" s="3">
        <f>G46/I46</f>
        <v/>
      </c>
      <c r="K46" s="3">
        <f>G46*12</f>
        <v/>
      </c>
      <c r="L46" s="3" t="n">
        <v>15540</v>
      </c>
    </row>
    <row r="47">
      <c r="A47" t="inlineStr">
        <is>
          <t>TA-2023-00066</t>
        </is>
      </c>
      <c r="B47" t="inlineStr">
        <is>
          <t>U-BV290-02-04</t>
        </is>
      </c>
      <c r="C47" t="inlineStr">
        <is>
          <t>Hock Lee Medical Clinic Pte Ltd</t>
        </is>
      </c>
      <c r="D47" t="inlineStr">
        <is>
          <t>GP Clinic</t>
        </is>
      </c>
      <c r="E47" s="2" t="n">
        <v>45231</v>
      </c>
      <c r="F47" s="2" t="n">
        <v>46326</v>
      </c>
      <c r="G47" s="3" t="n">
        <v>5080</v>
      </c>
      <c r="H47">
        <f>VLOOKUP(B47,Units!$A$2:$G$1646,2,FALSE)</f>
        <v/>
      </c>
      <c r="I47">
        <f>VLOOKUP(B47,Units!$A$2:$G$1646,5,FALSE)</f>
        <v/>
      </c>
      <c r="J47" s="3">
        <f>G47/I47</f>
        <v/>
      </c>
      <c r="K47" s="3">
        <f>G47*12</f>
        <v/>
      </c>
      <c r="L47" s="3" t="n">
        <v>15240</v>
      </c>
    </row>
    <row r="48">
      <c r="A48" t="inlineStr">
        <is>
          <t>TA-2023-00067</t>
        </is>
      </c>
      <c r="B48" t="inlineStr">
        <is>
          <t>U-CD105-01-01</t>
        </is>
      </c>
      <c r="C48" t="inlineStr">
        <is>
          <t>Bright Path Eating House</t>
        </is>
      </c>
      <c r="D48" t="inlineStr">
        <is>
          <t>Coffeeshop</t>
        </is>
      </c>
      <c r="E48" s="2" t="n">
        <v>45231</v>
      </c>
      <c r="F48" s="2" t="n">
        <v>46326</v>
      </c>
      <c r="G48" s="3" t="n">
        <v>11750</v>
      </c>
      <c r="H48">
        <f>VLOOKUP(B48,Units!$A$2:$G$1646,2,FALSE)</f>
        <v/>
      </c>
      <c r="I48">
        <f>VLOOKUP(B48,Units!$A$2:$G$1646,5,FALSE)</f>
        <v/>
      </c>
      <c r="J48" s="3">
        <f>G48/I48</f>
        <v/>
      </c>
      <c r="K48" s="3">
        <f>G48*12</f>
        <v/>
      </c>
      <c r="L48" s="3" t="n">
        <v>35250</v>
      </c>
    </row>
    <row r="49">
      <c r="A49" t="inlineStr">
        <is>
          <t>TA-2023-00069</t>
        </is>
      </c>
      <c r="B49" t="inlineStr">
        <is>
          <t>U-CD109-01-08</t>
        </is>
      </c>
      <c r="C49" t="inlineStr">
        <is>
          <t>Lotus Hardware &amp; Electrical Pte Ltd</t>
        </is>
      </c>
      <c r="D49" t="inlineStr">
        <is>
          <t>Hardware</t>
        </is>
      </c>
      <c r="E49" s="2" t="n">
        <v>45231</v>
      </c>
      <c r="F49" s="2" t="n">
        <v>46326</v>
      </c>
      <c r="G49" s="3" t="n">
        <v>2320</v>
      </c>
      <c r="H49">
        <f>VLOOKUP(B49,Units!$A$2:$G$1646,2,FALSE)</f>
        <v/>
      </c>
      <c r="I49">
        <f>VLOOKUP(B49,Units!$A$2:$G$1646,5,FALSE)</f>
        <v/>
      </c>
      <c r="J49" s="3">
        <f>G49/I49</f>
        <v/>
      </c>
      <c r="K49" s="3">
        <f>G49*12</f>
        <v/>
      </c>
      <c r="L49" s="3" t="n">
        <v>6960</v>
      </c>
    </row>
    <row r="50">
      <c r="A50" t="inlineStr">
        <is>
          <t>TA-2023-00070</t>
        </is>
      </c>
      <c r="B50" t="inlineStr">
        <is>
          <t>U-CD109-01-10</t>
        </is>
      </c>
      <c r="C50" t="inlineStr">
        <is>
          <t>Ananda Family Clinic</t>
        </is>
      </c>
      <c r="D50" t="inlineStr">
        <is>
          <t>GP Clinic</t>
        </is>
      </c>
      <c r="E50" s="2" t="n">
        <v>45231</v>
      </c>
      <c r="F50" s="2" t="n">
        <v>46326</v>
      </c>
      <c r="G50" s="3" t="n">
        <v>5160</v>
      </c>
      <c r="H50">
        <f>VLOOKUP(B50,Units!$A$2:$G$1646,2,FALSE)</f>
        <v/>
      </c>
      <c r="I50">
        <f>VLOOKUP(B50,Units!$A$2:$G$1646,5,FALSE)</f>
        <v/>
      </c>
      <c r="J50" s="3">
        <f>G50/I50</f>
        <v/>
      </c>
      <c r="K50" s="3">
        <f>G50*12</f>
        <v/>
      </c>
      <c r="L50" s="3" t="n">
        <v>15480</v>
      </c>
    </row>
    <row r="51">
      <c r="A51" t="inlineStr">
        <is>
          <t>TA-2023-00071</t>
        </is>
      </c>
      <c r="B51" t="inlineStr">
        <is>
          <t>U-CD118-01-16</t>
        </is>
      </c>
      <c r="C51" t="inlineStr">
        <is>
          <t>Bright Path Medical Clinic</t>
        </is>
      </c>
      <c r="D51" t="inlineStr">
        <is>
          <t>GP Clinic</t>
        </is>
      </c>
      <c r="E51" s="2" t="n">
        <v>45231</v>
      </c>
      <c r="F51" s="2" t="n">
        <v>46326</v>
      </c>
      <c r="G51" s="3" t="n">
        <v>4040</v>
      </c>
      <c r="H51">
        <f>VLOOKUP(B51,Units!$A$2:$G$1646,2,FALSE)</f>
        <v/>
      </c>
      <c r="I51">
        <f>VLOOKUP(B51,Units!$A$2:$G$1646,5,FALSE)</f>
        <v/>
      </c>
      <c r="J51" s="3">
        <f>G51/I51</f>
        <v/>
      </c>
      <c r="K51" s="3">
        <f>G51*12</f>
        <v/>
      </c>
      <c r="L51" s="3" t="n">
        <v>12120</v>
      </c>
    </row>
    <row r="52">
      <c r="A52" t="inlineStr">
        <is>
          <t>TA-2023-00072</t>
        </is>
      </c>
      <c r="B52" t="inlineStr">
        <is>
          <t>U-CD118-01-26</t>
        </is>
      </c>
      <c r="C52" t="inlineStr">
        <is>
          <t>Lotus Family Clinic Pte Ltd</t>
        </is>
      </c>
      <c r="D52" t="inlineStr">
        <is>
          <t>GP Clinic</t>
        </is>
      </c>
      <c r="E52" s="2" t="n">
        <v>45231</v>
      </c>
      <c r="F52" s="2" t="n">
        <v>46326</v>
      </c>
      <c r="G52" s="3" t="n">
        <v>2780</v>
      </c>
      <c r="H52">
        <f>VLOOKUP(B52,Units!$A$2:$G$1646,2,FALSE)</f>
        <v/>
      </c>
      <c r="I52">
        <f>VLOOKUP(B52,Units!$A$2:$G$1646,5,FALSE)</f>
        <v/>
      </c>
      <c r="J52" s="3">
        <f>G52/I52</f>
        <v/>
      </c>
      <c r="K52" s="3">
        <f>G52*12</f>
        <v/>
      </c>
      <c r="L52" s="3" t="n">
        <v>8340</v>
      </c>
    </row>
    <row r="53">
      <c r="A53" t="inlineStr">
        <is>
          <t>TA-2023-00073</t>
        </is>
      </c>
      <c r="B53" t="inlineStr">
        <is>
          <t>U-CD131-01-02</t>
        </is>
      </c>
      <c r="C53" t="inlineStr">
        <is>
          <t>Sejahtera Flowers &amp; Gifts</t>
        </is>
      </c>
      <c r="D53" t="inlineStr">
        <is>
          <t>Florist</t>
        </is>
      </c>
      <c r="E53" s="2" t="n">
        <v>45231</v>
      </c>
      <c r="F53" s="2" t="n">
        <v>46326</v>
      </c>
      <c r="G53" s="3" t="n">
        <v>3940</v>
      </c>
      <c r="H53">
        <f>VLOOKUP(B53,Units!$A$2:$G$1646,2,FALSE)</f>
        <v/>
      </c>
      <c r="I53">
        <f>VLOOKUP(B53,Units!$A$2:$G$1646,5,FALSE)</f>
        <v/>
      </c>
      <c r="J53" s="3">
        <f>G53/I53</f>
        <v/>
      </c>
      <c r="K53" s="3">
        <f>G53*12</f>
        <v/>
      </c>
      <c r="L53" s="3" t="n">
        <v>11820</v>
      </c>
    </row>
    <row r="54">
      <c r="A54" t="inlineStr">
        <is>
          <t>TA-2023-00075</t>
        </is>
      </c>
      <c r="B54" t="inlineStr">
        <is>
          <t>U-CD170-01-06</t>
        </is>
      </c>
      <c r="C54" t="inlineStr">
        <is>
          <t>Ananda Cake House</t>
        </is>
      </c>
      <c r="D54" t="inlineStr">
        <is>
          <t>Bakery &amp; Confectionery</t>
        </is>
      </c>
      <c r="E54" s="2" t="n">
        <v>45231</v>
      </c>
      <c r="F54" s="2" t="n">
        <v>46326</v>
      </c>
      <c r="G54" s="3" t="n">
        <v>4630</v>
      </c>
      <c r="H54">
        <f>VLOOKUP(B54,Units!$A$2:$G$1646,2,FALSE)</f>
        <v/>
      </c>
      <c r="I54">
        <f>VLOOKUP(B54,Units!$A$2:$G$1646,5,FALSE)</f>
        <v/>
      </c>
      <c r="J54" s="3">
        <f>G54/I54</f>
        <v/>
      </c>
      <c r="K54" s="3">
        <f>G54*12</f>
        <v/>
      </c>
      <c r="L54" s="3" t="n">
        <v>13890</v>
      </c>
    </row>
    <row r="55">
      <c r="A55" t="inlineStr">
        <is>
          <t>TA-2023-00077</t>
        </is>
      </c>
      <c r="B55" t="inlineStr">
        <is>
          <t>U-CD173-01-10</t>
        </is>
      </c>
      <c r="C55" t="inlineStr">
        <is>
          <t>Kian Huat Telecom</t>
        </is>
      </c>
      <c r="D55" t="inlineStr">
        <is>
          <t>Mobile Phone &amp; Accessories</t>
        </is>
      </c>
      <c r="E55" s="2" t="n">
        <v>45231</v>
      </c>
      <c r="F55" s="2" t="n">
        <v>46326</v>
      </c>
      <c r="G55" s="3" t="n">
        <v>1290</v>
      </c>
      <c r="H55">
        <f>VLOOKUP(B55,Units!$A$2:$G$1646,2,FALSE)</f>
        <v/>
      </c>
      <c r="I55">
        <f>VLOOKUP(B55,Units!$A$2:$G$1646,5,FALSE)</f>
        <v/>
      </c>
      <c r="J55" s="3">
        <f>G55/I55</f>
        <v/>
      </c>
      <c r="K55" s="3">
        <f>G55*12</f>
        <v/>
      </c>
      <c r="L55" s="3" t="n">
        <v>3870</v>
      </c>
    </row>
    <row r="56">
      <c r="A56" t="inlineStr">
        <is>
          <t>TA-2023-00079</t>
        </is>
      </c>
      <c r="B56" t="inlineStr">
        <is>
          <t>U-CD185-01-08</t>
        </is>
      </c>
      <c r="C56" t="inlineStr">
        <is>
          <t>PrimeValue Mart Pte Ltd</t>
        </is>
      </c>
      <c r="D56" t="inlineStr">
        <is>
          <t>Minimart</t>
        </is>
      </c>
      <c r="E56" s="2" t="n">
        <v>45231</v>
      </c>
      <c r="F56" s="2" t="n">
        <v>46326</v>
      </c>
      <c r="G56" s="3" t="n">
        <v>4240</v>
      </c>
      <c r="H56">
        <f>VLOOKUP(B56,Units!$A$2:$G$1646,2,FALSE)</f>
        <v/>
      </c>
      <c r="I56">
        <f>VLOOKUP(B56,Units!$A$2:$G$1646,5,FALSE)</f>
        <v/>
      </c>
      <c r="J56" s="3">
        <f>G56/I56</f>
        <v/>
      </c>
      <c r="K56" s="3">
        <f>G56*12</f>
        <v/>
      </c>
      <c r="L56" s="3" t="n">
        <v>12720</v>
      </c>
    </row>
    <row r="57">
      <c r="A57" t="inlineStr">
        <is>
          <t>TA-2023-00080</t>
        </is>
      </c>
      <c r="B57" t="inlineStr">
        <is>
          <t>U-KR305-01-32</t>
        </is>
      </c>
      <c r="C57" t="inlineStr">
        <is>
          <t>Harmony Restaurant Pte Ltd</t>
        </is>
      </c>
      <c r="D57" t="inlineStr">
        <is>
          <t>Restaurant</t>
        </is>
      </c>
      <c r="E57" s="2" t="n">
        <v>45231</v>
      </c>
      <c r="F57" s="2" t="n">
        <v>46326</v>
      </c>
      <c r="G57" s="3" t="n">
        <v>3860</v>
      </c>
      <c r="H57">
        <f>VLOOKUP(B57,Units!$A$2:$G$1646,2,FALSE)</f>
        <v/>
      </c>
      <c r="I57">
        <f>VLOOKUP(B57,Units!$A$2:$G$1646,5,FALSE)</f>
        <v/>
      </c>
      <c r="J57" s="3">
        <f>G57/I57</f>
        <v/>
      </c>
      <c r="K57" s="3">
        <f>G57*12</f>
        <v/>
      </c>
      <c r="L57" s="3" t="n">
        <v>11580</v>
      </c>
    </row>
    <row r="58">
      <c r="A58" t="inlineStr">
        <is>
          <t>TA-2023-00082</t>
        </is>
      </c>
      <c r="B58" t="inlineStr">
        <is>
          <t>U-KR323-01-06</t>
        </is>
      </c>
      <c r="C58" t="inlineStr">
        <is>
          <t>Kumar Medical Supplies Pte Ltd</t>
        </is>
      </c>
      <c r="D58" t="inlineStr">
        <is>
          <t>Pharmacy</t>
        </is>
      </c>
      <c r="E58" s="2" t="n">
        <v>45231</v>
      </c>
      <c r="F58" s="2" t="n">
        <v>46326</v>
      </c>
      <c r="G58" s="3" t="n">
        <v>4270</v>
      </c>
      <c r="H58">
        <f>VLOOKUP(B58,Units!$A$2:$G$1646,2,FALSE)</f>
        <v/>
      </c>
      <c r="I58">
        <f>VLOOKUP(B58,Units!$A$2:$G$1646,5,FALSE)</f>
        <v/>
      </c>
      <c r="J58" s="3">
        <f>G58/I58</f>
        <v/>
      </c>
      <c r="K58" s="3">
        <f>G58*12</f>
        <v/>
      </c>
      <c r="L58" s="3" t="n">
        <v>12810</v>
      </c>
    </row>
    <row r="59">
      <c r="A59" t="inlineStr">
        <is>
          <t>TA-2023-00083</t>
        </is>
      </c>
      <c r="B59" t="inlineStr">
        <is>
          <t>U-KR330-02-06</t>
        </is>
      </c>
      <c r="C59" t="inlineStr">
        <is>
          <t>Raja Dental Surgery Pte Ltd</t>
        </is>
      </c>
      <c r="D59" t="inlineStr">
        <is>
          <t>Dental Clinic</t>
        </is>
      </c>
      <c r="E59" s="2" t="n">
        <v>45231</v>
      </c>
      <c r="F59" s="2" t="n">
        <v>46326</v>
      </c>
      <c r="G59" s="3" t="n">
        <v>2460</v>
      </c>
      <c r="H59">
        <f>VLOOKUP(B59,Units!$A$2:$G$1646,2,FALSE)</f>
        <v/>
      </c>
      <c r="I59">
        <f>VLOOKUP(B59,Units!$A$2:$G$1646,5,FALSE)</f>
        <v/>
      </c>
      <c r="J59" s="3">
        <f>G59/I59</f>
        <v/>
      </c>
      <c r="K59" s="3">
        <f>G59*12</f>
        <v/>
      </c>
      <c r="L59" s="3" t="n">
        <v>7380</v>
      </c>
    </row>
    <row r="60">
      <c r="A60" t="inlineStr">
        <is>
          <t>TA-2023-00085</t>
        </is>
      </c>
      <c r="B60" t="inlineStr">
        <is>
          <t>U-KR368-01-12</t>
        </is>
      </c>
      <c r="C60" t="inlineStr">
        <is>
          <t>PrimeValue Mart Pte Ltd</t>
        </is>
      </c>
      <c r="D60" t="inlineStr">
        <is>
          <t>Minimart</t>
        </is>
      </c>
      <c r="E60" s="2" t="n">
        <v>45231</v>
      </c>
      <c r="F60" s="2" t="n">
        <v>46326</v>
      </c>
      <c r="G60" s="3" t="n">
        <v>3830</v>
      </c>
      <c r="H60">
        <f>VLOOKUP(B60,Units!$A$2:$G$1646,2,FALSE)</f>
        <v/>
      </c>
      <c r="I60">
        <f>VLOOKUP(B60,Units!$A$2:$G$1646,5,FALSE)</f>
        <v/>
      </c>
      <c r="J60" s="3">
        <f>G60/I60</f>
        <v/>
      </c>
      <c r="K60" s="3">
        <f>G60*12</f>
        <v/>
      </c>
      <c r="L60" s="3" t="n">
        <v>11490</v>
      </c>
    </row>
    <row r="61">
      <c r="A61" t="inlineStr">
        <is>
          <t>TA-2023-00086</t>
        </is>
      </c>
      <c r="B61" t="inlineStr">
        <is>
          <t>U-KR368-01-14</t>
        </is>
      </c>
      <c r="C61" t="inlineStr">
        <is>
          <t>Silver Moon Supermarket</t>
        </is>
      </c>
      <c r="D61" t="inlineStr">
        <is>
          <t>Minimart</t>
        </is>
      </c>
      <c r="E61" s="2" t="n">
        <v>45231</v>
      </c>
      <c r="F61" s="2" t="n">
        <v>46326</v>
      </c>
      <c r="G61" s="3" t="n">
        <v>4310</v>
      </c>
      <c r="H61">
        <f>VLOOKUP(B61,Units!$A$2:$G$1646,2,FALSE)</f>
        <v/>
      </c>
      <c r="I61">
        <f>VLOOKUP(B61,Units!$A$2:$G$1646,5,FALSE)</f>
        <v/>
      </c>
      <c r="J61" s="3">
        <f>G61/I61</f>
        <v/>
      </c>
      <c r="K61" s="3">
        <f>G61*12</f>
        <v/>
      </c>
      <c r="L61" s="3" t="n">
        <v>12930</v>
      </c>
    </row>
    <row r="62">
      <c r="A62" t="inlineStr">
        <is>
          <t>TA-2023-00088</t>
        </is>
      </c>
      <c r="B62" t="inlineStr">
        <is>
          <t>U-KR369-01-01</t>
        </is>
      </c>
      <c r="C62" t="inlineStr">
        <is>
          <t>Joo Chiat Medical Supplies Pte Ltd</t>
        </is>
      </c>
      <c r="D62" t="inlineStr">
        <is>
          <t>Pharmacy</t>
        </is>
      </c>
      <c r="E62" s="2" t="n">
        <v>45231</v>
      </c>
      <c r="F62" s="2" t="n">
        <v>46326</v>
      </c>
      <c r="G62" s="3" t="n">
        <v>4870</v>
      </c>
      <c r="H62">
        <f>VLOOKUP(B62,Units!$A$2:$G$1646,2,FALSE)</f>
        <v/>
      </c>
      <c r="I62">
        <f>VLOOKUP(B62,Units!$A$2:$G$1646,5,FALSE)</f>
        <v/>
      </c>
      <c r="J62" s="3">
        <f>G62/I62</f>
        <v/>
      </c>
      <c r="K62" s="3">
        <f>G62*12</f>
        <v/>
      </c>
      <c r="L62" s="3" t="n">
        <v>14610</v>
      </c>
    </row>
    <row r="63">
      <c r="A63" t="inlineStr">
        <is>
          <t>TA-2023-00090</t>
        </is>
      </c>
      <c r="B63" t="inlineStr">
        <is>
          <t>U-KR369-01-06</t>
        </is>
      </c>
      <c r="C63" t="inlineStr">
        <is>
          <t>Daily Fresh Laundry</t>
        </is>
      </c>
      <c r="D63" t="inlineStr">
        <is>
          <t>Laundry</t>
        </is>
      </c>
      <c r="E63" s="2" t="n">
        <v>45231</v>
      </c>
      <c r="F63" s="2" t="n">
        <v>46326</v>
      </c>
      <c r="G63" s="3" t="n">
        <v>3020</v>
      </c>
      <c r="H63">
        <f>VLOOKUP(B63,Units!$A$2:$G$1646,2,FALSE)</f>
        <v/>
      </c>
      <c r="I63">
        <f>VLOOKUP(B63,Units!$A$2:$G$1646,5,FALSE)</f>
        <v/>
      </c>
      <c r="J63" s="3">
        <f>G63/I63</f>
        <v/>
      </c>
      <c r="K63" s="3">
        <f>G63*12</f>
        <v/>
      </c>
      <c r="L63" s="3" t="n">
        <v>9060</v>
      </c>
    </row>
    <row r="64">
      <c r="A64" t="inlineStr">
        <is>
          <t>TA-2023-00092</t>
        </is>
      </c>
      <c r="B64" t="inlineStr">
        <is>
          <t>U-KR379-01-03</t>
        </is>
      </c>
      <c r="C64" t="inlineStr">
        <is>
          <t>Fresh Valley Hair Salon Pte Ltd</t>
        </is>
      </c>
      <c r="D64" t="inlineStr">
        <is>
          <t>Hair Salon</t>
        </is>
      </c>
      <c r="E64" s="2" t="n">
        <v>45231</v>
      </c>
      <c r="F64" s="2" t="n">
        <v>46326</v>
      </c>
      <c r="G64" s="3" t="n">
        <v>2170</v>
      </c>
      <c r="H64">
        <f>VLOOKUP(B64,Units!$A$2:$G$1646,2,FALSE)</f>
        <v/>
      </c>
      <c r="I64">
        <f>VLOOKUP(B64,Units!$A$2:$G$1646,5,FALSE)</f>
        <v/>
      </c>
      <c r="J64" s="3">
        <f>G64/I64</f>
        <v/>
      </c>
      <c r="K64" s="3">
        <f>G64*12</f>
        <v/>
      </c>
      <c r="L64" s="3" t="n">
        <v>6510</v>
      </c>
    </row>
    <row r="65">
      <c r="A65" t="inlineStr">
        <is>
          <t>TA-2023-00093</t>
        </is>
      </c>
      <c r="B65" t="inlineStr">
        <is>
          <t>U-KR379-01-07</t>
        </is>
      </c>
      <c r="C65" t="inlineStr">
        <is>
          <t>Golden Leaf Hardware &amp; Electrical Pte Ltd</t>
        </is>
      </c>
      <c r="D65" t="inlineStr">
        <is>
          <t>Hardware</t>
        </is>
      </c>
      <c r="E65" s="2" t="n">
        <v>45231</v>
      </c>
      <c r="F65" s="2" t="n">
        <v>46326</v>
      </c>
      <c r="G65" s="3" t="n">
        <v>3600</v>
      </c>
      <c r="H65">
        <f>VLOOKUP(B65,Units!$A$2:$G$1646,2,FALSE)</f>
        <v/>
      </c>
      <c r="I65">
        <f>VLOOKUP(B65,Units!$A$2:$G$1646,5,FALSE)</f>
        <v/>
      </c>
      <c r="J65" s="3">
        <f>G65/I65</f>
        <v/>
      </c>
      <c r="K65" s="3">
        <f>G65*12</f>
        <v/>
      </c>
      <c r="L65" s="3" t="n">
        <v>10800</v>
      </c>
    </row>
    <row r="66">
      <c r="A66" t="inlineStr">
        <is>
          <t>TA-2023-00094</t>
        </is>
      </c>
      <c r="B66" t="inlineStr">
        <is>
          <t>U-PI614-02-11</t>
        </is>
      </c>
      <c r="C66" t="inlineStr">
        <is>
          <t>Ananda Medical Hall Pte Ltd</t>
        </is>
      </c>
      <c r="D66" t="inlineStr">
        <is>
          <t>TCM Clinic</t>
        </is>
      </c>
      <c r="E66" s="2" t="n">
        <v>45231</v>
      </c>
      <c r="F66" s="2" t="n">
        <v>46326</v>
      </c>
      <c r="G66" s="3" t="n">
        <v>2200</v>
      </c>
      <c r="H66">
        <f>VLOOKUP(B66,Units!$A$2:$G$1646,2,FALSE)</f>
        <v/>
      </c>
      <c r="I66">
        <f>VLOOKUP(B66,Units!$A$2:$G$1646,5,FALSE)</f>
        <v/>
      </c>
      <c r="J66" s="3">
        <f>G66/I66</f>
        <v/>
      </c>
      <c r="K66" s="3">
        <f>G66*12</f>
        <v/>
      </c>
      <c r="L66" s="3" t="n">
        <v>6600</v>
      </c>
    </row>
    <row r="67">
      <c r="A67" t="inlineStr">
        <is>
          <t>TA-2023-00095</t>
        </is>
      </c>
      <c r="B67" t="inlineStr">
        <is>
          <t>U-PI615-01-04</t>
        </is>
      </c>
      <c r="C67" t="inlineStr">
        <is>
          <t>Ananda Family Clinic Pte Ltd</t>
        </is>
      </c>
      <c r="D67" t="inlineStr">
        <is>
          <t>GP Clinic</t>
        </is>
      </c>
      <c r="E67" s="2" t="n">
        <v>45231</v>
      </c>
      <c r="F67" s="2" t="n">
        <v>46326</v>
      </c>
      <c r="G67" s="3" t="n">
        <v>3400</v>
      </c>
      <c r="H67">
        <f>VLOOKUP(B67,Units!$A$2:$G$1646,2,FALSE)</f>
        <v/>
      </c>
      <c r="I67">
        <f>VLOOKUP(B67,Units!$A$2:$G$1646,5,FALSE)</f>
        <v/>
      </c>
      <c r="J67" s="3">
        <f>G67/I67</f>
        <v/>
      </c>
      <c r="K67" s="3">
        <f>G67*12</f>
        <v/>
      </c>
      <c r="L67" s="3" t="n">
        <v>10200</v>
      </c>
    </row>
    <row r="68">
      <c r="A68" t="inlineStr">
        <is>
          <t>TA-2023-00096</t>
        </is>
      </c>
      <c r="B68" t="inlineStr">
        <is>
          <t>U-PI642-01-07</t>
        </is>
      </c>
      <c r="C68" t="inlineStr">
        <is>
          <t>Nur Tuition Centre</t>
        </is>
      </c>
      <c r="D68" t="inlineStr">
        <is>
          <t>Tuition Centre</t>
        </is>
      </c>
      <c r="E68" s="2" t="n">
        <v>45231</v>
      </c>
      <c r="F68" s="2" t="n">
        <v>46326</v>
      </c>
      <c r="G68" s="3" t="n">
        <v>4070</v>
      </c>
      <c r="H68">
        <f>VLOOKUP(B68,Units!$A$2:$G$1646,2,FALSE)</f>
        <v/>
      </c>
      <c r="I68">
        <f>VLOOKUP(B68,Units!$A$2:$G$1646,5,FALSE)</f>
        <v/>
      </c>
      <c r="J68" s="3">
        <f>G68/I68</f>
        <v/>
      </c>
      <c r="K68" s="3">
        <f>G68*12</f>
        <v/>
      </c>
      <c r="L68" s="3" t="n">
        <v>12210</v>
      </c>
    </row>
    <row r="69">
      <c r="A69" t="inlineStr">
        <is>
          <t>TA-2023-00098</t>
        </is>
      </c>
      <c r="B69" t="inlineStr">
        <is>
          <t>U-PI678-01-03</t>
        </is>
      </c>
      <c r="C69" t="inlineStr">
        <is>
          <t>Bayu Tea House</t>
        </is>
      </c>
      <c r="D69" t="inlineStr">
        <is>
          <t>Bubble Tea</t>
        </is>
      </c>
      <c r="E69" s="2" t="n">
        <v>45231</v>
      </c>
      <c r="F69" s="2" t="n">
        <v>46326</v>
      </c>
      <c r="G69" s="3" t="n">
        <v>4670</v>
      </c>
      <c r="H69">
        <f>VLOOKUP(B69,Units!$A$2:$G$1646,2,FALSE)</f>
        <v/>
      </c>
      <c r="I69">
        <f>VLOOKUP(B69,Units!$A$2:$G$1646,5,FALSE)</f>
        <v/>
      </c>
      <c r="J69" s="3">
        <f>G69/I69</f>
        <v/>
      </c>
      <c r="K69" s="3">
        <f>G69*12</f>
        <v/>
      </c>
      <c r="L69" s="3" t="n">
        <v>14010</v>
      </c>
    </row>
    <row r="70">
      <c r="A70" t="inlineStr">
        <is>
          <t>TA-2023-00100</t>
        </is>
      </c>
      <c r="B70" t="inlineStr">
        <is>
          <t>U-PI684-01-03</t>
        </is>
      </c>
      <c r="C70" t="inlineStr">
        <is>
          <t>Hup Seng Clinic &amp; Surgery</t>
        </is>
      </c>
      <c r="D70" t="inlineStr">
        <is>
          <t>GP Clinic</t>
        </is>
      </c>
      <c r="E70" s="2" t="n">
        <v>45231</v>
      </c>
      <c r="F70" s="2" t="n">
        <v>46326</v>
      </c>
      <c r="G70" s="3" t="n">
        <v>4680</v>
      </c>
      <c r="H70">
        <f>VLOOKUP(B70,Units!$A$2:$G$1646,2,FALSE)</f>
        <v/>
      </c>
      <c r="I70">
        <f>VLOOKUP(B70,Units!$A$2:$G$1646,5,FALSE)</f>
        <v/>
      </c>
      <c r="J70" s="3">
        <f>G70/I70</f>
        <v/>
      </c>
      <c r="K70" s="3">
        <f>G70*12</f>
        <v/>
      </c>
      <c r="L70" s="3" t="n">
        <v>14040</v>
      </c>
    </row>
    <row r="71">
      <c r="A71" t="inlineStr">
        <is>
          <t>TA-2023-00101</t>
        </is>
      </c>
      <c r="B71" t="inlineStr">
        <is>
          <t>U-RH401-02-11</t>
        </is>
      </c>
      <c r="C71" t="inlineStr">
        <is>
          <t>Suria Clinic &amp; Surgery Pte Ltd</t>
        </is>
      </c>
      <c r="D71" t="inlineStr">
        <is>
          <t>GP Clinic</t>
        </is>
      </c>
      <c r="E71" s="2" t="n">
        <v>45231</v>
      </c>
      <c r="F71" s="2" t="n">
        <v>46326</v>
      </c>
      <c r="G71" s="3" t="n">
        <v>2040</v>
      </c>
      <c r="H71">
        <f>VLOOKUP(B71,Units!$A$2:$G$1646,2,FALSE)</f>
        <v/>
      </c>
      <c r="I71">
        <f>VLOOKUP(B71,Units!$A$2:$G$1646,5,FALSE)</f>
        <v/>
      </c>
      <c r="J71" s="3">
        <f>G71/I71</f>
        <v/>
      </c>
      <c r="K71" s="3">
        <f>G71*12</f>
        <v/>
      </c>
      <c r="L71" s="3" t="n">
        <v>6120</v>
      </c>
    </row>
    <row r="72">
      <c r="A72" t="inlineStr">
        <is>
          <t>TA-2023-00102</t>
        </is>
      </c>
      <c r="B72" t="inlineStr">
        <is>
          <t>U-RH420-01-01</t>
        </is>
      </c>
      <c r="C72" t="inlineStr">
        <is>
          <t>Wellcare Education Hub</t>
        </is>
      </c>
      <c r="D72" t="inlineStr">
        <is>
          <t>Tuition Centre</t>
        </is>
      </c>
      <c r="E72" s="2" t="n">
        <v>45231</v>
      </c>
      <c r="F72" s="2" t="n">
        <v>46326</v>
      </c>
      <c r="G72" s="3" t="n">
        <v>4920</v>
      </c>
      <c r="H72">
        <f>VLOOKUP(B72,Units!$A$2:$G$1646,2,FALSE)</f>
        <v/>
      </c>
      <c r="I72">
        <f>VLOOKUP(B72,Units!$A$2:$G$1646,5,FALSE)</f>
        <v/>
      </c>
      <c r="J72" s="3">
        <f>G72/I72</f>
        <v/>
      </c>
      <c r="K72" s="3">
        <f>G72*12</f>
        <v/>
      </c>
      <c r="L72" s="3" t="n">
        <v>14760</v>
      </c>
    </row>
    <row r="73">
      <c r="A73" t="inlineStr">
        <is>
          <t>TA-2023-00103</t>
        </is>
      </c>
      <c r="B73" t="inlineStr">
        <is>
          <t>U-RH420-02-05</t>
        </is>
      </c>
      <c r="C73" t="inlineStr">
        <is>
          <t>Starlight TCM Clinic</t>
        </is>
      </c>
      <c r="D73" t="inlineStr">
        <is>
          <t>TCM Clinic</t>
        </is>
      </c>
      <c r="E73" s="2" t="n">
        <v>45231</v>
      </c>
      <c r="F73" s="2" t="n">
        <v>46326</v>
      </c>
      <c r="G73" s="3" t="n">
        <v>1860</v>
      </c>
      <c r="H73">
        <f>VLOOKUP(B73,Units!$A$2:$G$1646,2,FALSE)</f>
        <v/>
      </c>
      <c r="I73">
        <f>VLOOKUP(B73,Units!$A$2:$G$1646,5,FALSE)</f>
        <v/>
      </c>
      <c r="J73" s="3">
        <f>G73/I73</f>
        <v/>
      </c>
      <c r="K73" s="3">
        <f>G73*12</f>
        <v/>
      </c>
      <c r="L73" s="3" t="n">
        <v>5580</v>
      </c>
    </row>
    <row r="74">
      <c r="A74" t="inlineStr">
        <is>
          <t>TA-2023-00104</t>
        </is>
      </c>
      <c r="B74" t="inlineStr">
        <is>
          <t>U-RH434-01-07</t>
        </is>
      </c>
      <c r="C74" t="inlineStr">
        <is>
          <t>Kumar Hair Studio</t>
        </is>
      </c>
      <c r="D74" t="inlineStr">
        <is>
          <t>Hair Salon</t>
        </is>
      </c>
      <c r="E74" s="2" t="n">
        <v>45231</v>
      </c>
      <c r="F74" s="2" t="n">
        <v>46326</v>
      </c>
      <c r="G74" s="3" t="n">
        <v>3220</v>
      </c>
      <c r="H74">
        <f>VLOOKUP(B74,Units!$A$2:$G$1646,2,FALSE)</f>
        <v/>
      </c>
      <c r="I74">
        <f>VLOOKUP(B74,Units!$A$2:$G$1646,5,FALSE)</f>
        <v/>
      </c>
      <c r="J74" s="3">
        <f>G74/I74</f>
        <v/>
      </c>
      <c r="K74" s="3">
        <f>G74*12</f>
        <v/>
      </c>
      <c r="L74" s="3" t="n">
        <v>9660</v>
      </c>
    </row>
    <row r="75">
      <c r="A75" t="inlineStr">
        <is>
          <t>TA-2023-00105</t>
        </is>
      </c>
      <c r="B75" t="inlineStr">
        <is>
          <t>U-RH437-01-03</t>
        </is>
      </c>
      <c r="C75" t="inlineStr">
        <is>
          <t>Seri Murni Restaurant</t>
        </is>
      </c>
      <c r="D75" t="inlineStr">
        <is>
          <t>Restaurant</t>
        </is>
      </c>
      <c r="E75" s="2" t="n">
        <v>45231</v>
      </c>
      <c r="F75" s="2" t="n">
        <v>46326</v>
      </c>
      <c r="G75" s="3" t="n">
        <v>3070</v>
      </c>
      <c r="H75">
        <f>VLOOKUP(B75,Units!$A$2:$G$1646,2,FALSE)</f>
        <v/>
      </c>
      <c r="I75">
        <f>VLOOKUP(B75,Units!$A$2:$G$1646,5,FALSE)</f>
        <v/>
      </c>
      <c r="J75" s="3">
        <f>G75/I75</f>
        <v/>
      </c>
      <c r="K75" s="3">
        <f>G75*12</f>
        <v/>
      </c>
      <c r="L75" s="3" t="n">
        <v>9210</v>
      </c>
    </row>
    <row r="76">
      <c r="A76" t="inlineStr">
        <is>
          <t>TA-2023-00106</t>
        </is>
      </c>
      <c r="B76" t="inlineStr">
        <is>
          <t>U-RH455-01-06</t>
        </is>
      </c>
      <c r="C76" t="inlineStr">
        <is>
          <t>Evergreen Kueh Corner</t>
        </is>
      </c>
      <c r="D76" t="inlineStr">
        <is>
          <t>Snack Kiosk</t>
        </is>
      </c>
      <c r="E76" s="2" t="n">
        <v>45231</v>
      </c>
      <c r="F76" s="2" t="n">
        <v>46326</v>
      </c>
      <c r="G76" s="3" t="n">
        <v>900</v>
      </c>
      <c r="H76">
        <f>VLOOKUP(B76,Units!$A$2:$G$1646,2,FALSE)</f>
        <v/>
      </c>
      <c r="I76">
        <f>VLOOKUP(B76,Units!$A$2:$G$1646,5,FALSE)</f>
        <v/>
      </c>
      <c r="J76" s="3">
        <f>G76/I76</f>
        <v/>
      </c>
      <c r="K76" s="3">
        <f>G76*12</f>
        <v/>
      </c>
      <c r="L76" s="3" t="n">
        <v>2700</v>
      </c>
    </row>
    <row r="77">
      <c r="A77" t="inlineStr">
        <is>
          <t>TA-2023-00107</t>
        </is>
      </c>
      <c r="B77" t="inlineStr">
        <is>
          <t>U-RH460-01-10</t>
        </is>
      </c>
      <c r="C77" t="inlineStr">
        <is>
          <t>Lim's Hair Studio</t>
        </is>
      </c>
      <c r="D77" t="inlineStr">
        <is>
          <t>Hair Salon</t>
        </is>
      </c>
      <c r="E77" s="2" t="n">
        <v>45231</v>
      </c>
      <c r="F77" s="2" t="n">
        <v>46326</v>
      </c>
      <c r="G77" s="3" t="n">
        <v>2310</v>
      </c>
      <c r="H77">
        <f>VLOOKUP(B77,Units!$A$2:$G$1646,2,FALSE)</f>
        <v/>
      </c>
      <c r="I77">
        <f>VLOOKUP(B77,Units!$A$2:$G$1646,5,FALSE)</f>
        <v/>
      </c>
      <c r="J77" s="3">
        <f>G77/I77</f>
        <v/>
      </c>
      <c r="K77" s="3">
        <f>G77*12</f>
        <v/>
      </c>
      <c r="L77" s="3" t="n">
        <v>6930</v>
      </c>
    </row>
    <row r="78">
      <c r="A78" t="inlineStr">
        <is>
          <t>TA-2023-00108</t>
        </is>
      </c>
      <c r="B78" t="inlineStr">
        <is>
          <t>U-RH476-01-10</t>
        </is>
      </c>
      <c r="C78" t="inlineStr">
        <is>
          <t>Little Sprouts Mart Pte Ltd</t>
        </is>
      </c>
      <c r="D78" t="inlineStr">
        <is>
          <t>Minimart</t>
        </is>
      </c>
      <c r="E78" s="2" t="n">
        <v>45231</v>
      </c>
      <c r="F78" s="2" t="n">
        <v>46326</v>
      </c>
      <c r="G78" s="3" t="n">
        <v>3380</v>
      </c>
      <c r="H78">
        <f>VLOOKUP(B78,Units!$A$2:$G$1646,2,FALSE)</f>
        <v/>
      </c>
      <c r="I78">
        <f>VLOOKUP(B78,Units!$A$2:$G$1646,5,FALSE)</f>
        <v/>
      </c>
      <c r="J78" s="3">
        <f>G78/I78</f>
        <v/>
      </c>
      <c r="K78" s="3">
        <f>G78*12</f>
        <v/>
      </c>
      <c r="L78" s="3" t="n">
        <v>10140</v>
      </c>
    </row>
    <row r="79">
      <c r="A79" t="inlineStr">
        <is>
          <t>TA-2023-00109</t>
        </is>
      </c>
      <c r="B79" t="inlineStr">
        <is>
          <t>U-RH484-01-11</t>
        </is>
      </c>
      <c r="C79" t="inlineStr">
        <is>
          <t>Treasure Confectionery</t>
        </is>
      </c>
      <c r="D79" t="inlineStr">
        <is>
          <t>Bakery &amp; Confectionery</t>
        </is>
      </c>
      <c r="E79" s="2" t="n">
        <v>45231</v>
      </c>
      <c r="F79" s="2" t="n">
        <v>46326</v>
      </c>
      <c r="G79" s="3" t="n">
        <v>5090</v>
      </c>
      <c r="H79">
        <f>VLOOKUP(B79,Units!$A$2:$G$1646,2,FALSE)</f>
        <v/>
      </c>
      <c r="I79">
        <f>VLOOKUP(B79,Units!$A$2:$G$1646,5,FALSE)</f>
        <v/>
      </c>
      <c r="J79" s="3">
        <f>G79/I79</f>
        <v/>
      </c>
      <c r="K79" s="3">
        <f>G79*12</f>
        <v/>
      </c>
      <c r="L79" s="3" t="n">
        <v>15270</v>
      </c>
    </row>
    <row r="80">
      <c r="A80" t="inlineStr">
        <is>
          <t>TA-2023-00111</t>
        </is>
      </c>
      <c r="B80" t="inlineStr">
        <is>
          <t>U-RH485-01-03</t>
        </is>
      </c>
      <c r="C80" t="inlineStr">
        <is>
          <t>Tian Fu Mobile</t>
        </is>
      </c>
      <c r="D80" t="inlineStr">
        <is>
          <t>Mobile Phone &amp; Accessories</t>
        </is>
      </c>
      <c r="E80" s="2" t="n">
        <v>45231</v>
      </c>
      <c r="F80" s="2" t="n">
        <v>46326</v>
      </c>
      <c r="G80" s="3" t="n">
        <v>940</v>
      </c>
      <c r="H80">
        <f>VLOOKUP(B80,Units!$A$2:$G$1646,2,FALSE)</f>
        <v/>
      </c>
      <c r="I80">
        <f>VLOOKUP(B80,Units!$A$2:$G$1646,5,FALSE)</f>
        <v/>
      </c>
      <c r="J80" s="3">
        <f>G80/I80</f>
        <v/>
      </c>
      <c r="K80" s="3">
        <f>G80*12</f>
        <v/>
      </c>
      <c r="L80" s="3" t="n">
        <v>2820</v>
      </c>
    </row>
    <row r="81">
      <c r="A81" t="inlineStr">
        <is>
          <t>TA-2023-00113</t>
        </is>
      </c>
      <c r="B81" t="inlineStr">
        <is>
          <t>U-RH491-01-12</t>
        </is>
      </c>
      <c r="C81" t="inlineStr">
        <is>
          <t>Ananda Beauty &amp; Hair Pte Ltd</t>
        </is>
      </c>
      <c r="D81" t="inlineStr">
        <is>
          <t>Hair Salon</t>
        </is>
      </c>
      <c r="E81" s="2" t="n">
        <v>45231</v>
      </c>
      <c r="F81" s="2" t="n">
        <v>46326</v>
      </c>
      <c r="G81" s="3" t="n">
        <v>1710</v>
      </c>
      <c r="H81">
        <f>VLOOKUP(B81,Units!$A$2:$G$1646,2,FALSE)</f>
        <v/>
      </c>
      <c r="I81">
        <f>VLOOKUP(B81,Units!$A$2:$G$1646,5,FALSE)</f>
        <v/>
      </c>
      <c r="J81" s="3">
        <f>G81/I81</f>
        <v/>
      </c>
      <c r="K81" s="3">
        <f>G81*12</f>
        <v/>
      </c>
      <c r="L81" s="3" t="n">
        <v>5130</v>
      </c>
    </row>
    <row r="82">
      <c r="A82" t="inlineStr">
        <is>
          <t>TA-2023-00114</t>
        </is>
      </c>
      <c r="B82" t="inlineStr">
        <is>
          <t>U-ST518-01-01</t>
        </is>
      </c>
      <c r="C82" t="inlineStr">
        <is>
          <t>Sejahtera Eating House Pte Ltd</t>
        </is>
      </c>
      <c r="D82" t="inlineStr">
        <is>
          <t>Coffeeshop</t>
        </is>
      </c>
      <c r="E82" s="2" t="n">
        <v>45231</v>
      </c>
      <c r="F82" s="2" t="n">
        <v>46326</v>
      </c>
      <c r="G82" s="3" t="n">
        <v>10230</v>
      </c>
      <c r="H82">
        <f>VLOOKUP(B82,Units!$A$2:$G$1646,2,FALSE)</f>
        <v/>
      </c>
      <c r="I82">
        <f>VLOOKUP(B82,Units!$A$2:$G$1646,5,FALSE)</f>
        <v/>
      </c>
      <c r="J82" s="3">
        <f>G82/I82</f>
        <v/>
      </c>
      <c r="K82" s="3">
        <f>G82*12</f>
        <v/>
      </c>
      <c r="L82" s="3" t="n">
        <v>30690</v>
      </c>
    </row>
    <row r="83">
      <c r="A83" t="inlineStr">
        <is>
          <t>TA-2023-00115</t>
        </is>
      </c>
      <c r="B83" t="inlineStr">
        <is>
          <t>U-ST534-01-03</t>
        </is>
      </c>
      <c r="C83" t="inlineStr">
        <is>
          <t>Murugan Education Hub Pte Ltd</t>
        </is>
      </c>
      <c r="D83" t="inlineStr">
        <is>
          <t>Tuition Centre</t>
        </is>
      </c>
      <c r="E83" s="2" t="n">
        <v>45231</v>
      </c>
      <c r="F83" s="2" t="n">
        <v>46326</v>
      </c>
      <c r="G83" s="3" t="n">
        <v>3100</v>
      </c>
      <c r="H83">
        <f>VLOOKUP(B83,Units!$A$2:$G$1646,2,FALSE)</f>
        <v/>
      </c>
      <c r="I83">
        <f>VLOOKUP(B83,Units!$A$2:$G$1646,5,FALSE)</f>
        <v/>
      </c>
      <c r="J83" s="3">
        <f>G83/I83</f>
        <v/>
      </c>
      <c r="K83" s="3">
        <f>G83*12</f>
        <v/>
      </c>
      <c r="L83" s="3" t="n">
        <v>9300</v>
      </c>
    </row>
    <row r="84">
      <c r="A84" t="inlineStr">
        <is>
          <t>TA-2023-00116</t>
        </is>
      </c>
      <c r="B84" t="inlineStr">
        <is>
          <t>U-ST544-02-04</t>
        </is>
      </c>
      <c r="C84" t="inlineStr">
        <is>
          <t>Silver Moon Family Clinic Pte Ltd</t>
        </is>
      </c>
      <c r="D84" t="inlineStr">
        <is>
          <t>GP Clinic</t>
        </is>
      </c>
      <c r="E84" s="2" t="n">
        <v>45231</v>
      </c>
      <c r="F84" s="2" t="n">
        <v>46326</v>
      </c>
      <c r="G84" s="3" t="n">
        <v>1390</v>
      </c>
      <c r="H84">
        <f>VLOOKUP(B84,Units!$A$2:$G$1646,2,FALSE)</f>
        <v/>
      </c>
      <c r="I84">
        <f>VLOOKUP(B84,Units!$A$2:$G$1646,5,FALSE)</f>
        <v/>
      </c>
      <c r="J84" s="3">
        <f>G84/I84</f>
        <v/>
      </c>
      <c r="K84" s="3">
        <f>G84*12</f>
        <v/>
      </c>
      <c r="L84" s="3" t="n">
        <v>4170</v>
      </c>
    </row>
    <row r="85">
      <c r="A85" t="inlineStr">
        <is>
          <t>TA-2023-00117</t>
        </is>
      </c>
      <c r="B85" t="inlineStr">
        <is>
          <t>U-ST564-01-08</t>
        </is>
      </c>
      <c r="C85" t="inlineStr">
        <is>
          <t>Tian Fu Eating Place Pte Ltd</t>
        </is>
      </c>
      <c r="D85" t="inlineStr">
        <is>
          <t>Restaurant</t>
        </is>
      </c>
      <c r="E85" s="2" t="n">
        <v>45231</v>
      </c>
      <c r="F85" s="2" t="n">
        <v>46326</v>
      </c>
      <c r="G85" s="3" t="n">
        <v>3200</v>
      </c>
      <c r="H85">
        <f>VLOOKUP(B85,Units!$A$2:$G$1646,2,FALSE)</f>
        <v/>
      </c>
      <c r="I85">
        <f>VLOOKUP(B85,Units!$A$2:$G$1646,5,FALSE)</f>
        <v/>
      </c>
      <c r="J85" s="3">
        <f>G85/I85</f>
        <v/>
      </c>
      <c r="K85" s="3">
        <f>G85*12</f>
        <v/>
      </c>
      <c r="L85" s="3" t="n">
        <v>9600</v>
      </c>
    </row>
    <row r="86">
      <c r="A86" t="inlineStr">
        <is>
          <t>TA-2023-00118</t>
        </is>
      </c>
      <c r="B86" t="inlineStr">
        <is>
          <t>U-ST564-02-09</t>
        </is>
      </c>
      <c r="C86" t="inlineStr">
        <is>
          <t>Al-Ameen TCM Clinic</t>
        </is>
      </c>
      <c r="D86" t="inlineStr">
        <is>
          <t>TCM Clinic</t>
        </is>
      </c>
      <c r="E86" s="2" t="n">
        <v>45231</v>
      </c>
      <c r="F86" s="2" t="n">
        <v>46326</v>
      </c>
      <c r="G86" s="3" t="n">
        <v>1710</v>
      </c>
      <c r="H86">
        <f>VLOOKUP(B86,Units!$A$2:$G$1646,2,FALSE)</f>
        <v/>
      </c>
      <c r="I86">
        <f>VLOOKUP(B86,Units!$A$2:$G$1646,5,FALSE)</f>
        <v/>
      </c>
      <c r="J86" s="3">
        <f>G86/I86</f>
        <v/>
      </c>
      <c r="K86" s="3">
        <f>G86*12</f>
        <v/>
      </c>
      <c r="L86" s="3" t="n">
        <v>5130</v>
      </c>
    </row>
    <row r="87">
      <c r="A87" t="inlineStr">
        <is>
          <t>TA-2023-00120</t>
        </is>
      </c>
      <c r="B87" t="inlineStr">
        <is>
          <t>U-ST579-01-06</t>
        </is>
      </c>
      <c r="C87" t="inlineStr">
        <is>
          <t>Teck Guan Supermarket</t>
        </is>
      </c>
      <c r="D87" t="inlineStr">
        <is>
          <t>Minimart</t>
        </is>
      </c>
      <c r="E87" s="2" t="n">
        <v>45231</v>
      </c>
      <c r="F87" s="2" t="n">
        <v>46326</v>
      </c>
      <c r="G87" s="3" t="n">
        <v>3150</v>
      </c>
      <c r="H87">
        <f>VLOOKUP(B87,Units!$A$2:$G$1646,2,FALSE)</f>
        <v/>
      </c>
      <c r="I87">
        <f>VLOOKUP(B87,Units!$A$2:$G$1646,5,FALSE)</f>
        <v/>
      </c>
      <c r="J87" s="3">
        <f>G87/I87</f>
        <v/>
      </c>
      <c r="K87" s="3">
        <f>G87*12</f>
        <v/>
      </c>
      <c r="L87" s="3" t="n">
        <v>9450</v>
      </c>
    </row>
    <row r="88">
      <c r="A88" t="inlineStr">
        <is>
          <t>TA-2023-00122</t>
        </is>
      </c>
      <c r="B88" t="inlineStr">
        <is>
          <t>U-ST583-01-07</t>
        </is>
      </c>
      <c r="C88" t="inlineStr">
        <is>
          <t>Joo Chiat Kitchen</t>
        </is>
      </c>
      <c r="D88" t="inlineStr">
        <is>
          <t>Restaurant</t>
        </is>
      </c>
      <c r="E88" s="2" t="n">
        <v>45231</v>
      </c>
      <c r="F88" s="2" t="n">
        <v>46326</v>
      </c>
      <c r="G88" s="3" t="n">
        <v>2930</v>
      </c>
      <c r="H88">
        <f>VLOOKUP(B88,Units!$A$2:$G$1646,2,FALSE)</f>
        <v/>
      </c>
      <c r="I88">
        <f>VLOOKUP(B88,Units!$A$2:$G$1646,5,FALSE)</f>
        <v/>
      </c>
      <c r="J88" s="3">
        <f>G88/I88</f>
        <v/>
      </c>
      <c r="K88" s="3">
        <f>G88*12</f>
        <v/>
      </c>
      <c r="L88" s="3" t="n">
        <v>8790</v>
      </c>
    </row>
    <row r="89">
      <c r="A89" t="inlineStr">
        <is>
          <t>TA-2023-00124</t>
        </is>
      </c>
      <c r="B89" t="inlineStr">
        <is>
          <t>U-BV216-01-04</t>
        </is>
      </c>
      <c r="C89" t="inlineStr">
        <is>
          <t>PrimeValue Mart Pte Ltd</t>
        </is>
      </c>
      <c r="D89" t="inlineStr">
        <is>
          <t>Minimart</t>
        </is>
      </c>
      <c r="E89" s="2" t="n">
        <v>45261</v>
      </c>
      <c r="F89" s="2" t="n">
        <v>46356</v>
      </c>
      <c r="G89" s="3" t="n">
        <v>4890</v>
      </c>
      <c r="H89">
        <f>VLOOKUP(B89,Units!$A$2:$G$1646,2,FALSE)</f>
        <v/>
      </c>
      <c r="I89">
        <f>VLOOKUP(B89,Units!$A$2:$G$1646,5,FALSE)</f>
        <v/>
      </c>
      <c r="J89" s="3">
        <f>G89/I89</f>
        <v/>
      </c>
      <c r="K89" s="3">
        <f>G89*12</f>
        <v/>
      </c>
      <c r="L89" s="3" t="n">
        <v>14670</v>
      </c>
    </row>
    <row r="90">
      <c r="A90" t="inlineStr">
        <is>
          <t>TA-2023-00126</t>
        </is>
      </c>
      <c r="B90" t="inlineStr">
        <is>
          <t>U-BV227-01-02</t>
        </is>
      </c>
      <c r="C90" t="inlineStr">
        <is>
          <t>Sejahtera Boba Bar</t>
        </is>
      </c>
      <c r="D90" t="inlineStr">
        <is>
          <t>Bubble Tea</t>
        </is>
      </c>
      <c r="E90" s="2" t="n">
        <v>45261</v>
      </c>
      <c r="F90" s="2" t="n">
        <v>46356</v>
      </c>
      <c r="G90" s="3" t="n">
        <v>5260</v>
      </c>
      <c r="H90">
        <f>VLOOKUP(B90,Units!$A$2:$G$1646,2,FALSE)</f>
        <v/>
      </c>
      <c r="I90">
        <f>VLOOKUP(B90,Units!$A$2:$G$1646,5,FALSE)</f>
        <v/>
      </c>
      <c r="J90" s="3">
        <f>G90/I90</f>
        <v/>
      </c>
      <c r="K90" s="3">
        <f>G90*12</f>
        <v/>
      </c>
      <c r="L90" s="3" t="n">
        <v>15780</v>
      </c>
    </row>
    <row r="91">
      <c r="A91" t="inlineStr">
        <is>
          <t>TA-2023-00128</t>
        </is>
      </c>
      <c r="B91" t="inlineStr">
        <is>
          <t>U-BV233-02-06</t>
        </is>
      </c>
      <c r="C91" t="inlineStr">
        <is>
          <t>Siva Family Clinic</t>
        </is>
      </c>
      <c r="D91" t="inlineStr">
        <is>
          <t>GP Clinic</t>
        </is>
      </c>
      <c r="E91" s="2" t="n">
        <v>45261</v>
      </c>
      <c r="F91" s="2" t="n">
        <v>46356</v>
      </c>
      <c r="G91" s="3" t="n">
        <v>2950</v>
      </c>
      <c r="H91">
        <f>VLOOKUP(B91,Units!$A$2:$G$1646,2,FALSE)</f>
        <v/>
      </c>
      <c r="I91">
        <f>VLOOKUP(B91,Units!$A$2:$G$1646,5,FALSE)</f>
        <v/>
      </c>
      <c r="J91" s="3">
        <f>G91/I91</f>
        <v/>
      </c>
      <c r="K91" s="3">
        <f>G91*12</f>
        <v/>
      </c>
      <c r="L91" s="3" t="n">
        <v>8850</v>
      </c>
    </row>
    <row r="92">
      <c r="A92" t="inlineStr">
        <is>
          <t>TA-2023-00130</t>
        </is>
      </c>
      <c r="B92" t="inlineStr">
        <is>
          <t>U-BV288-02-09</t>
        </is>
      </c>
      <c r="C92" t="inlineStr">
        <is>
          <t>Wisdom Learning Centre</t>
        </is>
      </c>
      <c r="D92" t="inlineStr">
        <is>
          <t>Tuition Centre</t>
        </is>
      </c>
      <c r="E92" s="2" t="n">
        <v>45261</v>
      </c>
      <c r="F92" s="2" t="n">
        <v>46356</v>
      </c>
      <c r="G92" s="3" t="n">
        <v>4420</v>
      </c>
      <c r="H92">
        <f>VLOOKUP(B92,Units!$A$2:$G$1646,2,FALSE)</f>
        <v/>
      </c>
      <c r="I92">
        <f>VLOOKUP(B92,Units!$A$2:$G$1646,5,FALSE)</f>
        <v/>
      </c>
      <c r="J92" s="3">
        <f>G92/I92</f>
        <v/>
      </c>
      <c r="K92" s="3">
        <f>G92*12</f>
        <v/>
      </c>
      <c r="L92" s="3" t="n">
        <v>13260</v>
      </c>
    </row>
    <row r="93">
      <c r="A93" t="inlineStr">
        <is>
          <t>TA-2023-00131</t>
        </is>
      </c>
      <c r="B93" t="inlineStr">
        <is>
          <t>U-BV296-01-03</t>
        </is>
      </c>
      <c r="C93" t="inlineStr">
        <is>
          <t>Treasure Kitchen</t>
        </is>
      </c>
      <c r="D93" t="inlineStr">
        <is>
          <t>Restaurant</t>
        </is>
      </c>
      <c r="E93" s="2" t="n">
        <v>45261</v>
      </c>
      <c r="F93" s="2" t="n">
        <v>46356</v>
      </c>
      <c r="G93" s="3" t="n">
        <v>2480</v>
      </c>
      <c r="H93">
        <f>VLOOKUP(B93,Units!$A$2:$G$1646,2,FALSE)</f>
        <v/>
      </c>
      <c r="I93">
        <f>VLOOKUP(B93,Units!$A$2:$G$1646,5,FALSE)</f>
        <v/>
      </c>
      <c r="J93" s="3">
        <f>G93/I93</f>
        <v/>
      </c>
      <c r="K93" s="3">
        <f>G93*12</f>
        <v/>
      </c>
      <c r="L93" s="3" t="n">
        <v>7440</v>
      </c>
    </row>
    <row r="94">
      <c r="A94" t="inlineStr">
        <is>
          <t>TA-2023-00133</t>
        </is>
      </c>
      <c r="B94" t="inlineStr">
        <is>
          <t>U-CD105-01-04</t>
        </is>
      </c>
      <c r="C94" t="inlineStr">
        <is>
          <t>Blue Pearl Medical Clinic</t>
        </is>
      </c>
      <c r="D94" t="inlineStr">
        <is>
          <t>GP Clinic</t>
        </is>
      </c>
      <c r="E94" s="2" t="n">
        <v>45261</v>
      </c>
      <c r="F94" s="2" t="n">
        <v>46356</v>
      </c>
      <c r="G94" s="3" t="n">
        <v>4430</v>
      </c>
      <c r="H94">
        <f>VLOOKUP(B94,Units!$A$2:$G$1646,2,FALSE)</f>
        <v/>
      </c>
      <c r="I94">
        <f>VLOOKUP(B94,Units!$A$2:$G$1646,5,FALSE)</f>
        <v/>
      </c>
      <c r="J94" s="3">
        <f>G94/I94</f>
        <v/>
      </c>
      <c r="K94" s="3">
        <f>G94*12</f>
        <v/>
      </c>
      <c r="L94" s="3" t="n">
        <v>13290</v>
      </c>
    </row>
    <row r="95">
      <c r="A95" t="inlineStr">
        <is>
          <t>TA-2023-00135</t>
        </is>
      </c>
      <c r="B95" t="inlineStr">
        <is>
          <t>U-CD109-01-12</t>
        </is>
      </c>
      <c r="C95" t="inlineStr">
        <is>
          <t>Kampung Hair Salon</t>
        </is>
      </c>
      <c r="D95" t="inlineStr">
        <is>
          <t>Hair Salon</t>
        </is>
      </c>
      <c r="E95" s="2" t="n">
        <v>45261</v>
      </c>
      <c r="F95" s="2" t="n">
        <v>46356</v>
      </c>
      <c r="G95" s="3" t="n">
        <v>6290</v>
      </c>
      <c r="H95">
        <f>VLOOKUP(B95,Units!$A$2:$G$1646,2,FALSE)</f>
        <v/>
      </c>
      <c r="I95">
        <f>VLOOKUP(B95,Units!$A$2:$G$1646,5,FALSE)</f>
        <v/>
      </c>
      <c r="J95" s="3">
        <f>G95/I95</f>
        <v/>
      </c>
      <c r="K95" s="3">
        <f>G95*12</f>
        <v/>
      </c>
      <c r="L95" s="3" t="n">
        <v>18870</v>
      </c>
    </row>
    <row r="96">
      <c r="A96" t="inlineStr">
        <is>
          <t>TA-2023-00136</t>
        </is>
      </c>
      <c r="B96" t="inlineStr">
        <is>
          <t>U-CD118-01-11</t>
        </is>
      </c>
      <c r="C96" t="inlineStr">
        <is>
          <t>Sejahtera Eye Centre</t>
        </is>
      </c>
      <c r="D96" t="inlineStr">
        <is>
          <t>Optical</t>
        </is>
      </c>
      <c r="E96" s="2" t="n">
        <v>45261</v>
      </c>
      <c r="F96" s="2" t="n">
        <v>46356</v>
      </c>
      <c r="G96" s="3" t="n">
        <v>2600</v>
      </c>
      <c r="H96">
        <f>VLOOKUP(B96,Units!$A$2:$G$1646,2,FALSE)</f>
        <v/>
      </c>
      <c r="I96">
        <f>VLOOKUP(B96,Units!$A$2:$G$1646,5,FALSE)</f>
        <v/>
      </c>
      <c r="J96" s="3">
        <f>G96/I96</f>
        <v/>
      </c>
      <c r="K96" s="3">
        <f>G96*12</f>
        <v/>
      </c>
      <c r="L96" s="3" t="n">
        <v>7800</v>
      </c>
    </row>
    <row r="97">
      <c r="A97" t="inlineStr">
        <is>
          <t>TA-2023-00137</t>
        </is>
      </c>
      <c r="B97" t="inlineStr">
        <is>
          <t>U-CD120-01-11</t>
        </is>
      </c>
      <c r="C97" t="inlineStr">
        <is>
          <t>Chop Wah Supermarket Pte Ltd</t>
        </is>
      </c>
      <c r="D97" t="inlineStr">
        <is>
          <t>Minimart</t>
        </is>
      </c>
      <c r="E97" s="2" t="n">
        <v>45261</v>
      </c>
      <c r="F97" s="2" t="n">
        <v>46356</v>
      </c>
      <c r="G97" s="3" t="n">
        <v>3600</v>
      </c>
      <c r="H97">
        <f>VLOOKUP(B97,Units!$A$2:$G$1646,2,FALSE)</f>
        <v/>
      </c>
      <c r="I97">
        <f>VLOOKUP(B97,Units!$A$2:$G$1646,5,FALSE)</f>
        <v/>
      </c>
      <c r="J97" s="3">
        <f>G97/I97</f>
        <v/>
      </c>
      <c r="K97" s="3">
        <f>G97*12</f>
        <v/>
      </c>
      <c r="L97" s="3" t="n">
        <v>10800</v>
      </c>
    </row>
    <row r="98">
      <c r="A98" t="inlineStr">
        <is>
          <t>TA-2023-00139</t>
        </is>
      </c>
      <c r="B98" t="inlineStr">
        <is>
          <t>U-CD120-01-12</t>
        </is>
      </c>
      <c r="C98" t="inlineStr">
        <is>
          <t>Hup Seng Dry Cleaners</t>
        </is>
      </c>
      <c r="D98" t="inlineStr">
        <is>
          <t>Laundry</t>
        </is>
      </c>
      <c r="E98" s="2" t="n">
        <v>45261</v>
      </c>
      <c r="F98" s="2" t="n">
        <v>46356</v>
      </c>
      <c r="G98" s="3" t="n">
        <v>4010</v>
      </c>
      <c r="H98">
        <f>VLOOKUP(B98,Units!$A$2:$G$1646,2,FALSE)</f>
        <v/>
      </c>
      <c r="I98">
        <f>VLOOKUP(B98,Units!$A$2:$G$1646,5,FALSE)</f>
        <v/>
      </c>
      <c r="J98" s="3">
        <f>G98/I98</f>
        <v/>
      </c>
      <c r="K98" s="3">
        <f>G98*12</f>
        <v/>
      </c>
      <c r="L98" s="3" t="n">
        <v>12030</v>
      </c>
    </row>
    <row r="99">
      <c r="A99" t="inlineStr">
        <is>
          <t>TA-2023-00140</t>
        </is>
      </c>
      <c r="B99" t="inlineStr">
        <is>
          <t>U-CD165-01-05</t>
        </is>
      </c>
      <c r="C99" t="inlineStr">
        <is>
          <t>Golden Leaf Provision Shop Pte Ltd</t>
        </is>
      </c>
      <c r="D99" t="inlineStr">
        <is>
          <t>Provision Shop</t>
        </is>
      </c>
      <c r="E99" s="2" t="n">
        <v>45261</v>
      </c>
      <c r="F99" s="2" t="n">
        <v>46356</v>
      </c>
      <c r="G99" s="3" t="n">
        <v>4450</v>
      </c>
      <c r="H99">
        <f>VLOOKUP(B99,Units!$A$2:$G$1646,2,FALSE)</f>
        <v/>
      </c>
      <c r="I99">
        <f>VLOOKUP(B99,Units!$A$2:$G$1646,5,FALSE)</f>
        <v/>
      </c>
      <c r="J99" s="3">
        <f>G99/I99</f>
        <v/>
      </c>
      <c r="K99" s="3">
        <f>G99*12</f>
        <v/>
      </c>
      <c r="L99" s="3" t="n">
        <v>13350</v>
      </c>
    </row>
    <row r="100">
      <c r="A100" t="inlineStr">
        <is>
          <t>TA-2023-00141</t>
        </is>
      </c>
      <c r="B100" t="inlineStr">
        <is>
          <t>U-CD174-01-11</t>
        </is>
      </c>
      <c r="C100" t="inlineStr">
        <is>
          <t>Hometown Agency Pte Ltd</t>
        </is>
      </c>
      <c r="D100" t="inlineStr">
        <is>
          <t>Professional Services Office</t>
        </is>
      </c>
      <c r="E100" s="2" t="n">
        <v>45261</v>
      </c>
      <c r="F100" s="2" t="n">
        <v>46356</v>
      </c>
      <c r="G100" s="3" t="n">
        <v>2440</v>
      </c>
      <c r="H100">
        <f>VLOOKUP(B100,Units!$A$2:$G$1646,2,FALSE)</f>
        <v/>
      </c>
      <c r="I100">
        <f>VLOOKUP(B100,Units!$A$2:$G$1646,5,FALSE)</f>
        <v/>
      </c>
      <c r="J100" s="3">
        <f>G100/I100</f>
        <v/>
      </c>
      <c r="K100" s="3">
        <f>G100*12</f>
        <v/>
      </c>
      <c r="L100" s="3" t="n">
        <v>7320</v>
      </c>
    </row>
    <row r="101">
      <c r="A101" t="inlineStr">
        <is>
          <t>TA-2023-00143</t>
        </is>
      </c>
      <c r="B101" t="inlineStr">
        <is>
          <t>U-CD185-01-05</t>
        </is>
      </c>
      <c r="C101" t="inlineStr">
        <is>
          <t>Siva Boba Bar</t>
        </is>
      </c>
      <c r="D101" t="inlineStr">
        <is>
          <t>Bubble Tea</t>
        </is>
      </c>
      <c r="E101" s="2" t="n">
        <v>45261</v>
      </c>
      <c r="F101" s="2" t="n">
        <v>46356</v>
      </c>
      <c r="G101" s="3" t="n">
        <v>900</v>
      </c>
      <c r="H101">
        <f>VLOOKUP(B101,Units!$A$2:$G$1646,2,FALSE)</f>
        <v/>
      </c>
      <c r="I101">
        <f>VLOOKUP(B101,Units!$A$2:$G$1646,5,FALSE)</f>
        <v/>
      </c>
      <c r="J101" s="3">
        <f>G101/I101</f>
        <v/>
      </c>
      <c r="K101" s="3">
        <f>G101*12</f>
        <v/>
      </c>
      <c r="L101" s="3" t="n">
        <v>2700</v>
      </c>
    </row>
    <row r="102">
      <c r="A102" t="inlineStr">
        <is>
          <t>TA-2023-00145</t>
        </is>
      </c>
      <c r="B102" t="inlineStr">
        <is>
          <t>U-CD190-01-07</t>
        </is>
      </c>
      <c r="C102" t="inlineStr">
        <is>
          <t>Nur Tea House Pte Ltd</t>
        </is>
      </c>
      <c r="D102" t="inlineStr">
        <is>
          <t>Bubble Tea</t>
        </is>
      </c>
      <c r="E102" s="2" t="n">
        <v>45261</v>
      </c>
      <c r="F102" s="2" t="n">
        <v>46356</v>
      </c>
      <c r="G102" s="3" t="n">
        <v>1570</v>
      </c>
      <c r="H102">
        <f>VLOOKUP(B102,Units!$A$2:$G$1646,2,FALSE)</f>
        <v/>
      </c>
      <c r="I102">
        <f>VLOOKUP(B102,Units!$A$2:$G$1646,5,FALSE)</f>
        <v/>
      </c>
      <c r="J102" s="3">
        <f>G102/I102</f>
        <v/>
      </c>
      <c r="K102" s="3">
        <f>G102*12</f>
        <v/>
      </c>
      <c r="L102" s="3" t="n">
        <v>4710</v>
      </c>
    </row>
    <row r="103">
      <c r="A103" t="inlineStr">
        <is>
          <t>TA-2023-00146</t>
        </is>
      </c>
      <c r="B103" t="inlineStr">
        <is>
          <t>U-KR305-01-08</t>
        </is>
      </c>
      <c r="C103" t="inlineStr">
        <is>
          <t>Chop Wah Medical Hall</t>
        </is>
      </c>
      <c r="D103" t="inlineStr">
        <is>
          <t>TCM Clinic</t>
        </is>
      </c>
      <c r="E103" s="2" t="n">
        <v>45261</v>
      </c>
      <c r="F103" s="2" t="n">
        <v>46356</v>
      </c>
      <c r="G103" s="3" t="n">
        <v>3630</v>
      </c>
      <c r="H103">
        <f>VLOOKUP(B103,Units!$A$2:$G$1646,2,FALSE)</f>
        <v/>
      </c>
      <c r="I103">
        <f>VLOOKUP(B103,Units!$A$2:$G$1646,5,FALSE)</f>
        <v/>
      </c>
      <c r="J103" s="3">
        <f>G103/I103</f>
        <v/>
      </c>
      <c r="K103" s="3">
        <f>G103*12</f>
        <v/>
      </c>
      <c r="L103" s="3" t="n">
        <v>10890</v>
      </c>
    </row>
    <row r="104">
      <c r="A104" t="inlineStr">
        <is>
          <t>TA-2023-00147</t>
        </is>
      </c>
      <c r="B104" t="inlineStr">
        <is>
          <t>U-KR329-01-05</t>
        </is>
      </c>
      <c r="C104" t="inlineStr">
        <is>
          <t>Ananda Bookstore Pte Ltd</t>
        </is>
      </c>
      <c r="D104" t="inlineStr">
        <is>
          <t>Stationery &amp; Books</t>
        </is>
      </c>
      <c r="E104" s="2" t="n">
        <v>45261</v>
      </c>
      <c r="F104" s="2" t="n">
        <v>46356</v>
      </c>
      <c r="G104" s="3" t="n">
        <v>6000</v>
      </c>
      <c r="H104">
        <f>VLOOKUP(B104,Units!$A$2:$G$1646,2,FALSE)</f>
        <v/>
      </c>
      <c r="I104">
        <f>VLOOKUP(B104,Units!$A$2:$G$1646,5,FALSE)</f>
        <v/>
      </c>
      <c r="J104" s="3">
        <f>G104/I104</f>
        <v/>
      </c>
      <c r="K104" s="3">
        <f>G104*12</f>
        <v/>
      </c>
      <c r="L104" s="3" t="n">
        <v>18000</v>
      </c>
    </row>
    <row r="105">
      <c r="A105" t="inlineStr">
        <is>
          <t>TA-2023-00149</t>
        </is>
      </c>
      <c r="B105" t="inlineStr">
        <is>
          <t>U-KR329-01-10</t>
        </is>
      </c>
      <c r="C105" t="inlineStr">
        <is>
          <t>Bright Path Confectionery Pte Ltd</t>
        </is>
      </c>
      <c r="D105" t="inlineStr">
        <is>
          <t>Bakery &amp; Confectionery</t>
        </is>
      </c>
      <c r="E105" s="2" t="n">
        <v>45261</v>
      </c>
      <c r="F105" s="2" t="n">
        <v>46356</v>
      </c>
      <c r="G105" s="3" t="n">
        <v>3220</v>
      </c>
      <c r="H105">
        <f>VLOOKUP(B105,Units!$A$2:$G$1646,2,FALSE)</f>
        <v/>
      </c>
      <c r="I105">
        <f>VLOOKUP(B105,Units!$A$2:$G$1646,5,FALSE)</f>
        <v/>
      </c>
      <c r="J105" s="3">
        <f>G105/I105</f>
        <v/>
      </c>
      <c r="K105" s="3">
        <f>G105*12</f>
        <v/>
      </c>
      <c r="L105" s="3" t="n">
        <v>9660</v>
      </c>
    </row>
    <row r="106">
      <c r="A106" t="inlineStr">
        <is>
          <t>TA-2023-00151</t>
        </is>
      </c>
      <c r="B106" t="inlineStr">
        <is>
          <t>U-KR330-01-03</t>
        </is>
      </c>
      <c r="C106" t="inlineStr">
        <is>
          <t>Sunflower Tea House</t>
        </is>
      </c>
      <c r="D106" t="inlineStr">
        <is>
          <t>Bubble Tea</t>
        </is>
      </c>
      <c r="E106" s="2" t="n">
        <v>45261</v>
      </c>
      <c r="F106" s="2" t="n">
        <v>46356</v>
      </c>
      <c r="G106" s="3" t="n">
        <v>3610</v>
      </c>
      <c r="H106">
        <f>VLOOKUP(B106,Units!$A$2:$G$1646,2,FALSE)</f>
        <v/>
      </c>
      <c r="I106">
        <f>VLOOKUP(B106,Units!$A$2:$G$1646,5,FALSE)</f>
        <v/>
      </c>
      <c r="J106" s="3">
        <f>G106/I106</f>
        <v/>
      </c>
      <c r="K106" s="3">
        <f>G106*12</f>
        <v/>
      </c>
      <c r="L106" s="3" t="n">
        <v>10830</v>
      </c>
    </row>
    <row r="107">
      <c r="A107" t="inlineStr">
        <is>
          <t>TA-2023-00153</t>
        </is>
      </c>
      <c r="B107" t="inlineStr">
        <is>
          <t>U-KR359-01-12</t>
        </is>
      </c>
      <c r="C107" t="inlineStr">
        <is>
          <t>Sunflower Dental Surgery</t>
        </is>
      </c>
      <c r="D107" t="inlineStr">
        <is>
          <t>Dental Clinic</t>
        </is>
      </c>
      <c r="E107" s="2" t="n">
        <v>45261</v>
      </c>
      <c r="F107" s="2" t="n">
        <v>46356</v>
      </c>
      <c r="G107" s="3" t="n">
        <v>2860</v>
      </c>
      <c r="H107">
        <f>VLOOKUP(B107,Units!$A$2:$G$1646,2,FALSE)</f>
        <v/>
      </c>
      <c r="I107">
        <f>VLOOKUP(B107,Units!$A$2:$G$1646,5,FALSE)</f>
        <v/>
      </c>
      <c r="J107" s="3">
        <f>G107/I107</f>
        <v/>
      </c>
      <c r="K107" s="3">
        <f>G107*12</f>
        <v/>
      </c>
      <c r="L107" s="3" t="n">
        <v>8580</v>
      </c>
    </row>
    <row r="108">
      <c r="A108" t="inlineStr">
        <is>
          <t>TA-2023-00154</t>
        </is>
      </c>
      <c r="B108" t="inlineStr">
        <is>
          <t>U-KR368-01-04</t>
        </is>
      </c>
      <c r="C108" t="inlineStr">
        <is>
          <t>Nur Boba Bar Pte Ltd</t>
        </is>
      </c>
      <c r="D108" t="inlineStr">
        <is>
          <t>Bubble Tea</t>
        </is>
      </c>
      <c r="E108" s="2" t="n">
        <v>45261</v>
      </c>
      <c r="F108" s="2" t="n">
        <v>46356</v>
      </c>
      <c r="G108" s="3" t="n">
        <v>960</v>
      </c>
      <c r="H108">
        <f>VLOOKUP(B108,Units!$A$2:$G$1646,2,FALSE)</f>
        <v/>
      </c>
      <c r="I108">
        <f>VLOOKUP(B108,Units!$A$2:$G$1646,5,FALSE)</f>
        <v/>
      </c>
      <c r="J108" s="3">
        <f>G108/I108</f>
        <v/>
      </c>
      <c r="K108" s="3">
        <f>G108*12</f>
        <v/>
      </c>
      <c r="L108" s="3" t="n">
        <v>2880</v>
      </c>
    </row>
    <row r="109">
      <c r="A109" t="inlineStr">
        <is>
          <t>TA-2023-00156</t>
        </is>
      </c>
      <c r="B109" t="inlineStr">
        <is>
          <t>U-PI627-01-34</t>
        </is>
      </c>
      <c r="C109" t="inlineStr">
        <is>
          <t>PrimeValue Mart Pte Ltd</t>
        </is>
      </c>
      <c r="D109" t="inlineStr">
        <is>
          <t>Minimart</t>
        </is>
      </c>
      <c r="E109" s="2" t="n">
        <v>45261</v>
      </c>
      <c r="F109" s="2" t="n">
        <v>46356</v>
      </c>
      <c r="G109" s="3" t="n">
        <v>2830</v>
      </c>
      <c r="H109">
        <f>VLOOKUP(B109,Units!$A$2:$G$1646,2,FALSE)</f>
        <v/>
      </c>
      <c r="I109">
        <f>VLOOKUP(B109,Units!$A$2:$G$1646,5,FALSE)</f>
        <v/>
      </c>
      <c r="J109" s="3">
        <f>G109/I109</f>
        <v/>
      </c>
      <c r="K109" s="3">
        <f>G109*12</f>
        <v/>
      </c>
      <c r="L109" s="3" t="n">
        <v>8490</v>
      </c>
    </row>
    <row r="110">
      <c r="A110" t="inlineStr">
        <is>
          <t>TA-2023-00158</t>
        </is>
      </c>
      <c r="B110" t="inlineStr">
        <is>
          <t>U-PI684-01-10</t>
        </is>
      </c>
      <c r="C110" t="inlineStr">
        <is>
          <t>PrimeValue Mart Pte Ltd</t>
        </is>
      </c>
      <c r="D110" t="inlineStr">
        <is>
          <t>Minimart</t>
        </is>
      </c>
      <c r="E110" s="2" t="n">
        <v>45261</v>
      </c>
      <c r="F110" s="2" t="n">
        <v>46356</v>
      </c>
      <c r="G110" s="3" t="n">
        <v>4270</v>
      </c>
      <c r="H110">
        <f>VLOOKUP(B110,Units!$A$2:$G$1646,2,FALSE)</f>
        <v/>
      </c>
      <c r="I110">
        <f>VLOOKUP(B110,Units!$A$2:$G$1646,5,FALSE)</f>
        <v/>
      </c>
      <c r="J110" s="3">
        <f>G110/I110</f>
        <v/>
      </c>
      <c r="K110" s="3">
        <f>G110*12</f>
        <v/>
      </c>
      <c r="L110" s="3" t="n">
        <v>12810</v>
      </c>
    </row>
    <row r="111">
      <c r="A111" t="inlineStr">
        <is>
          <t>TA-2023-00160</t>
        </is>
      </c>
      <c r="B111" t="inlineStr">
        <is>
          <t>U-PI693-02-08</t>
        </is>
      </c>
      <c r="C111" t="inlineStr">
        <is>
          <t>Kampung Tuition Centre Pte Ltd</t>
        </is>
      </c>
      <c r="D111" t="inlineStr">
        <is>
          <t>Tuition Centre</t>
        </is>
      </c>
      <c r="E111" s="2" t="n">
        <v>45261</v>
      </c>
      <c r="F111" s="2" t="n">
        <v>46356</v>
      </c>
      <c r="G111" s="3" t="n">
        <v>1350</v>
      </c>
      <c r="H111">
        <f>VLOOKUP(B111,Units!$A$2:$G$1646,2,FALSE)</f>
        <v/>
      </c>
      <c r="I111">
        <f>VLOOKUP(B111,Units!$A$2:$G$1646,5,FALSE)</f>
        <v/>
      </c>
      <c r="J111" s="3">
        <f>G111/I111</f>
        <v/>
      </c>
      <c r="K111" s="3">
        <f>G111*12</f>
        <v/>
      </c>
      <c r="L111" s="3" t="n">
        <v>4050</v>
      </c>
    </row>
    <row r="112">
      <c r="A112" t="inlineStr">
        <is>
          <t>TA-2023-00161</t>
        </is>
      </c>
      <c r="B112" t="inlineStr">
        <is>
          <t>U-PI693-02-12</t>
        </is>
      </c>
      <c r="C112" t="inlineStr">
        <is>
          <t>Little Sprouts Education Hub Pte Ltd</t>
        </is>
      </c>
      <c r="D112" t="inlineStr">
        <is>
          <t>Tuition Centre</t>
        </is>
      </c>
      <c r="E112" s="2" t="n">
        <v>45261</v>
      </c>
      <c r="F112" s="2" t="n">
        <v>46356</v>
      </c>
      <c r="G112" s="3" t="n">
        <v>3480</v>
      </c>
      <c r="H112">
        <f>VLOOKUP(B112,Units!$A$2:$G$1646,2,FALSE)</f>
        <v/>
      </c>
      <c r="I112">
        <f>VLOOKUP(B112,Units!$A$2:$G$1646,5,FALSE)</f>
        <v/>
      </c>
      <c r="J112" s="3">
        <f>G112/I112</f>
        <v/>
      </c>
      <c r="K112" s="3">
        <f>G112*12</f>
        <v/>
      </c>
      <c r="L112" s="3" t="n">
        <v>10440</v>
      </c>
    </row>
    <row r="113">
      <c r="A113" t="inlineStr">
        <is>
          <t>TA-2023-00163</t>
        </is>
      </c>
      <c r="B113" t="inlineStr">
        <is>
          <t>U-PI696-01-11</t>
        </is>
      </c>
      <c r="C113" t="inlineStr">
        <is>
          <t>Ananda Remittance Pte Ltd</t>
        </is>
      </c>
      <c r="D113" t="inlineStr">
        <is>
          <t>Remittance &amp; Money Changer</t>
        </is>
      </c>
      <c r="E113" s="2" t="n">
        <v>45261</v>
      </c>
      <c r="F113" s="2" t="n">
        <v>46356</v>
      </c>
      <c r="G113" s="3" t="n">
        <v>2470</v>
      </c>
      <c r="H113">
        <f>VLOOKUP(B113,Units!$A$2:$G$1646,2,FALSE)</f>
        <v/>
      </c>
      <c r="I113">
        <f>VLOOKUP(B113,Units!$A$2:$G$1646,5,FALSE)</f>
        <v/>
      </c>
      <c r="J113" s="3">
        <f>G113/I113</f>
        <v/>
      </c>
      <c r="K113" s="3">
        <f>G113*12</f>
        <v/>
      </c>
      <c r="L113" s="3" t="n">
        <v>7410</v>
      </c>
    </row>
    <row r="114">
      <c r="A114" t="inlineStr">
        <is>
          <t>TA-2023-00164</t>
        </is>
      </c>
      <c r="B114" t="inlineStr">
        <is>
          <t>U-RH401-01-07</t>
        </is>
      </c>
      <c r="C114" t="inlineStr">
        <is>
          <t>Tian Fu Flowers &amp; Gifts</t>
        </is>
      </c>
      <c r="D114" t="inlineStr">
        <is>
          <t>Florist</t>
        </is>
      </c>
      <c r="E114" s="2" t="n">
        <v>45261</v>
      </c>
      <c r="F114" s="2" t="n">
        <v>46356</v>
      </c>
      <c r="G114" s="3" t="n">
        <v>3910</v>
      </c>
      <c r="H114">
        <f>VLOOKUP(B114,Units!$A$2:$G$1646,2,FALSE)</f>
        <v/>
      </c>
      <c r="I114">
        <f>VLOOKUP(B114,Units!$A$2:$G$1646,5,FALSE)</f>
        <v/>
      </c>
      <c r="J114" s="3">
        <f>G114/I114</f>
        <v/>
      </c>
      <c r="K114" s="3">
        <f>G114*12</f>
        <v/>
      </c>
      <c r="L114" s="3" t="n">
        <v>11730</v>
      </c>
    </row>
    <row r="115">
      <c r="A115" t="inlineStr">
        <is>
          <t>TA-2023-00166</t>
        </is>
      </c>
      <c r="B115" t="inlineStr">
        <is>
          <t>U-RH408-01-02</t>
        </is>
      </c>
      <c r="C115" t="inlineStr">
        <is>
          <t>PrimeValue Mart Pte Ltd</t>
        </is>
      </c>
      <c r="D115" t="inlineStr">
        <is>
          <t>Minimart</t>
        </is>
      </c>
      <c r="E115" s="2" t="n">
        <v>45261</v>
      </c>
      <c r="F115" s="2" t="n">
        <v>46356</v>
      </c>
      <c r="G115" s="3" t="n">
        <v>1880</v>
      </c>
      <c r="H115">
        <f>VLOOKUP(B115,Units!$A$2:$G$1646,2,FALSE)</f>
        <v/>
      </c>
      <c r="I115">
        <f>VLOOKUP(B115,Units!$A$2:$G$1646,5,FALSE)</f>
        <v/>
      </c>
      <c r="J115" s="3">
        <f>G115/I115</f>
        <v/>
      </c>
      <c r="K115" s="3">
        <f>G115*12</f>
        <v/>
      </c>
      <c r="L115" s="3" t="n">
        <v>5640</v>
      </c>
    </row>
    <row r="116">
      <c r="A116" t="inlineStr">
        <is>
          <t>TA-2023-00168</t>
        </is>
      </c>
      <c r="B116" t="inlineStr">
        <is>
          <t>U-RH428-01-05</t>
        </is>
      </c>
      <c r="C116" t="inlineStr">
        <is>
          <t>Hock Lee Learning Centre Pte Ltd</t>
        </is>
      </c>
      <c r="D116" t="inlineStr">
        <is>
          <t>Tuition Centre</t>
        </is>
      </c>
      <c r="E116" s="2" t="n">
        <v>45261</v>
      </c>
      <c r="F116" s="2" t="n">
        <v>46356</v>
      </c>
      <c r="G116" s="3" t="n">
        <v>5030</v>
      </c>
      <c r="H116">
        <f>VLOOKUP(B116,Units!$A$2:$G$1646,2,FALSE)</f>
        <v/>
      </c>
      <c r="I116">
        <f>VLOOKUP(B116,Units!$A$2:$G$1646,5,FALSE)</f>
        <v/>
      </c>
      <c r="J116" s="3">
        <f>G116/I116</f>
        <v/>
      </c>
      <c r="K116" s="3">
        <f>G116*12</f>
        <v/>
      </c>
      <c r="L116" s="3" t="n">
        <v>15090</v>
      </c>
    </row>
    <row r="117">
      <c r="A117" t="inlineStr">
        <is>
          <t>TA-2023-00169</t>
        </is>
      </c>
      <c r="B117" t="inlineStr">
        <is>
          <t>U-RH428-01-08</t>
        </is>
      </c>
      <c r="C117" t="inlineStr">
        <is>
          <t>Swee Heng Hardware &amp; Electrical Pte Ltd</t>
        </is>
      </c>
      <c r="D117" t="inlineStr">
        <is>
          <t>Hardware</t>
        </is>
      </c>
      <c r="E117" s="2" t="n">
        <v>45261</v>
      </c>
      <c r="F117" s="2" t="n">
        <v>46356</v>
      </c>
      <c r="G117" s="3" t="n">
        <v>2580</v>
      </c>
      <c r="H117">
        <f>VLOOKUP(B117,Units!$A$2:$G$1646,2,FALSE)</f>
        <v/>
      </c>
      <c r="I117">
        <f>VLOOKUP(B117,Units!$A$2:$G$1646,5,FALSE)</f>
        <v/>
      </c>
      <c r="J117" s="3">
        <f>G117/I117</f>
        <v/>
      </c>
      <c r="K117" s="3">
        <f>G117*12</f>
        <v/>
      </c>
      <c r="L117" s="3" t="n">
        <v>7740</v>
      </c>
    </row>
    <row r="118">
      <c r="A118" t="inlineStr">
        <is>
          <t>TA-2023-00171</t>
        </is>
      </c>
      <c r="B118" t="inlineStr">
        <is>
          <t>U-RH450-02-06</t>
        </is>
      </c>
      <c r="C118" t="inlineStr">
        <is>
          <t>Kampung Medical Clinic Pte Ltd</t>
        </is>
      </c>
      <c r="D118" t="inlineStr">
        <is>
          <t>GP Clinic</t>
        </is>
      </c>
      <c r="E118" s="2" t="n">
        <v>45261</v>
      </c>
      <c r="F118" s="2" t="n">
        <v>46356</v>
      </c>
      <c r="G118" s="3" t="n">
        <v>3070</v>
      </c>
      <c r="H118">
        <f>VLOOKUP(B118,Units!$A$2:$G$1646,2,FALSE)</f>
        <v/>
      </c>
      <c r="I118">
        <f>VLOOKUP(B118,Units!$A$2:$G$1646,5,FALSE)</f>
        <v/>
      </c>
      <c r="J118" s="3">
        <f>G118/I118</f>
        <v/>
      </c>
      <c r="K118" s="3">
        <f>G118*12</f>
        <v/>
      </c>
      <c r="L118" s="3" t="n">
        <v>9210</v>
      </c>
    </row>
    <row r="119">
      <c r="A119" t="inlineStr">
        <is>
          <t>TA-2023-00173</t>
        </is>
      </c>
      <c r="B119" t="inlineStr">
        <is>
          <t>U-RH455-02-24</t>
        </is>
      </c>
      <c r="C119" t="inlineStr">
        <is>
          <t>Daily Fresh Tuition Centre Pte Ltd</t>
        </is>
      </c>
      <c r="D119" t="inlineStr">
        <is>
          <t>Tuition Centre</t>
        </is>
      </c>
      <c r="E119" s="2" t="n">
        <v>45261</v>
      </c>
      <c r="F119" s="2" t="n">
        <v>46356</v>
      </c>
      <c r="G119" s="3" t="n">
        <v>1470</v>
      </c>
      <c r="H119">
        <f>VLOOKUP(B119,Units!$A$2:$G$1646,2,FALSE)</f>
        <v/>
      </c>
      <c r="I119">
        <f>VLOOKUP(B119,Units!$A$2:$G$1646,5,FALSE)</f>
        <v/>
      </c>
      <c r="J119" s="3">
        <f>G119/I119</f>
        <v/>
      </c>
      <c r="K119" s="3">
        <f>G119*12</f>
        <v/>
      </c>
      <c r="L119" s="3" t="n">
        <v>4410</v>
      </c>
    </row>
    <row r="120">
      <c r="A120" t="inlineStr">
        <is>
          <t>TA-2023-00175</t>
        </is>
      </c>
      <c r="B120" t="inlineStr">
        <is>
          <t>U-RH466-01-01</t>
        </is>
      </c>
      <c r="C120" t="inlineStr">
        <is>
          <t>Mei Ling Mobile</t>
        </is>
      </c>
      <c r="D120" t="inlineStr">
        <is>
          <t>Mobile Phone &amp; Accessories</t>
        </is>
      </c>
      <c r="E120" s="2" t="n">
        <v>45261</v>
      </c>
      <c r="F120" s="2" t="n">
        <v>46356</v>
      </c>
      <c r="G120" s="3" t="n">
        <v>900</v>
      </c>
      <c r="H120">
        <f>VLOOKUP(B120,Units!$A$2:$G$1646,2,FALSE)</f>
        <v/>
      </c>
      <c r="I120">
        <f>VLOOKUP(B120,Units!$A$2:$G$1646,5,FALSE)</f>
        <v/>
      </c>
      <c r="J120" s="3">
        <f>G120/I120</f>
        <v/>
      </c>
      <c r="K120" s="3">
        <f>G120*12</f>
        <v/>
      </c>
      <c r="L120" s="3" t="n">
        <v>2700</v>
      </c>
    </row>
    <row r="121">
      <c r="A121" t="inlineStr">
        <is>
          <t>TA-2023-00177</t>
        </is>
      </c>
      <c r="B121" t="inlineStr">
        <is>
          <t>U-RH482-01-07</t>
        </is>
      </c>
      <c r="C121" t="inlineStr">
        <is>
          <t>Cosy Florist Pte Ltd</t>
        </is>
      </c>
      <c r="D121" t="inlineStr">
        <is>
          <t>Florist</t>
        </is>
      </c>
      <c r="E121" s="2" t="n">
        <v>45261</v>
      </c>
      <c r="F121" s="2" t="n">
        <v>46356</v>
      </c>
      <c r="G121" s="3" t="n">
        <v>3560</v>
      </c>
      <c r="H121">
        <f>VLOOKUP(B121,Units!$A$2:$G$1646,2,FALSE)</f>
        <v/>
      </c>
      <c r="I121">
        <f>VLOOKUP(B121,Units!$A$2:$G$1646,5,FALSE)</f>
        <v/>
      </c>
      <c r="J121" s="3">
        <f>G121/I121</f>
        <v/>
      </c>
      <c r="K121" s="3">
        <f>G121*12</f>
        <v/>
      </c>
      <c r="L121" s="3" t="n">
        <v>10680</v>
      </c>
    </row>
    <row r="122">
      <c r="A122" t="inlineStr">
        <is>
          <t>TA-2023-00178</t>
        </is>
      </c>
      <c r="B122" t="inlineStr">
        <is>
          <t>U-RH486-01-07</t>
        </is>
      </c>
      <c r="C122" t="inlineStr">
        <is>
          <t>Treasure Remittance</t>
        </is>
      </c>
      <c r="D122" t="inlineStr">
        <is>
          <t>Remittance &amp; Money Changer</t>
        </is>
      </c>
      <c r="E122" s="2" t="n">
        <v>45261</v>
      </c>
      <c r="F122" s="2" t="n">
        <v>46356</v>
      </c>
      <c r="G122" s="3" t="n">
        <v>2080</v>
      </c>
      <c r="H122">
        <f>VLOOKUP(B122,Units!$A$2:$G$1646,2,FALSE)</f>
        <v/>
      </c>
      <c r="I122">
        <f>VLOOKUP(B122,Units!$A$2:$G$1646,5,FALSE)</f>
        <v/>
      </c>
      <c r="J122" s="3">
        <f>G122/I122</f>
        <v/>
      </c>
      <c r="K122" s="3">
        <f>G122*12</f>
        <v/>
      </c>
      <c r="L122" s="3" t="n">
        <v>6240</v>
      </c>
    </row>
    <row r="123">
      <c r="A123" t="inlineStr">
        <is>
          <t>TA-2023-00180</t>
        </is>
      </c>
      <c r="B123" t="inlineStr">
        <is>
          <t>U-ST501-01-07</t>
        </is>
      </c>
      <c r="C123" t="inlineStr">
        <is>
          <t>Harmony Aquarium &amp; Pets</t>
        </is>
      </c>
      <c r="D123" t="inlineStr">
        <is>
          <t>Pet Shop</t>
        </is>
      </c>
      <c r="E123" s="2" t="n">
        <v>45261</v>
      </c>
      <c r="F123" s="2" t="n">
        <v>46356</v>
      </c>
      <c r="G123" s="3" t="n">
        <v>2990</v>
      </c>
      <c r="H123">
        <f>VLOOKUP(B123,Units!$A$2:$G$1646,2,FALSE)</f>
        <v/>
      </c>
      <c r="I123">
        <f>VLOOKUP(B123,Units!$A$2:$G$1646,5,FALSE)</f>
        <v/>
      </c>
      <c r="J123" s="3">
        <f>G123/I123</f>
        <v/>
      </c>
      <c r="K123" s="3">
        <f>G123*12</f>
        <v/>
      </c>
      <c r="L123" s="3" t="n">
        <v>8970</v>
      </c>
    </row>
    <row r="124">
      <c r="A124" t="inlineStr">
        <is>
          <t>TA-2023-00181</t>
        </is>
      </c>
      <c r="B124" t="inlineStr">
        <is>
          <t>U-ST512-01-34</t>
        </is>
      </c>
      <c r="C124" t="inlineStr">
        <is>
          <t>Ever Joy Telecom Pte Ltd</t>
        </is>
      </c>
      <c r="D124" t="inlineStr">
        <is>
          <t>Mobile Phone &amp; Accessories</t>
        </is>
      </c>
      <c r="E124" s="2" t="n">
        <v>45261</v>
      </c>
      <c r="F124" s="2" t="n">
        <v>46356</v>
      </c>
      <c r="G124" s="3" t="n">
        <v>3660</v>
      </c>
      <c r="H124">
        <f>VLOOKUP(B124,Units!$A$2:$G$1646,2,FALSE)</f>
        <v/>
      </c>
      <c r="I124">
        <f>VLOOKUP(B124,Units!$A$2:$G$1646,5,FALSE)</f>
        <v/>
      </c>
      <c r="J124" s="3">
        <f>G124/I124</f>
        <v/>
      </c>
      <c r="K124" s="3">
        <f>G124*12</f>
        <v/>
      </c>
      <c r="L124" s="3" t="n">
        <v>10980</v>
      </c>
    </row>
    <row r="125">
      <c r="A125" t="inlineStr">
        <is>
          <t>TA-2023-00182</t>
        </is>
      </c>
      <c r="B125" t="inlineStr">
        <is>
          <t>U-ST513-01-01</t>
        </is>
      </c>
      <c r="C125" t="inlineStr">
        <is>
          <t>Soon Hin Flowers &amp; Gifts</t>
        </is>
      </c>
      <c r="D125" t="inlineStr">
        <is>
          <t>Florist</t>
        </is>
      </c>
      <c r="E125" s="2" t="n">
        <v>45261</v>
      </c>
      <c r="F125" s="2" t="n">
        <v>46356</v>
      </c>
      <c r="G125" s="3" t="n">
        <v>1930</v>
      </c>
      <c r="H125">
        <f>VLOOKUP(B125,Units!$A$2:$G$1646,2,FALSE)</f>
        <v/>
      </c>
      <c r="I125">
        <f>VLOOKUP(B125,Units!$A$2:$G$1646,5,FALSE)</f>
        <v/>
      </c>
      <c r="J125" s="3">
        <f>G125/I125</f>
        <v/>
      </c>
      <c r="K125" s="3">
        <f>G125*12</f>
        <v/>
      </c>
      <c r="L125" s="3" t="n">
        <v>5790</v>
      </c>
    </row>
    <row r="126">
      <c r="A126" t="inlineStr">
        <is>
          <t>TA-2023-00183</t>
        </is>
      </c>
      <c r="B126" t="inlineStr">
        <is>
          <t>U-ST522-01-02</t>
        </is>
      </c>
      <c r="C126" t="inlineStr">
        <is>
          <t>Happy Paws Hardware &amp; Electrical Pte Ltd</t>
        </is>
      </c>
      <c r="D126" t="inlineStr">
        <is>
          <t>Hardware</t>
        </is>
      </c>
      <c r="E126" s="2" t="n">
        <v>45261</v>
      </c>
      <c r="F126" s="2" t="n">
        <v>46356</v>
      </c>
      <c r="G126" s="3" t="n">
        <v>3190</v>
      </c>
      <c r="H126">
        <f>VLOOKUP(B126,Units!$A$2:$G$1646,2,FALSE)</f>
        <v/>
      </c>
      <c r="I126">
        <f>VLOOKUP(B126,Units!$A$2:$G$1646,5,FALSE)</f>
        <v/>
      </c>
      <c r="J126" s="3">
        <f>G126/I126</f>
        <v/>
      </c>
      <c r="K126" s="3">
        <f>G126*12</f>
        <v/>
      </c>
      <c r="L126" s="3" t="n">
        <v>9570</v>
      </c>
    </row>
    <row r="127">
      <c r="A127" t="inlineStr">
        <is>
          <t>TA-2023-00184</t>
        </is>
      </c>
      <c r="B127" t="inlineStr">
        <is>
          <t>U-ST537-01-04</t>
        </is>
      </c>
      <c r="C127" t="inlineStr">
        <is>
          <t>Kumar Fruits Pte Ltd</t>
        </is>
      </c>
      <c r="D127" t="inlineStr">
        <is>
          <t>Fruit Shop</t>
        </is>
      </c>
      <c r="E127" s="2" t="n">
        <v>45261</v>
      </c>
      <c r="F127" s="2" t="n">
        <v>46356</v>
      </c>
      <c r="G127" s="3" t="n">
        <v>2580</v>
      </c>
      <c r="H127">
        <f>VLOOKUP(B127,Units!$A$2:$G$1646,2,FALSE)</f>
        <v/>
      </c>
      <c r="I127">
        <f>VLOOKUP(B127,Units!$A$2:$G$1646,5,FALSE)</f>
        <v/>
      </c>
      <c r="J127" s="3">
        <f>G127/I127</f>
        <v/>
      </c>
      <c r="K127" s="3">
        <f>G127*12</f>
        <v/>
      </c>
      <c r="L127" s="3" t="n">
        <v>7740</v>
      </c>
    </row>
    <row r="128">
      <c r="A128" t="inlineStr">
        <is>
          <t>TA-2023-00185</t>
        </is>
      </c>
      <c r="B128" t="inlineStr">
        <is>
          <t>U-ST556-01-08</t>
        </is>
      </c>
      <c r="C128" t="inlineStr">
        <is>
          <t>Smart Kids Hardware &amp; Electrical Pte Ltd</t>
        </is>
      </c>
      <c r="D128" t="inlineStr">
        <is>
          <t>Hardware</t>
        </is>
      </c>
      <c r="E128" s="2" t="n">
        <v>45261</v>
      </c>
      <c r="F128" s="2" t="n">
        <v>46356</v>
      </c>
      <c r="G128" s="3" t="n">
        <v>2570</v>
      </c>
      <c r="H128">
        <f>VLOOKUP(B128,Units!$A$2:$G$1646,2,FALSE)</f>
        <v/>
      </c>
      <c r="I128">
        <f>VLOOKUP(B128,Units!$A$2:$G$1646,5,FALSE)</f>
        <v/>
      </c>
      <c r="J128" s="3">
        <f>G128/I128</f>
        <v/>
      </c>
      <c r="K128" s="3">
        <f>G128*12</f>
        <v/>
      </c>
      <c r="L128" s="3" t="n">
        <v>7710</v>
      </c>
    </row>
    <row r="129">
      <c r="A129" t="inlineStr">
        <is>
          <t>TA-2024-00002</t>
        </is>
      </c>
      <c r="B129" t="inlineStr">
        <is>
          <t>U-BV214-02-21</t>
        </is>
      </c>
      <c r="C129" t="inlineStr">
        <is>
          <t>Happy Paws Dental Surgery</t>
        </is>
      </c>
      <c r="D129" t="inlineStr">
        <is>
          <t>Dental Clinic</t>
        </is>
      </c>
      <c r="E129" s="2" t="n">
        <v>45292</v>
      </c>
      <c r="F129" s="2" t="n">
        <v>46387</v>
      </c>
      <c r="G129" s="3" t="n">
        <v>3880</v>
      </c>
      <c r="H129">
        <f>VLOOKUP(B129,Units!$A$2:$G$1646,2,FALSE)</f>
        <v/>
      </c>
      <c r="I129">
        <f>VLOOKUP(B129,Units!$A$2:$G$1646,5,FALSE)</f>
        <v/>
      </c>
      <c r="J129" s="3">
        <f>G129/I129</f>
        <v/>
      </c>
      <c r="K129" s="3">
        <f>G129*12</f>
        <v/>
      </c>
      <c r="L129" s="3" t="n">
        <v>11640</v>
      </c>
    </row>
    <row r="130">
      <c r="A130" t="inlineStr">
        <is>
          <t>TA-2024-00003</t>
        </is>
      </c>
      <c r="B130" t="inlineStr">
        <is>
          <t>U-BV215-01-08</t>
        </is>
      </c>
      <c r="C130" t="inlineStr">
        <is>
          <t>Smart Kids Clinic &amp; Surgery</t>
        </is>
      </c>
      <c r="D130" t="inlineStr">
        <is>
          <t>GP Clinic</t>
        </is>
      </c>
      <c r="E130" s="2" t="n">
        <v>45292</v>
      </c>
      <c r="F130" s="2" t="n">
        <v>46387</v>
      </c>
      <c r="G130" s="3" t="n">
        <v>4010</v>
      </c>
      <c r="H130">
        <f>VLOOKUP(B130,Units!$A$2:$G$1646,2,FALSE)</f>
        <v/>
      </c>
      <c r="I130">
        <f>VLOOKUP(B130,Units!$A$2:$G$1646,5,FALSE)</f>
        <v/>
      </c>
      <c r="J130" s="3">
        <f>G130/I130</f>
        <v/>
      </c>
      <c r="K130" s="3">
        <f>G130*12</f>
        <v/>
      </c>
      <c r="L130" s="3" t="n">
        <v>12030</v>
      </c>
    </row>
    <row r="131">
      <c r="A131" t="inlineStr">
        <is>
          <t>TA-2024-00004</t>
        </is>
      </c>
      <c r="B131" t="inlineStr">
        <is>
          <t>U-BV216-02-10</t>
        </is>
      </c>
      <c r="C131" t="inlineStr">
        <is>
          <t>Green Leaf Education Hub</t>
        </is>
      </c>
      <c r="D131" t="inlineStr">
        <is>
          <t>Tuition Centre</t>
        </is>
      </c>
      <c r="E131" s="2" t="n">
        <v>45292</v>
      </c>
      <c r="F131" s="2" t="n">
        <v>46387</v>
      </c>
      <c r="G131" s="3" t="n">
        <v>2490</v>
      </c>
      <c r="H131">
        <f>VLOOKUP(B131,Units!$A$2:$G$1646,2,FALSE)</f>
        <v/>
      </c>
      <c r="I131">
        <f>VLOOKUP(B131,Units!$A$2:$G$1646,5,FALSE)</f>
        <v/>
      </c>
      <c r="J131" s="3">
        <f>G131/I131</f>
        <v/>
      </c>
      <c r="K131" s="3">
        <f>G131*12</f>
        <v/>
      </c>
      <c r="L131" s="3" t="n">
        <v>7470</v>
      </c>
    </row>
    <row r="132">
      <c r="A132" t="inlineStr">
        <is>
          <t>TA-2024-00006</t>
        </is>
      </c>
      <c r="B132" t="inlineStr">
        <is>
          <t>U-BV219-01-04</t>
        </is>
      </c>
      <c r="C132" t="inlineStr">
        <is>
          <t>Ah Seng Stationery Pte Ltd</t>
        </is>
      </c>
      <c r="D132" t="inlineStr">
        <is>
          <t>Stationery &amp; Books</t>
        </is>
      </c>
      <c r="E132" s="2" t="n">
        <v>45292</v>
      </c>
      <c r="F132" s="2" t="n">
        <v>46387</v>
      </c>
      <c r="G132" s="3" t="n">
        <v>3120</v>
      </c>
      <c r="H132">
        <f>VLOOKUP(B132,Units!$A$2:$G$1646,2,FALSE)</f>
        <v/>
      </c>
      <c r="I132">
        <f>VLOOKUP(B132,Units!$A$2:$G$1646,5,FALSE)</f>
        <v/>
      </c>
      <c r="J132" s="3">
        <f>G132/I132</f>
        <v/>
      </c>
      <c r="K132" s="3">
        <f>G132*12</f>
        <v/>
      </c>
      <c r="L132" s="3" t="n">
        <v>9360</v>
      </c>
    </row>
    <row r="133">
      <c r="A133" t="inlineStr">
        <is>
          <t>TA-2024-00008</t>
        </is>
      </c>
      <c r="B133" t="inlineStr">
        <is>
          <t>U-BV227-01-01</t>
        </is>
      </c>
      <c r="C133" t="inlineStr">
        <is>
          <t>Little Sprouts Provision Shop Pte Ltd</t>
        </is>
      </c>
      <c r="D133" t="inlineStr">
        <is>
          <t>Provision Shop</t>
        </is>
      </c>
      <c r="E133" s="2" t="n">
        <v>45292</v>
      </c>
      <c r="F133" s="2" t="n">
        <v>46387</v>
      </c>
      <c r="G133" s="3" t="n">
        <v>3120</v>
      </c>
      <c r="H133">
        <f>VLOOKUP(B133,Units!$A$2:$G$1646,2,FALSE)</f>
        <v/>
      </c>
      <c r="I133">
        <f>VLOOKUP(B133,Units!$A$2:$G$1646,5,FALSE)</f>
        <v/>
      </c>
      <c r="J133" s="3">
        <f>G133/I133</f>
        <v/>
      </c>
      <c r="K133" s="3">
        <f>G133*12</f>
        <v/>
      </c>
      <c r="L133" s="3" t="n">
        <v>9360</v>
      </c>
    </row>
    <row r="134">
      <c r="A134" t="inlineStr">
        <is>
          <t>TA-2024-00009</t>
        </is>
      </c>
      <c r="B134" t="inlineStr">
        <is>
          <t>U-BV231-01-05</t>
        </is>
      </c>
      <c r="C134" t="inlineStr">
        <is>
          <t>Sunflower Telecom Pte Ltd</t>
        </is>
      </c>
      <c r="D134" t="inlineStr">
        <is>
          <t>Mobile Phone &amp; Accessories</t>
        </is>
      </c>
      <c r="E134" s="2" t="n">
        <v>45292</v>
      </c>
      <c r="F134" s="2" t="n">
        <v>46387</v>
      </c>
      <c r="G134" s="3" t="n">
        <v>1740</v>
      </c>
      <c r="H134">
        <f>VLOOKUP(B134,Units!$A$2:$G$1646,2,FALSE)</f>
        <v/>
      </c>
      <c r="I134">
        <f>VLOOKUP(B134,Units!$A$2:$G$1646,5,FALSE)</f>
        <v/>
      </c>
      <c r="J134" s="3">
        <f>G134/I134</f>
        <v/>
      </c>
      <c r="K134" s="3">
        <f>G134*12</f>
        <v/>
      </c>
      <c r="L134" s="3" t="n">
        <v>5220</v>
      </c>
    </row>
    <row r="135">
      <c r="A135" t="inlineStr">
        <is>
          <t>TA-2024-00011</t>
        </is>
      </c>
      <c r="B135" t="inlineStr">
        <is>
          <t>U-BV279-01-05</t>
        </is>
      </c>
      <c r="C135" t="inlineStr">
        <is>
          <t>Peng Kee Store</t>
        </is>
      </c>
      <c r="D135" t="inlineStr">
        <is>
          <t>Provision Shop</t>
        </is>
      </c>
      <c r="E135" s="2" t="n">
        <v>45292</v>
      </c>
      <c r="F135" s="2" t="n">
        <v>46387</v>
      </c>
      <c r="G135" s="3" t="n">
        <v>4580</v>
      </c>
      <c r="H135">
        <f>VLOOKUP(B135,Units!$A$2:$G$1646,2,FALSE)</f>
        <v/>
      </c>
      <c r="I135">
        <f>VLOOKUP(B135,Units!$A$2:$G$1646,5,FALSE)</f>
        <v/>
      </c>
      <c r="J135" s="3">
        <f>G135/I135</f>
        <v/>
      </c>
      <c r="K135" s="3">
        <f>G135*12</f>
        <v/>
      </c>
      <c r="L135" s="3" t="n">
        <v>13740</v>
      </c>
    </row>
    <row r="136">
      <c r="A136" t="inlineStr">
        <is>
          <t>TA-2024-00012</t>
        </is>
      </c>
      <c r="B136" t="inlineStr">
        <is>
          <t>U-BV288-01-06</t>
        </is>
      </c>
      <c r="C136" t="inlineStr">
        <is>
          <t>PrimeValue Mart Pte Ltd</t>
        </is>
      </c>
      <c r="D136" t="inlineStr">
        <is>
          <t>Minimart</t>
        </is>
      </c>
      <c r="E136" s="2" t="n">
        <v>45292</v>
      </c>
      <c r="F136" s="2" t="n">
        <v>46387</v>
      </c>
      <c r="G136" s="3" t="n">
        <v>5590</v>
      </c>
      <c r="H136">
        <f>VLOOKUP(B136,Units!$A$2:$G$1646,2,FALSE)</f>
        <v/>
      </c>
      <c r="I136">
        <f>VLOOKUP(B136,Units!$A$2:$G$1646,5,FALSE)</f>
        <v/>
      </c>
      <c r="J136" s="3">
        <f>G136/I136</f>
  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   </c>
      <c r="B137" t="inlineStr">
        <is>
          <t>U-CD108-01-01</t>
        </is>
      </c>
      <c r="C137" t="inlineStr">
        <is>
          <t>Al-Ameen TCM Clinic Pte Ltd</t>
        </is>
      </c>
      <c r="D137" t="inlineStr">
        <is>
          <t>TCM Clinic</t>
        </is>
      </c>
      <c r="E137" s="2" t="n">
        <v>45292</v>
      </c>
      <c r="F137" s="2" t="n">
        <v>46387</v>
      </c>
      <c r="G137" s="3" t="n">
        <v>4490</v>
      </c>
      <c r="H137">
        <f>VLOOKUP(B137,Units!$A$2:$G$1646,2,FALSE)</f>
        <v/>
      </c>
      <c r="I137">
        <f>VLOOKUP(B137,Units!$A$2:$G$1646,5,FALSE)</f>
        <v/>
      </c>
      <c r="J137" s="3">
        <f>G137/I137</f>
        <v/>
      </c>
      <c r="K137" s="3">
        <f>G137*12</f>
        <v/>
      </c>
      <c r="L137" s="3" t="n">
        <v>13470</v>
      </c>
    </row>
    <row r="138">
      <c r="A138" t="inlineStr">
        <is>
          <t>TA-2024-00015</t>
        </is>
      </c>
      <c r="B138" t="inlineStr">
        <is>
          <t>U-CD118-01-20</t>
        </is>
      </c>
      <c r="C138" t="inlineStr">
        <is>
          <t>Golden Leaf Medical Hall</t>
        </is>
      </c>
      <c r="D138" t="inlineStr">
        <is>
          <t>TCM Clinic</t>
        </is>
      </c>
      <c r="E138" s="2" t="n">
        <v>45292</v>
      </c>
      <c r="F138" s="2" t="n">
        <v>46387</v>
      </c>
      <c r="G138" s="3" t="n">
        <v>4350</v>
      </c>
      <c r="H138">
        <f>VLOOKUP(B138,Units!$A$2:$G$1646,2,FALSE)</f>
        <v/>
      </c>
      <c r="I138">
        <f>VLOOKUP(B138,Units!$A$2:$G$1646,5,FALSE)</f>
        <v/>
      </c>
      <c r="J138" s="3">
        <f>G138/I138</f>
        <v/>
      </c>
      <c r="K138" s="3">
        <f>G138*12</f>
        <v/>
      </c>
      <c r="L138" s="3" t="n">
        <v>13050</v>
      </c>
    </row>
    <row r="139">
      <c r="A139" t="inlineStr">
        <is>
          <t>TA-2024-00016</t>
        </is>
      </c>
      <c r="B139" t="inlineStr">
        <is>
          <t>U-CD131-01-03</t>
        </is>
      </c>
      <c r="C139" t="inlineStr">
        <is>
          <t>Green Leaf Tuition Centre Pte Ltd</t>
        </is>
      </c>
      <c r="D139" t="inlineStr">
        <is>
          <t>Tuition Centre</t>
        </is>
      </c>
      <c r="E139" s="2" t="n">
        <v>45292</v>
      </c>
      <c r="F139" s="2" t="n">
        <v>46387</v>
      </c>
      <c r="G139" s="3" t="n">
        <v>3070</v>
      </c>
      <c r="H139">
        <f>VLOOKUP(B139,Units!$A$2:$G$1646,2,FALSE)</f>
        <v/>
      </c>
      <c r="I139">
        <f>VLOOKUP(B139,Units!$A$2:$G$1646,5,FALSE)</f>
        <v/>
      </c>
      <c r="J139" s="3">
        <f>G139/I139</f>
        <v/>
      </c>
      <c r="K139" s="3">
        <f>G139*12</f>
        <v/>
      </c>
      <c r="L139" s="3" t="n">
        <v>9210</v>
      </c>
    </row>
    <row r="140">
      <c r="A140" t="inlineStr">
        <is>
          <t>TA-2024-00017</t>
        </is>
      </c>
      <c r="B140" t="inlineStr">
        <is>
          <t>U-CD131-01-11</t>
        </is>
      </c>
      <c r="C140" t="inlineStr">
        <is>
          <t>Tian Fu Provision Shop</t>
        </is>
      </c>
      <c r="D140" t="inlineStr">
        <is>
          <t>Provision Shop</t>
        </is>
      </c>
      <c r="E140" s="2" t="n">
        <v>45292</v>
      </c>
      <c r="F140" s="2" t="n">
        <v>46387</v>
      </c>
      <c r="G140" s="3" t="n">
        <v>4840</v>
      </c>
      <c r="H140">
        <f>VLOOKUP(B140,Units!$A$2:$G$1646,2,FALSE)</f>
        <v/>
      </c>
      <c r="I140">
        <f>VLOOKUP(B140,Units!$A$2:$G$1646,5,FALSE)</f>
        <v/>
      </c>
      <c r="J140" s="3">
        <f>G140/I140</f>
        <v/>
      </c>
      <c r="K140" s="3">
        <f>G140*12</f>
        <v/>
      </c>
      <c r="L140" s="3" t="n">
        <v>14520</v>
      </c>
    </row>
    <row r="141">
      <c r="A141" t="inlineStr">
        <is>
          <t>TA-2024-00018</t>
        </is>
      </c>
      <c r="B141" t="inlineStr">
        <is>
          <t>U-CD133-01-03</t>
        </is>
      </c>
      <c r="C141" t="inlineStr">
        <is>
          <t>Prima Locksmith</t>
        </is>
      </c>
      <c r="D141" t="inlineStr">
        <is>
          <t>Key Cutting &amp; Shoe Repair</t>
        </is>
      </c>
      <c r="E141" s="2" t="n">
        <v>45292</v>
      </c>
      <c r="F141" s="2" t="n">
        <v>46387</v>
      </c>
      <c r="G141" s="3" t="n">
        <v>1300</v>
      </c>
      <c r="H141">
        <f>VLOOKUP(B141,Units!$A$2:$G$1646,2,FALSE)</f>
        <v/>
      </c>
      <c r="I141">
        <f>VLOOKUP(B141,Units!$A$2:$G$1646,5,FALSE)</f>
        <v/>
      </c>
      <c r="J141" s="3">
        <f>G141/I141</f>
        <v/>
      </c>
      <c r="K141" s="3">
        <f>G141*12</f>
        <v/>
      </c>
      <c r="L141" s="3" t="n">
        <v>3900</v>
      </c>
    </row>
    <row r="142">
      <c r="A142" t="inlineStr">
        <is>
          <t>TA-2024-00019</t>
        </is>
      </c>
      <c r="B142" t="inlineStr">
        <is>
          <t>U-CD135-01-03</t>
        </is>
      </c>
      <c r="C142" t="inlineStr">
        <is>
          <t>Tan Brothers Medical Clinic</t>
        </is>
      </c>
      <c r="D142" t="inlineStr">
        <is>
          <t>GP Clinic</t>
        </is>
      </c>
      <c r="E142" s="2" t="n">
        <v>45292</v>
      </c>
      <c r="F142" s="2" t="n">
        <v>46387</v>
      </c>
      <c r="G142" s="3" t="n">
        <v>5950</v>
      </c>
      <c r="H142">
        <f>VLOOKUP(B142,Units!$A$2:$G$1646,2,FALSE)</f>
        <v/>
      </c>
      <c r="I142">
        <f>VLOOKUP(B142,Units!$A$2:$G$1646,5,FALSE)</f>
        <v/>
      </c>
      <c r="J142" s="3">
        <f>G142/I142</f>
        <v/>
      </c>
      <c r="K142" s="3">
        <f>G142*12</f>
        <v/>
      </c>
      <c r="L142" s="3" t="n">
        <v>17850</v>
      </c>
    </row>
    <row r="143">
      <c r="A143" t="inlineStr">
        <is>
          <t>TA-2024-00021</t>
        </is>
      </c>
      <c r="B143" t="inlineStr">
        <is>
          <t>U-CD142-01-06</t>
        </is>
      </c>
      <c r="C143" t="inlineStr">
        <is>
          <t>Phoenix Provision Shop</t>
        </is>
      </c>
      <c r="D143" t="inlineStr">
        <is>
          <t>Provision Shop</t>
        </is>
      </c>
      <c r="E143" s="2" t="n">
        <v>45292</v>
      </c>
      <c r="F143" s="2" t="n">
        <v>46387</v>
      </c>
      <c r="G143" s="3" t="n">
        <v>2710</v>
      </c>
      <c r="H143">
        <f>VLOOKUP(B143,Units!$A$2:$G$1646,2,FALSE)</f>
        <v/>
      </c>
      <c r="I143">
        <f>VLOOKUP(B143,Units!$A$2:$G$1646,5,FALSE)</f>
        <v/>
      </c>
      <c r="J143" s="3">
        <f>G143/I143</f>
        <v/>
      </c>
      <c r="K143" s="3">
        <f>G143*12</f>
        <v/>
      </c>
      <c r="L143" s="3" t="n">
        <v>8130</v>
      </c>
    </row>
    <row r="144">
      <c r="A144" t="inlineStr">
        <is>
          <t>TA-2024-00023</t>
        </is>
      </c>
      <c r="B144" t="inlineStr">
        <is>
          <t>U-CD143-01-09</t>
        </is>
      </c>
      <c r="C144" t="inlineStr">
        <is>
          <t>Sunflower Restaurant Pte Ltd</t>
        </is>
      </c>
      <c r="D144" t="inlineStr">
        <is>
          <t>Restaurant</t>
        </is>
      </c>
      <c r="E144" s="2" t="n">
        <v>45292</v>
      </c>
      <c r="F144" s="2" t="n">
        <v>46387</v>
      </c>
      <c r="G144" s="3" t="n">
        <v>3910</v>
      </c>
      <c r="H144">
        <f>VLOOKUP(B144,Units!$A$2:$G$1646,2,FALSE)</f>
        <v/>
      </c>
      <c r="I144">
        <f>VLOOKUP(B144,Units!$A$2:$G$1646,5,FALSE)</f>
        <v/>
      </c>
      <c r="J144" s="3">
        <f>G144/I144</f>
        <v/>
      </c>
      <c r="K144" s="3">
        <f>G144*12</f>
        <v/>
      </c>
      <c r="L144" s="3" t="n">
        <v>11730</v>
      </c>
    </row>
    <row r="145">
      <c r="A145" t="inlineStr">
        <is>
          <t>TA-2024-00024</t>
        </is>
      </c>
      <c r="B145" t="inlineStr">
        <is>
          <t>U-CD165-01-04</t>
        </is>
      </c>
      <c r="C145" t="inlineStr">
        <is>
          <t>PrimeValue Mart Pte Ltd</t>
        </is>
      </c>
      <c r="D145" t="inlineStr">
        <is>
          <t>Minimart</t>
        </is>
      </c>
      <c r="E145" s="2" t="n">
        <v>45292</v>
      </c>
      <c r="F145" s="2" t="n">
        <v>46387</v>
      </c>
      <c r="G145" s="3" t="n">
        <v>4050</v>
      </c>
      <c r="H145">
        <f>VLOOKUP(B145,Units!$A$2:$G$1646,2,FALSE)</f>
        <v/>
      </c>
      <c r="I145">
        <f>VLOOKUP(B145,Units!$A$2:$G$1646,5,FALSE)</f>
        <v/>
      </c>
      <c r="J145" s="3">
        <f>G145/I145</f>
        <v/>
      </c>
      <c r="K145" s="3">
        <f>G145*12</f>
        <v/>
      </c>
      <c r="L145" s="3" t="n">
        <v>12150</v>
      </c>
    </row>
    <row r="146">
      <c r="A146" t="inlineStr">
        <is>
          <t>TA-2024-00025</t>
        </is>
      </c>
      <c r="B146" t="inlineStr">
        <is>
          <t>U-CD190-02-04</t>
        </is>
      </c>
      <c r="C146" t="inlineStr">
        <is>
          <t>Bloom Dental Care</t>
        </is>
      </c>
      <c r="D146" t="inlineStr">
        <is>
          <t>Dental Clinic</t>
        </is>
      </c>
      <c r="E146" s="2" t="n">
        <v>45292</v>
      </c>
      <c r="F146" s="2" t="n">
        <v>46387</v>
      </c>
      <c r="G146" s="3" t="n">
        <v>3240</v>
      </c>
      <c r="H146">
        <f>VLOOKUP(B146,Units!$A$2:$G$1646,2,FALSE)</f>
        <v/>
      </c>
      <c r="I146">
        <f>VLOOKUP(B146,Units!$A$2:$G$1646,5,FALSE)</f>
        <v/>
      </c>
      <c r="J146" s="3">
        <f>G146/I146</f>
        <v/>
      </c>
      <c r="K146" s="3">
        <f>G146*12</f>
        <v/>
      </c>
      <c r="L146" s="3" t="n">
        <v>9720</v>
      </c>
    </row>
    <row r="147">
      <c r="A147" t="inlineStr">
        <is>
          <t>TA-2024-00026</t>
        </is>
      </c>
      <c r="B147" t="inlineStr">
        <is>
          <t>U-KR305-01-12</t>
        </is>
      </c>
      <c r="C147" t="inlineStr">
        <is>
          <t>Wellcare Family Clinic</t>
        </is>
      </c>
      <c r="D147" t="inlineStr">
        <is>
          <t>GP Clinic</t>
        </is>
      </c>
      <c r="E147" s="2" t="n">
        <v>45292</v>
      </c>
      <c r="F147" s="2" t="n">
        <v>46387</v>
      </c>
      <c r="G147" s="3" t="n">
        <v>6350</v>
      </c>
      <c r="H147">
        <f>VLOOKUP(B147,Units!$A$2:$G$1646,2,FALSE)</f>
        <v/>
      </c>
      <c r="I147">
        <f>VLOOKUP(B147,Units!$A$2:$G$1646,5,FALSE)</f>
        <v/>
      </c>
      <c r="J147" s="3">
        <f>G147/I147</f>
        <v/>
      </c>
      <c r="K147" s="3">
        <f>G147*12</f>
        <v/>
      </c>
      <c r="L147" s="3" t="n">
        <v>19050</v>
      </c>
    </row>
    <row r="148">
      <c r="A148" t="inlineStr">
        <is>
          <t>TA-2024-00028</t>
        </is>
      </c>
      <c r="B148" t="inlineStr">
        <is>
          <t>U-KR305-01-33</t>
        </is>
      </c>
      <c r="C148" t="inlineStr">
        <is>
          <t>Tan Brothers Restaurant</t>
        </is>
      </c>
      <c r="D148" t="inlineStr">
        <is>
          <t>Restaurant</t>
        </is>
      </c>
      <c r="E148" s="2" t="n">
        <v>45292</v>
      </c>
      <c r="F148" s="2" t="n">
        <v>46387</v>
      </c>
      <c r="G148" s="3" t="n">
        <v>5910</v>
      </c>
      <c r="H148">
        <f>VLOOKUP(B148,Units!$A$2:$G$1646,2,FALSE)</f>
        <v/>
      </c>
      <c r="I148">
        <f>VLOOKUP(B148,Units!$A$2:$G$1646,5,FALSE)</f>
        <v/>
      </c>
      <c r="J148" s="3">
        <f>G148/I148</f>
        <v/>
      </c>
      <c r="K148" s="3">
        <f>G148*12</f>
        <v/>
      </c>
      <c r="L148" s="3" t="n">
        <v>17730</v>
      </c>
    </row>
    <row r="149">
      <c r="A149" t="inlineStr">
        <is>
          <t>TA-2024-00029</t>
        </is>
      </c>
      <c r="B149" t="inlineStr">
        <is>
          <t>U-KR310-01-08</t>
        </is>
      </c>
      <c r="C149" t="inlineStr">
        <is>
          <t>Chop Wah Trading</t>
        </is>
      </c>
      <c r="D149" t="inlineStr">
        <is>
          <t>Provision Shop</t>
        </is>
      </c>
      <c r="E149" s="2" t="n">
        <v>45292</v>
      </c>
      <c r="F149" s="2" t="n">
        <v>46387</v>
      </c>
      <c r="G149" s="3" t="n">
        <v>5340</v>
      </c>
      <c r="H149">
        <f>VLOOKUP(B149,Units!$A$2:$G$1646,2,FALSE)</f>
        <v/>
      </c>
      <c r="I149">
        <f>VLOOKUP(B149,Units!$A$2:$G$1646,5,FALSE)</f>
        <v/>
      </c>
      <c r="J149" s="3">
        <f>G149/I149</f>
        <v/>
      </c>
      <c r="K149" s="3">
        <f>G149*12</f>
        <v/>
      </c>
      <c r="L149" s="3" t="n">
        <v>16020</v>
      </c>
    </row>
    <row r="150">
      <c r="A150" t="inlineStr">
        <is>
          <t>TA-2024-00031</t>
        </is>
      </c>
      <c r="B150" t="inlineStr">
        <is>
          <t>U-KR317-01-08</t>
        </is>
      </c>
      <c r="C150" t="inlineStr">
        <is>
          <t>Teck Guan Pharmacy Pte Ltd</t>
        </is>
      </c>
      <c r="D150" t="inlineStr">
        <is>
          <t>Pharmacy</t>
        </is>
      </c>
      <c r="E150" s="2" t="n">
        <v>45292</v>
      </c>
      <c r="F150" s="2" t="n">
        <v>46387</v>
      </c>
      <c r="G150" s="3" t="n">
        <v>4410</v>
      </c>
      <c r="H150">
        <f>VLOOKUP(B150,Units!$A$2:$G$1646,2,FALSE)</f>
        <v/>
      </c>
      <c r="I150">
        <f>VLOOKUP(B150,Units!$A$2:$G$1646,5,FALSE)</f>
        <v/>
      </c>
      <c r="J150" s="3">
        <f>G150/I150</f>
        <v/>
      </c>
      <c r="K150" s="3">
        <f>G150*12</f>
        <v/>
      </c>
      <c r="L150" s="3" t="n">
        <v>13230</v>
      </c>
    </row>
    <row r="151">
      <c r="A151" t="inlineStr">
        <is>
          <t>TA-2024-00032</t>
        </is>
      </c>
      <c r="B151" t="inlineStr">
        <is>
          <t>U-KR327-01-05</t>
        </is>
      </c>
      <c r="C151" t="inlineStr">
        <is>
          <t>Daily Fresh Mart</t>
        </is>
      </c>
      <c r="D151" t="inlineStr">
        <is>
          <t>Minimart</t>
        </is>
      </c>
      <c r="E151" s="2" t="n">
        <v>45292</v>
      </c>
      <c r="F151" s="2" t="n">
        <v>46387</v>
      </c>
      <c r="G151" s="3" t="n">
        <v>2550</v>
      </c>
      <c r="H151">
        <f>VLOOKUP(B151,Units!$A$2:$G$1646,2,FALSE)</f>
        <v/>
      </c>
      <c r="I151">
        <f>VLOOKUP(B151,Units!$A$2:$G$1646,5,FALSE)</f>
        <v/>
      </c>
      <c r="J151" s="3">
        <f>G151/I151</f>
        <v/>
      </c>
      <c r="K151" s="3">
        <f>G151*12</f>
        <v/>
      </c>
      <c r="L151" s="3" t="n">
        <v>7650</v>
      </c>
    </row>
    <row r="152">
      <c r="A152" t="inlineStr">
        <is>
          <t>TA-2024-00034</t>
        </is>
      </c>
      <c r="B152" t="inlineStr">
        <is>
          <t>U-KR335-01-05</t>
        </is>
      </c>
      <c r="C152" t="inlineStr">
        <is>
          <t>Little Sprouts Confectionery</t>
        </is>
      </c>
      <c r="D152" t="inlineStr">
        <is>
          <t>Bakery &amp; Confectionery</t>
        </is>
      </c>
      <c r="E152" s="2" t="n">
        <v>45292</v>
      </c>
      <c r="F152" s="2" t="n">
        <v>46387</v>
      </c>
      <c r="G152" s="3" t="n">
        <v>3770</v>
      </c>
      <c r="H152">
        <f>VLOOKUP(B152,Units!$A$2:$G$1646,2,FALSE)</f>
        <v/>
      </c>
      <c r="I152">
        <f>VLOOKUP(B152,Units!$A$2:$G$1646,5,FALSE)</f>
        <v/>
      </c>
      <c r="J152" s="3">
        <f>G152/I152</f>
        <v/>
      </c>
      <c r="K152" s="3">
        <f>G152*12</f>
        <v/>
      </c>
      <c r="L152" s="3" t="n">
        <v>11310</v>
      </c>
    </row>
    <row r="153">
      <c r="A153" t="inlineStr">
        <is>
          <t>TA-2024-00036</t>
        </is>
      </c>
      <c r="B153" t="inlineStr">
        <is>
          <t>U-KR335-01-11</t>
        </is>
      </c>
      <c r="C153" t="inlineStr">
        <is>
          <t>Blue Pearl Supermarket Pte Ltd</t>
        </is>
      </c>
      <c r="D153" t="inlineStr">
        <is>
          <t>Minimart</t>
        </is>
      </c>
      <c r="E153" s="2" t="n">
        <v>45292</v>
      </c>
      <c r="F153" s="2" t="n">
        <v>46387</v>
      </c>
      <c r="G153" s="3" t="n">
        <v>4610</v>
      </c>
      <c r="H153">
        <f>VLOOKUP(B153,Units!$A$2:$G$1646,2,FALSE)</f>
        <v/>
      </c>
      <c r="I153">
        <f>VLOOKUP(B153,Units!$A$2:$G$1646,5,FALSE)</f>
        <v/>
      </c>
      <c r="J153" s="3">
        <f>G153/I153</f>
        <v/>
      </c>
      <c r="K153" s="3">
        <f>G153*12</f>
        <v/>
      </c>
      <c r="L153" s="3" t="n">
        <v>13830</v>
      </c>
    </row>
    <row r="154">
      <c r="A154" t="inlineStr">
        <is>
          <t>TA-2024-00038</t>
        </is>
      </c>
      <c r="B154" t="inlineStr">
        <is>
          <t>U-KR341-01-10</t>
        </is>
      </c>
      <c r="C154" t="inlineStr">
        <is>
          <t>Swee Heng Hair Studio</t>
        </is>
      </c>
      <c r="D154" t="inlineStr">
        <is>
          <t>Hair Salon</t>
        </is>
      </c>
      <c r="E154" s="2" t="n">
        <v>45292</v>
      </c>
      <c r="F154" s="2" t="n">
        <v>46387</v>
      </c>
      <c r="G154" s="3" t="n">
        <v>3440</v>
      </c>
      <c r="H154">
        <f>VLOOKUP(B154,Units!$A$2:$G$1646,2,FALSE)</f>
        <v/>
      </c>
      <c r="I154">
        <f>VLOOKUP(B154,Units!$A$2:$G$1646,5,FALSE)</f>
        <v/>
      </c>
      <c r="J154" s="3">
        <f>G154/I154</f>
        <v/>
      </c>
      <c r="K154" s="3">
        <f>G154*12</f>
        <v/>
      </c>
      <c r="L154" s="3" t="n">
        <v>10320</v>
      </c>
    </row>
    <row r="155">
      <c r="A155" t="inlineStr">
        <is>
          <t>TA-2024-00040</t>
        </is>
      </c>
      <c r="B155" t="inlineStr">
        <is>
          <t>U-KR345-01-06</t>
        </is>
      </c>
      <c r="C155" t="inlineStr">
        <is>
          <t>Wong's Provision Shop</t>
        </is>
      </c>
      <c r="D155" t="inlineStr">
        <is>
          <t>Provision Shop</t>
        </is>
      </c>
      <c r="E155" s="2" t="n">
        <v>45292</v>
      </c>
      <c r="F155" s="2" t="n">
        <v>46387</v>
      </c>
      <c r="G155" s="3" t="n">
        <v>3430</v>
      </c>
      <c r="H155">
        <f>VLOOKUP(B155,Units!$A$2:$G$1646,2,FALSE)</f>
        <v/>
      </c>
      <c r="I155">
        <f>VLOOKUP(B155,Units!$A$2:$G$1646,5,FALSE)</f>
        <v/>
      </c>
      <c r="J155" s="3">
        <f>G155/I155</f>
        <v/>
      </c>
      <c r="K155" s="3">
        <f>G155*12</f>
        <v/>
      </c>
      <c r="L155" s="3" t="n">
        <v>10290</v>
      </c>
    </row>
    <row r="156">
      <c r="A156" t="inlineStr">
        <is>
          <t>TA-2024-00042</t>
        </is>
      </c>
      <c r="B156" t="inlineStr">
        <is>
          <t>U-KR358-01-07</t>
        </is>
      </c>
      <c r="C156" t="inlineStr">
        <is>
          <t>Ong &amp; Sons Store Pte Ltd</t>
        </is>
      </c>
      <c r="D156" t="inlineStr">
        <is>
          <t>Provision Shop</t>
        </is>
      </c>
      <c r="E156" s="2" t="n">
        <v>45292</v>
      </c>
      <c r="F156" s="2" t="n">
        <v>46387</v>
      </c>
      <c r="G156" s="3" t="n">
        <v>1750</v>
      </c>
      <c r="H156">
        <f>VLOOKUP(B156,Units!$A$2:$G$1646,2,FALSE)</f>
        <v/>
      </c>
      <c r="I156">
        <f>VLOOKUP(B156,Units!$A$2:$G$1646,5,FALSE)</f>
        <v/>
      </c>
      <c r="J156" s="3">
        <f>G156/I156</f>
        <v/>
      </c>
      <c r="K156" s="3">
        <f>G156*12</f>
        <v/>
      </c>
      <c r="L156" s="3" t="n">
        <v>5250</v>
      </c>
    </row>
    <row r="157">
      <c r="A157" t="inlineStr">
        <is>
          <t>TA-2024-00043</t>
        </is>
      </c>
      <c r="B157" t="inlineStr">
        <is>
          <t>U-KR369-02-07</t>
        </is>
      </c>
      <c r="C157" t="inlineStr">
        <is>
          <t>Hock Lee Clinic &amp; Surgery Pte Ltd</t>
        </is>
      </c>
      <c r="D157" t="inlineStr">
        <is>
          <t>GP Clinic</t>
        </is>
      </c>
      <c r="E157" s="2" t="n">
        <v>45292</v>
      </c>
      <c r="F157" s="2" t="n">
        <v>46387</v>
      </c>
      <c r="G157" s="3" t="n">
        <v>2420</v>
      </c>
      <c r="H157">
        <f>VLOOKUP(B157,Units!$A$2:$G$1646,2,FALSE)</f>
        <v/>
      </c>
      <c r="I157">
        <f>VLOOKUP(B157,Units!$A$2:$G$1646,5,FALSE)</f>
        <v/>
      </c>
      <c r="J157" s="3">
        <f>G157/I157</f>
        <v/>
      </c>
      <c r="K157" s="3">
        <f>G157*12</f>
        <v/>
      </c>
      <c r="L157" s="3" t="n">
        <v>7260</v>
      </c>
    </row>
    <row r="158">
      <c r="A158" t="inlineStr">
        <is>
          <t>TA-2024-00045</t>
        </is>
      </c>
      <c r="B158" t="inlineStr">
        <is>
          <t>U-KR386-01-03</t>
        </is>
      </c>
      <c r="C158" t="inlineStr">
        <is>
          <t>Lotus Trading</t>
        </is>
      </c>
      <c r="D158" t="inlineStr">
        <is>
          <t>Provision Shop</t>
        </is>
      </c>
      <c r="E158" s="2" t="n">
        <v>45292</v>
      </c>
      <c r="F158" s="2" t="n">
        <v>46387</v>
      </c>
      <c r="G158" s="3" t="n">
        <v>4570</v>
      </c>
      <c r="H158">
        <f>VLOOKUP(B158,Units!$A$2:$G$1646,2,FALSE)</f>
        <v/>
      </c>
      <c r="I158">
        <f>VLOOKUP(B158,Units!$A$2:$G$1646,5,FALSE)</f>
        <v/>
      </c>
      <c r="J158" s="3">
        <f>G158/I158</f>
        <v/>
      </c>
      <c r="K158" s="3">
        <f>G158*12</f>
        <v/>
      </c>
      <c r="L158" s="3" t="n">
        <v>13710</v>
      </c>
    </row>
    <row r="159">
      <c r="A159" t="inlineStr">
        <is>
          <t>TA-2024-00047</t>
        </is>
      </c>
      <c r="B159" t="inlineStr">
        <is>
          <t>U-PI601-01-09</t>
        </is>
      </c>
      <c r="C159" t="inlineStr">
        <is>
          <t>Lakshmi Bookstore</t>
        </is>
      </c>
      <c r="D159" t="inlineStr">
        <is>
          <t>Stationery &amp; Books</t>
        </is>
      </c>
      <c r="E159" s="2" t="n">
        <v>45292</v>
      </c>
      <c r="F159" s="2" t="n">
        <v>46387</v>
      </c>
      <c r="G159" s="3" t="n">
        <v>2290</v>
      </c>
      <c r="H159">
        <f>VLOOKUP(B159,Units!$A$2:$G$1646,2,FALSE)</f>
        <v/>
      </c>
      <c r="I159">
        <f>VLOOKUP(B159,Units!$A$2:$G$1646,5,FALSE)</f>
        <v/>
      </c>
      <c r="J159" s="3">
        <f>G159/I159</f>
        <v/>
      </c>
      <c r="K159" s="3">
        <f>G159*12</f>
        <v/>
      </c>
      <c r="L159" s="3" t="n">
        <v>6870</v>
      </c>
    </row>
    <row r="160">
      <c r="A160" t="inlineStr">
        <is>
          <t>TA-2024-00048</t>
        </is>
      </c>
      <c r="B160" t="inlineStr">
        <is>
          <t>U-PI625-01-03</t>
        </is>
      </c>
      <c r="C160" t="inlineStr">
        <is>
          <t>Chin Lee Hardware Pte Ltd</t>
        </is>
      </c>
      <c r="D160" t="inlineStr">
        <is>
          <t>Hardware</t>
        </is>
      </c>
      <c r="E160" s="2" t="n">
        <v>45292</v>
      </c>
      <c r="F160" s="2" t="n">
        <v>46387</v>
      </c>
      <c r="G160" s="3" t="n">
        <v>4180</v>
      </c>
      <c r="H160">
        <f>VLOOKUP(B160,Units!$A$2:$G$1646,2,FALSE)</f>
        <v/>
      </c>
      <c r="I160">
        <f>VLOOKUP(B160,Units!$A$2:$G$1646,5,FALSE)</f>
        <v/>
      </c>
      <c r="J160" s="3">
        <f>G160/I160</f>
        <v/>
      </c>
      <c r="K160" s="3">
        <f>G160*12</f>
        <v/>
      </c>
      <c r="L160" s="3" t="n">
        <v>12540</v>
      </c>
    </row>
    <row r="161">
      <c r="A161" t="inlineStr">
        <is>
          <t>TA-2024-00050</t>
        </is>
      </c>
      <c r="B161" t="inlineStr">
        <is>
          <t>U-PI627-01-13</t>
        </is>
      </c>
      <c r="C161" t="inlineStr">
        <is>
          <t>Wellcare Provision Shop Pte Ltd</t>
        </is>
      </c>
      <c r="D161" t="inlineStr">
        <is>
          <t>Provision Shop</t>
        </is>
      </c>
      <c r="E161" s="2" t="n">
        <v>45292</v>
      </c>
      <c r="F161" s="2" t="n">
        <v>46387</v>
      </c>
      <c r="G161" s="3" t="n">
        <v>3400</v>
      </c>
      <c r="H161">
        <f>VLOOKUP(B161,Units!$A$2:$G$1646,2,FALSE)</f>
        <v/>
      </c>
      <c r="I161">
        <f>VLOOKUP(B161,Units!$A$2:$G$1646,5,FALSE)</f>
        <v/>
      </c>
      <c r="J161" s="3">
        <f>G161/I161</f>
        <v/>
      </c>
      <c r="K161" s="3">
        <f>G161*12</f>
        <v/>
      </c>
      <c r="L161" s="3" t="n">
        <v>10200</v>
      </c>
    </row>
    <row r="162">
      <c r="A162" t="inlineStr">
        <is>
          <t>TA-2024-00051</t>
        </is>
      </c>
      <c r="B162" t="inlineStr">
        <is>
          <t>U-PI648-01-07</t>
        </is>
      </c>
      <c r="C162" t="inlineStr">
        <is>
          <t>Lotus Hair Salon Pte Ltd</t>
        </is>
      </c>
      <c r="D162" t="inlineStr">
        <is>
          <t>Hair Salon</t>
        </is>
      </c>
      <c r="E162" s="2" t="n">
        <v>45292</v>
      </c>
      <c r="F162" s="2" t="n">
        <v>46387</v>
      </c>
      <c r="G162" s="3" t="n">
        <v>4480</v>
      </c>
      <c r="H162">
        <f>VLOOKUP(B162,Units!$A$2:$G$1646,2,FALSE)</f>
        <v/>
      </c>
      <c r="I162">
        <f>VLOOKUP(B162,Units!$A$2:$G$1646,5,FALSE)</f>
        <v/>
      </c>
      <c r="J162" s="3">
        <f>G162/I162</f>
        <v/>
      </c>
      <c r="K162" s="3">
        <f>G162*12</f>
        <v/>
      </c>
      <c r="L162" s="3" t="n">
        <v>13440</v>
      </c>
    </row>
    <row r="163">
      <c r="A163" t="inlineStr">
        <is>
          <t>TA-2024-00053</t>
        </is>
      </c>
      <c r="B163" t="inlineStr">
        <is>
          <t>U-PI657-01-05</t>
        </is>
      </c>
      <c r="C163" t="inlineStr">
        <is>
          <t>Smart Kids Telecom</t>
        </is>
      </c>
      <c r="D163" t="inlineStr">
        <is>
          <t>Mobile Phone &amp; Accessories</t>
        </is>
      </c>
      <c r="E163" s="2" t="n">
        <v>45292</v>
      </c>
      <c r="F163" s="2" t="n">
        <v>46387</v>
      </c>
      <c r="G163" s="3" t="n">
        <v>5120</v>
      </c>
      <c r="H163">
        <f>VLOOKUP(B163,Units!$A$2:$G$1646,2,FALSE)</f>
        <v/>
      </c>
      <c r="I163">
        <f>VLOOKUP(B163,Units!$A$2:$G$1646,5,FALSE)</f>
        <v/>
      </c>
      <c r="J163" s="3">
        <f>G163/I163</f>
        <v/>
      </c>
      <c r="K163" s="3">
        <f>G163*12</f>
        <v/>
      </c>
      <c r="L163" s="3" t="n">
        <v>15360</v>
      </c>
    </row>
    <row r="164">
      <c r="A164" t="inlineStr">
        <is>
          <t>TA-2024-00055</t>
        </is>
      </c>
      <c r="B164" t="inlineStr">
        <is>
          <t>U-PI667-01-01</t>
        </is>
      </c>
      <c r="C164" t="inlineStr">
        <is>
          <t>Smart Kids Mart</t>
        </is>
      </c>
      <c r="D164" t="inlineStr">
        <is>
          <t>Minimart</t>
        </is>
      </c>
      <c r="E164" s="2" t="n">
        <v>45292</v>
      </c>
      <c r="F164" s="2" t="n">
        <v>46387</v>
      </c>
      <c r="G164" s="3" t="n">
        <v>4110</v>
      </c>
      <c r="H164">
        <f>VLOOKUP(B164,Units!$A$2:$G$1646,2,FALSE)</f>
        <v/>
      </c>
      <c r="I164">
        <f>VLOOKUP(B164,Units!$A$2:$G$1646,5,FALSE)</f>
        <v/>
      </c>
      <c r="J164" s="3">
        <f>G164/I164</f>
        <v/>
      </c>
      <c r="K164" s="3">
        <f>G164*12</f>
        <v/>
      </c>
      <c r="L164" s="3" t="n">
        <v>12330</v>
      </c>
    </row>
    <row r="165">
      <c r="A165" t="inlineStr">
        <is>
          <t>TA-2024-00057</t>
        </is>
      </c>
      <c r="B165" t="inlineStr">
        <is>
          <t>U-PI668-01-02</t>
        </is>
      </c>
      <c r="C165" t="inlineStr">
        <is>
          <t>New Life Hardware Pte Ltd</t>
        </is>
      </c>
      <c r="D165" t="inlineStr">
        <is>
          <t>Hardware</t>
        </is>
      </c>
      <c r="E165" s="2" t="n">
        <v>45292</v>
      </c>
      <c r="F165" s="2" t="n">
        <v>46387</v>
      </c>
      <c r="G165" s="3" t="n">
        <v>2980</v>
      </c>
      <c r="H165">
        <f>VLOOKUP(B165,Units!$A$2:$G$1646,2,FALSE)</f>
        <v/>
      </c>
      <c r="I165">
        <f>VLOOKUP(B165,Units!$A$2:$G$1646,5,FALSE)</f>
        <v/>
      </c>
      <c r="J165" s="3">
        <f>G165/I165</f>
        <v/>
      </c>
      <c r="K165" s="3">
        <f>G165*12</f>
        <v/>
      </c>
      <c r="L165" s="3" t="n">
        <v>8940</v>
      </c>
    </row>
    <row r="166">
      <c r="A166" t="inlineStr">
        <is>
          <t>TA-2024-00058</t>
        </is>
      </c>
      <c r="B166" t="inlineStr">
        <is>
          <t>U-PI670-02-02</t>
        </is>
      </c>
      <c r="C166" t="inlineStr">
        <is>
          <t>Green Leaf Kindergarten Pte Ltd</t>
        </is>
      </c>
      <c r="D166" t="inlineStr">
        <is>
          <t>Childcare Centre</t>
        </is>
      </c>
      <c r="E166" s="2" t="n">
        <v>45292</v>
      </c>
      <c r="F166" s="2" t="n">
        <v>46387</v>
      </c>
      <c r="G166" s="3" t="n">
        <v>2960</v>
      </c>
      <c r="H166">
        <f>VLOOKUP(B166,Units!$A$2:$G$1646,2,FALSE)</f>
        <v/>
      </c>
      <c r="I166">
        <f>VLOOKUP(B166,Units!$A$2:$G$1646,5,FALSE)</f>
        <v/>
      </c>
      <c r="J166" s="3">
        <f>G166/I166</f>
        <v/>
      </c>
      <c r="K166" s="3">
        <f>G166*12</f>
        <v/>
      </c>
      <c r="L166" s="3" t="n">
        <v>8880</v>
      </c>
    </row>
    <row r="167">
      <c r="A167" t="inlineStr">
        <is>
          <t>TA-2024-00060</t>
        </is>
      </c>
      <c r="B167" t="inlineStr">
        <is>
          <t>U-PI678-02-05</t>
        </is>
      </c>
      <c r="C167" t="inlineStr">
        <is>
          <t>Hassan Learning Centre Pte Ltd</t>
        </is>
      </c>
      <c r="D167" t="inlineStr">
        <is>
          <t>Tuition Centre</t>
        </is>
      </c>
      <c r="E167" s="2" t="n">
        <v>45292</v>
      </c>
      <c r="F167" s="2" t="n">
        <v>46387</v>
      </c>
      <c r="G167" s="3" t="n">
        <v>2080</v>
      </c>
      <c r="H167">
        <f>VLOOKUP(B167,Units!$A$2:$G$1646,2,FALSE)</f>
        <v/>
      </c>
      <c r="I167">
        <f>VLOOKUP(B167,Units!$A$2:$G$1646,5,FALSE)</f>
        <v/>
      </c>
      <c r="J167" s="3">
        <f>G167/I167</f>
        <v/>
      </c>
      <c r="K167" s="3">
        <f>G167*12</f>
        <v/>
      </c>
      <c r="L167" s="3" t="n">
        <v>6240</v>
      </c>
    </row>
    <row r="168">
      <c r="A168" t="inlineStr">
        <is>
          <t>TA-2024-00061</t>
        </is>
      </c>
      <c r="B168" t="inlineStr">
        <is>
          <t>U-RH401-01-10</t>
        </is>
      </c>
      <c r="C168" t="inlineStr">
        <is>
          <t>Pinnacle Telecom</t>
        </is>
      </c>
      <c r="D168" t="inlineStr">
        <is>
          <t>Mobile Phone &amp; Accessories</t>
        </is>
      </c>
      <c r="E168" s="2" t="n">
        <v>45292</v>
      </c>
      <c r="F168" s="2" t="n">
        <v>46387</v>
      </c>
      <c r="G168" s="3" t="n">
        <v>900</v>
      </c>
      <c r="H168">
        <f>VLOOKUP(B168,Units!$A$2:$G$1646,2,FALSE)</f>
        <v/>
      </c>
      <c r="I168">
        <f>VLOOKUP(B168,Units!$A$2:$G$1646,5,FALSE)</f>
        <v/>
      </c>
      <c r="J168" s="3">
        <f>G168/I168</f>
        <v/>
      </c>
      <c r="K168" s="3">
        <f>G168*12</f>
        <v/>
      </c>
      <c r="L168" s="3" t="n">
        <v>2700</v>
      </c>
    </row>
    <row r="169">
      <c r="A169" t="inlineStr">
        <is>
          <t>TA-2024-00062</t>
        </is>
      </c>
      <c r="B169" t="inlineStr">
        <is>
          <t>U-RH425-01-07</t>
        </is>
      </c>
      <c r="C169" t="inlineStr">
        <is>
          <t>Blue Pearl Hardware &amp; Electrical</t>
        </is>
      </c>
      <c r="D169" t="inlineStr">
        <is>
          <t>Hardware</t>
        </is>
      </c>
      <c r="E169" s="2" t="n">
        <v>45292</v>
      </c>
      <c r="F169" s="2" t="n">
        <v>46387</v>
      </c>
      <c r="G169" s="3" t="n">
        <v>3160</v>
      </c>
      <c r="H169">
        <f>VLOOKUP(B169,Units!$A$2:$G$1646,2,FALSE)</f>
        <v/>
      </c>
      <c r="I169">
        <f>VLOOKUP(B169,Units!$A$2:$G$1646,5,FALSE)</f>
        <v/>
      </c>
      <c r="J169" s="3">
        <f>G169/I169</f>
        <v/>
      </c>
      <c r="K169" s="3">
        <f>G169*12</f>
        <v/>
      </c>
      <c r="L169" s="3" t="n">
        <v>9480</v>
      </c>
    </row>
    <row r="170">
      <c r="A170" t="inlineStr">
        <is>
          <t>TA-2024-00064</t>
        </is>
      </c>
      <c r="B170" t="inlineStr">
        <is>
          <t>U-RH428-01-03</t>
        </is>
      </c>
      <c r="C170" t="inlineStr">
        <is>
          <t>Sunflower Medical Clinic</t>
        </is>
      </c>
      <c r="D170" t="inlineStr">
        <is>
          <t>GP Clinic</t>
        </is>
      </c>
      <c r="E170" s="2" t="n">
        <v>45292</v>
      </c>
      <c r="F170" s="2" t="n">
        <v>46387</v>
      </c>
      <c r="G170" s="3" t="n">
        <v>1700</v>
      </c>
      <c r="H170">
        <f>VLOOKUP(B170,Units!$A$2:$G$1646,2,FALSE)</f>
        <v/>
      </c>
      <c r="I170">
        <f>VLOOKUP(B170,Units!$A$2:$G$1646,5,FALSE)</f>
        <v/>
      </c>
      <c r="J170" s="3">
        <f>G170/I170</f>
        <v/>
      </c>
      <c r="K170" s="3">
        <f>G170*12</f>
        <v/>
      </c>
      <c r="L170" s="3" t="n">
        <v>5100</v>
      </c>
    </row>
    <row r="171">
      <c r="A171" t="inlineStr">
        <is>
          <t>TA-2024-00065</t>
        </is>
      </c>
      <c r="B171" t="inlineStr">
        <is>
          <t>U-RH441-01-06</t>
        </is>
      </c>
      <c r="C171" t="inlineStr">
        <is>
          <t>Starlight Kitchen</t>
        </is>
      </c>
      <c r="D171" t="inlineStr">
        <is>
          <t>Restaurant</t>
        </is>
      </c>
      <c r="E171" s="2" t="n">
        <v>45292</v>
      </c>
      <c r="F171" s="2" t="n">
        <v>46387</v>
      </c>
      <c r="G171" s="3" t="n">
        <v>3440</v>
      </c>
      <c r="H171">
        <f>VLOOKUP(B171,Units!$A$2:$G$1646,2,FALSE)</f>
        <v/>
      </c>
      <c r="I171">
        <f>VLOOKUP(B171,Units!$A$2:$G$1646,5,FALSE)</f>
        <v/>
      </c>
      <c r="J171" s="3">
        <f>G171/I171</f>
        <v/>
      </c>
      <c r="K171" s="3">
        <f>G171*12</f>
        <v/>
      </c>
      <c r="L171" s="3" t="n">
        <v>10320</v>
      </c>
    </row>
    <row r="172">
      <c r="A172" t="inlineStr">
        <is>
          <t>TA-2024-00066</t>
        </is>
      </c>
      <c r="B172" t="inlineStr">
        <is>
          <t>U-RH455-01-08</t>
        </is>
      </c>
      <c r="C172" t="inlineStr">
        <is>
          <t>Bayu Remittance Pte Ltd</t>
        </is>
      </c>
      <c r="D172" t="inlineStr">
        <is>
          <t>Remittance &amp; Money Changer</t>
        </is>
      </c>
      <c r="E172" s="2" t="n">
        <v>45292</v>
      </c>
      <c r="F172" s="2" t="n">
        <v>46387</v>
      </c>
      <c r="G172" s="3" t="n">
        <v>2360</v>
      </c>
      <c r="H172">
        <f>VLOOKUP(B172,Units!$A$2:$G$1646,2,FALSE)</f>
        <v/>
      </c>
      <c r="I172">
        <f>VLOOKUP(B172,Units!$A$2:$G$1646,5,FALSE)</f>
        <v/>
      </c>
      <c r="J172" s="3">
        <f>G172/I172</f>
        <v/>
      </c>
      <c r="K172" s="3">
        <f>G172*12</f>
        <v/>
      </c>
      <c r="L172" s="3" t="n">
        <v>7080</v>
      </c>
    </row>
    <row r="173">
      <c r="A173" t="inlineStr">
        <is>
          <t>TA-2024-00068</t>
        </is>
      </c>
      <c r="B173" t="inlineStr">
        <is>
          <t>U-RH455-01-13</t>
        </is>
      </c>
      <c r="C173" t="inlineStr">
        <is>
          <t>Evergreen Eye Centre</t>
        </is>
      </c>
      <c r="D173" t="inlineStr">
        <is>
          <t>Optical</t>
        </is>
      </c>
      <c r="E173" s="2" t="n">
        <v>45292</v>
      </c>
      <c r="F173" s="2" t="n">
        <v>46387</v>
      </c>
      <c r="G173" s="3" t="n">
        <v>5190</v>
      </c>
      <c r="H173">
        <f>VLOOKUP(B173,Units!$A$2:$G$1646,2,FALSE)</f>
        <v/>
      </c>
      <c r="I173">
        <f>VLOOKUP(B173,Units!$A$2:$G$1646,5,FALSE)</f>
        <v/>
      </c>
      <c r="J173" s="3">
        <f>G173/I173</f>
        <v/>
      </c>
      <c r="K173" s="3">
        <f>G173*12</f>
        <v/>
      </c>
      <c r="L173" s="3" t="n">
        <v>15570</v>
      </c>
    </row>
    <row r="174">
      <c r="A174" t="inlineStr">
        <is>
          <t>TA-2024-00070</t>
        </is>
      </c>
      <c r="B174" t="inlineStr">
        <is>
          <t>U-RH455-01-19</t>
        </is>
      </c>
      <c r="C174" t="inlineStr">
        <is>
          <t>Siva Florist</t>
        </is>
      </c>
      <c r="D174" t="inlineStr">
        <is>
          <t>Florist</t>
        </is>
      </c>
      <c r="E174" s="2" t="n">
        <v>45292</v>
      </c>
      <c r="F174" s="2" t="n">
        <v>46387</v>
      </c>
      <c r="G174" s="3" t="n">
        <v>900</v>
      </c>
      <c r="H174">
        <f>VLOOKUP(B174,Units!$A$2:$G$1646,2,FALSE)</f>
        <v/>
      </c>
      <c r="I174">
        <f>VLOOKUP(B174,Units!$A$2:$G$1646,5,FALSE)</f>
        <v/>
      </c>
      <c r="J174" s="3">
        <f>G174/I174</f>
        <v/>
      </c>
      <c r="K174" s="3">
        <f>G174*12</f>
        <v/>
      </c>
      <c r="L174" s="3" t="n">
        <v>2700</v>
      </c>
    </row>
    <row r="175">
      <c r="A175" t="inlineStr">
        <is>
          <t>TA-2024-00071</t>
        </is>
      </c>
      <c r="B175" t="inlineStr">
        <is>
          <t>U-RH455-01-27</t>
        </is>
      </c>
      <c r="C175" t="inlineStr">
        <is>
          <t>Happy Paws Medical Hall</t>
        </is>
      </c>
      <c r="D175" t="inlineStr">
        <is>
          <t>TCM Clinic</t>
        </is>
      </c>
      <c r="E175" s="2" t="n">
        <v>45292</v>
      </c>
      <c r="F175" s="2" t="n">
        <v>46387</v>
      </c>
      <c r="G175" s="3" t="n">
        <v>4700</v>
      </c>
      <c r="H175">
        <f>VLOOKUP(B175,Units!$A$2:$G$1646,2,FALSE)</f>
        <v/>
      </c>
      <c r="I175">
        <f>VLOOKUP(B175,Units!$A$2:$G$1646,5,FALSE)</f>
        <v/>
      </c>
      <c r="J175" s="3">
        <f>G175/I175</f>
        <v/>
      </c>
      <c r="K175" s="3">
        <f>G175*12</f>
        <v/>
      </c>
      <c r="L175" s="3" t="n">
        <v>14100</v>
      </c>
    </row>
    <row r="176">
      <c r="A176" t="inlineStr">
        <is>
          <t>TA-2024-00073</t>
        </is>
      </c>
      <c r="B176" t="inlineStr">
        <is>
          <t>U-RH466-01-10</t>
        </is>
      </c>
      <c r="C176" t="inlineStr">
        <is>
          <t>Hup Seng Supermarket</t>
        </is>
      </c>
      <c r="D176" t="inlineStr">
        <is>
          <t>Minimart</t>
        </is>
      </c>
      <c r="E176" s="2" t="n">
        <v>45292</v>
      </c>
      <c r="F176" s="2" t="n">
        <v>46387</v>
      </c>
      <c r="G176" s="3" t="n">
        <v>2400</v>
      </c>
      <c r="H176">
        <f>VLOOKUP(B176,Units!$A$2:$G$1646,2,FALSE)</f>
        <v/>
      </c>
      <c r="I176">
        <f>VLOOKUP(B176,Units!$A$2:$G$1646,5,FALSE)</f>
        <v/>
      </c>
      <c r="J176" s="3">
        <f>G176/I176</f>
        <v/>
      </c>
      <c r="K176" s="3">
        <f>G176*12</f>
        <v/>
      </c>
      <c r="L176" s="3" t="n">
        <v>7200</v>
      </c>
    </row>
    <row r="177">
      <c r="A177" t="inlineStr">
        <is>
          <t>TA-2024-00075</t>
        </is>
      </c>
      <c r="B177" t="inlineStr">
        <is>
          <t>U-RH491-01-09</t>
        </is>
      </c>
      <c r="C177" t="inlineStr">
        <is>
          <t>Teck Guan Hair Salon</t>
        </is>
      </c>
      <c r="D177" t="inlineStr">
        <is>
          <t>Hair Salon</t>
        </is>
      </c>
      <c r="E177" s="2" t="n">
        <v>45292</v>
      </c>
      <c r="F177" s="2" t="n">
        <v>46387</v>
      </c>
      <c r="G177" s="3" t="n">
        <v>4060</v>
      </c>
      <c r="H177">
        <f>VLOOKUP(B177,Units!$A$2:$G$1646,2,FALSE)</f>
        <v/>
      </c>
      <c r="I177">
        <f>VLOOKUP(B177,Units!$A$2:$G$1646,5,FALSE)</f>
        <v/>
      </c>
      <c r="J177" s="3">
        <f>G177/I177</f>
        <v/>
      </c>
      <c r="K177" s="3">
        <f>G177*12</f>
        <v/>
      </c>
      <c r="L177" s="3" t="n">
        <v>12180</v>
      </c>
    </row>
    <row r="178">
      <c r="A178" t="inlineStr">
        <is>
          <t>TA-2024-00077</t>
        </is>
      </c>
      <c r="B178" t="inlineStr">
        <is>
          <t>U-ST512-01-03</t>
        </is>
      </c>
      <c r="C178" t="inlineStr">
        <is>
          <t>Thye Hin Supermarket Pte Ltd</t>
        </is>
      </c>
      <c r="D178" t="inlineStr">
        <is>
          <t>Minimart</t>
        </is>
      </c>
      <c r="E178" s="2" t="n">
        <v>45292</v>
      </c>
      <c r="F178" s="2" t="n">
        <v>46387</v>
      </c>
      <c r="G178" s="3" t="n">
        <v>2420</v>
      </c>
      <c r="H178">
        <f>VLOOKUP(B178,Units!$A$2:$G$1646,2,FALSE)</f>
        <v/>
      </c>
      <c r="I178">
        <f>VLOOKUP(B178,Units!$A$2:$G$1646,5,FALSE)</f>
        <v/>
      </c>
      <c r="J178" s="3">
        <f>G178/I178</f>
        <v/>
      </c>
      <c r="K178" s="3">
        <f>G178*12</f>
        <v/>
      </c>
      <c r="L178" s="3" t="n">
        <v>7260</v>
      </c>
    </row>
    <row r="179">
      <c r="A179" t="inlineStr">
        <is>
          <t>TA-2024-00079</t>
        </is>
      </c>
      <c r="B179" t="inlineStr">
        <is>
          <t>U-ST512-01-33</t>
        </is>
      </c>
      <c r="C179" t="inlineStr">
        <is>
          <t>Raja Store Pte Ltd</t>
        </is>
      </c>
      <c r="D179" t="inlineStr">
        <is>
          <t>Provision Shop</t>
        </is>
      </c>
      <c r="E179" s="2" t="n">
        <v>45292</v>
      </c>
      <c r="F179" s="2" t="n">
        <v>46387</v>
      </c>
      <c r="G179" s="3" t="n">
        <v>2610</v>
      </c>
      <c r="H179">
        <f>VLOOKUP(B179,Units!$A$2:$G$1646,2,FALSE)</f>
        <v/>
      </c>
      <c r="I179">
        <f>VLOOKUP(B179,Units!$A$2:$G$1646,5,FALSE)</f>
        <v/>
      </c>
      <c r="J179" s="3">
        <f>G179/I179</f>
        <v/>
      </c>
      <c r="K179" s="3">
        <f>G179*12</f>
        <v/>
      </c>
      <c r="L179" s="3" t="n">
        <v>7830</v>
      </c>
    </row>
    <row r="180">
      <c r="A180" t="inlineStr">
        <is>
          <t>TA-2024-00081</t>
        </is>
      </c>
      <c r="B180" t="inlineStr">
        <is>
          <t>U-ST513-01-03</t>
        </is>
      </c>
      <c r="C180" t="inlineStr">
        <is>
          <t>Rainbow Flowers &amp; Gifts</t>
        </is>
      </c>
      <c r="D180" t="inlineStr">
        <is>
          <t>Florist</t>
        </is>
      </c>
      <c r="E180" s="2" t="n">
        <v>45292</v>
      </c>
      <c r="F180" s="2" t="n">
        <v>46387</v>
      </c>
      <c r="G180" s="3" t="n">
        <v>4920</v>
      </c>
      <c r="H180">
        <f>VLOOKUP(B180,Units!$A$2:$G$1646,2,FALSE)</f>
        <v/>
      </c>
      <c r="I180">
        <f>VLOOKUP(B180,Units!$A$2:$G$1646,5,FALSE)</f>
        <v/>
      </c>
      <c r="J180" s="3">
        <f>G180/I180</f>
        <v/>
      </c>
      <c r="K180" s="3">
        <f>G180*12</f>
        <v/>
      </c>
      <c r="L180" s="3" t="n">
        <v>14760</v>
      </c>
    </row>
    <row r="181">
      <c r="A181" t="inlineStr">
        <is>
          <t>TA-2024-00082</t>
        </is>
      </c>
      <c r="B181" t="inlineStr">
        <is>
          <t>U-ST528-01-13</t>
        </is>
      </c>
      <c r="C181" t="inlineStr">
        <is>
          <t>Lucky Star Eating Place Pte Ltd</t>
        </is>
      </c>
      <c r="D181" t="inlineStr">
        <is>
          <t>Restaurant</t>
        </is>
      </c>
      <c r="E181" s="2" t="n">
        <v>45292</v>
      </c>
      <c r="F181" s="2" t="n">
        <v>46387</v>
      </c>
      <c r="G181" s="3" t="n">
        <v>2030</v>
      </c>
      <c r="H181">
        <f>VLOOKUP(B181,Units!$A$2:$G$1646,2,FALSE)</f>
        <v/>
      </c>
      <c r="I181">
        <f>VLOOKUP(B181,Units!$A$2:$G$1646,5,FALSE)</f>
        <v/>
      </c>
      <c r="J181" s="3">
        <f>G181/I181</f>
        <v/>
      </c>
      <c r="K181" s="3">
        <f>G181*12</f>
        <v/>
      </c>
      <c r="L181" s="3" t="n">
        <v>6090</v>
      </c>
    </row>
    <row r="182">
      <c r="A182" t="inlineStr">
        <is>
          <t>TA-2024-00083</t>
        </is>
      </c>
      <c r="B182" t="inlineStr">
        <is>
          <t>U-ST544-01-03</t>
        </is>
      </c>
      <c r="C182" t="inlineStr">
        <is>
          <t>Sejahtera Fruits Pte Ltd</t>
        </is>
      </c>
      <c r="D182" t="inlineStr">
        <is>
          <t>Fruit Shop</t>
        </is>
      </c>
      <c r="E182" s="2" t="n">
        <v>45292</v>
      </c>
      <c r="F182" s="2" t="n">
        <v>46387</v>
      </c>
      <c r="G182" s="3" t="n">
        <v>4280</v>
      </c>
      <c r="H182">
        <f>VLOOKUP(B182,Units!$A$2:$G$1646,2,FALSE)</f>
        <v/>
      </c>
      <c r="I182">
        <f>VLOOKUP(B182,Units!$A$2:$G$1646,5,FALSE)</f>
        <v/>
      </c>
      <c r="J182" s="3">
        <f>G182/I182</f>
        <v/>
      </c>
      <c r="K182" s="3">
        <f>G182*12</f>
        <v/>
      </c>
      <c r="L182" s="3" t="n">
        <v>12840</v>
      </c>
    </row>
    <row r="183">
      <c r="A183" t="inlineStr">
        <is>
          <t>TA-2024-00085</t>
        </is>
      </c>
      <c r="B183" t="inlineStr">
        <is>
          <t>U-ST566-01-03</t>
        </is>
      </c>
      <c r="C183" t="inlineStr">
        <is>
          <t>Ah Seng Provision Shop</t>
        </is>
      </c>
      <c r="D183" t="inlineStr">
        <is>
          <t>Provision Shop</t>
        </is>
      </c>
      <c r="E183" s="2" t="n">
        <v>45292</v>
      </c>
      <c r="F183" s="2" t="n">
        <v>46387</v>
      </c>
      <c r="G183" s="3" t="n">
        <v>2400</v>
      </c>
      <c r="H183">
        <f>VLOOKUP(B183,Units!$A$2:$G$1646,2,FALSE)</f>
        <v/>
      </c>
      <c r="I183">
        <f>VLOOKUP(B183,Units!$A$2:$G$1646,5,FALSE)</f>
        <v/>
      </c>
      <c r="J183" s="3">
        <f>G183/I183</f>
        <v/>
      </c>
      <c r="K183" s="3">
        <f>G183*12</f>
        <v/>
      </c>
      <c r="L183" s="3" t="n">
        <v>7200</v>
      </c>
    </row>
    <row r="184">
      <c r="A184" t="inlineStr">
        <is>
          <t>TA-2024-00086</t>
        </is>
      </c>
      <c r="B184" t="inlineStr">
        <is>
          <t>U-ST579-01-07</t>
        </is>
      </c>
      <c r="C184" t="inlineStr">
        <is>
          <t>Bloom Mobile</t>
        </is>
      </c>
      <c r="D184" t="inlineStr">
        <is>
          <t>Mobile Phone &amp; Accessories</t>
        </is>
      </c>
      <c r="E184" s="2" t="n">
        <v>45292</v>
      </c>
      <c r="F184" s="2" t="n">
        <v>46387</v>
      </c>
      <c r="G184" s="3" t="n">
        <v>3480</v>
      </c>
      <c r="H184">
        <f>VLOOKUP(B184,Units!$A$2:$G$1646,2,FALSE)</f>
        <v/>
      </c>
      <c r="I184">
        <f>VLOOKUP(B184,Units!$A$2:$G$1646,5,FALSE)</f>
        <v/>
      </c>
      <c r="J184" s="3">
        <f>G184/I184</f>
        <v/>
      </c>
      <c r="K184" s="3">
        <f>G184*12</f>
        <v/>
      </c>
      <c r="L184" s="3" t="n">
        <v>10440</v>
      </c>
    </row>
    <row r="185">
      <c r="A185" t="inlineStr">
        <is>
          <t>TA-2024-00088</t>
        </is>
      </c>
      <c r="B185" t="inlineStr">
        <is>
          <t>U-ST591-01-04</t>
        </is>
      </c>
      <c r="C185" t="inlineStr">
        <is>
          <t>Hassan Kitchen Pte Ltd</t>
        </is>
      </c>
      <c r="D185" t="inlineStr">
        <is>
          <t>Restaurant</t>
        </is>
      </c>
      <c r="E185" s="2" t="n">
        <v>45292</v>
      </c>
      <c r="F185" s="2" t="n">
        <v>46387</v>
      </c>
      <c r="G185" s="3" t="n">
        <v>2370</v>
      </c>
      <c r="H185">
        <f>VLOOKUP(B185,Units!$A$2:$G$1646,2,FALSE)</f>
        <v/>
      </c>
      <c r="I185">
        <f>VLOOKUP(B185,Units!$A$2:$G$1646,5,FALSE)</f>
        <v/>
      </c>
      <c r="J185" s="3">
        <f>G185/I185</f>
        <v/>
      </c>
      <c r="K185" s="3">
        <f>G185*12</f>
        <v/>
      </c>
      <c r="L185" s="3" t="n">
        <v>7110</v>
      </c>
    </row>
    <row r="186">
      <c r="A186" t="inlineStr">
        <is>
          <t>TA-2024-00090</t>
        </is>
      </c>
      <c r="B186" t="inlineStr">
        <is>
          <t>U-BV214-01-24</t>
        </is>
      </c>
      <c r="C186" t="inlineStr">
        <is>
          <t>Bayu Locksmith Pte Ltd</t>
        </is>
      </c>
      <c r="D186" t="inlineStr">
        <is>
          <t>Key Cutting &amp; Shoe Repair</t>
        </is>
      </c>
      <c r="E186" s="2" t="n">
        <v>45323</v>
      </c>
      <c r="F186" s="2" t="n">
        <v>46418</v>
      </c>
      <c r="G186" s="3" t="n">
        <v>1340</v>
      </c>
      <c r="H186">
        <f>VLOOKUP(B186,Units!$A$2:$G$1646,2,FALSE)</f>
        <v/>
      </c>
      <c r="I186">
        <f>VLOOKUP(B186,Units!$A$2:$G$1646,5,FALSE)</f>
        <v/>
      </c>
      <c r="J186" s="3">
        <f>G186/I186</f>
        <v/>
      </c>
      <c r="K186" s="3">
        <f>G186*12</f>
        <v/>
      </c>
      <c r="L186" s="3" t="n">
        <v>4020</v>
      </c>
    </row>
    <row r="187">
      <c r="A187" t="inlineStr">
        <is>
          <t>TA-2024-00092</t>
        </is>
      </c>
      <c r="B187" t="inlineStr">
        <is>
          <t>U-BV216-01-13</t>
        </is>
      </c>
      <c r="C187" t="inlineStr">
        <is>
          <t>Ong &amp; Sons Minimart</t>
        </is>
      </c>
      <c r="D187" t="inlineStr">
        <is>
          <t>Minimart</t>
        </is>
      </c>
      <c r="E187" s="2" t="n">
        <v>45323</v>
      </c>
      <c r="F187" s="2" t="n">
        <v>46418</v>
      </c>
      <c r="G187" s="3" t="n">
        <v>5300</v>
      </c>
      <c r="H187">
        <f>VLOOKUP(B187,Units!$A$2:$G$1646,2,FALSE)</f>
        <v/>
      </c>
      <c r="I187">
        <f>VLOOKUP(B187,Units!$A$2:$G$1646,5,FALSE)</f>
        <v/>
      </c>
      <c r="J187" s="3">
        <f>G187/I187</f>
        <v/>
      </c>
      <c r="K187" s="3">
        <f>G187*12</f>
        <v/>
      </c>
      <c r="L187" s="3" t="n">
        <v>15900</v>
      </c>
    </row>
    <row r="188">
      <c r="A188" t="inlineStr">
        <is>
          <t>TA-2024-00093</t>
        </is>
      </c>
      <c r="B188" t="inlineStr">
        <is>
          <t>U-BV230-02-08</t>
        </is>
      </c>
      <c r="C188" t="inlineStr">
        <is>
          <t>Jade Garden TCM Clinic Pte Ltd</t>
        </is>
      </c>
      <c r="D188" t="inlineStr">
        <is>
          <t>TCM Clinic</t>
        </is>
      </c>
      <c r="E188" s="2" t="n">
        <v>45323</v>
      </c>
      <c r="F188" s="2" t="n">
        <v>46418</v>
      </c>
      <c r="G188" s="3" t="n">
        <v>2960</v>
      </c>
      <c r="H188">
        <f>VLOOKUP(B188,Units!$A$2:$G$1646,2,FALSE)</f>
        <v/>
      </c>
      <c r="I188">
        <f>VLOOKUP(B188,Units!$A$2:$G$1646,5,FALSE)</f>
        <v/>
      </c>
      <c r="J188" s="3">
        <f>G188/I188</f>
        <v/>
      </c>
      <c r="K188" s="3">
        <f>G188*12</f>
        <v/>
      </c>
      <c r="L188" s="3" t="n">
        <v>8880</v>
      </c>
    </row>
    <row r="189">
      <c r="A189" t="inlineStr">
        <is>
          <t>TA-2024-00095</t>
        </is>
      </c>
      <c r="B189" t="inlineStr">
        <is>
          <t>U-BV231-01-06</t>
        </is>
      </c>
      <c r="C189" t="inlineStr">
        <is>
          <t>Ah Seng Flowers &amp; Gifts Pte Ltd</t>
        </is>
      </c>
      <c r="D189" t="inlineStr">
        <is>
          <t>Florist</t>
        </is>
      </c>
      <c r="E189" s="2" t="n">
        <v>45323</v>
      </c>
      <c r="F189" s="2" t="n">
        <v>46418</v>
      </c>
      <c r="G189" s="3" t="n">
        <v>5760</v>
      </c>
      <c r="H189">
        <f>VLOOKUP(B189,Units!$A$2:$G$1646,2,FALSE)</f>
        <v/>
      </c>
      <c r="I189">
        <f>VLOOKUP(B189,Units!$A$2:$G$1646,5,FALSE)</f>
        <v/>
      </c>
      <c r="J189" s="3">
        <f>G189/I189</f>
        <v/>
      </c>
      <c r="K189" s="3">
        <f>G189*12</f>
        <v/>
      </c>
      <c r="L189" s="3" t="n">
        <v>17280</v>
      </c>
    </row>
    <row r="190">
      <c r="A190" t="inlineStr">
        <is>
          <t>TA-2024-00097</t>
        </is>
      </c>
      <c r="B190" t="inlineStr">
        <is>
          <t>U-BV231-01-11</t>
        </is>
      </c>
      <c r="C190" t="inlineStr">
        <is>
          <t>Ah Seng Aquarium &amp; Pets</t>
        </is>
      </c>
      <c r="D190" t="inlineStr">
        <is>
          <t>Pet Shop</t>
        </is>
      </c>
      <c r="E190" s="2" t="n">
        <v>45323</v>
      </c>
      <c r="F190" s="2" t="n">
        <v>46418</v>
      </c>
      <c r="G190" s="3" t="n">
        <v>2570</v>
      </c>
      <c r="H190">
        <f>VLOOKUP(B190,Units!$A$2:$G$1646,2,FALSE)</f>
        <v/>
      </c>
      <c r="I190">
        <f>VLOOKUP(B190,Units!$A$2:$G$1646,5,FALSE)</f>
        <v/>
      </c>
      <c r="J190" s="3">
        <f>G190/I190</f>
        <v/>
      </c>
      <c r="K190" s="3">
        <f>G190*12</f>
        <v/>
      </c>
      <c r="L190" s="3" t="n">
        <v>7710</v>
      </c>
    </row>
    <row r="191">
      <c r="A191" t="inlineStr">
        <is>
          <t>TA-2024-00099</t>
        </is>
      </c>
      <c r="B191" t="inlineStr">
        <is>
          <t>U-BV256-01-14</t>
        </is>
      </c>
      <c r="C191" t="inlineStr">
        <is>
          <t>Thye Hin Bakery</t>
        </is>
      </c>
      <c r="D191" t="inlineStr">
        <is>
          <t>Bakery &amp; Confectionery</t>
        </is>
      </c>
      <c r="E191" s="2" t="n">
        <v>45323</v>
      </c>
      <c r="F191" s="2" t="n">
        <v>46418</v>
      </c>
      <c r="G191" s="3" t="n">
        <v>6820</v>
      </c>
      <c r="H191">
        <f>VLOOKUP(B191,Units!$A$2:$G$1646,2,FALSE)</f>
        <v/>
      </c>
      <c r="I191">
        <f>VLOOKUP(B191,Units!$A$2:$G$1646,5,FALSE)</f>
        <v/>
      </c>
      <c r="J191" s="3">
        <f>G191/I191</f>
        <v/>
      </c>
      <c r="K191" s="3">
        <f>G191*12</f>
        <v/>
      </c>
      <c r="L191" s="3" t="n">
        <v>20460</v>
      </c>
    </row>
    <row r="192">
      <c r="A192" t="inlineStr">
        <is>
          <t>TA-2024-00100</t>
        </is>
      </c>
      <c r="B192" t="inlineStr">
        <is>
          <t>U-BV288-01-03</t>
        </is>
      </c>
      <c r="C192" t="inlineStr">
        <is>
          <t>Rainbow Eating Place Pte Ltd</t>
        </is>
      </c>
      <c r="D192" t="inlineStr">
        <is>
          <t>Restaurant</t>
        </is>
      </c>
      <c r="E192" s="2" t="n">
        <v>45323</v>
      </c>
      <c r="F192" s="2" t="n">
        <v>46418</v>
      </c>
      <c r="G192" s="3" t="n">
        <v>3320</v>
      </c>
      <c r="H192">
        <f>VLOOKUP(B192,Units!$A$2:$G$1646,2,FALSE)</f>
        <v/>
      </c>
      <c r="I192">
        <f>VLOOKUP(B192,Units!$A$2:$G$1646,5,FALSE)</f>
        <v/>
      </c>
      <c r="J192" s="3">
        <f>G192/I192</f>
        <v/>
      </c>
      <c r="K192" s="3">
        <f>G192*12</f>
        <v/>
      </c>
      <c r="L192" s="3" t="n">
        <v>9960</v>
      </c>
    </row>
    <row r="193">
      <c r="A193" t="inlineStr">
        <is>
          <t>TA-2024-00101</t>
        </is>
      </c>
      <c r="B193" t="inlineStr">
        <is>
          <t>U-CD105-01-05</t>
        </is>
      </c>
      <c r="C193" t="inlineStr">
        <is>
          <t>Orchid Eating Place Pte Ltd</t>
        </is>
      </c>
      <c r="D193" t="inlineStr">
        <is>
          <t>Restaurant</t>
        </is>
      </c>
      <c r="E193" s="2" t="n">
        <v>45323</v>
      </c>
      <c r="F193" s="2" t="n">
        <v>46418</v>
      </c>
      <c r="G193" s="3" t="n">
        <v>4810</v>
      </c>
      <c r="H193">
        <f>VLOOKUP(B193,Units!$A$2:$G$1646,2,FALSE)</f>
        <v/>
      </c>
      <c r="I193">
        <f>VLOOKUP(B193,Units!$A$2:$G$1646,5,FALSE)</f>
        <v/>
      </c>
      <c r="J193" s="3">
        <f>G193/I193</f>
        <v/>
      </c>
      <c r="K193" s="3">
        <f>G193*12</f>
        <v/>
      </c>
      <c r="L193" s="3" t="n">
        <v>14430</v>
      </c>
    </row>
    <row r="194">
      <c r="A194" t="inlineStr">
        <is>
          <t>TA-2024-00102</t>
        </is>
      </c>
      <c r="B194" t="inlineStr">
        <is>
          <t>U-CD133-01-01</t>
        </is>
      </c>
      <c r="C194" t="inlineStr">
        <is>
          <t>Kumar Hardware</t>
        </is>
      </c>
      <c r="D194" t="inlineStr">
        <is>
          <t>Hardware</t>
        </is>
      </c>
      <c r="E194" s="2" t="n">
        <v>45323</v>
      </c>
      <c r="F194" s="2" t="n">
        <v>46418</v>
      </c>
      <c r="G194" s="3" t="n">
        <v>4510</v>
      </c>
      <c r="H194">
        <f>VLOOKUP(B194,Units!$A$2:$G$1646,2,FALSE)</f>
        <v/>
      </c>
      <c r="I194">
        <f>VLOOKUP(B194,Units!$A$2:$G$1646,5,FALSE)</f>
        <v/>
      </c>
      <c r="J194" s="3">
        <f>G194/I194</f>
        <v/>
      </c>
      <c r="K194" s="3">
        <f>G194*12</f>
        <v/>
      </c>
      <c r="L194" s="3" t="n">
        <v>13530</v>
      </c>
    </row>
    <row r="195">
      <c r="A195" t="inlineStr">
        <is>
          <t>TA-2024-00104</t>
        </is>
      </c>
      <c r="B195" t="inlineStr">
        <is>
          <t>U-CD136-01-09</t>
        </is>
      </c>
      <c r="C195" t="inlineStr">
        <is>
          <t>Thye Hin Snacks Pte Ltd</t>
        </is>
      </c>
      <c r="D195" t="inlineStr">
        <is>
          <t>Snack Kiosk</t>
        </is>
      </c>
      <c r="E195" s="2" t="n">
        <v>45323</v>
      </c>
      <c r="F195" s="2" t="n">
        <v>46418</v>
      </c>
      <c r="G195" s="3" t="n">
        <v>1210</v>
      </c>
      <c r="H195">
        <f>VLOOKUP(B195,Units!$A$2:$G$1646,2,FALSE)</f>
        <v/>
      </c>
      <c r="I195">
        <f>VLOOKUP(B195,Units!$A$2:$G$1646,5,FALSE)</f>
        <v/>
      </c>
      <c r="J195" s="3">
        <f>G195/I195</f>
        <v/>
      </c>
      <c r="K195" s="3">
        <f>G195*12</f>
        <v/>
      </c>
      <c r="L195" s="3" t="n">
        <v>3630</v>
      </c>
    </row>
    <row r="196">
      <c r="A196" t="inlineStr">
        <is>
          <t>TA-2024-00106</t>
        </is>
      </c>
      <c r="B196" t="inlineStr">
        <is>
          <t>U-CD142-01-12</t>
        </is>
      </c>
      <c r="C196" t="inlineStr">
        <is>
          <t>Siva Supermarket Pte Ltd</t>
        </is>
      </c>
      <c r="D196" t="inlineStr">
        <is>
          <t>Minimart</t>
        </is>
      </c>
      <c r="E196" s="2" t="n">
        <v>45323</v>
      </c>
      <c r="F196" s="2" t="n">
        <v>46418</v>
      </c>
      <c r="G196" s="3" t="n">
        <v>6370</v>
      </c>
      <c r="H196">
        <f>VLOOKUP(B196,Units!$A$2:$G$1646,2,FALSE)</f>
        <v/>
      </c>
      <c r="I196">
        <f>VLOOKUP(B196,Units!$A$2:$G$1646,5,FALSE)</f>
        <v/>
      </c>
      <c r="J196" s="3">
        <f>G196/I196</f>
        <v/>
      </c>
      <c r="K196" s="3">
        <f>G196*12</f>
        <v/>
      </c>
      <c r="L196" s="3" t="n">
        <v>19110</v>
      </c>
    </row>
    <row r="197">
      <c r="A197" t="inlineStr">
        <is>
          <t>TA-2024-00107</t>
        </is>
      </c>
      <c r="B197" t="inlineStr">
        <is>
          <t>U-CD152-01-13</t>
        </is>
      </c>
      <c r="C197" t="inlineStr">
        <is>
          <t>Mutiara Tuition Centre</t>
        </is>
      </c>
      <c r="D197" t="inlineStr">
        <is>
          <t>Tuition Centre</t>
        </is>
      </c>
      <c r="E197" s="2" t="n">
        <v>45323</v>
      </c>
      <c r="F197" s="2" t="n">
        <v>46418</v>
      </c>
      <c r="G197" s="3" t="n">
        <v>5190</v>
      </c>
      <c r="H197">
        <f>VLOOKUP(B197,Units!$A$2:$G$1646,2,FALSE)</f>
        <v/>
      </c>
      <c r="I197">
        <f>VLOOKUP(B197,Units!$A$2:$G$1646,5,FALSE)</f>
        <v/>
      </c>
      <c r="J197" s="3">
        <f>G197/I197</f>
        <v/>
      </c>
      <c r="K197" s="3">
        <f>G197*12</f>
        <v/>
      </c>
      <c r="L197" s="3" t="n">
        <v>15570</v>
      </c>
    </row>
    <row r="198">
      <c r="A198" t="inlineStr">
        <is>
          <t>TA-2024-00108</t>
        </is>
      </c>
      <c r="B198" t="inlineStr">
        <is>
          <t>U-CD165-01-07</t>
        </is>
      </c>
      <c r="C198" t="inlineStr">
        <is>
          <t>Treasure Hair Salon</t>
        </is>
      </c>
      <c r="D198" t="inlineStr">
        <is>
          <t>Hair Salon</t>
        </is>
      </c>
      <c r="E198" s="2" t="n">
        <v>45323</v>
      </c>
      <c r="F198" s="2" t="n">
        <v>46418</v>
      </c>
      <c r="G198" s="3" t="n">
        <v>5650</v>
      </c>
      <c r="H198">
        <f>VLOOKUP(B198,Units!$A$2:$G$1646,2,FALSE)</f>
        <v/>
      </c>
      <c r="I198">
        <f>VLOOKUP(B198,Units!$A$2:$G$1646,5,FALSE)</f>
        <v/>
      </c>
      <c r="J198" s="3">
        <f>G198/I198</f>
        <v/>
      </c>
      <c r="K198" s="3">
        <f>G198*12</f>
        <v/>
      </c>
      <c r="L198" s="3" t="n">
        <v>16950</v>
      </c>
    </row>
    <row r="199">
      <c r="A199" t="inlineStr">
        <is>
          <t>TA-2024-00109</t>
        </is>
      </c>
      <c r="B199" t="inlineStr">
        <is>
          <t>U-CD174-01-07</t>
        </is>
      </c>
      <c r="C199" t="inlineStr">
        <is>
          <t>PrimeValue Mart Pte Ltd</t>
        </is>
      </c>
      <c r="D199" t="inlineStr">
        <is>
          <t>Minimart</t>
        </is>
      </c>
      <c r="E199" s="2" t="n">
        <v>45323</v>
      </c>
      <c r="F199" s="2" t="n">
        <v>46418</v>
      </c>
      <c r="G199" s="3" t="n">
        <v>2440</v>
      </c>
      <c r="H199">
        <f>VLOOKUP(B199,Units!$A$2:$G$1646,2,FALSE)</f>
        <v/>
      </c>
      <c r="I199">
        <f>VLOOKUP(B199,Units!$A$2:$G$1646,5,FALSE)</f>
        <v/>
      </c>
      <c r="J199" s="3">
        <f>G199/I199</f>
        <v/>
      </c>
      <c r="K199" s="3">
        <f>G199*12</f>
        <v/>
      </c>
      <c r="L199" s="3" t="n">
        <v>7320</v>
      </c>
    </row>
    <row r="200">
      <c r="A200" t="inlineStr">
        <is>
          <t>TA-2024-00110</t>
        </is>
      </c>
      <c r="B200" t="inlineStr">
        <is>
          <t>U-CD181-01-06</t>
        </is>
      </c>
      <c r="C200" t="inlineStr">
        <is>
          <t>Sejahtera Beauty &amp; Hair</t>
        </is>
      </c>
      <c r="D200" t="inlineStr">
        <is>
          <t>Hair Salon</t>
        </is>
      </c>
      <c r="E200" s="2" t="n">
        <v>45323</v>
      </c>
      <c r="F200" s="2" t="n">
        <v>46418</v>
      </c>
      <c r="G200" s="3" t="n">
        <v>6250</v>
      </c>
      <c r="H200">
        <f>VLOOKUP(B200,Units!$A$2:$G$1646,2,FALSE)</f>
        <v/>
      </c>
      <c r="I200">
        <f>VLOOKUP(B200,Units!$A$2:$G$1646,5,FALSE)</f>
        <v/>
      </c>
      <c r="J200" s="3">
        <f>G200/I200</f>
        <v/>
      </c>
      <c r="K200" s="3">
        <f>G200*12</f>
        <v/>
      </c>
      <c r="L200" s="3" t="n">
        <v>18750</v>
      </c>
    </row>
    <row r="201">
      <c r="A201" t="inlineStr">
        <is>
          <t>TA-2024-00111</t>
        </is>
      </c>
      <c r="B201" t="inlineStr">
        <is>
          <t>U-CD194-01-03</t>
        </is>
      </c>
      <c r="C201" t="inlineStr">
        <is>
          <t>Nur Family Clinic</t>
        </is>
      </c>
      <c r="D201" t="inlineStr">
        <is>
          <t>GP Clinic</t>
        </is>
      </c>
      <c r="E201" s="2" t="n">
        <v>45323</v>
      </c>
      <c r="F201" s="2" t="n">
        <v>46418</v>
      </c>
      <c r="G201" s="3" t="n">
        <v>3470</v>
      </c>
      <c r="H201">
        <f>VLOOKUP(B201,Units!$A$2:$G$1646,2,FALSE)</f>
        <v/>
      </c>
      <c r="I201">
        <f>VLOOKUP(B201,Units!$A$2:$G$1646,5,FALSE)</f>
        <v/>
      </c>
      <c r="J201" s="3">
        <f>G201/I201</f>
        <v/>
      </c>
      <c r="K201" s="3">
        <f>G201*12</f>
        <v/>
      </c>
      <c r="L201" s="3" t="n">
        <v>10410</v>
      </c>
    </row>
    <row r="202">
      <c r="A202" t="inlineStr">
        <is>
          <t>TA-2024-00113</t>
        </is>
      </c>
      <c r="B202" t="inlineStr">
        <is>
          <t>U-KR329-01-02</t>
        </is>
      </c>
      <c r="C202" t="inlineStr">
        <is>
          <t>Barakah Pharmacy Pte Ltd</t>
        </is>
      </c>
      <c r="D202" t="inlineStr">
        <is>
          <t>Pharmacy</t>
        </is>
      </c>
      <c r="E202" s="2" t="n">
        <v>45323</v>
      </c>
      <c r="F202" s="2" t="n">
        <v>46418</v>
      </c>
      <c r="G202" s="3" t="n">
        <v>3450</v>
      </c>
      <c r="H202">
        <f>VLOOKUP(B202,Units!$A$2:$G$1646,2,FALSE)</f>
        <v/>
      </c>
      <c r="I202">
        <f>VLOOKUP(B202,Units!$A$2:$G$1646,5,FALSE)</f>
        <v/>
      </c>
      <c r="J202" s="3">
        <f>G202/I202</f>
        <v/>
      </c>
      <c r="K202" s="3">
        <f>G202*12</f>
        <v/>
      </c>
      <c r="L202" s="3" t="n">
        <v>10350</v>
      </c>
    </row>
    <row r="203">
      <c r="A203" t="inlineStr">
        <is>
          <t>TA-2024-00114</t>
        </is>
      </c>
      <c r="B203" t="inlineStr">
        <is>
          <t>U-KR333-01-01</t>
        </is>
      </c>
      <c r="C203" t="inlineStr">
        <is>
          <t>Murugan Remittance Pte Ltd</t>
        </is>
      </c>
      <c r="D203" t="inlineStr">
        <is>
          <t>Remittance &amp; Money Changer</t>
        </is>
      </c>
      <c r="E203" s="2" t="n">
        <v>45323</v>
      </c>
      <c r="F203" s="2" t="n">
        <v>46418</v>
      </c>
      <c r="G203" s="3" t="n">
        <v>2070</v>
      </c>
      <c r="H203">
        <f>VLOOKUP(B203,Units!$A$2:$G$1646,2,FALSE)</f>
        <v/>
      </c>
      <c r="I203">
        <f>VLOOKUP(B203,Units!$A$2:$G$1646,5,FALSE)</f>
        <v/>
      </c>
      <c r="J203" s="3">
        <f>G203/I203</f>
        <v/>
      </c>
      <c r="K203" s="3">
        <f>G203*12</f>
        <v/>
      </c>
      <c r="L203" s="3" t="n">
        <v>6210</v>
      </c>
    </row>
    <row r="204">
      <c r="A204" t="inlineStr">
        <is>
          <t>TA-2024-00115</t>
        </is>
      </c>
      <c r="B204" t="inlineStr">
        <is>
          <t>U-KR335-01-07</t>
        </is>
      </c>
      <c r="C204" t="inlineStr">
        <is>
          <t>Teck Guan Fruit Trading</t>
        </is>
      </c>
      <c r="D204" t="inlineStr">
        <is>
          <t>Fruit Shop</t>
        </is>
      </c>
      <c r="E204" s="2" t="n">
        <v>45323</v>
      </c>
      <c r="F204" s="2" t="n">
        <v>46418</v>
      </c>
      <c r="G204" s="3" t="n">
        <v>2570</v>
      </c>
      <c r="H204">
        <f>VLOOKUP(B204,Units!$A$2:$G$1646,2,FALSE)</f>
        <v/>
      </c>
      <c r="I204">
        <f>VLOOKUP(B204,Units!$A$2:$G$1646,5,FALSE)</f>
        <v/>
      </c>
      <c r="J204" s="3">
        <f>G204/I204</f>
        <v/>
      </c>
      <c r="K204" s="3">
        <f>G204*12</f>
        <v/>
      </c>
      <c r="L204" s="3" t="n">
        <v>7710</v>
      </c>
    </row>
    <row r="205">
      <c r="A205" t="inlineStr">
        <is>
          <t>TA-2024-00116</t>
        </is>
      </c>
      <c r="B205" t="inlineStr">
        <is>
          <t>U-KR349-01-04</t>
        </is>
      </c>
      <c r="C205" t="inlineStr">
        <is>
          <t>Everbright Medical Supplies</t>
        </is>
      </c>
      <c r="D205" t="inlineStr">
        <is>
          <t>Pharmacy</t>
        </is>
      </c>
      <c r="E205" s="2" t="n">
        <v>45323</v>
      </c>
      <c r="F205" s="2" t="n">
        <v>46418</v>
      </c>
      <c r="G205" s="3" t="n">
        <v>5110</v>
      </c>
      <c r="H205">
        <f>VLOOKUP(B205,Units!$A$2:$G$1646,2,FALSE)</f>
        <v/>
      </c>
      <c r="I205">
        <f>VLOOKUP(B205,Units!$A$2:$G$1646,5,FALSE)</f>
        <v/>
      </c>
      <c r="J205" s="3">
        <f>G205/I205</f>
        <v/>
      </c>
      <c r="K205" s="3">
        <f>G205*12</f>
        <v/>
      </c>
      <c r="L205" s="3" t="n">
        <v>15330</v>
      </c>
    </row>
    <row r="206">
      <c r="A206" t="inlineStr">
        <is>
          <t>TA-2024-00117</t>
        </is>
      </c>
      <c r="B206" t="inlineStr">
        <is>
          <t>U-KR353-01-05</t>
        </is>
      </c>
      <c r="C206" t="inlineStr">
        <is>
          <t>Lucky Star Telecom Pte Ltd</t>
        </is>
      </c>
      <c r="D206" t="inlineStr">
        <is>
          <t>Mobile Phone &amp; Accessories</t>
        </is>
      </c>
      <c r="E206" s="2" t="n">
        <v>45323</v>
      </c>
      <c r="F206" s="2" t="n">
        <v>46418</v>
      </c>
      <c r="G206" s="3" t="n">
        <v>1240</v>
      </c>
      <c r="H206">
        <f>VLOOKUP(B206,Units!$A$2:$G$1646,2,FALSE)</f>
        <v/>
      </c>
      <c r="I206">
        <f>VLOOKUP(B206,Units!$A$2:$G$1646,5,FALSE)</f>
        <v/>
      </c>
      <c r="J206" s="3">
        <f>G206/I206</f>
        <v/>
      </c>
      <c r="K206" s="3">
        <f>G206*12</f>
        <v/>
      </c>
      <c r="L206" s="3" t="n">
        <v>3720</v>
      </c>
    </row>
    <row r="207">
      <c r="A207" t="inlineStr">
        <is>
          <t>TA-2024-00119</t>
        </is>
      </c>
      <c r="B207" t="inlineStr">
        <is>
          <t>U-PI605-01-01</t>
        </is>
      </c>
      <c r="C207" t="inlineStr">
        <is>
          <t>Smart Kids Trading</t>
        </is>
      </c>
      <c r="D207" t="inlineStr">
        <is>
          <t>Provision Shop</t>
        </is>
      </c>
      <c r="E207" s="2" t="n">
        <v>45323</v>
      </c>
      <c r="F207" s="2" t="n">
        <v>46418</v>
      </c>
      <c r="G207" s="3" t="n">
        <v>2710</v>
      </c>
      <c r="H207">
        <f>VLOOKUP(B207,Units!$A$2:$G$1646,2,FALSE)</f>
        <v/>
      </c>
      <c r="I207">
        <f>VLOOKUP(B207,Units!$A$2:$G$1646,5,FALSE)</f>
        <v/>
      </c>
      <c r="J207" s="3">
        <f>G207/I207</f>
        <v/>
      </c>
      <c r="K207" s="3">
        <f>G207*12</f>
        <v/>
      </c>
      <c r="L207" s="3" t="n">
        <v>8130</v>
      </c>
    </row>
    <row r="208">
      <c r="A208" t="inlineStr">
        <is>
          <t>TA-2024-00120</t>
        </is>
      </c>
      <c r="B208" t="inlineStr">
        <is>
          <t>U-PI627-01-11</t>
        </is>
      </c>
      <c r="C208" t="inlineStr">
        <is>
          <t>Teck Guan Bubble Tea</t>
        </is>
      </c>
      <c r="D208" t="inlineStr">
        <is>
          <t>Bubble Tea</t>
        </is>
      </c>
      <c r="E208" s="2" t="n">
        <v>45323</v>
      </c>
      <c r="F208" s="2" t="n">
        <v>46418</v>
      </c>
      <c r="G208" s="3" t="n">
        <v>5290</v>
      </c>
      <c r="H208">
        <f>VLOOKUP(B208,Units!$A$2:$G$1646,2,FALSE)</f>
        <v/>
      </c>
      <c r="I208">
        <f>VLOOKUP(B208,Units!$A$2:$G$1646,5,FALSE)</f>
        <v/>
      </c>
      <c r="J208" s="3">
        <f>G208/I208</f>
        <v/>
      </c>
      <c r="K208" s="3">
        <f>G208*12</f>
        <v/>
      </c>
      <c r="L208" s="3" t="n">
        <v>15870</v>
      </c>
    </row>
    <row r="209">
      <c r="A209" t="inlineStr">
        <is>
          <t>TA-2024-00122</t>
        </is>
      </c>
      <c r="B209" t="inlineStr">
        <is>
          <t>U-PI634-01-06</t>
        </is>
      </c>
      <c r="C209" t="inlineStr">
        <is>
          <t>Sejahtera Tea House</t>
        </is>
      </c>
      <c r="D209" t="inlineStr">
        <is>
          <t>Bubble Tea</t>
        </is>
      </c>
      <c r="E209" s="2" t="n">
        <v>45323</v>
      </c>
      <c r="F209" s="2" t="n">
        <v>46418</v>
      </c>
      <c r="G209" s="3" t="n">
        <v>4060</v>
      </c>
      <c r="H209">
        <f>VLOOKUP(B209,Units!$A$2:$G$1646,2,FALSE)</f>
        <v/>
      </c>
      <c r="I209">
        <f>VLOOKUP(B209,Units!$A$2:$G$1646,5,FALSE)</f>
        <v/>
      </c>
      <c r="J209" s="3">
        <f>G209/I209</f>
        <v/>
      </c>
      <c r="K209" s="3">
        <f>G209*12</f>
        <v/>
      </c>
      <c r="L209" s="3" t="n">
        <v>12180</v>
      </c>
    </row>
    <row r="210">
      <c r="A210" t="inlineStr">
        <is>
          <t>TA-2024-00123</t>
        </is>
      </c>
      <c r="B210" t="inlineStr">
        <is>
          <t>U-PI634-02-04</t>
        </is>
      </c>
      <c r="C210" t="inlineStr">
        <is>
          <t>New Life Tuition Centre Pte Ltd</t>
        </is>
      </c>
      <c r="D210" t="inlineStr">
        <is>
          <t>Tuition Centre</t>
        </is>
      </c>
      <c r="E210" s="2" t="n">
        <v>45323</v>
      </c>
      <c r="F210" s="2" t="n">
        <v>46418</v>
      </c>
      <c r="G210" s="3" t="n">
        <v>2770</v>
      </c>
      <c r="H210">
        <f>VLOOKUP(B210,Units!$A$2:$G$1646,2,FALSE)</f>
        <v/>
      </c>
      <c r="I210">
        <f>VLOOKUP(B210,Units!$A$2:$G$1646,5,FALSE)</f>
        <v/>
      </c>
      <c r="J210" s="3">
        <f>G210/I210</f>
        <v/>
      </c>
      <c r="K210" s="3">
        <f>G210*12</f>
        <v/>
      </c>
      <c r="L210" s="3" t="n">
        <v>8310</v>
      </c>
    </row>
    <row r="211">
      <c r="A211" t="inlineStr">
        <is>
          <t>TA-2024-00125</t>
        </is>
      </c>
      <c r="B211" t="inlineStr">
        <is>
          <t>U-PI644-01-11</t>
        </is>
      </c>
      <c r="C211" t="inlineStr">
        <is>
          <t>Mei Ling Mobile Pte Ltd</t>
        </is>
      </c>
      <c r="D211" t="inlineStr">
        <is>
          <t>Mobile Phone &amp; Accessories</t>
        </is>
      </c>
      <c r="E211" s="2" t="n">
        <v>45323</v>
      </c>
      <c r="F211" s="2" t="n">
        <v>46418</v>
      </c>
      <c r="G211" s="3" t="n">
        <v>2620</v>
      </c>
      <c r="H211">
        <f>VLOOKUP(B211,Units!$A$2:$G$1646,2,FALSE)</f>
        <v/>
      </c>
      <c r="I211">
        <f>VLOOKUP(B211,Units!$A$2:$G$1646,5,FALSE)</f>
        <v/>
      </c>
      <c r="J211" s="3">
        <f>G211/I211</f>
        <v/>
      </c>
      <c r="K211" s="3">
        <f>G211*12</f>
        <v/>
      </c>
      <c r="L211" s="3" t="n">
        <v>7860</v>
      </c>
    </row>
    <row r="212">
      <c r="A212" t="inlineStr">
        <is>
          <t>TA-2024-00127</t>
        </is>
      </c>
      <c r="B212" t="inlineStr">
        <is>
          <t>U-PI646-01-07</t>
        </is>
      </c>
      <c r="C212" t="inlineStr">
        <is>
          <t>Jade Garden Snacks</t>
        </is>
      </c>
      <c r="D212" t="inlineStr">
        <is>
          <t>Snack Kiosk</t>
        </is>
      </c>
      <c r="E212" s="2" t="n">
        <v>45323</v>
      </c>
      <c r="F212" s="2" t="n">
        <v>46418</v>
      </c>
      <c r="G212" s="3" t="n">
        <v>900</v>
      </c>
      <c r="H212">
        <f>VLOOKUP(B212,Units!$A$2:$G$1646,2,FALSE)</f>
        <v/>
      </c>
      <c r="I212">
        <f>VLOOKUP(B212,Units!$A$2:$G$1646,5,FALSE)</f>
        <v/>
      </c>
      <c r="J212" s="3">
        <f>G212/I212</f>
        <v/>
      </c>
      <c r="K212" s="3">
        <f>G212*12</f>
        <v/>
      </c>
      <c r="L212" s="3" t="n">
        <v>2700</v>
      </c>
    </row>
    <row r="213">
      <c r="A213" t="inlineStr">
        <is>
          <t>TA-2024-00129</t>
        </is>
      </c>
      <c r="B213" t="inlineStr">
        <is>
          <t>U-PI648-02-04</t>
        </is>
      </c>
      <c r="C213" t="inlineStr">
        <is>
          <t>Siva Medical Hall</t>
        </is>
      </c>
      <c r="D213" t="inlineStr">
        <is>
          <t>TCM Clinic</t>
        </is>
      </c>
      <c r="E213" s="2" t="n">
        <v>45323</v>
      </c>
      <c r="F213" s="2" t="n">
        <v>46418</v>
      </c>
      <c r="G213" s="3" t="n">
        <v>2490</v>
      </c>
      <c r="H213">
        <f>VLOOKUP(B213,Units!$A$2:$G$1646,2,FALSE)</f>
        <v/>
      </c>
      <c r="I213">
        <f>VLOOKUP(B213,Units!$A$2:$G$1646,5,FALSE)</f>
        <v/>
      </c>
      <c r="J213" s="3">
        <f>G213/I213</f>
        <v/>
      </c>
      <c r="K213" s="3">
        <f>G213*12</f>
        <v/>
      </c>
      <c r="L213" s="3" t="n">
        <v>7470</v>
      </c>
    </row>
    <row r="214">
      <c r="A214" t="inlineStr">
        <is>
          <t>TA-2024-00131</t>
        </is>
      </c>
      <c r="B214" t="inlineStr">
        <is>
          <t>U-PI657-01-08</t>
        </is>
      </c>
      <c r="C214" t="inlineStr">
        <is>
          <t>Ah Seng Florist</t>
        </is>
      </c>
      <c r="D214" t="inlineStr">
        <is>
          <t>Florist</t>
        </is>
      </c>
      <c r="E214" s="2" t="n">
        <v>45323</v>
      </c>
      <c r="F214" s="2" t="n">
        <v>46418</v>
      </c>
      <c r="G214" s="3" t="n">
        <v>3940</v>
      </c>
      <c r="H214">
        <f>VLOOKUP(B214,Units!$A$2:$G$1646,2,FALSE)</f>
        <v/>
      </c>
      <c r="I214">
        <f>VLOOKUP(B214,Units!$A$2:$G$1646,5,FALSE)</f>
        <v/>
      </c>
      <c r="J214" s="3">
        <f>G214/I214</f>
        <v/>
      </c>
      <c r="K214" s="3">
        <f>G214*12</f>
        <v/>
      </c>
      <c r="L214" s="3" t="n">
        <v>11820</v>
      </c>
    </row>
    <row r="215">
      <c r="A215" t="inlineStr">
        <is>
          <t>TA-2024-00132</t>
        </is>
      </c>
      <c r="B215" t="inlineStr">
        <is>
          <t>U-PI667-01-14</t>
        </is>
      </c>
      <c r="C215" t="inlineStr">
        <is>
          <t>Orchid Minimart</t>
        </is>
      </c>
      <c r="D215" t="inlineStr">
        <is>
          <t>Minimart</t>
        </is>
      </c>
      <c r="E215" s="2" t="n">
        <v>45323</v>
      </c>
      <c r="F215" s="2" t="n">
        <v>46418</v>
      </c>
      <c r="G215" s="3" t="n">
        <v>2320</v>
      </c>
      <c r="H215">
        <f>VLOOKUP(B215,Units!$A$2:$G$1646,2,FALSE)</f>
        <v/>
      </c>
      <c r="I215">
        <f>VLOOKUP(B215,Units!$A$2:$G$1646,5,FALSE)</f>
        <v/>
      </c>
      <c r="J215" s="3">
        <f>G215/I215</f>
        <v/>
      </c>
      <c r="K215" s="3">
        <f>G215*12</f>
        <v/>
      </c>
      <c r="L215" s="3" t="n">
        <v>6960</v>
      </c>
    </row>
    <row r="216">
      <c r="A216" t="inlineStr">
        <is>
          <t>TA-2024-00133</t>
        </is>
      </c>
      <c r="B216" t="inlineStr">
        <is>
          <t>U-RH437-01-11</t>
        </is>
      </c>
      <c r="C216" t="inlineStr">
        <is>
          <t>New Life Laundry Pte Ltd</t>
        </is>
      </c>
      <c r="D216" t="inlineStr">
        <is>
          <t>Laundry</t>
        </is>
      </c>
      <c r="E216" s="2" t="n">
        <v>45323</v>
      </c>
      <c r="F216" s="2" t="n">
        <v>46418</v>
      </c>
      <c r="G216" s="3" t="n">
        <v>3480</v>
      </c>
      <c r="H216">
        <f>VLOOKUP(B216,Units!$A$2:$G$1646,2,FALSE)</f>
        <v/>
      </c>
      <c r="I216">
        <f>VLOOKUP(B216,Units!$A$2:$G$1646,5,FALSE)</f>
        <v/>
      </c>
      <c r="J216" s="3">
        <f>G216/I216</f>
        <v/>
      </c>
      <c r="K216" s="3">
        <f>G216*12</f>
        <v/>
      </c>
      <c r="L216" s="3" t="n">
        <v>10440</v>
      </c>
    </row>
    <row r="217">
      <c r="A217" t="inlineStr">
        <is>
          <t>TA-2024-00134</t>
        </is>
      </c>
      <c r="B217" t="inlineStr">
        <is>
          <t>U-RH460-01-09</t>
        </is>
      </c>
      <c r="C217" t="inlineStr">
        <is>
          <t>Lotus Mart</t>
        </is>
      </c>
      <c r="D217" t="inlineStr">
        <is>
          <t>Minimart</t>
        </is>
      </c>
      <c r="E217" s="2" t="n">
        <v>45323</v>
      </c>
      <c r="F217" s="2" t="n">
        <v>46418</v>
      </c>
      <c r="G217" s="3" t="n">
        <v>2440</v>
      </c>
      <c r="H217">
        <f>VLOOKUP(B217,Units!$A$2:$G$1646,2,FALSE)</f>
        <v/>
      </c>
      <c r="I217">
        <f>VLOOKUP(B217,Units!$A$2:$G$1646,5,FALSE)</f>
        <v/>
      </c>
      <c r="J217" s="3">
        <f>G217/I217</f>
        <v/>
      </c>
      <c r="K217" s="3">
        <f>G217*12</f>
        <v/>
      </c>
      <c r="L217" s="3" t="n">
        <v>7320</v>
      </c>
    </row>
    <row r="218">
      <c r="A218" t="inlineStr">
        <is>
          <t>TA-2024-00135</t>
        </is>
      </c>
      <c r="B218" t="inlineStr">
        <is>
          <t>U-RH464-01-06</t>
        </is>
      </c>
      <c r="C218" t="inlineStr">
        <is>
          <t>New Life Kueh Corner</t>
        </is>
      </c>
      <c r="D218" t="inlineStr">
        <is>
          <t>Snack Kiosk</t>
        </is>
      </c>
      <c r="E218" s="2" t="n">
        <v>45323</v>
      </c>
      <c r="F218" s="2" t="n">
        <v>46418</v>
      </c>
      <c r="G218" s="3" t="n">
        <v>900</v>
      </c>
      <c r="H218">
        <f>VLOOKUP(B218,Units!$A$2:$G$1646,2,FALSE)</f>
        <v/>
      </c>
      <c r="I218">
        <f>VLOOKUP(B218,Units!$A$2:$G$1646,5,FALSE)</f>
        <v/>
      </c>
      <c r="J218" s="3">
        <f>G218/I218</f>
        <v/>
      </c>
      <c r="K218" s="3">
        <f>G218*12</f>
        <v/>
      </c>
      <c r="L218" s="3" t="n">
        <v>2700</v>
      </c>
    </row>
    <row r="219">
      <c r="A219" t="inlineStr">
        <is>
          <t>TA-2024-00137</t>
        </is>
      </c>
      <c r="B219" t="inlineStr">
        <is>
          <t>U-RH476-01-02</t>
        </is>
      </c>
      <c r="C219" t="inlineStr">
        <is>
          <t>Bright Path Bakery Pte Ltd</t>
        </is>
      </c>
      <c r="D219" t="inlineStr">
        <is>
          <t>Bakery &amp; Confectionery</t>
        </is>
      </c>
      <c r="E219" s="2" t="n">
        <v>45323</v>
      </c>
      <c r="F219" s="2" t="n">
        <v>46418</v>
      </c>
      <c r="G219" s="3" t="n">
        <v>3660</v>
      </c>
      <c r="H219">
        <f>VLOOKUP(B219,Units!$A$2:$G$1646,2,FALSE)</f>
        <v/>
      </c>
      <c r="I219">
        <f>VLOOKUP(B219,Units!$A$2:$G$1646,5,FALSE)</f>
        <v/>
      </c>
      <c r="J219" s="3">
        <f>G219/I219</f>
        <v/>
      </c>
      <c r="K219" s="3">
        <f>G219*12</f>
        <v/>
      </c>
      <c r="L219" s="3" t="n">
        <v>10980</v>
      </c>
    </row>
    <row r="220">
      <c r="A220" t="inlineStr">
        <is>
          <t>TA-2024-00138</t>
        </is>
      </c>
      <c r="B220" t="inlineStr">
        <is>
          <t>U-RH484-01-05</t>
        </is>
      </c>
      <c r="C220" t="inlineStr">
        <is>
          <t>Kian Huat Bubble Tea</t>
        </is>
      </c>
      <c r="D220" t="inlineStr">
        <is>
          <t>Bubble Tea</t>
        </is>
      </c>
      <c r="E220" s="2" t="n">
        <v>45323</v>
      </c>
      <c r="F220" s="2" t="n">
        <v>46418</v>
      </c>
      <c r="G220" s="3" t="n">
        <v>1180</v>
      </c>
      <c r="H220">
        <f>VLOOKUP(B220,Units!$A$2:$G$1646,2,FALSE)</f>
        <v/>
      </c>
      <c r="I220">
        <f>VLOOKUP(B220,Units!$A$2:$G$1646,5,FALSE)</f>
        <v/>
      </c>
      <c r="J220" s="3">
        <f>G220/I220</f>
        <v/>
      </c>
      <c r="K220" s="3">
        <f>G220*12</f>
        <v/>
      </c>
      <c r="L220" s="3" t="n">
        <v>3540</v>
      </c>
    </row>
    <row r="221">
      <c r="A221" t="inlineStr">
        <is>
          <t>TA-2024-00140</t>
        </is>
      </c>
      <c r="B221" t="inlineStr">
        <is>
          <t>U-ST506-01-04</t>
        </is>
      </c>
      <c r="C221" t="inlineStr">
        <is>
          <t>Rainbow Bubble Tea</t>
        </is>
      </c>
      <c r="D221" t="inlineStr">
        <is>
          <t>Bubble Tea</t>
        </is>
      </c>
      <c r="E221" s="2" t="n">
        <v>45323</v>
      </c>
      <c r="F221" s="2" t="n">
        <v>46418</v>
      </c>
      <c r="G221" s="3" t="n">
        <v>4380</v>
      </c>
      <c r="H221">
        <f>VLOOKUP(B221,Units!$A$2:$G$1646,2,FALSE)</f>
        <v/>
      </c>
      <c r="I221">
        <f>VLOOKUP(B221,Units!$A$2:$G$1646,5,FALSE)</f>
        <v/>
      </c>
      <c r="J221" s="3">
        <f>G221/I221</f>
        <v/>
      </c>
      <c r="K221" s="3">
        <f>G221*12</f>
        <v/>
      </c>
      <c r="L221" s="3" t="n">
        <v>13140</v>
      </c>
    </row>
    <row r="222">
      <c r="A222" t="inlineStr">
        <is>
          <t>TA-2024-00142</t>
        </is>
      </c>
      <c r="B222" t="inlineStr">
        <is>
          <t>U-ST507-01-01</t>
        </is>
      </c>
      <c r="C222" t="inlineStr">
        <is>
          <t>Suria Coffeeshop</t>
        </is>
      </c>
      <c r="D222" t="inlineStr">
        <is>
          <t>Coffeeshop</t>
        </is>
      </c>
      <c r="E222" s="2" t="n">
        <v>45323</v>
      </c>
      <c r="F222" s="2" t="n">
        <v>46418</v>
      </c>
      <c r="G222" s="3" t="n">
        <v>7070</v>
      </c>
      <c r="H222">
        <f>VLOOKUP(B222,Units!$A$2:$G$1646,2,FALSE)</f>
        <v/>
      </c>
      <c r="I222">
        <f>VLOOKUP(B222,Units!$A$2:$G$1646,5,FALSE)</f>
        <v/>
      </c>
      <c r="J222" s="3">
        <f>G222/I222</f>
        <v/>
      </c>
      <c r="K222" s="3">
        <f>G222*12</f>
        <v/>
      </c>
      <c r="L222" s="3" t="n">
        <v>21210</v>
      </c>
    </row>
    <row r="223">
      <c r="A223" t="inlineStr">
        <is>
          <t>TA-2024-00143</t>
        </is>
      </c>
      <c r="B223" t="inlineStr">
        <is>
          <t>U-ST512-01-07</t>
        </is>
      </c>
      <c r="C223" t="inlineStr">
        <is>
          <t>Lakshmi Eating Place</t>
        </is>
      </c>
      <c r="D223" t="inlineStr">
        <is>
          <t>Restaurant</t>
        </is>
      </c>
      <c r="E223" s="2" t="n">
        <v>45323</v>
      </c>
      <c r="F223" s="2" t="n">
        <v>46418</v>
      </c>
      <c r="G223" s="3" t="n">
        <v>4080</v>
      </c>
      <c r="H223">
        <f>VLOOKUP(B223,Units!$A$2:$G$1646,2,FALSE)</f>
        <v/>
      </c>
      <c r="I223">
        <f>VLOOKUP(B223,Units!$A$2:$G$1646,5,FALSE)</f>
        <v/>
      </c>
      <c r="J223" s="3">
        <f>G223/I223</f>
        <v/>
      </c>
      <c r="K223" s="3">
        <f>G223*12</f>
        <v/>
      </c>
      <c r="L223" s="3" t="n">
        <v>12240</v>
      </c>
    </row>
    <row r="224">
      <c r="A224" t="inlineStr">
        <is>
          <t>TA-2024-00145</t>
        </is>
      </c>
      <c r="B224" t="inlineStr">
        <is>
          <t>U-ST513-01-04</t>
        </is>
      </c>
      <c r="C224" t="inlineStr">
        <is>
          <t>Wisdom Provision Shop Pte Ltd</t>
        </is>
      </c>
      <c r="D224" t="inlineStr">
        <is>
          <t>Provision Shop</t>
        </is>
      </c>
      <c r="E224" s="2" t="n">
        <v>45323</v>
      </c>
      <c r="F224" s="2" t="n">
        <v>46418</v>
      </c>
      <c r="G224" s="3" t="n">
        <v>1980</v>
      </c>
      <c r="H224">
        <f>VLOOKUP(B224,Units!$A$2:$G$1646,2,FALSE)</f>
        <v/>
      </c>
      <c r="I224">
        <f>VLOOKUP(B224,Units!$A$2:$G$1646,5,FALSE)</f>
        <v/>
      </c>
      <c r="J224" s="3">
        <f>G224/I224</f>
        <v/>
      </c>
      <c r="K224" s="3">
        <f>G224*12</f>
        <v/>
      </c>
      <c r="L224" s="3" t="n">
        <v>5940</v>
      </c>
    </row>
    <row r="225">
      <c r="A225" t="inlineStr">
        <is>
          <t>TA-2024-00147</t>
        </is>
      </c>
      <c r="B225" t="inlineStr">
        <is>
          <t>U-ST535-01-03</t>
        </is>
      </c>
      <c r="C225" t="inlineStr">
        <is>
          <t>Mutiara Eating Place</t>
        </is>
      </c>
      <c r="D225" t="inlineStr">
        <is>
          <t>Restaurant</t>
        </is>
      </c>
      <c r="E225" s="2" t="n">
        <v>45323</v>
      </c>
      <c r="F225" s="2" t="n">
        <v>46418</v>
      </c>
      <c r="G225" s="3" t="n">
        <v>4740</v>
      </c>
      <c r="H225">
        <f>VLOOKUP(B225,Units!$A$2:$G$1646,2,FALSE)</f>
        <v/>
      </c>
      <c r="I225">
        <f>VLOOKUP(B225,Units!$A$2:$G$1646,5,FALSE)</f>
        <v/>
      </c>
      <c r="J225" s="3">
        <f>G225/I225</f>
        <v/>
      </c>
      <c r="K225" s="3">
        <f>G225*12</f>
        <v/>
      </c>
      <c r="L225" s="3" t="n">
        <v>14220</v>
      </c>
    </row>
    <row r="226">
      <c r="A226" t="inlineStr">
        <is>
          <t>TA-2024-00148</t>
        </is>
      </c>
      <c r="B226" t="inlineStr">
        <is>
          <t>U-ST536-02-01</t>
        </is>
      </c>
      <c r="C226" t="inlineStr">
        <is>
          <t>Sunflower Consultancy Pte Ltd</t>
        </is>
      </c>
      <c r="D226" t="inlineStr">
        <is>
          <t>Professional Services Office</t>
        </is>
      </c>
      <c r="E226" s="2" t="n">
        <v>45323</v>
      </c>
      <c r="F226" s="2" t="n">
        <v>46418</v>
      </c>
      <c r="G226" s="3" t="n">
        <v>1370</v>
      </c>
      <c r="H226">
        <f>VLOOKUP(B226,Units!$A$2:$G$1646,2,FALSE)</f>
        <v/>
      </c>
      <c r="I226">
        <f>VLOOKUP(B226,Units!$A$2:$G$1646,5,FALSE)</f>
        <v/>
      </c>
      <c r="J226" s="3">
        <f>G226/I226</f>
        <v/>
      </c>
      <c r="K226" s="3">
        <f>G226*12</f>
        <v/>
      </c>
      <c r="L226" s="3" t="n">
        <v>4110</v>
      </c>
    </row>
    <row r="227">
      <c r="A227" t="inlineStr">
        <is>
          <t>TA-2024-00150</t>
        </is>
      </c>
      <c r="B227" t="inlineStr">
        <is>
          <t>U-ST544-01-06</t>
        </is>
      </c>
      <c r="C227" t="inlineStr">
        <is>
          <t>Blue Pearl Provision Shop Pte Ltd</t>
        </is>
      </c>
      <c r="D227" t="inlineStr">
        <is>
          <t>Provision Shop</t>
        </is>
      </c>
      <c r="E227" s="2" t="n">
        <v>45323</v>
      </c>
      <c r="F227" s="2" t="n">
        <v>46418</v>
      </c>
      <c r="G227" s="3" t="n">
        <v>2970</v>
      </c>
      <c r="H227">
        <f>VLOOKUP(B227,Units!$A$2:$G$1646,2,FALSE)</f>
        <v/>
      </c>
      <c r="I227">
        <f>VLOOKUP(B227,Units!$A$2:$G$1646,5,FALSE)</f>
        <v/>
      </c>
      <c r="J227" s="3">
        <f>G227/I227</f>
        <v/>
      </c>
      <c r="K227" s="3">
        <f>G227*12</f>
        <v/>
      </c>
      <c r="L227" s="3" t="n">
        <v>8910</v>
      </c>
    </row>
    <row r="228">
      <c r="A228" t="inlineStr">
        <is>
          <t>TA-2024-00152</t>
        </is>
      </c>
      <c r="B228" t="inlineStr">
        <is>
          <t>U-ST545-01-07</t>
        </is>
      </c>
      <c r="C228" t="inlineStr">
        <is>
          <t>Amanah Medical Supplies</t>
        </is>
      </c>
      <c r="D228" t="inlineStr">
        <is>
          <t>Pharmacy</t>
        </is>
      </c>
      <c r="E228" s="2" t="n">
        <v>45323</v>
      </c>
      <c r="F228" s="2" t="n">
        <v>46418</v>
      </c>
      <c r="G228" s="3" t="n">
        <v>3640</v>
      </c>
      <c r="H228">
        <f>VLOOKUP(B228,Units!$A$2:$G$1646,2,FALSE)</f>
        <v/>
      </c>
      <c r="I228">
        <f>VLOOKUP(B228,Units!$A$2:$G$1646,5,FALSE)</f>
        <v/>
      </c>
      <c r="J228" s="3">
        <f>G228/I228</f>
        <v/>
      </c>
      <c r="K228" s="3">
        <f>G228*12</f>
        <v/>
      </c>
      <c r="L228" s="3" t="n">
        <v>10920</v>
      </c>
    </row>
    <row r="229">
      <c r="A229" t="inlineStr">
        <is>
          <t>TA-2024-00153</t>
        </is>
      </c>
      <c r="B229" t="inlineStr">
        <is>
          <t>U-ST589-01-02</t>
        </is>
      </c>
      <c r="C229" t="inlineStr">
        <is>
          <t>Joo Chiat Hair Salon Pte Ltd</t>
        </is>
      </c>
      <c r="D229" t="inlineStr">
        <is>
          <t>Hair Salon</t>
        </is>
      </c>
      <c r="E229" s="2" t="n">
        <v>45323</v>
      </c>
      <c r="F229" s="2" t="n">
        <v>46418</v>
      </c>
      <c r="G229" s="3" t="n">
        <v>2220</v>
      </c>
      <c r="H229">
        <f>VLOOKUP(B229,Units!$A$2:$G$1646,2,FALSE)</f>
        <v/>
      </c>
      <c r="I229">
        <f>VLOOKUP(B229,Units!$A$2:$G$1646,5,FALSE)</f>
        <v/>
      </c>
      <c r="J229" s="3">
        <f>G229/I229</f>
        <v/>
      </c>
      <c r="K229" s="3">
        <f>G229*12</f>
        <v/>
      </c>
      <c r="L229" s="3" t="n">
        <v>6660</v>
      </c>
    </row>
    <row r="230">
      <c r="A230" t="inlineStr">
        <is>
          <t>TA-2024-00155</t>
        </is>
      </c>
      <c r="B230" t="inlineStr">
        <is>
          <t>U-ST590-01-04</t>
        </is>
      </c>
      <c r="C230" t="inlineStr">
        <is>
          <t>Seri Murni Hair Salon</t>
        </is>
      </c>
      <c r="D230" t="inlineStr">
        <is>
          <t>Hair Salon</t>
        </is>
      </c>
      <c r="E230" s="2" t="n">
        <v>45323</v>
      </c>
      <c r="F230" s="2" t="n">
        <v>46418</v>
      </c>
      <c r="G230" s="3" t="n">
        <v>4010</v>
      </c>
      <c r="H230">
        <f>VLOOKUP(B230,Units!$A$2:$G$1646,2,FALSE)</f>
        <v/>
      </c>
      <c r="I230">
        <f>VLOOKUP(B230,Units!$A$2:$G$1646,5,FALSE)</f>
        <v/>
      </c>
      <c r="J230" s="3">
        <f>G230/I230</f>
        <v/>
      </c>
      <c r="K230" s="3">
        <f>G230*12</f>
        <v/>
      </c>
      <c r="L230" s="3" t="n">
        <v>12030</v>
      </c>
    </row>
    <row r="231">
      <c r="A231" t="inlineStr">
        <is>
          <t>TA-2024-00156</t>
        </is>
      </c>
      <c r="B231" t="inlineStr">
        <is>
          <t>U-ST593-01-07</t>
        </is>
      </c>
      <c r="C231" t="inlineStr">
        <is>
          <t>Lotus Learning Centre Pte Ltd</t>
        </is>
      </c>
      <c r="D231" t="inlineStr">
        <is>
          <t>Tuition Centre</t>
        </is>
      </c>
      <c r="E231" s="2" t="n">
        <v>45323</v>
      </c>
      <c r="F231" s="2" t="n">
        <v>46418</v>
      </c>
      <c r="G231" s="3" t="n">
        <v>2070</v>
      </c>
      <c r="H231">
        <f>VLOOKUP(B231,Units!$A$2:$G$1646,2,FALSE)</f>
        <v/>
      </c>
      <c r="I231">
        <f>VLOOKUP(B231,Units!$A$2:$G$1646,5,FALSE)</f>
        <v/>
      </c>
      <c r="J231" s="3">
        <f>G231/I231</f>
        <v/>
      </c>
      <c r="K231" s="3">
        <f>G231*12</f>
        <v/>
      </c>
      <c r="L231" s="3" t="n">
        <v>6210</v>
      </c>
    </row>
    <row r="232">
      <c r="A232" t="inlineStr">
        <is>
          <t>TA-2024-00157</t>
        </is>
      </c>
      <c r="B232" t="inlineStr">
        <is>
          <t>U-BV205-01-01</t>
        </is>
      </c>
      <c r="C232" t="inlineStr">
        <is>
          <t>Heng Ann Eating House</t>
        </is>
      </c>
      <c r="D232" t="inlineStr">
        <is>
          <t>Coffeeshop</t>
        </is>
      </c>
      <c r="E232" s="2" t="n">
        <v>45352</v>
      </c>
      <c r="F232" s="2" t="n">
        <v>46446</v>
      </c>
      <c r="G232" s="3" t="n">
        <v>14240</v>
      </c>
      <c r="H232">
        <f>VLOOKUP(B232,Units!$A$2:$G$1646,2,FALSE)</f>
        <v/>
      </c>
      <c r="I232">
        <f>VLOOKUP(B232,Units!$A$2:$G$1646,5,FALSE)</f>
        <v/>
      </c>
      <c r="J232" s="3">
        <f>G232/I232</f>
        <v/>
      </c>
      <c r="K232" s="3">
        <f>G232*12</f>
        <v/>
      </c>
      <c r="L232" s="3" t="n">
        <v>42720</v>
      </c>
    </row>
    <row r="233">
      <c r="A233" t="inlineStr">
        <is>
          <t>TA-2024-00159</t>
        </is>
      </c>
      <c r="B233" t="inlineStr">
        <is>
          <t>U-BV214-01-07</t>
        </is>
      </c>
      <c r="C233" t="inlineStr">
        <is>
          <t>Kim Hiap Trading</t>
        </is>
      </c>
      <c r="D233" t="inlineStr">
        <is>
          <t>Hardware</t>
        </is>
      </c>
      <c r="E233" s="2" t="n">
        <v>45352</v>
      </c>
      <c r="F233" s="2" t="n">
        <v>46446</v>
      </c>
      <c r="G233" s="3" t="n">
        <v>4100</v>
      </c>
      <c r="H233">
        <f>VLOOKUP(B233,Units!$A$2:$G$1646,2,FALSE)</f>
        <v/>
      </c>
      <c r="I233">
        <f>VLOOKUP(B233,Units!$A$2:$G$1646,5,FALSE)</f>
        <v/>
      </c>
      <c r="J233" s="3">
        <f>G233/I233</f>
        <v/>
      </c>
      <c r="K233" s="3">
        <f>G233*12</f>
        <v/>
      </c>
      <c r="L233" s="3" t="n">
        <v>12300</v>
      </c>
    </row>
    <row r="234">
      <c r="A234" t="inlineStr">
        <is>
          <t>TA-2024-00160</t>
        </is>
      </c>
      <c r="B234" t="inlineStr">
        <is>
          <t>U-BV216-01-03</t>
        </is>
      </c>
      <c r="C234" t="inlineStr">
        <is>
          <t>Fortune Bubble Tea</t>
        </is>
      </c>
      <c r="D234" t="inlineStr">
        <is>
          <t>Bubble Tea</t>
        </is>
      </c>
      <c r="E234" s="2" t="n">
        <v>45352</v>
      </c>
      <c r="F234" s="2" t="n">
        <v>46446</v>
      </c>
      <c r="G234" s="3" t="n">
        <v>4370</v>
      </c>
      <c r="H234">
        <f>VLOOKUP(B234,Units!$A$2:$G$1646,2,FALSE)</f>
        <v/>
      </c>
      <c r="I234">
        <f>VLOOKUP(B234,Units!$A$2:$G$1646,5,FALSE)</f>
        <v/>
      </c>
      <c r="J234" s="3">
        <f>G234/I234</f>
        <v/>
      </c>
      <c r="K234" s="3">
        <f>G234*12</f>
        <v/>
      </c>
      <c r="L234" s="3" t="n">
        <v>13110</v>
      </c>
    </row>
    <row r="235">
      <c r="A235" t="inlineStr">
        <is>
          <t>TA-2024-00162</t>
        </is>
      </c>
      <c r="B235" t="inlineStr">
        <is>
          <t>U-BV227-01-07</t>
        </is>
      </c>
      <c r="C235" t="inlineStr">
        <is>
          <t>Fresh Valley Dental Surgery</t>
        </is>
      </c>
      <c r="D235" t="inlineStr">
        <is>
          <t>Dental Clinic</t>
        </is>
      </c>
      <c r="E235" s="2" t="n">
        <v>45352</v>
      </c>
      <c r="F235" s="2" t="n">
        <v>46446</v>
      </c>
      <c r="G235" s="3" t="n">
        <v>4950</v>
      </c>
      <c r="H235">
        <f>VLOOKUP(B235,Units!$A$2:$G$1646,2,FALSE)</f>
        <v/>
      </c>
      <c r="I235">
        <f>VLOOKUP(B235,Units!$A$2:$G$1646,5,FALSE)</f>
        <v/>
      </c>
      <c r="J235" s="3">
        <f>G235/I235</f>
        <v/>
      </c>
      <c r="K235" s="3">
        <f>G235*12</f>
        <v/>
      </c>
      <c r="L235" s="3" t="n">
        <v>14850</v>
      </c>
    </row>
    <row r="236">
      <c r="A236" t="inlineStr">
        <is>
          <t>TA-2024-00164</t>
        </is>
      </c>
      <c r="B236" t="inlineStr">
        <is>
          <t>U-BV229-01-13</t>
        </is>
      </c>
      <c r="C236" t="inlineStr">
        <is>
          <t>PrimeValue Mart Pte Ltd</t>
        </is>
      </c>
      <c r="D236" t="inlineStr">
        <is>
          <t>Minimart</t>
        </is>
      </c>
      <c r="E236" s="2" t="n">
        <v>45352</v>
      </c>
      <c r="F236" s="2" t="n">
        <v>46446</v>
      </c>
      <c r="G236" s="3" t="n">
        <v>3450</v>
      </c>
      <c r="H236">
        <f>VLOOKUP(B236,Units!$A$2:$G$1646,2,FALSE)</f>
        <v/>
      </c>
      <c r="I236">
        <f>VLOOKUP(B236,Units!$A$2:$G$1646,5,FALSE)</f>
        <v/>
      </c>
      <c r="J236" s="3">
        <f>G236/I236</f>
        <v/>
      </c>
      <c r="K236" s="3">
        <f>G236*12</f>
        <v/>
      </c>
      <c r="L236" s="3" t="n">
        <v>10350</v>
      </c>
    </row>
    <row r="237">
      <c r="A237" t="inlineStr">
        <is>
          <t>TA-2024-00166</t>
        </is>
      </c>
      <c r="B237" t="inlineStr">
        <is>
          <t>U-BV233-01-07</t>
        </is>
      </c>
      <c r="C237" t="inlineStr">
        <is>
          <t>Amanah Optical Pte Ltd</t>
        </is>
      </c>
      <c r="D237" t="inlineStr">
        <is>
          <t>Optical</t>
        </is>
      </c>
      <c r="E237" s="2" t="n">
        <v>45352</v>
      </c>
      <c r="F237" s="2" t="n">
        <v>46446</v>
      </c>
      <c r="G237" s="3" t="n">
        <v>3200</v>
      </c>
      <c r="H237">
        <f>VLOOKUP(B237,Units!$A$2:$G$1646,2,FALSE)</f>
        <v/>
      </c>
      <c r="I237">
        <f>VLOOKUP(B237,Units!$A$2:$G$1646,5,FALSE)</f>
        <v/>
      </c>
      <c r="J237" s="3">
        <f>G237/I237</f>
        <v/>
      </c>
      <c r="K237" s="3">
        <f>G237*12</f>
        <v/>
      </c>
      <c r="L237" s="3" t="n">
        <v>9600</v>
      </c>
    </row>
    <row r="238">
      <c r="A238" t="inlineStr">
        <is>
          <t>TA-2024-00168</t>
        </is>
      </c>
      <c r="B238" t="inlineStr">
        <is>
          <t>U-BV256-01-01</t>
        </is>
      </c>
      <c r="C238" t="inlineStr">
        <is>
          <t>Sejahtera Mobile Pte Ltd</t>
        </is>
      </c>
      <c r="D238" t="inlineStr">
        <is>
          <t>Mobile Phone &amp; Accessories</t>
        </is>
      </c>
      <c r="E238" s="2" t="n">
        <v>45352</v>
      </c>
      <c r="F238" s="2" t="n">
        <v>46446</v>
      </c>
      <c r="G238" s="3" t="n">
        <v>950</v>
      </c>
      <c r="H238">
        <f>VLOOKUP(B238,Units!$A$2:$G$1646,2,FALSE)</f>
        <v/>
      </c>
      <c r="I238">
        <f>VLOOKUP(B238,Units!$A$2:$G$1646,5,FALSE)</f>
        <v/>
      </c>
      <c r="J238" s="3">
        <f>G238/I238</f>
        <v/>
      </c>
      <c r="K238" s="3">
        <f>G238*12</f>
        <v/>
      </c>
      <c r="L238" s="3" t="n">
        <v>2850</v>
      </c>
    </row>
    <row r="239">
      <c r="A239" t="inlineStr">
        <is>
          <t>TA-2024-00170</t>
        </is>
      </c>
      <c r="B239" t="inlineStr">
        <is>
          <t>U-BV266-01-10</t>
        </is>
      </c>
      <c r="C239" t="inlineStr">
        <is>
          <t>Tan Brothers Pharmacy Pte Ltd</t>
        </is>
      </c>
      <c r="D239" t="inlineStr">
        <is>
          <t>Pharmacy</t>
        </is>
      </c>
      <c r="E239" s="2" t="n">
        <v>45352</v>
      </c>
      <c r="F239" s="2" t="n">
        <v>46446</v>
      </c>
      <c r="G239" s="3" t="n">
        <v>5950</v>
      </c>
      <c r="H239">
        <f>VLOOKUP(B239,Units!$A$2:$G$1646,2,FALSE)</f>
        <v/>
      </c>
      <c r="I239">
        <f>VLOOKUP(B239,Units!$A$2:$G$1646,5,FALSE)</f>
        <v/>
      </c>
      <c r="J239" s="3">
        <f>G239/I239</f>
        <v/>
      </c>
      <c r="K239" s="3">
        <f>G239*12</f>
        <v/>
      </c>
      <c r="L239" s="3" t="n">
        <v>17850</v>
      </c>
    </row>
    <row r="240">
      <c r="A240" t="inlineStr">
        <is>
          <t>TA-2024-00172</t>
        </is>
      </c>
      <c r="B240" t="inlineStr">
        <is>
          <t>U-BV266-01-11</t>
        </is>
      </c>
      <c r="C240" t="inlineStr">
        <is>
          <t>Gold Coin Bookstore</t>
        </is>
      </c>
      <c r="D240" t="inlineStr">
        <is>
          <t>Stationery &amp; Books</t>
        </is>
      </c>
      <c r="E240" s="2" t="n">
        <v>45352</v>
      </c>
      <c r="F240" s="2" t="n">
        <v>46446</v>
      </c>
      <c r="G240" s="3" t="n">
        <v>6560</v>
      </c>
      <c r="H240">
        <f>VLOOKUP(B240,Units!$A$2:$G$1646,2,FALSE)</f>
        <v/>
      </c>
      <c r="I240">
        <f>VLOOKUP(B240,Units!$A$2:$G$1646,5,FALSE)</f>
        <v/>
      </c>
      <c r="J240" s="3">
        <f>G240/I240</f>
        <v/>
      </c>
      <c r="K240" s="3">
        <f>G240*12</f>
        <v/>
      </c>
      <c r="L240" s="3" t="n">
        <v>19680</v>
      </c>
    </row>
    <row r="241">
      <c r="A241" t="inlineStr">
        <is>
          <t>TA-2024-00173</t>
        </is>
      </c>
      <c r="B241" t="inlineStr">
        <is>
          <t>U-BV288-01-10</t>
        </is>
      </c>
      <c r="C241" t="inlineStr">
        <is>
          <t>Nur Hardware</t>
        </is>
      </c>
      <c r="D241" t="inlineStr">
        <is>
          <t>Hardware</t>
        </is>
      </c>
      <c r="E241" s="2" t="n">
        <v>45352</v>
      </c>
      <c r="F241" s="2" t="n">
        <v>46446</v>
      </c>
      <c r="G241" s="3" t="n">
        <v>4260</v>
      </c>
      <c r="H241">
        <f>VLOOKUP(B241,Units!$A$2:$G$1646,2,FALSE)</f>
        <v/>
      </c>
      <c r="I241">
        <f>VLOOKUP(B241,Units!$A$2:$G$1646,5,FALSE)</f>
        <v/>
      </c>
      <c r="J241" s="3">
        <f>G241/I241</f>
        <v/>
      </c>
      <c r="K241" s="3">
        <f>G241*12</f>
        <v/>
      </c>
      <c r="L241" s="3" t="n">
        <v>12780</v>
      </c>
    </row>
    <row r="242">
      <c r="A242" t="inlineStr">
        <is>
          <t>TA-2024-00175</t>
        </is>
      </c>
      <c r="B242" t="inlineStr">
        <is>
          <t>U-CD118-01-24</t>
        </is>
      </c>
      <c r="C242" t="inlineStr">
        <is>
          <t>Bayu Dental Surgery</t>
        </is>
      </c>
      <c r="D242" t="inlineStr">
        <is>
          <t>Dental Clinic</t>
        </is>
      </c>
      <c r="E242" s="2" t="n">
        <v>45352</v>
      </c>
      <c r="F242" s="2" t="n">
        <v>46446</v>
      </c>
      <c r="G242" s="3" t="n">
        <v>3120</v>
      </c>
      <c r="H242">
        <f>VLOOKUP(B242,Units!$A$2:$G$1646,2,FALSE)</f>
        <v/>
      </c>
      <c r="I242">
        <f>VLOOKUP(B242,Units!$A$2:$G$1646,5,FALSE)</f>
        <v/>
      </c>
      <c r="J242" s="3">
        <f>G242/I242</f>
        <v/>
      </c>
      <c r="K242" s="3">
        <f>G242*12</f>
        <v/>
      </c>
      <c r="L242" s="3" t="n">
        <v>9360</v>
      </c>
    </row>
    <row r="243">
      <c r="A243" t="inlineStr">
        <is>
          <t>TA-2024-00176</t>
        </is>
      </c>
      <c r="B243" t="inlineStr">
        <is>
          <t>U-CD152-01-11</t>
        </is>
      </c>
      <c r="C243" t="inlineStr">
        <is>
          <t>Blue Pearl Flowers &amp; Gifts Pte Ltd</t>
        </is>
      </c>
      <c r="D243" t="inlineStr">
        <is>
          <t>Florist</t>
        </is>
      </c>
      <c r="E243" s="2" t="n">
        <v>45352</v>
      </c>
      <c r="F243" s="2" t="n">
        <v>46446</v>
      </c>
      <c r="G243" s="3" t="n">
        <v>1680</v>
      </c>
      <c r="H243">
        <f>VLOOKUP(B243,Units!$A$2:$G$1646,2,FALSE)</f>
        <v/>
      </c>
      <c r="I243">
        <f>VLOOKUP(B243,Units!$A$2:$G$1646,5,FALSE)</f>
        <v/>
      </c>
      <c r="J243" s="3">
        <f>G243/I243</f>
        <v/>
      </c>
      <c r="K243" s="3">
        <f>G243*12</f>
        <v/>
      </c>
      <c r="L243" s="3" t="n">
        <v>5040</v>
      </c>
    </row>
    <row r="244">
      <c r="A244" t="inlineStr">
        <is>
          <t>TA-2024-00177</t>
        </is>
      </c>
      <c r="B244" t="inlineStr">
        <is>
          <t>U-CD170-01-01</t>
        </is>
      </c>
      <c r="C244" t="inlineStr">
        <is>
          <t>Lotus Dental Care</t>
        </is>
      </c>
      <c r="D244" t="inlineStr">
        <is>
          <t>Dental Clinic</t>
        </is>
      </c>
      <c r="E244" s="2" t="n">
        <v>45352</v>
      </c>
      <c r="F244" s="2" t="n">
        <v>46446</v>
      </c>
      <c r="G244" s="3" t="n">
        <v>3370</v>
      </c>
      <c r="H244">
        <f>VLOOKUP(B244,Units!$A$2:$G$1646,2,FALSE)</f>
        <v/>
      </c>
      <c r="I244">
        <f>VLOOKUP(B244,Units!$A$2:$G$1646,5,FALSE)</f>
        <v/>
      </c>
      <c r="J244" s="3">
        <f>G244/I244</f>
        <v/>
      </c>
      <c r="K244" s="3">
        <f>G244*12</f>
        <v/>
      </c>
      <c r="L244" s="3" t="n">
        <v>10110</v>
      </c>
    </row>
    <row r="245">
      <c r="A245" t="inlineStr">
        <is>
          <t>TA-2024-00178</t>
        </is>
      </c>
      <c r="B245" t="inlineStr">
        <is>
          <t>U-CD174-01-05</t>
        </is>
      </c>
      <c r="C245" t="inlineStr">
        <is>
          <t>Rainbow Confectionery Pte Ltd</t>
        </is>
      </c>
      <c r="D245" t="inlineStr">
        <is>
          <t>Bakery &amp; Confectionery</t>
        </is>
      </c>
      <c r="E245" s="2" t="n">
        <v>45352</v>
      </c>
      <c r="F245" s="2" t="n">
        <v>46446</v>
      </c>
      <c r="G245" s="3" t="n">
        <v>5550</v>
      </c>
      <c r="H245">
        <f>VLOOKUP(B245,Units!$A$2:$G$1646,2,FALSE)</f>
        <v/>
      </c>
      <c r="I245">
        <f>VLOOKUP(B245,Units!$A$2:$G$1646,5,FALSE)</f>
        <v/>
      </c>
      <c r="J245" s="3">
        <f>G245/I245</f>
        <v/>
      </c>
      <c r="K245" s="3">
        <f>G245*12</f>
        <v/>
      </c>
      <c r="L245" s="3" t="n">
        <v>16650</v>
      </c>
    </row>
    <row r="246">
      <c r="A246" t="inlineStr">
        <is>
          <t>TA-2024-00179</t>
        </is>
      </c>
      <c r="B246" t="inlineStr">
        <is>
          <t>U-CD181-01-08</t>
        </is>
      </c>
      <c r="C246" t="inlineStr">
        <is>
          <t>Bayu Key &amp; Shoe Service Pte Ltd</t>
        </is>
      </c>
      <c r="D246" t="inlineStr">
        <is>
          <t>Key Cutting &amp; Shoe Repair</t>
        </is>
      </c>
      <c r="E246" s="2" t="n">
        <v>45352</v>
      </c>
      <c r="F246" s="2" t="n">
        <v>46446</v>
      </c>
      <c r="G246" s="3" t="n">
        <v>900</v>
      </c>
      <c r="H246">
        <f>VLOOKUP(B246,Units!$A$2:$G$1646,2,FALSE)</f>
        <v/>
      </c>
      <c r="I246">
        <f>VLOOKUP(B246,Units!$A$2:$G$1646,5,FALSE)</f>
        <v/>
      </c>
      <c r="J246" s="3">
        <f>G246/I246</f>
        <v/>
      </c>
      <c r="K246" s="3">
        <f>G246*12</f>
        <v/>
      </c>
      <c r="L246" s="3" t="n">
        <v>2700</v>
      </c>
    </row>
    <row r="247">
      <c r="A247" t="inlineStr">
        <is>
          <t>TA-2024-00180</t>
        </is>
      </c>
      <c r="B247" t="inlineStr">
        <is>
          <t>U-KR305-01-22</t>
        </is>
      </c>
      <c r="C247" t="inlineStr">
        <is>
          <t>Red Lantern Store Pte Ltd</t>
        </is>
      </c>
      <c r="D247" t="inlineStr">
        <is>
          <t>Provision Shop</t>
        </is>
      </c>
      <c r="E247" s="2" t="n">
        <v>45352</v>
      </c>
      <c r="F247" s="2" t="n">
        <v>46446</v>
      </c>
      <c r="G247" s="3" t="n">
        <v>4240</v>
      </c>
      <c r="H247">
        <f>VLOOKUP(B247,Units!$A$2:$G$1646,2,FALSE)</f>
        <v/>
      </c>
      <c r="I247">
        <f>VLOOKUP(B247,Units!$A$2:$G$1646,5,FALSE)</f>
        <v/>
      </c>
      <c r="J247" s="3">
        <f>G247/I247</f>
        <v/>
      </c>
      <c r="K247" s="3">
        <f>G247*12</f>
        <v/>
      </c>
      <c r="L247" s="3" t="n">
        <v>12720</v>
      </c>
    </row>
    <row r="248">
      <c r="A248" t="inlineStr">
        <is>
          <t>TA-2024-00182</t>
        </is>
      </c>
      <c r="B248" t="inlineStr">
        <is>
          <t>U-KR318-01-01</t>
        </is>
      </c>
      <c r="C248" t="inlineStr">
        <is>
          <t>Hup Seng Eating House Pte Ltd</t>
        </is>
      </c>
      <c r="D248" t="inlineStr">
        <is>
          <t>Coffeeshop</t>
        </is>
      </c>
      <c r="E248" s="2" t="n">
        <v>45352</v>
      </c>
      <c r="F248" s="2" t="n">
        <v>46446</v>
      </c>
      <c r="G248" s="3" t="n">
        <v>12270</v>
      </c>
      <c r="H248">
        <f>VLOOKUP(B248,Units!$A$2:$G$1646,2,FALSE)</f>
        <v/>
      </c>
      <c r="I248">
        <f>VLOOKUP(B248,Units!$A$2:$G$1646,5,FALSE)</f>
        <v/>
      </c>
      <c r="J248" s="3">
        <f>G248/I248</f>
        <v/>
      </c>
      <c r="K248" s="3">
        <f>G248*12</f>
        <v/>
      </c>
      <c r="L248" s="3" t="n">
        <v>36810</v>
      </c>
    </row>
    <row r="249">
      <c r="A249" t="inlineStr">
        <is>
          <t>TA-2024-00183</t>
        </is>
      </c>
      <c r="B249" t="inlineStr">
        <is>
          <t>U-KR330-01-05</t>
        </is>
      </c>
      <c r="C249" t="inlineStr">
        <is>
          <t>Kim Hiap Eating Place Pte Ltd</t>
        </is>
      </c>
      <c r="D249" t="inlineStr">
        <is>
          <t>Restaurant</t>
        </is>
      </c>
      <c r="E249" s="2" t="n">
        <v>45352</v>
      </c>
      <c r="F249" s="2" t="n">
        <v>46446</v>
      </c>
      <c r="G249" s="3" t="n">
        <v>4220</v>
      </c>
      <c r="H249">
        <f>VLOOKUP(B249,Units!$A$2:$G$1646,2,FALSE)</f>
        <v/>
      </c>
      <c r="I249">
        <f>VLOOKUP(B249,Units!$A$2:$G$1646,5,FALSE)</f>
        <v/>
      </c>
      <c r="J249" s="3">
        <f>G249/I249</f>
        <v/>
      </c>
      <c r="K249" s="3">
        <f>G249*12</f>
        <v/>
      </c>
      <c r="L249" s="3" t="n">
        <v>12660</v>
      </c>
    </row>
    <row r="250">
      <c r="A250" t="inlineStr">
        <is>
          <t>TA-2024-00185</t>
        </is>
      </c>
      <c r="B250" t="inlineStr">
        <is>
          <t>U-KR335-01-03</t>
        </is>
      </c>
      <c r="C250" t="inlineStr">
        <is>
          <t>Hup Seng Learning Centre Pte Ltd</t>
        </is>
      </c>
      <c r="D250" t="inlineStr">
        <is>
          <t>Tuition Centre</t>
        </is>
      </c>
      <c r="E250" s="2" t="n">
        <v>45352</v>
      </c>
      <c r="F250" s="2" t="n">
        <v>46446</v>
      </c>
      <c r="G250" s="3" t="n">
        <v>3350</v>
      </c>
      <c r="H250">
        <f>VLOOKUP(B250,Units!$A$2:$G$1646,2,FALSE)</f>
        <v/>
      </c>
      <c r="I250">
        <f>VLOOKUP(B250,Units!$A$2:$G$1646,5,FALSE)</f>
        <v/>
      </c>
      <c r="J250" s="3">
        <f>G250/I250</f>
        <v/>
      </c>
      <c r="K250" s="3">
        <f>G250*12</f>
        <v/>
      </c>
      <c r="L250" s="3" t="n">
        <v>10050</v>
      </c>
    </row>
    <row r="251">
      <c r="A251" t="inlineStr">
        <is>
          <t>TA-2024-00186</t>
        </is>
      </c>
      <c r="B251" t="inlineStr">
        <is>
          <t>U-KR345-01-03</t>
        </is>
      </c>
      <c r="C251" t="inlineStr">
        <is>
          <t>Joo Chiat Learning Centre</t>
        </is>
      </c>
      <c r="D251" t="inlineStr">
        <is>
          <t>Tuition Centre</t>
        </is>
      </c>
      <c r="E251" s="2" t="n">
        <v>45352</v>
      </c>
      <c r="F251" s="2" t="n">
        <v>46446</v>
      </c>
      <c r="G251" s="3" t="n">
        <v>2640</v>
      </c>
      <c r="H251">
        <f>VLOOKUP(B251,Units!$A$2:$G$1646,2,FALSE)</f>
        <v/>
      </c>
      <c r="I251">
        <f>VLOOKUP(B251,Units!$A$2:$G$1646,5,FALSE)</f>
        <v/>
      </c>
      <c r="J251" s="3">
        <f>G251/I251</f>
        <v/>
      </c>
      <c r="K251" s="3">
        <f>G251*12</f>
        <v/>
      </c>
      <c r="L251" s="3" t="n">
        <v>7920</v>
      </c>
    </row>
    <row r="252">
      <c r="A252" t="inlineStr">
        <is>
          <t>TA-2024-00187</t>
        </is>
      </c>
      <c r="B252" t="inlineStr">
        <is>
          <t>U-KR368-01-09</t>
        </is>
      </c>
      <c r="C252" t="inlineStr">
        <is>
          <t>Pinnacle Provision Shop</t>
        </is>
      </c>
      <c r="D252" t="inlineStr">
        <is>
          <t>Provision Shop</t>
        </is>
      </c>
      <c r="E252" s="2" t="n">
        <v>45352</v>
      </c>
      <c r="F252" s="2" t="n">
        <v>46446</v>
      </c>
      <c r="G252" s="3" t="n">
        <v>4590</v>
      </c>
      <c r="H252">
        <f>VLOOKUP(B252,Units!$A$2:$G$1646,2,FALSE)</f>
        <v/>
      </c>
      <c r="I252">
        <f>VLOOKUP(B252,Units!$A$2:$G$1646,5,FALSE)</f>
        <v/>
      </c>
      <c r="J252" s="3">
        <f>G252/I252</f>
        <v/>
      </c>
      <c r="K252" s="3">
        <f>G252*12</f>
        <v/>
      </c>
      <c r="L252" s="3" t="n">
        <v>13770</v>
      </c>
    </row>
    <row r="253">
      <c r="A253" t="inlineStr">
        <is>
          <t>TA-2024-00188</t>
        </is>
      </c>
      <c r="B253" t="inlineStr">
        <is>
          <t>U-KR372-01-10</t>
        </is>
      </c>
      <c r="C253" t="inlineStr">
        <is>
          <t>Evergreen Medical Hall Pte Ltd</t>
        </is>
      </c>
      <c r="D253" t="inlineStr">
        <is>
          <t>TCM Clinic</t>
        </is>
      </c>
      <c r="E253" s="2" t="n">
        <v>45352</v>
      </c>
      <c r="F253" s="2" t="n">
        <v>46446</v>
      </c>
      <c r="G253" s="3" t="n">
        <v>2720</v>
      </c>
      <c r="H253">
        <f>VLOOKUP(B253,Units!$A$2:$G$1646,2,FALSE)</f>
        <v/>
      </c>
      <c r="I253">
        <f>VLOOKUP(B253,Units!$A$2:$G$1646,5,FALSE)</f>
        <v/>
      </c>
      <c r="J253" s="3">
        <f>G253/I253</f>
        <v/>
      </c>
      <c r="K253" s="3">
        <f>G253*12</f>
        <v/>
      </c>
      <c r="L253" s="3" t="n">
        <v>8160</v>
      </c>
    </row>
    <row r="254">
      <c r="A254" t="inlineStr">
        <is>
          <t>TA-2024-00189</t>
        </is>
      </c>
      <c r="B254" t="inlineStr">
        <is>
          <t>U-KR379-01-08</t>
        </is>
      </c>
      <c r="C254" t="inlineStr">
        <is>
          <t>Ong &amp; Sons Fruit Trading Pte Ltd</t>
        </is>
      </c>
      <c r="D254" t="inlineStr">
        <is>
          <t>Fruit Shop</t>
        </is>
      </c>
      <c r="E254" s="2" t="n">
        <v>45352</v>
      </c>
      <c r="F254" s="2" t="n">
        <v>46446</v>
      </c>
      <c r="G254" s="3" t="n">
        <v>2570</v>
      </c>
      <c r="H254">
        <f>VLOOKUP(B254,Units!$A$2:$G$1646,2,FALSE)</f>
        <v/>
      </c>
      <c r="I254">
        <f>VLOOKUP(B254,Units!$A$2:$G$1646,5,FALSE)</f>
        <v/>
      </c>
      <c r="J254" s="3">
        <f>G254/I254</f>
        <v/>
      </c>
      <c r="K254" s="3">
        <f>G254*12</f>
        <v/>
      </c>
      <c r="L254" s="3" t="n">
        <v>7710</v>
      </c>
    </row>
    <row r="255">
      <c r="A255" t="inlineStr">
        <is>
          <t>TA-2024-00190</t>
        </is>
      </c>
      <c r="B255" t="inlineStr">
        <is>
          <t>U-PI606-01-01</t>
        </is>
      </c>
      <c r="C255" t="inlineStr">
        <is>
          <t>Silver Moon Kopitiam Pte Ltd</t>
        </is>
      </c>
      <c r="D255" t="inlineStr">
        <is>
          <t>Coffeeshop</t>
        </is>
      </c>
      <c r="E255" s="2" t="n">
        <v>45352</v>
      </c>
      <c r="F255" s="2" t="n">
        <v>46446</v>
      </c>
      <c r="G255" s="3" t="n">
        <v>11000</v>
      </c>
      <c r="H255">
        <f>VLOOKUP(B255,Units!$A$2:$G$1646,2,FALSE)</f>
        <v/>
      </c>
      <c r="I255">
        <f>VLOOKUP(B255,Units!$A$2:$G$1646,5,FALSE)</f>
        <v/>
      </c>
      <c r="J255" s="3">
        <f>G255/I255</f>
        <v/>
      </c>
      <c r="K255" s="3">
        <f>G255*12</f>
        <v/>
      </c>
      <c r="L255" s="3" t="n">
        <v>33000</v>
      </c>
    </row>
    <row r="256">
      <c r="A256" t="inlineStr">
        <is>
          <t>TA-2024-00191</t>
        </is>
      </c>
      <c r="B256" t="inlineStr">
        <is>
          <t>U-PI626-01-01</t>
        </is>
      </c>
      <c r="C256" t="inlineStr">
        <is>
          <t>Nanyang Medical Hall Pte Ltd</t>
        </is>
      </c>
      <c r="D256" t="inlineStr">
        <is>
          <t>TCM Clinic</t>
        </is>
      </c>
      <c r="E256" s="2" t="n">
        <v>45352</v>
      </c>
      <c r="F256" s="2" t="n">
        <v>46446</v>
      </c>
      <c r="G256" s="3" t="n">
        <v>4610</v>
      </c>
      <c r="H256">
        <f>VLOOKUP(B256,Units!$A$2:$G$1646,2,FALSE)</f>
        <v/>
      </c>
      <c r="I256">
        <f>VLOOKUP(B256,Units!$A$2:$G$1646,5,FALSE)</f>
        <v/>
      </c>
      <c r="J256" s="3">
        <f>G256/I256</f>
        <v/>
      </c>
      <c r="K256" s="3">
        <f>G256*12</f>
        <v/>
      </c>
      <c r="L256" s="3" t="n">
        <v>13830</v>
      </c>
    </row>
    <row r="257">
      <c r="A257" t="inlineStr">
        <is>
          <t>TA-2024-00192</t>
        </is>
      </c>
      <c r="B257" t="inlineStr">
        <is>
          <t>U-PI670-01-06</t>
        </is>
      </c>
      <c r="C257" t="inlineStr">
        <is>
          <t>Silver Moon Money Changer</t>
        </is>
      </c>
      <c r="D257" t="inlineStr">
        <is>
          <t>Remittance &amp; Money Changer</t>
        </is>
      </c>
      <c r="E257" s="2" t="n">
        <v>45352</v>
      </c>
      <c r="F257" s="2" t="n">
        <v>46446</v>
      </c>
      <c r="G257" s="3" t="n">
        <v>3190</v>
      </c>
      <c r="H257">
        <f>VLOOKUP(B257,Units!$A$2:$G$1646,2,FALSE)</f>
        <v/>
      </c>
      <c r="I257">
        <f>VLOOKUP(B257,Units!$A$2:$G$1646,5,FALSE)</f>
        <v/>
      </c>
      <c r="J257" s="3">
        <f>G257/I257</f>
        <v/>
      </c>
      <c r="K257" s="3">
        <f>G257*12</f>
        <v/>
      </c>
      <c r="L257" s="3" t="n">
        <v>9570</v>
      </c>
    </row>
    <row r="258">
      <c r="A258" t="inlineStr">
        <is>
          <t>TA-2024-00194</t>
        </is>
      </c>
      <c r="B258" t="inlineStr">
        <is>
          <t>U-PI678-01-01</t>
        </is>
      </c>
      <c r="C258" t="inlineStr">
        <is>
          <t>Pinnacle Beauty &amp; Hair Pte Ltd</t>
        </is>
      </c>
      <c r="D258" t="inlineStr">
        <is>
          <t>Hair Salon</t>
        </is>
      </c>
      <c r="E258" s="2" t="n">
        <v>45352</v>
      </c>
      <c r="F258" s="2" t="n">
        <v>46446</v>
      </c>
      <c r="G258" s="3" t="n">
        <v>3560</v>
      </c>
      <c r="H258">
        <f>VLOOKUP(B258,Units!$A$2:$G$1646,2,FALSE)</f>
        <v/>
      </c>
      <c r="I258">
        <f>VLOOKUP(B258,Units!$A$2:$G$1646,5,FALSE)</f>
        <v/>
      </c>
      <c r="J258" s="3">
        <f>G258/I258</f>
        <v/>
      </c>
      <c r="K258" s="3">
        <f>G258*12</f>
        <v/>
      </c>
      <c r="L258" s="3" t="n">
        <v>10680</v>
      </c>
    </row>
    <row r="259">
      <c r="A259" t="inlineStr">
        <is>
          <t>TA-2024-00196</t>
        </is>
      </c>
      <c r="B259" t="inlineStr">
        <is>
          <t>U-PI693-01-06</t>
        </is>
      </c>
      <c r="C259" t="inlineStr">
        <is>
          <t>Daily Fresh Fruits Pte Ltd</t>
        </is>
      </c>
      <c r="D259" t="inlineStr">
        <is>
          <t>Fruit Shop</t>
        </is>
      </c>
      <c r="E259" s="2" t="n">
        <v>45352</v>
      </c>
      <c r="F259" s="2" t="n">
        <v>46446</v>
      </c>
      <c r="G259" s="3" t="n">
        <v>4370</v>
      </c>
      <c r="H259">
        <f>VLOOKUP(B259,Units!$A$2:$G$1646,2,FALSE)</f>
        <v/>
      </c>
      <c r="I259">
        <f>VLOOKUP(B259,Units!$A$2:$G$1646,5,FALSE)</f>
        <v/>
      </c>
      <c r="J259" s="3">
        <f>G259/I259</f>
        <v/>
      </c>
      <c r="K259" s="3">
        <f>G259*12</f>
        <v/>
      </c>
      <c r="L259" s="3" t="n">
        <v>13110</v>
      </c>
    </row>
    <row r="260">
      <c r="A260" t="inlineStr">
        <is>
          <t>TA-2024-00198</t>
        </is>
      </c>
      <c r="B260" t="inlineStr">
        <is>
          <t>U-RH408-01-07</t>
        </is>
      </c>
      <c r="C260" t="inlineStr">
        <is>
          <t>Soon Hin Medical Hall Pte Ltd</t>
        </is>
      </c>
      <c r="D260" t="inlineStr">
        <is>
          <t>TCM Clinic</t>
        </is>
      </c>
      <c r="E260" s="2" t="n">
        <v>45352</v>
      </c>
      <c r="F260" s="2" t="n">
        <v>46446</v>
      </c>
      <c r="G260" s="3" t="n">
        <v>1810</v>
      </c>
      <c r="H260">
        <f>VLOOKUP(B260,Units!$A$2:$G$1646,2,FALSE)</f>
        <v/>
      </c>
      <c r="I260">
        <f>VLOOKUP(B260,Units!$A$2:$G$1646,5,FALSE)</f>
        <v/>
      </c>
      <c r="J260" s="3">
        <f>G260/I260</f>
        <v/>
      </c>
      <c r="K260" s="3">
        <f>G260*12</f>
        <v/>
      </c>
      <c r="L260" s="3" t="n">
        <v>5430</v>
      </c>
    </row>
    <row r="261">
      <c r="A261" t="inlineStr">
        <is>
          <t>TA-2024-00199</t>
        </is>
      </c>
      <c r="B261" t="inlineStr">
        <is>
          <t>U-RH456-01-06</t>
        </is>
      </c>
      <c r="C261" t="inlineStr">
        <is>
          <t>Hassan Tea House</t>
        </is>
      </c>
      <c r="D261" t="inlineStr">
        <is>
          <t>Bubble Tea</t>
        </is>
      </c>
      <c r="E261" s="2" t="n">
        <v>45352</v>
      </c>
      <c r="F261" s="2" t="n">
        <v>46446</v>
      </c>
      <c r="G261" s="3" t="n">
        <v>3520</v>
      </c>
      <c r="H261">
        <f>VLOOKUP(B261,Units!$A$2:$G$1646,2,FALSE)</f>
        <v/>
      </c>
      <c r="I261">
        <f>VLOOKUP(B261,Units!$A$2:$G$1646,5,FALSE)</f>
        <v/>
      </c>
      <c r="J261" s="3">
        <f>G261/I261</f>
        <v/>
      </c>
      <c r="K261" s="3">
        <f>G261*12</f>
        <v/>
      </c>
      <c r="L261" s="3" t="n">
        <v>10560</v>
      </c>
    </row>
    <row r="262">
      <c r="A262" t="inlineStr">
        <is>
          <t>TA-2024-00200</t>
        </is>
      </c>
      <c r="B262" t="inlineStr">
        <is>
          <t>U-RH466-01-05</t>
        </is>
      </c>
      <c r="C262" t="inlineStr">
        <is>
          <t>Murugan Kitchen</t>
        </is>
      </c>
      <c r="D262" t="inlineStr">
        <is>
          <t>Restaurant</t>
        </is>
      </c>
      <c r="E262" s="2" t="n">
        <v>45352</v>
      </c>
      <c r="F262" s="2" t="n">
        <v>46446</v>
      </c>
      <c r="G262" s="3" t="n">
        <v>1590</v>
      </c>
      <c r="H262">
        <f>VLOOKUP(B262,Units!$A$2:$G$1646,2,FALSE)</f>
        <v/>
      </c>
      <c r="I262">
        <f>VLOOKUP(B262,Units!$A$2:$G$1646,5,FALSE)</f>
        <v/>
      </c>
      <c r="J262" s="3">
        <f>G262/I262</f>
        <v/>
      </c>
      <c r="K262" s="3">
        <f>G262*12</f>
        <v/>
      </c>
      <c r="L262" s="3" t="n">
        <v>4770</v>
      </c>
    </row>
    <row r="263">
      <c r="A263" t="inlineStr">
        <is>
          <t>TA-2024-00202</t>
        </is>
      </c>
      <c r="B263" t="inlineStr">
        <is>
          <t>U-RH476-02-09</t>
        </is>
      </c>
      <c r="C263" t="inlineStr">
        <is>
          <t>Blue Pearl Family Clinic</t>
        </is>
      </c>
      <c r="D263" t="inlineStr">
        <is>
          <t>GP Clinic</t>
        </is>
      </c>
      <c r="E263" s="2" t="n">
        <v>45352</v>
      </c>
      <c r="F263" s="2" t="n">
        <v>46446</v>
      </c>
      <c r="G263" s="3" t="n">
        <v>2950</v>
      </c>
      <c r="H263">
        <f>VLOOKUP(B263,Units!$A$2:$G$1646,2,FALSE)</f>
        <v/>
      </c>
      <c r="I263">
        <f>VLOOKUP(B263,Units!$A$2:$G$1646,5,FALSE)</f>
        <v/>
      </c>
      <c r="J263" s="3">
        <f>G263/I263</f>
        <v/>
      </c>
      <c r="K263" s="3">
        <f>G263*12</f>
        <v/>
      </c>
      <c r="L263" s="3" t="n">
        <v>8850</v>
      </c>
    </row>
    <row r="264">
      <c r="A264" t="inlineStr">
        <is>
          <t>TA-2024-00204</t>
        </is>
      </c>
      <c r="B264" t="inlineStr">
        <is>
          <t>U-RH484-01-04</t>
        </is>
      </c>
      <c r="C264" t="inlineStr">
        <is>
          <t>Heng Ann Hair Salon</t>
        </is>
      </c>
      <c r="D264" t="inlineStr">
        <is>
          <t>Hair Salon</t>
        </is>
      </c>
      <c r="E264" s="2" t="n">
        <v>45352</v>
      </c>
      <c r="F264" s="2" t="n">
        <v>46446</v>
      </c>
      <c r="G264" s="3" t="n">
        <v>3540</v>
      </c>
      <c r="H264">
        <f>VLOOKUP(B264,Units!$A$2:$G$1646,2,FALSE)</f>
        <v/>
      </c>
      <c r="I264">
        <f>VLOOKUP(B264,Units!$A$2:$G$1646,5,FALSE)</f>
        <v/>
      </c>
      <c r="J264" s="3">
        <f>G264/I264</f>
        <v/>
      </c>
      <c r="K264" s="3">
        <f>G264*12</f>
        <v/>
      </c>
      <c r="L264" s="3" t="n">
        <v>10620</v>
      </c>
    </row>
    <row r="265">
      <c r="A265" t="inlineStr">
        <is>
          <t>TA-2024-00205</t>
        </is>
      </c>
      <c r="B265" t="inlineStr">
        <is>
          <t>U-RH491-01-04</t>
        </is>
      </c>
      <c r="C265" t="inlineStr">
        <is>
          <t>Orchid Learning Centre</t>
        </is>
      </c>
      <c r="D265" t="inlineStr">
        <is>
          <t>Tuition Centre</t>
        </is>
      </c>
      <c r="E265" s="2" t="n">
        <v>45352</v>
      </c>
      <c r="F265" s="2" t="n">
        <v>46446</v>
      </c>
      <c r="G265" s="3" t="n">
        <v>4180</v>
      </c>
      <c r="H265">
        <f>VLOOKUP(B265,Units!$A$2:$G$1646,2,FALSE)</f>
        <v/>
      </c>
      <c r="I265">
        <f>VLOOKUP(B265,Units!$A$2:$G$1646,5,FALSE)</f>
        <v/>
      </c>
      <c r="J265" s="3">
        <f>G265/I265</f>
        <v/>
      </c>
      <c r="K265" s="3">
        <f>G265*12</f>
        <v/>
      </c>
      <c r="L265" s="3" t="n">
        <v>12540</v>
      </c>
    </row>
    <row r="266">
      <c r="A266" t="inlineStr">
        <is>
          <t>TA-2024-00206</t>
        </is>
      </c>
      <c r="B266" t="inlineStr">
        <is>
          <t>U-ST512-01-10</t>
        </is>
      </c>
      <c r="C266" t="inlineStr">
        <is>
          <t>Nanyang Confectionery</t>
        </is>
      </c>
      <c r="D266" t="inlineStr">
        <is>
          <t>Bakery &amp; Confectionery</t>
        </is>
      </c>
      <c r="E266" s="2" t="n">
        <v>45352</v>
      </c>
      <c r="F266" s="2" t="n">
        <v>46446</v>
      </c>
      <c r="G266" s="3" t="n">
        <v>3130</v>
      </c>
      <c r="H266">
        <f>VLOOKUP(B266,Units!$A$2:$G$1646,2,FALSE)</f>
        <v/>
      </c>
      <c r="I266">
        <f>VLOOKUP(B266,Units!$A$2:$G$1646,5,FALSE)</f>
        <v/>
      </c>
      <c r="J266" s="3">
        <f>G266/I266</f>
        <v/>
      </c>
      <c r="K266" s="3">
        <f>G266*12</f>
        <v/>
      </c>
      <c r="L266" s="3" t="n">
        <v>9390</v>
      </c>
    </row>
    <row r="267">
      <c r="A267" t="inlineStr">
        <is>
          <t>TA-2024-00208</t>
        </is>
      </c>
      <c r="B267" t="inlineStr">
        <is>
          <t>U-ST512-01-20</t>
        </is>
      </c>
      <c r="C267" t="inlineStr">
        <is>
          <t>PrimeValue Mart Pte Ltd</t>
        </is>
      </c>
      <c r="D267" t="inlineStr">
        <is>
          <t>Minimart</t>
        </is>
      </c>
      <c r="E267" s="2" t="n">
        <v>45352</v>
      </c>
      <c r="F267" s="2" t="n">
        <v>46446</v>
      </c>
      <c r="G267" s="3" t="n">
        <v>2600</v>
      </c>
      <c r="H267">
        <f>VLOOKUP(B267,Units!$A$2:$G$1646,2,FALSE)</f>
        <v/>
      </c>
      <c r="I267">
        <f>VLOOKUP(B267,Units!$A$2:$G$1646,5,FALSE)</f>
        <v/>
      </c>
      <c r="J267" s="3">
        <f>G267/I267</f>
        <v/>
      </c>
      <c r="K267" s="3">
        <f>G267*12</f>
        <v/>
      </c>
      <c r="L267" s="3" t="n">
        <v>7800</v>
      </c>
    </row>
    <row r="268">
      <c r="A268" t="inlineStr">
        <is>
          <t>TA-2024-00209</t>
        </is>
      </c>
      <c r="B268" t="inlineStr">
        <is>
          <t>U-ST534-01-02</t>
        </is>
      </c>
      <c r="C268" t="inlineStr">
        <is>
          <t>Ong &amp; Sons Remittance</t>
        </is>
      </c>
      <c r="D268" t="inlineStr">
        <is>
          <t>Remittance &amp; Money Changer</t>
        </is>
      </c>
      <c r="E268" s="2" t="n">
        <v>45352</v>
      </c>
      <c r="F268" s="2" t="n">
        <v>46446</v>
      </c>
      <c r="G268" s="3" t="n">
        <v>1030</v>
      </c>
      <c r="H268">
        <f>VLOOKUP(B268,Units!$A$2:$G$1646,2,FALSE)</f>
        <v/>
      </c>
      <c r="I268">
        <f>VLOOKUP(B268,Units!$A$2:$G$1646,5,FALSE)</f>
        <v/>
      </c>
      <c r="J268" s="3">
        <f>G268/I268</f>
        <v/>
      </c>
      <c r="K268" s="3">
        <f>G268*12</f>
        <v/>
      </c>
      <c r="L268" s="3" t="n">
        <v>3090</v>
      </c>
    </row>
    <row r="269">
      <c r="A269" t="inlineStr">
        <is>
          <t>TA-2024-00210</t>
        </is>
      </c>
      <c r="B269" t="inlineStr">
        <is>
          <t>U-BV214-01-03</t>
        </is>
      </c>
      <c r="C269" t="inlineStr">
        <is>
          <t>Prima Hair Studio</t>
        </is>
      </c>
      <c r="D269" t="inlineStr">
        <is>
          <t>Hair Salon</t>
        </is>
      </c>
      <c r="E269" s="2" t="n">
        <v>45383</v>
      </c>
      <c r="F269" s="2" t="n">
        <v>46477</v>
      </c>
      <c r="G269" s="3" t="n">
        <v>2700</v>
      </c>
      <c r="H269">
        <f>VLOOKUP(B269,Units!$A$2:$G$1646,2,FALSE)</f>
        <v/>
      </c>
      <c r="I269">
        <f>VLOOKUP(B269,Units!$A$2:$G$1646,5,FALSE)</f>
        <v/>
      </c>
      <c r="J269" s="3">
        <f>G269/I269</f>
        <v/>
      </c>
      <c r="K269" s="3">
        <f>G269*12</f>
        <v/>
      </c>
      <c r="L269" s="3" t="n">
        <v>8100</v>
      </c>
    </row>
    <row r="270">
      <c r="A270" t="inlineStr">
        <is>
          <t>TA-2024-00211</t>
        </is>
      </c>
      <c r="B270" t="inlineStr">
        <is>
          <t>U-BV227-02-05</t>
        </is>
      </c>
      <c r="C270" t="inlineStr">
        <is>
          <t>Daily Fresh Education Hub</t>
        </is>
      </c>
      <c r="D270" t="inlineStr">
        <is>
          <t>Tuition Centre</t>
        </is>
      </c>
      <c r="E270" s="2" t="n">
        <v>45383</v>
      </c>
      <c r="F270" s="2" t="n">
        <v>46477</v>
      </c>
      <c r="G270" s="3" t="n">
        <v>3810</v>
      </c>
      <c r="H270">
        <f>VLOOKUP(B270,Units!$A$2:$G$1646,2,FALSE)</f>
        <v/>
      </c>
      <c r="I270">
        <f>VLOOKUP(B270,Units!$A$2:$G$1646,5,FALSE)</f>
        <v/>
      </c>
      <c r="J270" s="3">
        <f>G270/I270</f>
        <v/>
      </c>
      <c r="K270" s="3">
        <f>G270*12</f>
        <v/>
      </c>
      <c r="L270" s="3" t="n">
        <v>11430</v>
      </c>
    </row>
    <row r="271">
      <c r="A271" t="inlineStr">
        <is>
          <t>TA-2024-00212</t>
        </is>
      </c>
      <c r="B271" t="inlineStr">
        <is>
          <t>U-BV229-01-04</t>
        </is>
      </c>
      <c r="C271" t="inlineStr">
        <is>
          <t>Value Family Clinic</t>
        </is>
      </c>
      <c r="D271" t="inlineStr">
        <is>
          <t>GP Clinic</t>
        </is>
      </c>
      <c r="E271" s="2" t="n">
        <v>45383</v>
      </c>
      <c r="F271" s="2" t="n">
        <v>46477</v>
      </c>
      <c r="G271" s="3" t="n">
        <v>4530</v>
      </c>
      <c r="H271">
        <f>VLOOKUP(B271,Units!$A$2:$G$1646,2,FALSE)</f>
        <v/>
      </c>
      <c r="I271">
        <f>VLOOKUP(B271,Units!$A$2:$G$1646,5,FALSE)</f>
        <v/>
      </c>
      <c r="J271" s="3">
        <f>G271/I271</f>
        <v/>
      </c>
      <c r="K271" s="3">
        <f>G271*12</f>
        <v/>
      </c>
      <c r="L271" s="3" t="n">
        <v>13590</v>
      </c>
    </row>
    <row r="272">
      <c r="A272" t="inlineStr">
        <is>
          <t>TA-2024-00214</t>
        </is>
      </c>
      <c r="B272" t="inlineStr">
        <is>
          <t>U-BV231-01-01</t>
        </is>
      </c>
      <c r="C272" t="inlineStr">
        <is>
          <t>Lim's Fruits Pte Ltd</t>
        </is>
      </c>
      <c r="D272" t="inlineStr">
        <is>
          <t>Fruit Shop</t>
        </is>
      </c>
      <c r="E272" s="2" t="n">
        <v>45383</v>
      </c>
      <c r="F272" s="2" t="n">
        <v>46477</v>
      </c>
      <c r="G272" s="3" t="n">
        <v>1550</v>
      </c>
      <c r="H272">
        <f>VLOOKUP(B272,Units!$A$2:$G$1646,2,FALSE)</f>
        <v/>
      </c>
      <c r="I272">
        <f>VLOOKUP(B272,Units!$A$2:$G$1646,5,FALSE)</f>
        <v/>
      </c>
      <c r="J272" s="3">
        <f>G272/I272</f>
        <v/>
      </c>
      <c r="K272" s="3">
        <f>G272*12</f>
        <v/>
      </c>
      <c r="L272" s="3" t="n">
        <v>4650</v>
      </c>
    </row>
    <row r="273">
      <c r="A273" t="inlineStr">
        <is>
          <t>TA-2024-00215</t>
        </is>
      </c>
      <c r="B273" t="inlineStr">
        <is>
          <t>U-BV233-01-02</t>
        </is>
      </c>
      <c r="C273" t="inlineStr">
        <is>
          <t>Old Town Minimart</t>
        </is>
      </c>
      <c r="D273" t="inlineStr">
        <is>
          <t>Minimart</t>
        </is>
      </c>
      <c r="E273" s="2" t="n">
        <v>45383</v>
      </c>
      <c r="F273" s="2" t="n">
        <v>46477</v>
      </c>
      <c r="G273" s="3" t="n">
        <v>4130</v>
      </c>
      <c r="H273">
        <f>VLOOKUP(B273,Units!$A$2:$G$1646,2,FALSE)</f>
        <v/>
      </c>
      <c r="I273">
        <f>VLOOKUP(B273,Units!$A$2:$G$1646,5,FALSE)</f>
        <v/>
      </c>
      <c r="J273" s="3">
        <f>G273/I273</f>
        <v/>
      </c>
      <c r="K273" s="3">
        <f>G273*12</f>
        <v/>
      </c>
      <c r="L273" s="3" t="n">
        <v>12390</v>
      </c>
    </row>
    <row r="274">
      <c r="A274" t="inlineStr">
        <is>
          <t>TA-2024-00217</t>
        </is>
      </c>
      <c r="B274" t="inlineStr">
        <is>
          <t>U-BV271-02-01</t>
        </is>
      </c>
      <c r="C274" t="inlineStr">
        <is>
          <t>Little Sprouts Dental Care Pte Ltd</t>
        </is>
      </c>
      <c r="D274" t="inlineStr">
        <is>
          <t>Dental Clinic</t>
        </is>
      </c>
      <c r="E274" s="2" t="n">
        <v>45383</v>
      </c>
      <c r="F274" s="2" t="n">
        <v>46477</v>
      </c>
      <c r="G274" s="3" t="n">
        <v>4530</v>
      </c>
      <c r="H274">
        <f>VLOOKUP(B274,Units!$A$2:$G$1646,2,FALSE)</f>
        <v/>
      </c>
      <c r="I274">
        <f>VLOOKUP(B274,Units!$A$2:$G$1646,5,FALSE)</f>
        <v/>
      </c>
      <c r="J274" s="3">
        <f>G274/I274</f>
        <v/>
      </c>
      <c r="K274" s="3">
        <f>G274*12</f>
        <v/>
      </c>
      <c r="L274" s="3" t="n">
        <v>13590</v>
      </c>
    </row>
    <row r="275">
      <c r="A275" t="inlineStr">
        <is>
          <t>TA-2024-00219</t>
        </is>
      </c>
      <c r="B275" t="inlineStr">
        <is>
          <t>U-BV277-01-08</t>
        </is>
      </c>
      <c r="C275" t="inlineStr">
        <is>
          <t>Peng Kee Family Clinic</t>
        </is>
      </c>
      <c r="D275" t="inlineStr">
        <is>
          <t>GP Clinic</t>
        </is>
      </c>
      <c r="E275" s="2" t="n">
        <v>45383</v>
      </c>
      <c r="F275" s="2" t="n">
        <v>46477</v>
      </c>
      <c r="G275" s="3" t="n">
        <v>4300</v>
      </c>
      <c r="H275">
        <f>VLOOKUP(B275,Units!$A$2:$G$1646,2,FALSE)</f>
        <v/>
      </c>
      <c r="I275">
        <f>VLOOKUP(B275,Units!$A$2:$G$1646,5,FALSE)</f>
        <v/>
      </c>
      <c r="J275" s="3">
        <f>G275/I275</f>
        <v/>
      </c>
      <c r="K275" s="3">
        <f>G275*12</f>
        <v/>
      </c>
      <c r="L275" s="3" t="n">
        <v>12900</v>
      </c>
    </row>
    <row r="276">
      <c r="A276" t="inlineStr">
        <is>
          <t>TA-2024-00221</t>
        </is>
      </c>
      <c r="B276" t="inlineStr">
        <is>
          <t>U-BV288-01-04</t>
        </is>
      </c>
      <c r="C276" t="inlineStr">
        <is>
          <t>Hassan Beauty &amp; Hair</t>
        </is>
      </c>
      <c r="D276" t="inlineStr">
        <is>
          <t>Hair Salon</t>
        </is>
      </c>
      <c r="E276" s="2" t="n">
        <v>45383</v>
      </c>
      <c r="F276" s="2" t="n">
        <v>46477</v>
      </c>
      <c r="G276" s="3" t="n">
        <v>6940</v>
      </c>
      <c r="H276">
        <f>VLOOKUP(B276,Units!$A$2:$G$1646,2,FALSE)</f>
        <v/>
      </c>
      <c r="I276">
        <f>VLOOKUP(B276,Units!$A$2:$G$1646,5,FALSE)</f>
        <v/>
      </c>
      <c r="J276" s="3">
        <f>G276/I276</f>
        <v/>
      </c>
      <c r="K276" s="3">
        <f>G276*12</f>
        <v/>
      </c>
      <c r="L276" s="3" t="n">
        <v>20820</v>
      </c>
    </row>
    <row r="277">
      <c r="A277" t="inlineStr">
        <is>
          <t>TA-2024-00223</t>
        </is>
      </c>
      <c r="B277" t="inlineStr">
        <is>
          <t>U-BV290-01-02</t>
        </is>
      </c>
      <c r="C277" t="inlineStr">
        <is>
          <t>Lotus Beauty &amp; Hair</t>
        </is>
      </c>
      <c r="D277" t="inlineStr">
        <is>
          <t>Hair Salon</t>
        </is>
      </c>
      <c r="E277" s="2" t="n">
        <v>45383</v>
      </c>
      <c r="F277" s="2" t="n">
        <v>46477</v>
      </c>
      <c r="G277" s="3" t="n">
        <v>3430</v>
      </c>
      <c r="H277">
        <f>VLOOKUP(B277,Units!$A$2:$G$1646,2,FALSE)</f>
        <v/>
      </c>
      <c r="I277">
        <f>VLOOKUP(B277,Units!$A$2:$G$1646,5,FALSE)</f>
        <v/>
      </c>
      <c r="J277" s="3">
        <f>G277/I277</f>
        <v/>
      </c>
      <c r="K277" s="3">
        <f>G277*12</f>
        <v/>
      </c>
      <c r="L277" s="3" t="n">
        <v>10290</v>
      </c>
    </row>
    <row r="278">
      <c r="A278" t="inlineStr">
        <is>
          <t>TA-2024-00224</t>
        </is>
      </c>
      <c r="B278" t="inlineStr">
        <is>
          <t>U-CD118-01-01</t>
        </is>
      </c>
      <c r="C278" t="inlineStr">
        <is>
          <t>Sin Hock Eating House</t>
        </is>
      </c>
      <c r="D278" t="inlineStr">
        <is>
          <t>Coffeeshop</t>
        </is>
      </c>
      <c r="E278" s="2" t="n">
        <v>45383</v>
      </c>
      <c r="F278" s="2" t="n">
        <v>46477</v>
      </c>
      <c r="G278" s="3" t="n">
        <v>11800</v>
      </c>
      <c r="H278">
        <f>VLOOKUP(B278,Units!$A$2:$G$1646,2,FALSE)</f>
        <v/>
      </c>
      <c r="I278">
        <f>VLOOKUP(B278,Units!$A$2:$G$1646,5,FALSE)</f>
        <v/>
      </c>
      <c r="J278" s="3">
        <f>G278/I278</f>
        <v/>
      </c>
      <c r="K278" s="3">
        <f>G278*12</f>
        <v/>
      </c>
      <c r="L278" s="3" t="n">
        <v>35400</v>
      </c>
    </row>
    <row r="279">
      <c r="A279" t="inlineStr">
        <is>
          <t>TA-2024-00225</t>
        </is>
      </c>
      <c r="B279" t="inlineStr">
        <is>
          <t>U-CD118-01-30</t>
        </is>
      </c>
      <c r="C279" t="inlineStr">
        <is>
          <t>Kopi Corner Hair Salon Pte Ltd</t>
        </is>
      </c>
      <c r="D279" t="inlineStr">
        <is>
          <t>Hair Salon</t>
        </is>
      </c>
      <c r="E279" s="2" t="n">
        <v>45383</v>
      </c>
      <c r="F279" s="2" t="n">
        <v>46477</v>
      </c>
      <c r="G279" s="3" t="n">
        <v>4250</v>
      </c>
      <c r="H279">
        <f>VLOOKUP(B279,Units!$A$2:$G$1646,2,FALSE)</f>
        <v/>
      </c>
      <c r="I279">
        <f>VLOOKUP(B279,Units!$A$2:$G$1646,5,FALSE)</f>
        <v/>
      </c>
      <c r="J279" s="3">
        <f>G279/I279</f>
        <v/>
      </c>
      <c r="K279" s="3">
        <f>G279*12</f>
        <v/>
      </c>
      <c r="L279" s="3" t="n">
        <v>12750</v>
      </c>
    </row>
    <row r="280">
      <c r="A280" t="inlineStr">
        <is>
          <t>TA-2024-00227</t>
        </is>
      </c>
      <c r="B280" t="inlineStr">
        <is>
          <t>U-CD119-01-05</t>
        </is>
      </c>
      <c r="C280" t="inlineStr">
        <is>
          <t>Thye Hin Laundry Pte Ltd</t>
        </is>
      </c>
      <c r="D280" t="inlineStr">
        <is>
          <t>Laundry</t>
        </is>
      </c>
      <c r="E280" s="2" t="n">
        <v>45383</v>
      </c>
      <c r="F280" s="2" t="n">
        <v>46477</v>
      </c>
      <c r="G280" s="3" t="n">
        <v>2930</v>
      </c>
      <c r="H280">
        <f>VLOOKUP(B280,Units!$A$2:$G$1646,2,FALSE)</f>
        <v/>
      </c>
      <c r="I280">
        <f>VLOOKUP(B280,Units!$A$2:$G$1646,5,FALSE)</f>
        <v/>
      </c>
      <c r="J280" s="3">
        <f>G280/I280</f>
        <v/>
      </c>
      <c r="K280" s="3">
        <f>G280*12</f>
        <v/>
      </c>
      <c r="L280" s="3" t="n">
        <v>8790</v>
      </c>
    </row>
    <row r="281">
      <c r="A281" t="inlineStr">
        <is>
          <t>TA-2024-00228</t>
        </is>
      </c>
      <c r="B281" t="inlineStr">
        <is>
          <t>U-CD133-01-08</t>
        </is>
      </c>
      <c r="C281" t="inlineStr">
        <is>
          <t>Cosy Hair Studio</t>
        </is>
      </c>
      <c r="D281" t="inlineStr">
        <is>
          <t>Hair Salon</t>
        </is>
      </c>
      <c r="E281" s="2" t="n">
        <v>45383</v>
      </c>
      <c r="F281" s="2" t="n">
        <v>46477</v>
      </c>
      <c r="G281" s="3" t="n">
        <v>2640</v>
      </c>
      <c r="H281">
        <f>VLOOKUP(B281,Units!$A$2:$G$1646,2,FALSE)</f>
        <v/>
      </c>
      <c r="I281">
        <f>VLOOKUP(B281,Units!$A$2:$G$1646,5,FALSE)</f>
        <v/>
      </c>
      <c r="J281" s="3">
        <f>G281/I281</f>
        <v/>
      </c>
      <c r="K281" s="3">
        <f>G281*12</f>
        <v/>
      </c>
      <c r="L281" s="3" t="n">
        <v>7920</v>
      </c>
    </row>
    <row r="282">
      <c r="A282" t="inlineStr">
        <is>
          <t>TA-2024-00230</t>
        </is>
      </c>
      <c r="B282" t="inlineStr">
        <is>
          <t>U-CD152-01-05</t>
        </is>
      </c>
      <c r="C282" t="inlineStr">
        <is>
          <t>Jade Garden Money Changer</t>
        </is>
      </c>
      <c r="D282" t="inlineStr">
        <is>
          <t>Remittance &amp; Money Changer</t>
        </is>
      </c>
      <c r="E282" s="2" t="n">
        <v>45383</v>
      </c>
      <c r="F282" s="2" t="n">
        <v>46477</v>
      </c>
      <c r="G282" s="3" t="n">
        <v>1920</v>
      </c>
      <c r="H282">
        <f>VLOOKUP(B282,Units!$A$2:$G$1646,2,FALSE)</f>
        <v/>
      </c>
      <c r="I282">
        <f>VLOOKUP(B282,Units!$A$2:$G$1646,5,FALSE)</f>
        <v/>
      </c>
      <c r="J282" s="3">
        <f>G282/I282</f>
        <v/>
      </c>
      <c r="K282" s="3">
        <f>G282*12</f>
        <v/>
      </c>
      <c r="L282" s="3" t="n">
        <v>5760</v>
      </c>
    </row>
    <row r="283">
      <c r="A283" t="inlineStr">
        <is>
          <t>TA-2024-00231</t>
        </is>
      </c>
      <c r="B283" t="inlineStr">
        <is>
          <t>U-CD152-01-09</t>
        </is>
      </c>
      <c r="C283" t="inlineStr">
        <is>
          <t>Swee Heng Family Clinic Pte Ltd</t>
        </is>
      </c>
      <c r="D283" t="inlineStr">
        <is>
          <t>GP Clinic</t>
        </is>
      </c>
      <c r="E283" s="2" t="n">
        <v>45383</v>
      </c>
      <c r="F283" s="2" t="n">
        <v>46477</v>
      </c>
      <c r="G283" s="3" t="n">
        <v>3820</v>
      </c>
      <c r="H283">
        <f>VLOOKUP(B283,Units!$A$2:$G$1646,2,FALSE)</f>
        <v/>
      </c>
      <c r="I283">
        <f>VLOOKUP(B283,Units!$A$2:$G$1646,5,FALSE)</f>
        <v/>
      </c>
      <c r="J283" s="3">
        <f>G283/I283</f>
        <v/>
      </c>
      <c r="K283" s="3">
        <f>G283*12</f>
        <v/>
      </c>
      <c r="L283" s="3" t="n">
        <v>11460</v>
      </c>
    </row>
    <row r="284">
      <c r="A284" t="inlineStr">
        <is>
          <t>TA-2024-00232</t>
        </is>
      </c>
      <c r="B284" t="inlineStr">
        <is>
          <t>U-CD160-01-10</t>
        </is>
      </c>
      <c r="C284" t="inlineStr">
        <is>
          <t>Chin Lee Pet Shop Pte Ltd</t>
        </is>
      </c>
      <c r="D284" t="inlineStr">
        <is>
          <t>Pet Shop</t>
        </is>
      </c>
      <c r="E284" s="2" t="n">
        <v>45383</v>
      </c>
      <c r="F284" s="2" t="n">
        <v>46477</v>
      </c>
      <c r="G284" s="3" t="n">
        <v>3740</v>
      </c>
      <c r="H284">
        <f>VLOOKUP(B284,Units!$A$2:$G$1646,2,FALSE)</f>
        <v/>
      </c>
      <c r="I284">
        <f>VLOOKUP(B284,Units!$A$2:$G$1646,5,FALSE)</f>
        <v/>
      </c>
      <c r="J284" s="3">
        <f>G284/I284</f>
        <v/>
      </c>
      <c r="K284" s="3">
        <f>G284*12</f>
        <v/>
      </c>
      <c r="L284" s="3" t="n">
        <v>11220</v>
      </c>
    </row>
    <row r="285">
      <c r="A285" t="inlineStr">
        <is>
          <t>TA-2024-00233</t>
        </is>
      </c>
      <c r="B285" t="inlineStr">
        <is>
          <t>U-CD170-01-03</t>
        </is>
      </c>
      <c r="C285" t="inlineStr">
        <is>
          <t>Amanah Dental Surgery</t>
        </is>
      </c>
      <c r="D285" t="inlineStr">
        <is>
          <t>Dental Clinic</t>
        </is>
      </c>
      <c r="E285" s="2" t="n">
        <v>45383</v>
      </c>
      <c r="F285" s="2" t="n">
        <v>46477</v>
      </c>
      <c r="G285" s="3" t="n">
        <v>5910</v>
      </c>
      <c r="H285">
        <f>VLOOKUP(B285,Units!$A$2:$G$1646,2,FALSE)</f>
        <v/>
      </c>
      <c r="I285">
        <f>VLOOKUP(B285,Units!$A$2:$G$1646,5,FALSE)</f>
        <v/>
      </c>
      <c r="J285" s="3">
        <f>G285/I285</f>
        <v/>
      </c>
      <c r="K285" s="3">
        <f>G285*12</f>
        <v/>
      </c>
      <c r="L285" s="3" t="n">
        <v>17730</v>
      </c>
    </row>
    <row r="286">
      <c r="A286" t="inlineStr">
        <is>
          <t>TA-2024-00235</t>
        </is>
      </c>
      <c r="B286" t="inlineStr">
        <is>
          <t>U-CD174-01-01</t>
        </is>
      </c>
      <c r="C286" t="inlineStr">
        <is>
          <t>Teck Guan Minimart</t>
        </is>
      </c>
      <c r="D286" t="inlineStr">
        <is>
          <t>Minimart</t>
        </is>
      </c>
      <c r="E286" s="2" t="n">
        <v>45383</v>
      </c>
      <c r="F286" s="2" t="n">
        <v>46477</v>
      </c>
      <c r="G286" s="3" t="n">
        <v>2460</v>
      </c>
      <c r="H286">
        <f>VLOOKUP(B286,Units!$A$2:$G$1646,2,FALSE)</f>
        <v/>
      </c>
      <c r="I286">
        <f>VLOOKUP(B286,Units!$A$2:$G$1646,5,FALSE)</f>
        <v/>
      </c>
      <c r="J286" s="3">
        <f>G286/I286</f>
        <v/>
      </c>
      <c r="K286" s="3">
        <f>G286*12</f>
        <v/>
      </c>
      <c r="L286" s="3" t="n">
        <v>7380</v>
      </c>
    </row>
    <row r="287">
      <c r="A287" t="inlineStr">
        <is>
          <t>TA-2024-00236</t>
        </is>
      </c>
      <c r="B287" t="inlineStr">
        <is>
          <t>U-KR305-01-34</t>
        </is>
      </c>
      <c r="C287" t="inlineStr">
        <is>
          <t>Chin Lee Beauty &amp; Hair Pte Ltd</t>
        </is>
      </c>
      <c r="D287" t="inlineStr">
        <is>
          <t>Hair Salon</t>
        </is>
      </c>
      <c r="E287" s="2" t="n">
        <v>45383</v>
      </c>
      <c r="F287" s="2" t="n">
        <v>46477</v>
      </c>
      <c r="G287" s="3" t="n">
        <v>3150</v>
      </c>
      <c r="H287">
        <f>VLOOKUP(B287,Units!$A$2:$G$1646,2,FALSE)</f>
        <v/>
      </c>
      <c r="I287">
        <f>VLOOKUP(B287,Units!$A$2:$G$1646,5,FALSE)</f>
        <v/>
      </c>
      <c r="J287" s="3">
        <f>G287/I287</f>
        <v/>
      </c>
      <c r="K287" s="3">
        <f>G287*12</f>
        <v/>
      </c>
      <c r="L287" s="3" t="n">
        <v>9450</v>
      </c>
    </row>
    <row r="288">
      <c r="A288" t="inlineStr">
        <is>
          <t>TA-2024-00238</t>
        </is>
      </c>
      <c r="B288" t="inlineStr">
        <is>
          <t>U-KR317-01-03</t>
        </is>
      </c>
      <c r="C288" t="inlineStr">
        <is>
          <t>Evergreen Beauty &amp; Hair</t>
        </is>
      </c>
      <c r="D288" t="inlineStr">
        <is>
          <t>Hair Salon</t>
        </is>
      </c>
      <c r="E288" s="2" t="n">
        <v>45383</v>
      </c>
      <c r="F288" s="2" t="n">
        <v>46477</v>
      </c>
      <c r="G288" s="3" t="n">
        <v>3270</v>
      </c>
      <c r="H288">
        <f>VLOOKUP(B288,Units!$A$2:$G$1646,2,FALSE)</f>
        <v/>
      </c>
      <c r="I288">
        <f>VLOOKUP(B288,Units!$A$2:$G$1646,5,FALSE)</f>
        <v/>
      </c>
      <c r="J288" s="3">
        <f>G288/I288</f>
        <v/>
      </c>
      <c r="K288" s="3">
        <f>G288*12</f>
        <v/>
      </c>
      <c r="L288" s="3" t="n">
        <v>9810</v>
      </c>
    </row>
    <row r="289">
      <c r="A289" t="inlineStr">
        <is>
          <t>TA-2024-00239</t>
        </is>
      </c>
      <c r="B289" t="inlineStr">
        <is>
          <t>U-KR318-01-02</t>
        </is>
      </c>
      <c r="C289" t="inlineStr">
        <is>
          <t>Sri Ganesh Bakery Pte Ltd</t>
        </is>
      </c>
      <c r="D289" t="inlineStr">
        <is>
          <t>Bakery &amp; Confectionery</t>
        </is>
      </c>
      <c r="E289" s="2" t="n">
        <v>45383</v>
      </c>
      <c r="F289" s="2" t="n">
        <v>46477</v>
      </c>
      <c r="G289" s="3" t="n">
        <v>5710</v>
      </c>
      <c r="H289">
        <f>VLOOKUP(B289,Units!$A$2:$G$1646,2,FALSE)</f>
        <v/>
      </c>
      <c r="I289">
        <f>VLOOKUP(B289,Units!$A$2:$G$1646,5,FALSE)</f>
        <v/>
      </c>
      <c r="J289" s="3">
        <f>G289/I289</f>
        <v/>
      </c>
      <c r="K289" s="3">
        <f>G289*12</f>
        <v/>
      </c>
      <c r="L289" s="3" t="n">
        <v>17130</v>
      </c>
    </row>
    <row r="290">
      <c r="A290" t="inlineStr">
        <is>
          <t>TA-2024-00240</t>
        </is>
      </c>
      <c r="B290" t="inlineStr">
        <is>
          <t>U-KR341-01-07</t>
        </is>
      </c>
      <c r="C290" t="inlineStr">
        <is>
          <t>Murugan Fruit Trading</t>
        </is>
      </c>
      <c r="D290" t="inlineStr">
        <is>
          <t>Fruit Shop</t>
        </is>
      </c>
      <c r="E290" s="2" t="n">
        <v>45383</v>
      </c>
      <c r="F290" s="2" t="n">
        <v>46477</v>
      </c>
      <c r="G290" s="3" t="n">
        <v>1540</v>
      </c>
      <c r="H290">
        <f>VLOOKUP(B290,Units!$A$2:$G$1646,2,FALSE)</f>
        <v/>
      </c>
      <c r="I290">
        <f>VLOOKUP(B290,Units!$A$2:$G$1646,5,FALSE)</f>
        <v/>
      </c>
      <c r="J290" s="3">
        <f>G290/I290</f>
        <v/>
      </c>
      <c r="K290" s="3">
        <f>G290*12</f>
        <v/>
      </c>
      <c r="L290" s="3" t="n">
        <v>4620</v>
      </c>
    </row>
    <row r="291">
      <c r="A291" t="inlineStr">
        <is>
          <t>TA-2024-00242</t>
        </is>
      </c>
      <c r="B291" t="inlineStr">
        <is>
          <t>U-KR345-01-14</t>
        </is>
      </c>
      <c r="C291" t="inlineStr">
        <is>
          <t>Gold Coin Hair Studio</t>
        </is>
      </c>
      <c r="D291" t="inlineStr">
        <is>
          <t>Hair Salon</t>
        </is>
      </c>
      <c r="E291" s="2" t="n">
        <v>45383</v>
      </c>
      <c r="F291" s="2" t="n">
        <v>46477</v>
      </c>
      <c r="G291" s="3" t="n">
        <v>2870</v>
      </c>
      <c r="H291">
        <f>VLOOKUP(B291,Units!$A$2:$G$1646,2,FALSE)</f>
        <v/>
      </c>
      <c r="I291">
        <f>VLOOKUP(B291,Units!$A$2:$G$1646,5,FALSE)</f>
        <v/>
      </c>
      <c r="J291" s="3">
        <f>G291/I291</f>
        <v/>
      </c>
      <c r="K291" s="3">
        <f>G291*12</f>
        <v/>
      </c>
      <c r="L291" s="3" t="n">
        <v>8610</v>
      </c>
    </row>
    <row r="292">
      <c r="A292" t="inlineStr">
        <is>
          <t>TA-2024-00243</t>
        </is>
      </c>
      <c r="B292" t="inlineStr">
        <is>
          <t>U-KR379-01-09</t>
        </is>
      </c>
      <c r="C292" t="inlineStr">
        <is>
          <t>Kumar Minimart</t>
        </is>
      </c>
      <c r="D292" t="inlineStr">
        <is>
          <t>Minimart</t>
        </is>
      </c>
      <c r="E292" s="2" t="n">
        <v>45383</v>
      </c>
      <c r="F292" s="2" t="n">
        <v>46477</v>
      </c>
      <c r="G292" s="3" t="n">
        <v>4510</v>
      </c>
      <c r="H292">
        <f>VLOOKUP(B292,Units!$A$2:$G$1646,2,FALSE)</f>
        <v/>
      </c>
      <c r="I292">
        <f>VLOOKUP(B292,Units!$A$2:$G$1646,5,FALSE)</f>
        <v/>
      </c>
      <c r="J292" s="3">
        <f>G292/I292</f>
        <v/>
      </c>
      <c r="K292" s="3">
        <f>G292*12</f>
        <v/>
      </c>
      <c r="L292" s="3" t="n">
        <v>13530</v>
      </c>
    </row>
    <row r="293">
      <c r="A293" t="inlineStr">
        <is>
          <t>TA-2024-00244</t>
        </is>
      </c>
      <c r="B293" t="inlineStr">
        <is>
          <t>U-KR385-02-02</t>
        </is>
      </c>
      <c r="C293" t="inlineStr">
        <is>
          <t>Golden Leaf Clinic &amp; Surgery</t>
        </is>
      </c>
      <c r="D293" t="inlineStr">
        <is>
          <t>GP Clinic</t>
        </is>
      </c>
      <c r="E293" s="2" t="n">
        <v>45383</v>
      </c>
      <c r="F293" s="2" t="n">
        <v>46477</v>
      </c>
      <c r="G293" s="3" t="n">
        <v>2990</v>
      </c>
      <c r="H293">
        <f>VLOOKUP(B293,Units!$A$2:$G$1646,2,FALSE)</f>
        <v/>
      </c>
      <c r="I293">
        <f>VLOOKUP(B293,Units!$A$2:$G$1646,5,FALSE)</f>
        <v/>
      </c>
      <c r="J293" s="3">
        <f>G293/I293</f>
        <v/>
      </c>
      <c r="K293" s="3">
        <f>G293*12</f>
        <v/>
      </c>
      <c r="L293" s="3" t="n">
        <v>8970</v>
      </c>
    </row>
    <row r="294">
      <c r="A294" t="inlineStr">
        <is>
          <t>TA-2024-00246</t>
        </is>
      </c>
      <c r="B294" t="inlineStr">
        <is>
          <t>U-KR386-01-08</t>
        </is>
      </c>
      <c r="C294" t="inlineStr">
        <is>
          <t>Swee Heng Medical Hall</t>
        </is>
      </c>
      <c r="D294" t="inlineStr">
        <is>
          <t>TCM Clinic</t>
        </is>
      </c>
      <c r="E294" s="2" t="n">
        <v>45383</v>
      </c>
      <c r="F294" s="2" t="n">
        <v>46477</v>
      </c>
      <c r="G294" s="3" t="n">
        <v>4340</v>
      </c>
      <c r="H294">
        <f>VLOOKUP(B294,Units!$A$2:$G$1646,2,FALSE)</f>
        <v/>
      </c>
      <c r="I294">
        <f>VLOOKUP(B294,Units!$A$2:$G$1646,5,FALSE)</f>
        <v/>
      </c>
      <c r="J294" s="3">
        <f>G294/I294</f>
        <v/>
      </c>
      <c r="K294" s="3">
        <f>G294*12</f>
        <v/>
      </c>
      <c r="L294" s="3" t="n">
        <v>13020</v>
      </c>
    </row>
    <row r="295">
      <c r="A295" t="inlineStr">
        <is>
          <t>TA-2024-00247</t>
        </is>
      </c>
      <c r="B295" t="inlineStr">
        <is>
          <t>U-PI609-02-08</t>
        </is>
      </c>
      <c r="C295" t="inlineStr">
        <is>
          <t>Rainbow Medical Clinic</t>
        </is>
      </c>
      <c r="D295" t="inlineStr">
        <is>
          <t>GP Clinic</t>
        </is>
      </c>
      <c r="E295" s="2" t="n">
        <v>45383</v>
      </c>
      <c r="F295" s="2" t="n">
        <v>46477</v>
      </c>
      <c r="G295" s="3" t="n">
        <v>1440</v>
      </c>
      <c r="H295">
        <f>VLOOKUP(B295,Units!$A$2:$G$1646,2,FALSE)</f>
        <v/>
      </c>
      <c r="I295">
        <f>VLOOKUP(B295,Units!$A$2:$G$1646,5,FALSE)</f>
        <v/>
      </c>
      <c r="J295" s="3">
        <f>G295/I295</f>
        <v/>
      </c>
      <c r="K295" s="3">
        <f>G295*12</f>
        <v/>
      </c>
      <c r="L295" s="3" t="n">
        <v>4320</v>
      </c>
    </row>
    <row r="296">
      <c r="A296" t="inlineStr">
        <is>
          <t>TA-2024-00249</t>
        </is>
      </c>
      <c r="B296" t="inlineStr">
        <is>
          <t>U-PI644-01-09</t>
        </is>
      </c>
      <c r="C296" t="inlineStr">
        <is>
          <t>Jade Garden Supermarket</t>
        </is>
      </c>
      <c r="D296" t="inlineStr">
        <is>
          <t>Minimart</t>
        </is>
      </c>
      <c r="E296" s="2" t="n">
        <v>45383</v>
      </c>
      <c r="F296" s="2" t="n">
        <v>46477</v>
      </c>
      <c r="G296" s="3" t="n">
        <v>5120</v>
      </c>
      <c r="H296">
        <f>VLOOKUP(B296,Units!$A$2:$G$1646,2,FALSE)</f>
        <v/>
      </c>
      <c r="I296">
        <f>VLOOKUP(B296,Units!$A$2:$G$1646,5,FALSE)</f>
        <v/>
      </c>
      <c r="J296" s="3">
        <f>G296/I296</f>
        <v/>
      </c>
      <c r="K296" s="3">
        <f>G296*12</f>
        <v/>
      </c>
      <c r="L296" s="3" t="n">
        <v>15360</v>
      </c>
    </row>
    <row r="297">
      <c r="A297" t="inlineStr">
        <is>
          <t>TA-2024-00251</t>
        </is>
      </c>
      <c r="B297" t="inlineStr">
        <is>
          <t>U-PI646-01-04</t>
        </is>
      </c>
      <c r="C297" t="inlineStr">
        <is>
          <t>Tan Brothers Hardware &amp; Electrical</t>
        </is>
      </c>
      <c r="D297" t="inlineStr">
        <is>
          <t>Hardware</t>
        </is>
      </c>
      <c r="E297" s="2" t="n">
        <v>45383</v>
      </c>
      <c r="F297" s="2" t="n">
        <v>46477</v>
      </c>
      <c r="G297" s="3" t="n">
        <v>4210</v>
      </c>
      <c r="H297">
        <f>VLOOKUP(B297,Units!$A$2:$G$1646,2,FALSE)</f>
        <v/>
      </c>
      <c r="I297">
        <f>VLOOKUP(B297,Units!$A$2:$G$1646,5,FALSE)</f>
        <v/>
      </c>
      <c r="J297" s="3">
        <f>G297/I297</f>
        <v/>
      </c>
      <c r="K297" s="3">
        <f>G297*12</f>
        <v/>
      </c>
      <c r="L297" s="3" t="n">
        <v>12630</v>
      </c>
    </row>
    <row r="298">
      <c r="A298" t="inlineStr">
        <is>
          <t>TA-2024-00252</t>
        </is>
      </c>
      <c r="B298" t="inlineStr">
        <is>
          <t>U-PI678-01-10</t>
        </is>
      </c>
      <c r="C298" t="inlineStr">
        <is>
          <t>Ong &amp; Sons TCM Clinic</t>
        </is>
      </c>
      <c r="D298" t="inlineStr">
        <is>
          <t>TCM Clinic</t>
        </is>
      </c>
      <c r="E298" s="2" t="n">
        <v>45383</v>
      </c>
      <c r="F298" s="2" t="n">
        <v>46477</v>
      </c>
      <c r="G298" s="3" t="n">
        <v>2960</v>
      </c>
      <c r="H298">
        <f>VLOOKUP(B298,Units!$A$2:$G$1646,2,FALSE)</f>
        <v/>
      </c>
      <c r="I298">
        <f>VLOOKUP(B298,Units!$A$2:$G$1646,5,FALSE)</f>
        <v/>
      </c>
      <c r="J298" s="3">
        <f>G298/I298</f>
        <v/>
      </c>
      <c r="K298" s="3">
        <f>G298*12</f>
        <v/>
      </c>
      <c r="L298" s="3" t="n">
        <v>8880</v>
      </c>
    </row>
    <row r="299">
      <c r="A299" t="inlineStr">
        <is>
          <t>TA-2024-00253</t>
        </is>
      </c>
      <c r="B299" t="inlineStr">
        <is>
          <t>U-RH408-01-06</t>
        </is>
      </c>
      <c r="C299" t="inlineStr">
        <is>
          <t>Happy Paws Trading Pte Ltd</t>
        </is>
      </c>
      <c r="D299" t="inlineStr">
        <is>
          <t>Provision Shop</t>
        </is>
      </c>
      <c r="E299" s="2" t="n">
        <v>45383</v>
      </c>
      <c r="F299" s="2" t="n">
        <v>46477</v>
      </c>
      <c r="G299" s="3" t="n">
        <v>3620</v>
      </c>
      <c r="H299">
        <f>VLOOKUP(B299,Units!$A$2:$G$1646,2,FALSE)</f>
        <v/>
      </c>
      <c r="I299">
        <f>VLOOKUP(B299,Units!$A$2:$G$1646,5,FALSE)</f>
        <v/>
      </c>
      <c r="J299" s="3">
        <f>G299/I299</f>
        <v/>
      </c>
      <c r="K299" s="3">
        <f>G299*12</f>
        <v/>
      </c>
      <c r="L299" s="3" t="n">
        <v>10860</v>
      </c>
    </row>
    <row r="300">
      <c r="A300" t="inlineStr">
        <is>
          <t>TA-2024-00255</t>
        </is>
      </c>
      <c r="B300" t="inlineStr">
        <is>
          <t>U-RH408-01-08</t>
        </is>
      </c>
      <c r="C300" t="inlineStr">
        <is>
          <t>Golden Leaf Store</t>
        </is>
      </c>
      <c r="D300" t="inlineStr">
        <is>
          <t>Provision Shop</t>
        </is>
      </c>
      <c r="E300" s="2" t="n">
        <v>45383</v>
      </c>
      <c r="F300" s="2" t="n">
        <v>46477</v>
      </c>
      <c r="G300" s="3" t="n">
        <v>2210</v>
      </c>
      <c r="H300">
        <f>VLOOKUP(B300,Units!$A$2:$G$1646,2,FALSE)</f>
        <v/>
      </c>
      <c r="I300">
        <f>VLOOKUP(B300,Units!$A$2:$G$1646,5,FALSE)</f>
        <v/>
      </c>
      <c r="J300" s="3">
        <f>G300/I300</f>
        <v/>
      </c>
      <c r="K300" s="3">
        <f>G300*12</f>
        <v/>
      </c>
      <c r="L300" s="3" t="n">
        <v>6630</v>
      </c>
    </row>
    <row r="301">
      <c r="A301" t="inlineStr">
        <is>
          <t>TA-2024-00256</t>
        </is>
      </c>
      <c r="B301" t="inlineStr">
        <is>
          <t>U-RH434-01-04</t>
        </is>
      </c>
      <c r="C301" t="inlineStr">
        <is>
          <t>Hup Seng Hardware &amp; Electrical</t>
        </is>
      </c>
      <c r="D301" t="inlineStr">
        <is>
          <t>Hardware</t>
        </is>
      </c>
      <c r="E301" s="2" t="n">
        <v>45383</v>
      </c>
      <c r="F301" s="2" t="n">
        <v>46477</v>
      </c>
      <c r="G301" s="3" t="n">
        <v>3440</v>
      </c>
      <c r="H301">
        <f>VLOOKUP(B301,Units!$A$2:$G$1646,2,FALSE)</f>
        <v/>
      </c>
      <c r="I301">
        <f>VLOOKUP(B301,Units!$A$2:$G$1646,5,FALSE)</f>
        <v/>
      </c>
      <c r="J301" s="3">
        <f>G301/I301</f>
        <v/>
      </c>
      <c r="K301" s="3">
        <f>G301*12</f>
        <v/>
      </c>
      <c r="L301" s="3" t="n">
        <v>10320</v>
      </c>
    </row>
    <row r="302">
      <c r="A302" t="inlineStr">
        <is>
          <t>TA-2024-00258</t>
        </is>
      </c>
      <c r="B302" t="inlineStr">
        <is>
          <t>U-RH455-01-03</t>
        </is>
      </c>
      <c r="C302" t="inlineStr">
        <is>
          <t>Ong &amp; Sons Hardware Pte Ltd</t>
        </is>
      </c>
      <c r="D302" t="inlineStr">
        <is>
          <t>Hardware</t>
        </is>
      </c>
      <c r="E302" s="2" t="n">
        <v>45383</v>
      </c>
      <c r="F302" s="2" t="n">
        <v>46477</v>
      </c>
      <c r="G302" s="3" t="n">
        <v>2720</v>
      </c>
      <c r="H302">
        <f>VLOOKUP(B302,Units!$A$2:$G$1646,2,FALSE)</f>
        <v/>
      </c>
      <c r="I302">
        <f>VLOOKUP(B302,Units!$A$2:$G$1646,5,FALSE)</f>
        <v/>
      </c>
      <c r="J302" s="3">
        <f>G302/I302</f>
        <v/>
      </c>
      <c r="K302" s="3">
        <f>G302*12</f>
        <v/>
      </c>
      <c r="L302" s="3" t="n">
        <v>8160</v>
      </c>
    </row>
    <row r="303">
      <c r="A303" t="inlineStr">
        <is>
          <t>TA-2024-00259</t>
        </is>
      </c>
      <c r="B303" t="inlineStr">
        <is>
          <t>U-RH482-01-04</t>
        </is>
      </c>
      <c r="C303" t="inlineStr">
        <is>
          <t>Raja Provision Shop</t>
        </is>
      </c>
      <c r="D303" t="inlineStr">
        <is>
          <t>Provision Shop</t>
        </is>
      </c>
      <c r="E303" s="2" t="n">
        <v>45383</v>
      </c>
      <c r="F303" s="2" t="n">
        <v>46477</v>
      </c>
      <c r="G303" s="3" t="n">
        <v>2700</v>
      </c>
      <c r="H303">
        <f>VLOOKUP(B303,Units!$A$2:$G$1646,2,FALSE)</f>
        <v/>
      </c>
      <c r="I303">
        <f>VLOOKUP(B303,Units!$A$2:$G$1646,5,FALSE)</f>
        <v/>
      </c>
      <c r="J303" s="3">
        <f>G303/I303</f>
        <v/>
      </c>
      <c r="K303" s="3">
        <f>G303*12</f>
        <v/>
      </c>
      <c r="L303" s="3" t="n">
        <v>8100</v>
      </c>
    </row>
    <row r="304">
      <c r="A304" t="inlineStr">
        <is>
          <t>TA-2024-00260</t>
        </is>
      </c>
      <c r="B304" t="inlineStr">
        <is>
          <t>U-RH484-01-01</t>
        </is>
      </c>
      <c r="C304" t="inlineStr">
        <is>
          <t>Blue Pearl Optical Pte Ltd</t>
        </is>
      </c>
      <c r="D304" t="inlineStr">
        <is>
          <t>Optical</t>
        </is>
      </c>
      <c r="E304" s="2" t="n">
        <v>45383</v>
      </c>
      <c r="F304" s="2" t="n">
        <v>46477</v>
      </c>
      <c r="G304" s="3" t="n">
        <v>3110</v>
      </c>
      <c r="H304">
        <f>VLOOKUP(B304,Units!$A$2:$G$1646,2,FALSE)</f>
        <v/>
      </c>
      <c r="I304">
        <f>VLOOKUP(B304,Units!$A$2:$G$1646,5,FALSE)</f>
        <v/>
      </c>
      <c r="J304" s="3">
        <f>G304/I304</f>
        <v/>
      </c>
      <c r="K304" s="3">
        <f>G304*12</f>
        <v/>
      </c>
      <c r="L304" s="3" t="n">
        <v>9330</v>
      </c>
    </row>
    <row r="305">
      <c r="A305" t="inlineStr">
        <is>
          <t>TA-2024-00262</t>
        </is>
      </c>
      <c r="B305" t="inlineStr">
        <is>
          <t>U-RH484-01-02</t>
        </is>
      </c>
      <c r="C305" t="inlineStr">
        <is>
          <t>Little Sprouts Fruit Trading Pte Ltd</t>
        </is>
      </c>
      <c r="D305" t="inlineStr">
        <is>
          <t>Fruit Shop</t>
        </is>
      </c>
      <c r="E305" s="2" t="n">
        <v>45383</v>
      </c>
      <c r="F305" s="2" t="n">
        <v>46477</v>
      </c>
      <c r="G305" s="3" t="n">
        <v>5330</v>
      </c>
      <c r="H305">
        <f>VLOOKUP(B305,Units!$A$2:$G$1646,2,FALSE)</f>
        <v/>
      </c>
      <c r="I305">
        <f>VLOOKUP(B305,Units!$A$2:$G$1646,5,FALSE)</f>
        <v/>
      </c>
      <c r="J305" s="3">
        <f>G305/I305</f>
        <v/>
      </c>
      <c r="K305" s="3">
        <f>G305*12</f>
        <v/>
      </c>
      <c r="L305" s="3" t="n">
        <v>15990</v>
      </c>
    </row>
    <row r="306">
      <c r="A306" t="inlineStr">
        <is>
          <t>TA-2024-00264</t>
        </is>
      </c>
      <c r="B306" t="inlineStr">
        <is>
          <t>U-RH484-01-07</t>
        </is>
      </c>
      <c r="C306" t="inlineStr">
        <is>
          <t>Tan Brothers Medical Hall Pte Ltd</t>
        </is>
      </c>
      <c r="D306" t="inlineStr">
        <is>
          <t>TCM Clinic</t>
        </is>
      </c>
      <c r="E306" s="2" t="n">
        <v>45383</v>
      </c>
      <c r="F306" s="2" t="n">
        <v>46477</v>
      </c>
      <c r="G306" s="3" t="n">
        <v>2620</v>
      </c>
      <c r="H306">
        <f>VLOOKUP(B306,Units!$A$2:$G$1646,2,FALSE)</f>
        <v/>
      </c>
      <c r="I306">
        <f>VLOOKUP(B306,Units!$A$2:$G$1646,5,FALSE)</f>
        <v/>
      </c>
      <c r="J306" s="3">
        <f>G306/I306</f>
        <v/>
      </c>
      <c r="K306" s="3">
        <f>G306*12</f>
        <v/>
      </c>
      <c r="L306" s="3" t="n">
        <v>7860</v>
      </c>
    </row>
    <row r="307">
      <c r="A307" t="inlineStr">
        <is>
          <t>TA-2024-00265</t>
        </is>
      </c>
      <c r="B307" t="inlineStr">
        <is>
          <t>U-RH485-01-08</t>
        </is>
      </c>
      <c r="C307" t="inlineStr">
        <is>
          <t>Treasure Family Clinic</t>
        </is>
      </c>
      <c r="D307" t="inlineStr">
        <is>
          <t>GP Clinic</t>
        </is>
      </c>
      <c r="E307" s="2" t="n">
        <v>45383</v>
      </c>
      <c r="F307" s="2" t="n">
        <v>46477</v>
      </c>
      <c r="G307" s="3" t="n">
        <v>5530</v>
      </c>
      <c r="H307">
        <f>VLOOKUP(B307,Units!$A$2:$G$1646,2,FALSE)</f>
        <v/>
      </c>
      <c r="I307">
        <f>VLOOKUP(B307,Units!$A$2:$G$1646,5,FALSE)</f>
        <v/>
      </c>
      <c r="J307" s="3">
        <f>G307/I307</f>
        <v/>
      </c>
      <c r="K307" s="3">
        <f>G307*12</f>
        <v/>
      </c>
      <c r="L307" s="3" t="n">
        <v>16590</v>
      </c>
    </row>
    <row r="308">
      <c r="A308" t="inlineStr">
        <is>
          <t>TA-2024-00266</t>
        </is>
      </c>
      <c r="B308" t="inlineStr">
        <is>
          <t>U-ST506-01-01</t>
        </is>
      </c>
      <c r="C308" t="inlineStr">
        <is>
          <t>Wisdom Hardware Pte Ltd</t>
        </is>
      </c>
      <c r="D308" t="inlineStr">
        <is>
          <t>Hardware</t>
        </is>
      </c>
      <c r="E308" s="2" t="n">
        <v>45383</v>
      </c>
      <c r="F308" s="2" t="n">
        <v>46477</v>
      </c>
      <c r="G308" s="3" t="n">
        <v>3880</v>
      </c>
      <c r="H308">
        <f>VLOOKUP(B308,Units!$A$2:$G$1646,2,FALSE)</f>
        <v/>
      </c>
      <c r="I308">
        <f>VLOOKUP(B308,Units!$A$2:$G$1646,5,FALSE)</f>
        <v/>
      </c>
      <c r="J308" s="3">
        <f>G308/I308</f>
        <v/>
      </c>
      <c r="K308" s="3">
        <f>G308*12</f>
        <v/>
      </c>
      <c r="L308" s="3" t="n">
        <v>11640</v>
      </c>
    </row>
    <row r="309">
      <c r="A309" t="inlineStr">
        <is>
          <t>TA-2024-00267</t>
        </is>
      </c>
      <c r="B309" t="inlineStr">
        <is>
          <t>U-ST534-01-04</t>
        </is>
      </c>
      <c r="C309" t="inlineStr">
        <is>
          <t>Wong's Supermarket</t>
        </is>
      </c>
      <c r="D309" t="inlineStr">
        <is>
          <t>Minimart</t>
        </is>
      </c>
      <c r="E309" s="2" t="n">
        <v>45383</v>
      </c>
      <c r="F309" s="2" t="n">
        <v>46477</v>
      </c>
      <c r="G309" s="3" t="n">
        <v>1650</v>
      </c>
      <c r="H309">
        <f>VLOOKUP(B309,Units!$A$2:$G$1646,2,FALSE)</f>
        <v/>
      </c>
      <c r="I309">
        <f>VLOOKUP(B309,Units!$A$2:$G$1646,5,FALSE)</f>
        <v/>
      </c>
      <c r="J309" s="3">
        <f>G309/I309</f>
        <v/>
      </c>
      <c r="K309" s="3">
        <f>G309*12</f>
        <v/>
      </c>
      <c r="L309" s="3" t="n">
        <v>4950</v>
      </c>
    </row>
    <row r="310">
      <c r="A310" t="inlineStr">
        <is>
          <t>TA-2024-00268</t>
        </is>
      </c>
      <c r="B310" t="inlineStr">
        <is>
          <t>U-ST590-01-01</t>
        </is>
      </c>
      <c r="C310" t="inlineStr">
        <is>
          <t>Fortune Clinic &amp; Surgery Pte Ltd</t>
        </is>
      </c>
      <c r="D310" t="inlineStr">
        <is>
          <t>GP Clinic</t>
        </is>
      </c>
      <c r="E310" s="2" t="n">
        <v>45383</v>
      </c>
      <c r="F310" s="2" t="n">
        <v>46477</v>
      </c>
      <c r="G310" s="3" t="n">
        <v>3220</v>
      </c>
      <c r="H310">
        <f>VLOOKUP(B310,Units!$A$2:$G$1646,2,FALSE)</f>
        <v/>
      </c>
      <c r="I310">
        <f>VLOOKUP(B310,Units!$A$2:$G$1646,5,FALSE)</f>
        <v/>
      </c>
      <c r="J310" s="3">
        <f>G310/I310</f>
        <v/>
      </c>
      <c r="K310" s="3">
        <f>G310*12</f>
        <v/>
      </c>
      <c r="L310" s="3" t="n">
        <v>9660</v>
      </c>
    </row>
    <row r="311">
      <c r="A311" t="inlineStr">
        <is>
          <t>TA-2024-00269</t>
        </is>
      </c>
      <c r="B311" t="inlineStr">
        <is>
          <t>U-ST590-01-02</t>
        </is>
      </c>
      <c r="C311" t="inlineStr">
        <is>
          <t>Suria Bubble Tea</t>
        </is>
      </c>
      <c r="D311" t="inlineStr">
        <is>
          <t>Bubble Tea</t>
        </is>
      </c>
      <c r="E311" s="2" t="n">
        <v>45383</v>
      </c>
      <c r="F311" s="2" t="n">
        <v>46477</v>
      </c>
      <c r="G311" s="3" t="n">
        <v>1800</v>
      </c>
      <c r="H311">
        <f>VLOOKUP(B311,Units!$A$2:$G$1646,2,FALSE)</f>
        <v/>
      </c>
      <c r="I311">
        <f>VLOOKUP(B311,Units!$A$2:$G$1646,5,FALSE)</f>
        <v/>
      </c>
      <c r="J311" s="3">
        <f>G311/I311</f>
        <v/>
      </c>
      <c r="K311" s="3">
        <f>G311*12</f>
        <v/>
      </c>
      <c r="L311" s="3" t="n">
        <v>5400</v>
      </c>
    </row>
    <row r="312">
      <c r="A312" t="inlineStr">
        <is>
          <t>TA-2024-00270</t>
        </is>
      </c>
      <c r="B312" t="inlineStr">
        <is>
          <t>U-ST596-01-03</t>
        </is>
      </c>
      <c r="C312" t="inlineStr">
        <is>
          <t>Chop Wah Hardware &amp; Electrical</t>
        </is>
      </c>
      <c r="D312" t="inlineStr">
        <is>
          <t>Hardware</t>
        </is>
      </c>
      <c r="E312" s="2" t="n">
        <v>45383</v>
      </c>
      <c r="F312" s="2" t="n">
        <v>46477</v>
      </c>
      <c r="G312" s="3" t="n">
        <v>3580</v>
      </c>
      <c r="H312">
        <f>VLOOKUP(B312,Units!$A$2:$G$1646,2,FALSE)</f>
        <v/>
      </c>
      <c r="I312">
        <f>VLOOKUP(B312,Units!$A$2:$G$1646,5,FALSE)</f>
        <v/>
      </c>
      <c r="J312" s="3">
        <f>G312/I312</f>
        <v/>
      </c>
      <c r="K312" s="3">
        <f>G312*12</f>
        <v/>
      </c>
      <c r="L312" s="3" t="n">
        <v>10740</v>
      </c>
    </row>
    <row r="313">
      <c r="A313" t="inlineStr">
        <is>
          <t>TA-2024-00272</t>
        </is>
      </c>
      <c r="B313" t="inlineStr">
        <is>
          <t>U-BV204-01-07</t>
        </is>
      </c>
      <c r="C313" t="inlineStr">
        <is>
          <t>Wisdom Bookstore</t>
        </is>
      </c>
      <c r="D313" t="inlineStr">
        <is>
          <t>Stationery &amp; Books</t>
        </is>
      </c>
      <c r="E313" s="2" t="n">
        <v>45413</v>
      </c>
      <c r="F313" s="2" t="n">
        <v>46507</v>
      </c>
      <c r="G313" s="3" t="n">
        <v>2930</v>
      </c>
      <c r="H313">
        <f>VLOOKUP(B313,Units!$A$2:$G$1646,2,FALSE)</f>
        <v/>
      </c>
      <c r="I313">
        <f>VLOOKUP(B313,Units!$A$2:$G$1646,5,FALSE)</f>
        <v/>
      </c>
      <c r="J313" s="3">
        <f>G313/I313</f>
        <v/>
      </c>
      <c r="K313" s="3">
        <f>G313*12</f>
        <v/>
      </c>
      <c r="L313" s="3" t="n">
        <v>8790</v>
      </c>
    </row>
    <row r="314">
      <c r="A314" t="inlineStr">
        <is>
          <t>TA-2024-00274</t>
        </is>
      </c>
      <c r="B314" t="inlineStr">
        <is>
          <t>U-BV212-01-13</t>
        </is>
      </c>
      <c r="C314" t="inlineStr">
        <is>
          <t>Everbright Medical Hall</t>
        </is>
      </c>
      <c r="D314" t="inlineStr">
        <is>
          <t>TCM Clinic</t>
        </is>
      </c>
      <c r="E314" s="2" t="n">
        <v>45413</v>
      </c>
      <c r="F314" s="2" t="n">
        <v>46507</v>
      </c>
      <c r="G314" s="3" t="n">
        <v>3580</v>
      </c>
      <c r="H314">
        <f>VLOOKUP(B314,Units!$A$2:$G$1646,2,FALSE)</f>
        <v/>
      </c>
      <c r="I314">
        <f>VLOOKUP(B314,Units!$A$2:$G$1646,5,FALSE)</f>
        <v/>
      </c>
      <c r="J314" s="3">
        <f>G314/I314</f>
        <v/>
      </c>
      <c r="K314" s="3">
        <f>G314*12</f>
        <v/>
      </c>
      <c r="L314" s="3" t="n">
        <v>10740</v>
      </c>
    </row>
    <row r="315">
      <c r="A315" t="inlineStr">
        <is>
          <t>TA-2024-00276</t>
        </is>
      </c>
      <c r="B315" t="inlineStr">
        <is>
          <t>U-BV215-01-14</t>
        </is>
      </c>
      <c r="C315" t="inlineStr">
        <is>
          <t>Teck Guan Store</t>
        </is>
      </c>
      <c r="D315" t="inlineStr">
        <is>
          <t>Provision Shop</t>
        </is>
      </c>
      <c r="E315" s="2" t="n">
        <v>45413</v>
      </c>
      <c r="F315" s="2" t="n">
        <v>46507</v>
      </c>
      <c r="G315" s="3" t="n">
        <v>4750</v>
      </c>
      <c r="H315">
        <f>VLOOKUP(B315,Units!$A$2:$G$1646,2,FALSE)</f>
        <v/>
      </c>
      <c r="I315">
        <f>VLOOKUP(B315,Units!$A$2:$G$1646,5,FALSE)</f>
        <v/>
      </c>
      <c r="J315" s="3">
        <f>G315/I315</f>
        <v/>
      </c>
      <c r="K315" s="3">
        <f>G315*12</f>
        <v/>
      </c>
      <c r="L315" s="3" t="n">
        <v>14250</v>
      </c>
    </row>
    <row r="316">
      <c r="A316" t="inlineStr">
        <is>
          <t>TA-2024-00278</t>
        </is>
      </c>
      <c r="B316" t="inlineStr">
        <is>
          <t>U-BV229-01-08</t>
        </is>
      </c>
      <c r="C316" t="inlineStr">
        <is>
          <t>Swee Heng Telecom</t>
        </is>
      </c>
      <c r="D316" t="inlineStr">
        <is>
          <t>Mobile Phone &amp; Accessories</t>
        </is>
      </c>
      <c r="E316" s="2" t="n">
        <v>45413</v>
      </c>
      <c r="F316" s="2" t="n">
        <v>46507</v>
      </c>
      <c r="G316" s="3" t="n">
        <v>5630</v>
      </c>
      <c r="H316">
        <f>VLOOKUP(B316,Units!$A$2:$G$1646,2,FALSE)</f>
        <v/>
      </c>
      <c r="I316">
        <f>VLOOKUP(B316,Units!$A$2:$G$1646,5,FALSE)</f>
        <v/>
      </c>
      <c r="J316" s="3">
        <f>G316/I316</f>
        <v/>
      </c>
      <c r="K316" s="3">
        <f>G316*12</f>
        <v/>
      </c>
      <c r="L316" s="3" t="n">
        <v>16890</v>
      </c>
    </row>
    <row r="317">
      <c r="A317" t="inlineStr">
        <is>
          <t>TA-2024-00279</t>
        </is>
      </c>
      <c r="B317" t="inlineStr">
        <is>
          <t>U-BV256-01-09</t>
        </is>
      </c>
      <c r="C317" t="inlineStr">
        <is>
          <t>Hock Lee Minimart</t>
        </is>
      </c>
      <c r="D317" t="inlineStr">
        <is>
          <t>Minimart</t>
        </is>
      </c>
      <c r="E317" s="2" t="n">
        <v>45413</v>
      </c>
      <c r="F317" s="2" t="n">
        <v>46507</v>
      </c>
      <c r="G317" s="3" t="n">
        <v>5930</v>
      </c>
      <c r="H317">
        <f>VLOOKUP(B317,Units!$A$2:$G$1646,2,FALSE)</f>
        <v/>
      </c>
      <c r="I317">
        <f>VLOOKUP(B317,Units!$A$2:$G$1646,5,FALSE)</f>
        <v/>
      </c>
      <c r="J317" s="3">
        <f>G317/I317</f>
        <v/>
      </c>
      <c r="K317" s="3">
        <f>G317*12</f>
        <v/>
      </c>
      <c r="L317" s="3" t="n">
        <v>17790</v>
      </c>
    </row>
    <row r="318">
      <c r="A318" t="inlineStr">
        <is>
          <t>TA-2024-00280</t>
        </is>
      </c>
      <c r="B318" t="inlineStr">
        <is>
          <t>U-BV256-01-10</t>
        </is>
      </c>
      <c r="C318" t="inlineStr">
        <is>
          <t>Hock Lee Money Changer</t>
        </is>
      </c>
      <c r="D318" t="inlineStr">
        <is>
          <t>Remittance &amp; Money Changer</t>
        </is>
      </c>
      <c r="E318" s="2" t="n">
        <v>45413</v>
      </c>
      <c r="F318" s="2" t="n">
        <v>46507</v>
      </c>
      <c r="G318" s="3" t="n">
        <v>6300</v>
      </c>
      <c r="H318">
        <f>VLOOKUP(B318,Units!$A$2:$G$1646,2,FALSE)</f>
        <v/>
      </c>
      <c r="I318">
        <f>VLOOKUP(B318,Units!$A$2:$G$1646,5,FALSE)</f>
        <v/>
      </c>
      <c r="J318" s="3">
        <f>G318/I318</f>
        <v/>
      </c>
      <c r="K318" s="3">
        <f>G318*12</f>
        <v/>
      </c>
      <c r="L318" s="3" t="n">
        <v>18900</v>
      </c>
    </row>
    <row r="319">
      <c r="A319" t="inlineStr">
        <is>
          <t>TA-2024-00282</t>
        </is>
      </c>
      <c r="B319" t="inlineStr">
        <is>
          <t>U-BV266-01-05</t>
        </is>
      </c>
      <c r="C319" t="inlineStr">
        <is>
          <t>Fortune Dental Surgery Pte Ltd</t>
        </is>
      </c>
      <c r="D319" t="inlineStr">
        <is>
          <t>Dental Clinic</t>
        </is>
      </c>
      <c r="E319" s="2" t="n">
        <v>45413</v>
      </c>
      <c r="F319" s="2" t="n">
        <v>46507</v>
      </c>
      <c r="G319" s="3" t="n">
        <v>2920</v>
      </c>
      <c r="H319">
        <f>VLOOKUP(B319,Units!$A$2:$G$1646,2,FALSE)</f>
        <v/>
      </c>
      <c r="I319">
        <f>VLOOKUP(B319,Units!$A$2:$G$1646,5,FALSE)</f>
        <v/>
      </c>
      <c r="J319" s="3">
        <f>G319/I319</f>
        <v/>
      </c>
      <c r="K319" s="3">
        <f>G319*12</f>
        <v/>
      </c>
      <c r="L319" s="3" t="n">
        <v>8760</v>
      </c>
    </row>
    <row r="320">
      <c r="A320" t="inlineStr">
        <is>
          <t>TA-2024-00284</t>
        </is>
      </c>
      <c r="B320" t="inlineStr">
        <is>
          <t>U-BV277-01-04</t>
        </is>
      </c>
      <c r="C320" t="inlineStr">
        <is>
          <t>Bright Path Stationery</t>
        </is>
      </c>
      <c r="D320" t="inlineStr">
        <is>
          <t>Stationery &amp; Books</t>
        </is>
      </c>
      <c r="E320" s="2" t="n">
        <v>45413</v>
      </c>
      <c r="F320" s="2" t="n">
        <v>46507</v>
      </c>
      <c r="G320" s="3" t="n">
        <v>4120</v>
      </c>
      <c r="H320">
        <f>VLOOKUP(B320,Units!$A$2:$G$1646,2,FALSE)</f>
        <v/>
      </c>
      <c r="I320">
        <f>VLOOKUP(B320,Units!$A$2:$G$1646,5,FALSE)</f>
        <v/>
      </c>
      <c r="J320" s="3">
        <f>G320/I320</f>
        <v/>
      </c>
      <c r="K320" s="3">
        <f>G320*12</f>
        <v/>
      </c>
      <c r="L320" s="3" t="n">
        <v>12360</v>
      </c>
    </row>
    <row r="321">
      <c r="A321" t="inlineStr">
        <is>
          <t>TA-2024-00285</t>
        </is>
      </c>
      <c r="B321" t="inlineStr">
        <is>
          <t>U-CD118-01-08</t>
        </is>
      </c>
      <c r="C321" t="inlineStr">
        <is>
          <t>Joo Chiat Store</t>
        </is>
      </c>
      <c r="D321" t="inlineStr">
        <is>
          <t>Provision Shop</t>
        </is>
      </c>
      <c r="E321" s="2" t="n">
        <v>45413</v>
      </c>
      <c r="F321" s="2" t="n">
        <v>46507</v>
      </c>
      <c r="G321" s="3" t="n">
        <v>3210</v>
      </c>
      <c r="H321">
        <f>VLOOKUP(B321,Units!$A$2:$G$1646,2,FALSE)</f>
        <v/>
      </c>
      <c r="I321">
        <f>VLOOKUP(B321,Units!$A$2:$G$1646,5,FALSE)</f>
        <v/>
      </c>
      <c r="J321" s="3">
        <f>G321/I321</f>
        <v/>
      </c>
      <c r="K321" s="3">
        <f>G321*12</f>
        <v/>
      </c>
      <c r="L321" s="3" t="n">
        <v>9630</v>
      </c>
    </row>
    <row r="322">
      <c r="A322" t="inlineStr">
        <is>
          <t>TA-2024-00286</t>
        </is>
      </c>
      <c r="B322" t="inlineStr">
        <is>
          <t>U-CD118-01-28</t>
        </is>
      </c>
      <c r="C322" t="inlineStr">
        <is>
          <t>Joo Chiat Hardware &amp; Electrical</t>
        </is>
      </c>
      <c r="D322" t="inlineStr">
        <is>
          <t>Hardware</t>
        </is>
      </c>
      <c r="E322" s="2" t="n">
        <v>45413</v>
      </c>
      <c r="F322" s="2" t="n">
        <v>46507</v>
      </c>
      <c r="G322" s="3" t="n">
        <v>6600</v>
      </c>
      <c r="H322">
        <f>VLOOKUP(B322,Units!$A$2:$G$1646,2,FALSE)</f>
        <v/>
      </c>
      <c r="I322">
        <f>VLOOKUP(B322,Units!$A$2:$G$1646,5,FALSE)</f>
        <v/>
      </c>
      <c r="J322" s="3">
        <f>G322/I322</f>
        <v/>
      </c>
      <c r="K322" s="3">
        <f>G322*12</f>
        <v/>
      </c>
      <c r="L322" s="3" t="n">
        <v>19800</v>
      </c>
    </row>
    <row r="323">
      <c r="A323" t="inlineStr">
        <is>
          <t>TA-2024-00287</t>
        </is>
      </c>
      <c r="B323" t="inlineStr">
        <is>
          <t>U-CD118-01-33</t>
        </is>
      </c>
      <c r="C323" t="inlineStr">
        <is>
          <t>Al-Ameen Education Hub</t>
        </is>
      </c>
      <c r="D323" t="inlineStr">
        <is>
          <t>Tuition Centre</t>
        </is>
      </c>
      <c r="E323" s="2" t="n">
        <v>45413</v>
      </c>
      <c r="F323" s="2" t="n">
        <v>46507</v>
      </c>
      <c r="G323" s="3" t="n">
        <v>1920</v>
      </c>
      <c r="H323">
        <f>VLOOKUP(B323,Units!$A$2:$G$1646,2,FALSE)</f>
        <v/>
      </c>
      <c r="I323">
        <f>VLOOKUP(B323,Units!$A$2:$G$1646,5,FALSE)</f>
        <v/>
      </c>
      <c r="J323" s="3">
        <f>G323/I323</f>
        <v/>
      </c>
      <c r="K323" s="3">
        <f>G323*12</f>
        <v/>
      </c>
      <c r="L323" s="3" t="n">
        <v>5760</v>
      </c>
    </row>
    <row r="324">
      <c r="A324" t="inlineStr">
        <is>
          <t>TA-2024-00289</t>
        </is>
      </c>
      <c r="B324" t="inlineStr">
        <is>
          <t>U-CD120-01-03</t>
        </is>
      </c>
      <c r="C324" t="inlineStr">
        <is>
          <t>Old Town Hair Studio</t>
        </is>
      </c>
      <c r="D324" t="inlineStr">
        <is>
          <t>Hair Salon</t>
        </is>
      </c>
      <c r="E324" s="2" t="n">
        <v>45413</v>
      </c>
      <c r="F324" s="2" t="n">
        <v>46507</v>
      </c>
      <c r="G324" s="3" t="n">
        <v>6040</v>
      </c>
      <c r="H324">
        <f>VLOOKUP(B324,Units!$A$2:$G$1646,2,FALSE)</f>
        <v/>
      </c>
      <c r="I324">
        <f>VLOOKUP(B324,Units!$A$2:$G$1646,5,FALSE)</f>
        <v/>
      </c>
      <c r="J324" s="3">
        <f>G324/I324</f>
        <v/>
      </c>
      <c r="K324" s="3">
        <f>G324*12</f>
        <v/>
      </c>
      <c r="L324" s="3" t="n">
        <v>18120</v>
      </c>
    </row>
    <row r="325">
      <c r="A325" t="inlineStr">
        <is>
          <t>TA-2024-00290</t>
        </is>
      </c>
      <c r="B325" t="inlineStr">
        <is>
          <t>U-CD120-01-08</t>
        </is>
      </c>
      <c r="C325" t="inlineStr">
        <is>
          <t>Little Sprouts Clinic &amp; Surgery</t>
        </is>
      </c>
      <c r="D325" t="inlineStr">
        <is>
          <t>GP Clinic</t>
        </is>
      </c>
      <c r="E325" s="2" t="n">
        <v>45413</v>
      </c>
      <c r="F325" s="2" t="n">
        <v>46507</v>
      </c>
      <c r="G325" s="3" t="n">
        <v>2200</v>
      </c>
      <c r="H325">
        <f>VLOOKUP(B325,Units!$A$2:$G$1646,2,FALSE)</f>
        <v/>
      </c>
      <c r="I325">
        <f>VLOOKUP(B325,Units!$A$2:$G$1646,5,FALSE)</f>
        <v/>
      </c>
      <c r="J325" s="3">
        <f>G325/I325</f>
        <v/>
      </c>
      <c r="K325" s="3">
        <f>G325*12</f>
        <v/>
      </c>
      <c r="L325" s="3" t="n">
        <v>6600</v>
      </c>
    </row>
    <row r="326">
      <c r="A326" t="inlineStr">
        <is>
          <t>TA-2024-00292</t>
        </is>
      </c>
      <c r="B326" t="inlineStr">
        <is>
          <t>U-CD120-01-13</t>
        </is>
      </c>
      <c r="C326" t="inlineStr">
        <is>
          <t>Bayu Consultancy</t>
        </is>
      </c>
      <c r="D326" t="inlineStr">
        <is>
          <t>Professional Services Office</t>
        </is>
      </c>
      <c r="E326" s="2" t="n">
        <v>45413</v>
      </c>
      <c r="F326" s="2" t="n">
        <v>46507</v>
      </c>
      <c r="G326" s="3" t="n">
        <v>1810</v>
      </c>
      <c r="H326">
        <f>VLOOKUP(B326,Units!$A$2:$G$1646,2,FALSE)</f>
        <v/>
      </c>
      <c r="I326">
        <f>VLOOKUP(B326,Units!$A$2:$G$1646,5,FALSE)</f>
        <v/>
      </c>
      <c r="J326" s="3">
        <f>G326/I326</f>
        <v/>
      </c>
      <c r="K326" s="3">
        <f>G326*12</f>
        <v/>
      </c>
      <c r="L326" s="3" t="n">
        <v>5430</v>
      </c>
    </row>
    <row r="327">
      <c r="A327" t="inlineStr">
        <is>
          <t>TA-2024-00294</t>
        </is>
      </c>
      <c r="B327" t="inlineStr">
        <is>
          <t>U-CD129-01-05</t>
        </is>
      </c>
      <c r="C327" t="inlineStr">
        <is>
          <t>Fortune Beauty &amp; Hair</t>
        </is>
      </c>
      <c r="D327" t="inlineStr">
        <is>
          <t>Hair Salon</t>
        </is>
      </c>
      <c r="E327" s="2" t="n">
        <v>45413</v>
      </c>
      <c r="F327" s="2" t="n">
        <v>46507</v>
      </c>
      <c r="G327" s="3" t="n">
        <v>3000</v>
      </c>
      <c r="H327">
        <f>VLOOKUP(B327,Units!$A$2:$G$1646,2,FALSE)</f>
        <v/>
      </c>
      <c r="I327">
        <f>VLOOKUP(B327,Units!$A$2:$G$1646,5,FALSE)</f>
        <v/>
      </c>
      <c r="J327" s="3">
        <f>G327/I327</f>
        <v/>
      </c>
      <c r="K327" s="3">
        <f>G327*12</f>
        <v/>
      </c>
      <c r="L327" s="3" t="n">
        <v>9000</v>
      </c>
    </row>
    <row r="328">
      <c r="A328" t="inlineStr">
        <is>
          <t>TA-2024-00296</t>
        </is>
      </c>
      <c r="B328" t="inlineStr">
        <is>
          <t>U-CD131-02-08</t>
        </is>
      </c>
      <c r="C328" t="inlineStr">
        <is>
          <t>Cahaya TCM Clinic</t>
        </is>
      </c>
      <c r="D328" t="inlineStr">
        <is>
          <t>TCM Clinic</t>
        </is>
      </c>
      <c r="E328" s="2" t="n">
        <v>45413</v>
      </c>
      <c r="F328" s="2" t="n">
        <v>46507</v>
      </c>
      <c r="G328" s="3" t="n">
        <v>3940</v>
      </c>
      <c r="H328">
        <f>VLOOKUP(B328,Units!$A$2:$G$1646,2,FALSE)</f>
        <v/>
      </c>
      <c r="I328">
        <f>VLOOKUP(B328,Units!$A$2:$G$1646,5,FALSE)</f>
        <v/>
      </c>
      <c r="J328" s="3">
        <f>G328/I328</f>
        <v/>
      </c>
      <c r="K328" s="3">
        <f>G328*12</f>
        <v/>
      </c>
      <c r="L328" s="3" t="n">
        <v>11820</v>
      </c>
    </row>
    <row r="329">
      <c r="A329" t="inlineStr">
        <is>
          <t>TA-2024-00297</t>
        </is>
      </c>
      <c r="B329" t="inlineStr">
        <is>
          <t>U-CD133-01-02</t>
        </is>
      </c>
      <c r="C329" t="inlineStr">
        <is>
          <t>Sri Ganesh Hardware</t>
        </is>
      </c>
      <c r="D329" t="inlineStr">
        <is>
          <t>Hardware</t>
        </is>
      </c>
      <c r="E329" s="2" t="n">
        <v>45413</v>
      </c>
      <c r="F329" s="2" t="n">
        <v>46507</v>
      </c>
      <c r="G329" s="3" t="n">
        <v>3400</v>
      </c>
      <c r="H329">
        <f>VLOOKUP(B329,Units!$A$2:$G$1646,2,FALSE)</f>
        <v/>
      </c>
      <c r="I329">
        <f>VLOOKUP(B329,Units!$A$2:$G$1646,5,FALSE)</f>
        <v/>
      </c>
      <c r="J329" s="3">
        <f>G329/I329</f>
        <v/>
      </c>
      <c r="K329" s="3">
        <f>G329*12</f>
        <v/>
      </c>
      <c r="L329" s="3" t="n">
        <v>10200</v>
      </c>
    </row>
    <row r="330">
      <c r="A330" t="inlineStr">
        <is>
          <t>TA-2024-00299</t>
        </is>
      </c>
      <c r="B330" t="inlineStr">
        <is>
          <t>U-CD136-01-07</t>
        </is>
      </c>
      <c r="C330" t="inlineStr">
        <is>
          <t>Prima Supermarket Pte Ltd</t>
        </is>
      </c>
      <c r="D330" t="inlineStr">
        <is>
          <t>Minimart</t>
        </is>
      </c>
      <c r="E330" s="2" t="n">
        <v>45413</v>
      </c>
      <c r="F330" s="2" t="n">
        <v>46507</v>
      </c>
      <c r="G330" s="3" t="n">
        <v>3870</v>
      </c>
      <c r="H330">
        <f>VLOOKUP(B330,Units!$A$2:$G$1646,2,FALSE)</f>
        <v/>
      </c>
      <c r="I330">
        <f>VLOOKUP(B330,Units!$A$2:$G$1646,5,FALSE)</f>
        <v/>
      </c>
      <c r="J330" s="3">
        <f>G330/I330</f>
        <v/>
      </c>
      <c r="K330" s="3">
        <f>G330*12</f>
        <v/>
      </c>
      <c r="L330" s="3" t="n">
        <v>11610</v>
      </c>
    </row>
    <row r="331">
      <c r="A331" t="inlineStr">
        <is>
          <t>TA-2024-00300</t>
        </is>
      </c>
      <c r="B331" t="inlineStr">
        <is>
          <t>U-CD142-01-13</t>
        </is>
      </c>
      <c r="C331" t="inlineStr">
        <is>
          <t>Red Lantern Cake House</t>
        </is>
      </c>
      <c r="D331" t="inlineStr">
        <is>
          <t>Bakery &amp; Confectionery</t>
        </is>
      </c>
      <c r="E331" s="2" t="n">
        <v>45413</v>
      </c>
      <c r="F331" s="2" t="n">
        <v>46507</v>
      </c>
      <c r="G331" s="3" t="n">
        <v>3310</v>
      </c>
      <c r="H331">
        <f>VLOOKUP(B331,Units!$A$2:$G$1646,2,FALSE)</f>
        <v/>
      </c>
      <c r="I331">
        <f>VLOOKUP(B331,Units!$A$2:$G$1646,5,FALSE)</f>
        <v/>
      </c>
      <c r="J331" s="3">
        <f>G331/I331</f>
        <v/>
      </c>
      <c r="K331" s="3">
        <f>G331*12</f>
        <v/>
      </c>
      <c r="L331" s="3" t="n">
        <v>9930</v>
      </c>
    </row>
    <row r="332">
      <c r="A332" t="inlineStr">
        <is>
          <t>TA-2024-00301</t>
        </is>
      </c>
      <c r="B332" t="inlineStr">
        <is>
          <t>U-CD189-01-08</t>
        </is>
      </c>
      <c r="C332" t="inlineStr">
        <is>
          <t>Nanyang Clinic &amp; Surgery</t>
        </is>
      </c>
      <c r="D332" t="inlineStr">
        <is>
          <t>GP Clinic</t>
        </is>
      </c>
      <c r="E332" s="2" t="n">
        <v>45413</v>
      </c>
      <c r="F332" s="2" t="n">
        <v>46507</v>
      </c>
      <c r="G332" s="3" t="n">
        <v>3470</v>
      </c>
      <c r="H332">
        <f>VLOOKUP(B332,Units!$A$2:$G$1646,2,FALSE)</f>
        <v/>
      </c>
      <c r="I332">
        <f>VLOOKUP(B332,Units!$A$2:$G$1646,5,FALSE)</f>
        <v/>
      </c>
      <c r="J332" s="3">
        <f>G332/I332</f>
        <v/>
      </c>
      <c r="K332" s="3">
        <f>G332*12</f>
        <v/>
      </c>
      <c r="L332" s="3" t="n">
        <v>10410</v>
      </c>
    </row>
    <row r="333">
      <c r="A333" t="inlineStr">
        <is>
          <t>TA-2024-00302</t>
        </is>
      </c>
      <c r="B333" t="inlineStr">
        <is>
          <t>U-KR310-02-06</t>
        </is>
      </c>
      <c r="C333" t="inlineStr">
        <is>
          <t>Happy Paws Dental Care Pte Ltd</t>
        </is>
      </c>
      <c r="D333" t="inlineStr">
        <is>
          <t>Dental Clinic</t>
        </is>
      </c>
      <c r="E333" s="2" t="n">
        <v>45413</v>
      </c>
      <c r="F333" s="2" t="n">
        <v>46507</v>
      </c>
      <c r="G333" s="3" t="n">
        <v>2340</v>
      </c>
      <c r="H333">
        <f>VLOOKUP(B333,Units!$A$2:$G$1646,2,FALSE)</f>
        <v/>
      </c>
      <c r="I333">
        <f>VLOOKUP(B333,Units!$A$2:$G$1646,5,FALSE)</f>
        <v/>
      </c>
      <c r="J333" s="3">
        <f>G333/I333</f>
        <v/>
      </c>
      <c r="K333" s="3">
        <f>G333*12</f>
        <v/>
      </c>
      <c r="L333" s="3" t="n">
        <v>7020</v>
      </c>
    </row>
    <row r="334">
      <c r="A334" t="inlineStr">
        <is>
          <t>TA-2024-00303</t>
        </is>
      </c>
      <c r="B334" t="inlineStr">
        <is>
          <t>U-KR317-01-09</t>
        </is>
      </c>
      <c r="C334" t="inlineStr">
        <is>
          <t>Harmony Beauty &amp; Hair Pte Ltd</t>
        </is>
      </c>
      <c r="D334" t="inlineStr">
        <is>
          <t>Hair Salon</t>
        </is>
      </c>
      <c r="E334" s="2" t="n">
        <v>45413</v>
      </c>
      <c r="F334" s="2" t="n">
        <v>46507</v>
      </c>
      <c r="G334" s="3" t="n">
        <v>5910</v>
      </c>
      <c r="H334">
        <f>VLOOKUP(B334,Units!$A$2:$G$1646,2,FALSE)</f>
        <v/>
      </c>
      <c r="I334">
        <f>VLOOKUP(B334,Units!$A$2:$G$1646,5,FALSE)</f>
        <v/>
      </c>
      <c r="J334" s="3">
        <f>G334/I334</f>
        <v/>
      </c>
      <c r="K334" s="3">
        <f>G334*12</f>
        <v/>
      </c>
      <c r="L334" s="3" t="n">
        <v>17730</v>
      </c>
    </row>
    <row r="335">
      <c r="A335" t="inlineStr">
        <is>
          <t>TA-2024-00304</t>
        </is>
      </c>
      <c r="B335" t="inlineStr">
        <is>
          <t>U-KR333-01-14</t>
        </is>
      </c>
      <c r="C335" t="inlineStr">
        <is>
          <t>Hock Lee Hair Studio</t>
        </is>
      </c>
      <c r="D335" t="inlineStr">
        <is>
          <t>Hair Salon</t>
        </is>
      </c>
      <c r="E335" s="2" t="n">
        <v>45413</v>
      </c>
      <c r="F335" s="2" t="n">
        <v>46507</v>
      </c>
      <c r="G335" s="3" t="n">
        <v>4690</v>
      </c>
      <c r="H335">
        <f>VLOOKUP(B335,Units!$A$2:$G$1646,2,FALSE)</f>
        <v/>
      </c>
      <c r="I335">
        <f>VLOOKUP(B335,Units!$A$2:$G$1646,5,FALSE)</f>
        <v/>
      </c>
      <c r="J335" s="3">
        <f>G335/I335</f>
        <v/>
      </c>
      <c r="K335" s="3">
        <f>G335*12</f>
        <v/>
      </c>
      <c r="L335" s="3" t="n">
        <v>14070</v>
      </c>
    </row>
    <row r="336">
      <c r="A336" t="inlineStr">
        <is>
          <t>TA-2024-00305</t>
        </is>
      </c>
      <c r="B336" t="inlineStr">
        <is>
          <t>U-KR341-01-05</t>
        </is>
      </c>
      <c r="C336" t="inlineStr">
        <is>
          <t>Teck Guan Medical Supplies Pte Ltd</t>
        </is>
      </c>
      <c r="D336" t="inlineStr">
        <is>
          <t>Pharmacy</t>
        </is>
      </c>
      <c r="E336" s="2" t="n">
        <v>45413</v>
      </c>
      <c r="F336" s="2" t="n">
        <v>46507</v>
      </c>
      <c r="G336" s="3" t="n">
        <v>1770</v>
      </c>
      <c r="H336">
        <f>VLOOKUP(B336,Units!$A$2:$G$1646,2,FALSE)</f>
        <v/>
      </c>
      <c r="I336">
        <f>VLOOKUP(B336,Units!$A$2:$G$1646,5,FALSE)</f>
        <v/>
      </c>
      <c r="J336" s="3">
        <f>G336/I336</f>
        <v/>
      </c>
      <c r="K336" s="3">
        <f>G336*12</f>
        <v/>
      </c>
      <c r="L336" s="3" t="n">
        <v>5310</v>
      </c>
    </row>
    <row r="337">
      <c r="A337" t="inlineStr">
        <is>
          <t>TA-2024-00307</t>
        </is>
      </c>
      <c r="B337" t="inlineStr">
        <is>
          <t>U-KR341-01-08</t>
        </is>
      </c>
      <c r="C337" t="inlineStr">
        <is>
          <t>Golden Leaf Beauty &amp; Hair</t>
        </is>
      </c>
      <c r="D337" t="inlineStr">
        <is>
          <t>Hair Salon</t>
        </is>
      </c>
      <c r="E337" s="2" t="n">
        <v>45413</v>
      </c>
      <c r="F337" s="2" t="n">
        <v>46507</v>
      </c>
      <c r="G337" s="3" t="n">
        <v>5690</v>
      </c>
      <c r="H337">
        <f>VLOOKUP(B337,Units!$A$2:$G$1646,2,FALSE)</f>
        <v/>
      </c>
      <c r="I337">
        <f>VLOOKUP(B337,Units!$A$2:$G$1646,5,FALSE)</f>
        <v/>
      </c>
      <c r="J337" s="3">
        <f>G337/I337</f>
        <v/>
      </c>
      <c r="K337" s="3">
        <f>G337*12</f>
        <v/>
      </c>
      <c r="L337" s="3" t="n">
        <v>17070</v>
      </c>
    </row>
    <row r="338">
      <c r="A338" t="inlineStr">
        <is>
          <t>TA-2024-00309</t>
        </is>
      </c>
      <c r="B338" t="inlineStr">
        <is>
          <t>U-KR345-01-01</t>
        </is>
      </c>
      <c r="C338" t="inlineStr">
        <is>
          <t>Unity Laundry</t>
        </is>
      </c>
      <c r="D338" t="inlineStr">
        <is>
          <t>Laundry</t>
        </is>
      </c>
      <c r="E338" s="2" t="n">
        <v>45413</v>
      </c>
      <c r="F338" s="2" t="n">
        <v>46507</v>
      </c>
      <c r="G338" s="3" t="n">
        <v>3150</v>
      </c>
      <c r="H338">
        <f>VLOOKUP(B338,Units!$A$2:$G$1646,2,FALSE)</f>
        <v/>
      </c>
      <c r="I338">
        <f>VLOOKUP(B338,Units!$A$2:$G$1646,5,FALSE)</f>
        <v/>
      </c>
      <c r="J338" s="3">
        <f>G338/I338</f>
        <v/>
      </c>
      <c r="K338" s="3">
        <f>G338*12</f>
        <v/>
      </c>
      <c r="L338" s="3" t="n">
        <v>9450</v>
      </c>
    </row>
    <row r="339">
      <c r="A339" t="inlineStr">
        <is>
          <t>TA-2024-00310</t>
        </is>
      </c>
      <c r="B339" t="inlineStr">
        <is>
          <t>U-KR359-01-05</t>
        </is>
      </c>
      <c r="C339" t="inlineStr">
        <is>
          <t>Swee Heng Supermarket Pte Ltd</t>
        </is>
      </c>
      <c r="D339" t="inlineStr">
        <is>
          <t>Minimart</t>
        </is>
      </c>
      <c r="E339" s="2" t="n">
        <v>45413</v>
      </c>
      <c r="F339" s="2" t="n">
        <v>46507</v>
      </c>
      <c r="G339" s="3" t="n">
        <v>3350</v>
      </c>
      <c r="H339">
        <f>VLOOKUP(B339,Units!$A$2:$G$1646,2,FALSE)</f>
        <v/>
      </c>
      <c r="I339">
        <f>VLOOKUP(B339,Units!$A$2:$G$1646,5,FALSE)</f>
        <v/>
      </c>
      <c r="J339" s="3">
        <f>G339/I339</f>
        <v/>
      </c>
      <c r="K339" s="3">
        <f>G339*12</f>
        <v/>
      </c>
      <c r="L339" s="3" t="n">
        <v>10050</v>
      </c>
    </row>
    <row r="340">
      <c r="A340" t="inlineStr">
        <is>
          <t>TA-2024-00311</t>
        </is>
      </c>
      <c r="B340" t="inlineStr">
        <is>
          <t>U-KR362-01-05</t>
        </is>
      </c>
      <c r="C340" t="inlineStr">
        <is>
          <t>Bloom Tuition Centre Pte Ltd</t>
        </is>
      </c>
      <c r="D340" t="inlineStr">
        <is>
          <t>Tuition Centre</t>
        </is>
      </c>
      <c r="E340" s="2" t="n">
        <v>45413</v>
      </c>
      <c r="F340" s="2" t="n">
        <v>46507</v>
      </c>
      <c r="G340" s="3" t="n">
        <v>1790</v>
      </c>
      <c r="H340">
        <f>VLOOKUP(B340,Units!$A$2:$G$1646,2,FALSE)</f>
        <v/>
      </c>
      <c r="I340">
        <f>VLOOKUP(B340,Units!$A$2:$G$1646,5,FALSE)</f>
        <v/>
      </c>
      <c r="J340" s="3">
        <f>G340/I340</f>
        <v/>
      </c>
      <c r="K340" s="3">
        <f>G340*12</f>
        <v/>
      </c>
      <c r="L340" s="3" t="n">
        <v>5370</v>
      </c>
    </row>
    <row r="341">
      <c r="A341" t="inlineStr">
        <is>
          <t>TA-2024-00313</t>
        </is>
      </c>
      <c r="B341" t="inlineStr">
        <is>
          <t>U-KR371-01-11</t>
        </is>
      </c>
      <c r="C341" t="inlineStr">
        <is>
          <t>Kampung Optical Pte Ltd</t>
        </is>
      </c>
      <c r="D341" t="inlineStr">
        <is>
          <t>Optical</t>
        </is>
      </c>
      <c r="E341" s="2" t="n">
        <v>45413</v>
      </c>
      <c r="F341" s="2" t="n">
        <v>46507</v>
      </c>
      <c r="G341" s="3" t="n">
        <v>4440</v>
      </c>
      <c r="H341">
        <f>VLOOKUP(B341,Units!$A$2:$G$1646,2,FALSE)</f>
        <v/>
      </c>
      <c r="I341">
        <f>VLOOKUP(B341,Units!$A$2:$G$1646,5,FALSE)</f>
        <v/>
      </c>
      <c r="J341" s="3">
        <f>G341/I341</f>
        <v/>
      </c>
      <c r="K341" s="3">
        <f>G341*12</f>
        <v/>
      </c>
      <c r="L341" s="3" t="n">
        <v>13320</v>
      </c>
    </row>
    <row r="342">
      <c r="A342" t="inlineStr">
        <is>
          <t>TA-2024-00314</t>
        </is>
      </c>
      <c r="B342" t="inlineStr">
        <is>
          <t>U-KR385-01-03</t>
        </is>
      </c>
      <c r="C342" t="inlineStr">
        <is>
          <t>Al-Ameen Clinic &amp; Surgery</t>
        </is>
      </c>
      <c r="D342" t="inlineStr">
        <is>
          <t>GP Clinic</t>
        </is>
      </c>
      <c r="E342" s="2" t="n">
        <v>45413</v>
      </c>
      <c r="F342" s="2" t="n">
        <v>46507</v>
      </c>
      <c r="G342" s="3" t="n">
        <v>4430</v>
      </c>
      <c r="H342">
        <f>VLOOKUP(B342,Units!$A$2:$G$1646,2,FALSE)</f>
        <v/>
      </c>
      <c r="I342">
        <f>VLOOKUP(B342,Units!$A$2:$G$1646,5,FALSE)</f>
        <v/>
      </c>
      <c r="J342" s="3">
        <f>G342/I342</f>
        <v/>
      </c>
      <c r="K342" s="3">
        <f>G342*12</f>
        <v/>
      </c>
      <c r="L342" s="3" t="n">
        <v>13290</v>
      </c>
    </row>
    <row r="343">
      <c r="A343" t="inlineStr">
        <is>
          <t>TA-2024-00316</t>
        </is>
      </c>
      <c r="B343" t="inlineStr">
        <is>
          <t>U-KR385-01-04</t>
        </is>
      </c>
      <c r="C343" t="inlineStr">
        <is>
          <t>Raja Hair Salon Pte Ltd</t>
        </is>
      </c>
      <c r="D343" t="inlineStr">
        <is>
          <t>Hair Salon</t>
        </is>
      </c>
      <c r="E343" s="2" t="n">
        <v>45413</v>
      </c>
      <c r="F343" s="2" t="n">
        <v>46507</v>
      </c>
      <c r="G343" s="3" t="n">
        <v>3580</v>
      </c>
      <c r="H343">
        <f>VLOOKUP(B343,Units!$A$2:$G$1646,2,FALSE)</f>
        <v/>
      </c>
      <c r="I343">
        <f>VLOOKUP(B343,Units!$A$2:$G$1646,5,FALSE)</f>
        <v/>
      </c>
      <c r="J343" s="3">
        <f>G343/I343</f>
        <v/>
      </c>
      <c r="K343" s="3">
        <f>G343*12</f>
        <v/>
      </c>
      <c r="L343" s="3" t="n">
        <v>10740</v>
      </c>
    </row>
    <row r="344">
      <c r="A344" t="inlineStr">
        <is>
          <t>TA-2024-00318</t>
        </is>
      </c>
      <c r="B344" t="inlineStr">
        <is>
          <t>U-KR385-01-12</t>
        </is>
      </c>
      <c r="C344" t="inlineStr">
        <is>
          <t>Hock Lee Mart</t>
        </is>
      </c>
      <c r="D344" t="inlineStr">
        <is>
          <t>Minimart</t>
        </is>
      </c>
      <c r="E344" s="2" t="n">
        <v>45413</v>
      </c>
      <c r="F344" s="2" t="n">
        <v>46507</v>
      </c>
      <c r="G344" s="3" t="n">
        <v>3390</v>
      </c>
      <c r="H344">
        <f>VLOOKUP(B344,Units!$A$2:$G$1646,2,FALSE)</f>
        <v/>
      </c>
      <c r="I344">
        <f>VLOOKUP(B344,Units!$A$2:$G$1646,5,FALSE)</f>
        <v/>
      </c>
      <c r="J344" s="3">
        <f>G344/I344</f>
        <v/>
      </c>
      <c r="K344" s="3">
        <f>G344*12</f>
        <v/>
      </c>
      <c r="L344" s="3" t="n">
        <v>10170</v>
      </c>
    </row>
    <row r="345">
      <c r="A345" t="inlineStr">
        <is>
          <t>TA-2024-00319</t>
        </is>
      </c>
      <c r="B345" t="inlineStr">
        <is>
          <t>U-PI614-01-06</t>
        </is>
      </c>
      <c r="C345" t="inlineStr">
        <is>
          <t>Barakah Boba Bar Pte Ltd</t>
        </is>
      </c>
      <c r="D345" t="inlineStr">
        <is>
          <t>Bubble Tea</t>
        </is>
      </c>
      <c r="E345" s="2" t="n">
        <v>45413</v>
      </c>
      <c r="F345" s="2" t="n">
        <v>46507</v>
      </c>
      <c r="G345" s="3" t="n">
        <v>4330</v>
      </c>
      <c r="H345">
        <f>VLOOKUP(B345,Units!$A$2:$G$1646,2,FALSE)</f>
        <v/>
      </c>
      <c r="I345">
        <f>VLOOKUP(B345,Units!$A$2:$G$1646,5,FALSE)</f>
        <v/>
      </c>
      <c r="J345" s="3">
        <f>G345/I345</f>
        <v/>
      </c>
      <c r="K345" s="3">
        <f>G345*12</f>
        <v/>
      </c>
      <c r="L345" s="3" t="n">
        <v>12990</v>
      </c>
    </row>
    <row r="346">
      <c r="A346" t="inlineStr">
        <is>
          <t>TA-2024-00320</t>
        </is>
      </c>
      <c r="B346" t="inlineStr">
        <is>
          <t>U-PI627-01-05</t>
        </is>
      </c>
      <c r="C346" t="inlineStr">
        <is>
          <t>Raja Medical Supplies</t>
        </is>
      </c>
      <c r="D346" t="inlineStr">
        <is>
          <t>Pharmacy</t>
        </is>
      </c>
      <c r="E346" s="2" t="n">
        <v>45413</v>
      </c>
      <c r="F346" s="2" t="n">
        <v>46507</v>
      </c>
      <c r="G346" s="3" t="n">
        <v>5060</v>
      </c>
      <c r="H346">
        <f>VLOOKUP(B346,Units!$A$2:$G$1646,2,FALSE)</f>
        <v/>
      </c>
      <c r="I346">
        <f>VLOOKUP(B346,Units!$A$2:$G$1646,5,FALSE)</f>
        <v/>
      </c>
      <c r="J346" s="3">
        <f>G346/I346</f>
        <v/>
      </c>
      <c r="K346" s="3">
        <f>G346*12</f>
        <v/>
      </c>
      <c r="L346" s="3" t="n">
        <v>15180</v>
      </c>
    </row>
    <row r="347">
      <c r="A347" t="inlineStr">
        <is>
          <t>TA-2024-00322</t>
        </is>
      </c>
      <c r="B347" t="inlineStr">
        <is>
          <t>U-PI627-01-19</t>
        </is>
      </c>
      <c r="C347" t="inlineStr">
        <is>
          <t>Wisdom Supermarket Pte Ltd</t>
        </is>
      </c>
      <c r="D347" t="inlineStr">
        <is>
          <t>Minimart</t>
        </is>
      </c>
      <c r="E347" s="2" t="n">
        <v>45413</v>
      </c>
      <c r="F347" s="2" t="n">
        <v>46507</v>
      </c>
      <c r="G347" s="3" t="n">
        <v>4370</v>
      </c>
      <c r="H347">
        <f>VLOOKUP(B347,Units!$A$2:$G$1646,2,FALSE)</f>
        <v/>
      </c>
      <c r="I347">
        <f>VLOOKUP(B347,Units!$A$2:$G$1646,5,FALSE)</f>
        <v/>
      </c>
      <c r="J347" s="3">
        <f>G347/I347</f>
        <v/>
      </c>
      <c r="K347" s="3">
        <f>G347*12</f>
        <v/>
      </c>
      <c r="L347" s="3" t="n">
        <v>13110</v>
      </c>
    </row>
    <row r="348">
      <c r="A348" t="inlineStr">
        <is>
          <t>TA-2024-00324</t>
        </is>
      </c>
      <c r="B348" t="inlineStr">
        <is>
          <t>U-PI627-02-18</t>
        </is>
      </c>
      <c r="C348" t="inlineStr">
        <is>
          <t>Kopi Corner Medical Clinic</t>
        </is>
      </c>
      <c r="D348" t="inlineStr">
        <is>
          <t>GP Clinic</t>
        </is>
      </c>
      <c r="E348" s="2" t="n">
        <v>45413</v>
      </c>
      <c r="F348" s="2" t="n">
        <v>46507</v>
      </c>
      <c r="G348" s="3" t="n">
        <v>2870</v>
      </c>
      <c r="H348">
        <f>VLOOKUP(B348,Units!$A$2:$G$1646,2,FALSE)</f>
        <v/>
      </c>
      <c r="I348">
        <f>VLOOKUP(B348,Units!$A$2:$G$1646,5,FALSE)</f>
        <v/>
      </c>
      <c r="J348" s="3">
        <f>G348/I348</f>
        <v/>
      </c>
      <c r="K348" s="3">
        <f>G348*12</f>
        <v/>
      </c>
      <c r="L348" s="3" t="n">
        <v>8610</v>
      </c>
    </row>
    <row r="349">
      <c r="A349" t="inlineStr">
        <is>
          <t>TA-2024-00326</t>
        </is>
      </c>
      <c r="B349" t="inlineStr">
        <is>
          <t>U-PI634-02-03</t>
        </is>
      </c>
      <c r="C349" t="inlineStr">
        <is>
          <t>Smart Kids Medical Clinic</t>
        </is>
      </c>
      <c r="D349" t="inlineStr">
        <is>
          <t>GP Clinic</t>
        </is>
      </c>
      <c r="E349" s="2" t="n">
        <v>45413</v>
      </c>
      <c r="F349" s="2" t="n">
        <v>46507</v>
      </c>
      <c r="G349" s="3" t="n">
        <v>4570</v>
      </c>
      <c r="H349">
        <f>VLOOKUP(B349,Units!$A$2:$G$1646,2,FALSE)</f>
        <v/>
      </c>
      <c r="I349">
        <f>VLOOKUP(B349,Units!$A$2:$G$1646,5,FALSE)</f>
        <v/>
      </c>
      <c r="J349" s="3">
        <f>G349/I349</f>
        <v/>
      </c>
      <c r="K349" s="3">
        <f>G349*12</f>
        <v/>
      </c>
      <c r="L349" s="3" t="n">
        <v>13710</v>
      </c>
    </row>
    <row r="350">
      <c r="A350" t="inlineStr">
        <is>
          <t>TA-2024-00327</t>
        </is>
      </c>
      <c r="B350" t="inlineStr">
        <is>
          <t>U-PI644-01-02</t>
        </is>
      </c>
      <c r="C350" t="inlineStr">
        <is>
          <t>Siva Locksmith</t>
        </is>
      </c>
      <c r="D350" t="inlineStr">
        <is>
          <t>Key Cutting &amp; Shoe Repair</t>
        </is>
      </c>
      <c r="E350" s="2" t="n">
        <v>45413</v>
      </c>
      <c r="F350" s="2" t="n">
        <v>46507</v>
      </c>
      <c r="G350" s="3" t="n">
        <v>1160</v>
      </c>
      <c r="H350">
        <f>VLOOKUP(B350,Units!$A$2:$G$1646,2,FALSE)</f>
        <v/>
      </c>
      <c r="I350">
        <f>VLOOKUP(B350,Units!$A$2:$G$1646,5,FALSE)</f>
        <v/>
      </c>
      <c r="J350" s="3">
        <f>G350/I350</f>
        <v/>
      </c>
      <c r="K350" s="3">
        <f>G350*12</f>
        <v/>
      </c>
      <c r="L350" s="3" t="n">
        <v>3480</v>
      </c>
    </row>
    <row r="351">
      <c r="A351" t="inlineStr">
        <is>
          <t>TA-2024-00329</t>
        </is>
      </c>
      <c r="B351" t="inlineStr">
        <is>
          <t>U-PI648-01-11</t>
        </is>
      </c>
      <c r="C351" t="inlineStr">
        <is>
          <t>Golden Leaf Boba Bar</t>
        </is>
      </c>
      <c r="D351" t="inlineStr">
        <is>
          <t>Bubble Tea</t>
        </is>
      </c>
      <c r="E351" s="2" t="n">
        <v>45413</v>
      </c>
      <c r="F351" s="2" t="n">
        <v>46507</v>
      </c>
      <c r="G351" s="3" t="n">
        <v>4860</v>
      </c>
      <c r="H351">
        <f>VLOOKUP(B351,Units!$A$2:$G$1646,2,FALSE)</f>
        <v/>
      </c>
      <c r="I351">
        <f>VLOOKUP(B351,Units!$A$2:$G$1646,5,FALSE)</f>
        <v/>
      </c>
      <c r="J351" s="3">
        <f>G351/I351</f>
        <v/>
      </c>
      <c r="K351" s="3">
        <f>G351*12</f>
        <v/>
      </c>
      <c r="L351" s="3" t="n">
        <v>14580</v>
      </c>
    </row>
    <row r="352">
      <c r="A352" t="inlineStr">
        <is>
          <t>TA-2024-00331</t>
        </is>
      </c>
      <c r="B352" t="inlineStr">
        <is>
          <t>U-PI667-01-04</t>
        </is>
      </c>
      <c r="C352" t="inlineStr">
        <is>
          <t>Murugan Dry Cleaners</t>
        </is>
      </c>
      <c r="D352" t="inlineStr">
        <is>
          <t>Laundry</t>
        </is>
      </c>
      <c r="E352" s="2" t="n">
        <v>45413</v>
      </c>
      <c r="F352" s="2" t="n">
        <v>46507</v>
      </c>
      <c r="G352" s="3" t="n">
        <v>2540</v>
      </c>
      <c r="H352">
        <f>VLOOKUP(B352,Units!$A$2:$G$1646,2,FALSE)</f>
        <v/>
      </c>
      <c r="I352">
        <f>VLOOKUP(B352,Units!$A$2:$G$1646,5,FALSE)</f>
        <v/>
      </c>
      <c r="J352" s="3">
        <f>G352/I352</f>
        <v/>
      </c>
      <c r="K352" s="3">
        <f>G352*12</f>
        <v/>
      </c>
      <c r="L352" s="3" t="n">
        <v>7620</v>
      </c>
    </row>
    <row r="353">
      <c r="A353" t="inlineStr">
        <is>
          <t>TA-2024-00332</t>
        </is>
      </c>
      <c r="B353" t="inlineStr">
        <is>
          <t>U-RH401-01-08</t>
        </is>
      </c>
      <c r="C353" t="inlineStr">
        <is>
          <t>Wong's Dry Cleaners Pte Ltd</t>
        </is>
      </c>
      <c r="D353" t="inlineStr">
        <is>
          <t>Laundry</t>
        </is>
      </c>
      <c r="E353" s="2" t="n">
        <v>45413</v>
      </c>
      <c r="F353" s="2" t="n">
        <v>46507</v>
      </c>
      <c r="G353" s="3" t="n">
        <v>3030</v>
      </c>
      <c r="H353">
        <f>VLOOKUP(B353,Units!$A$2:$G$1646,2,FALSE)</f>
        <v/>
      </c>
      <c r="I353">
        <f>VLOOKUP(B353,Units!$A$2:$G$1646,5,FALSE)</f>
        <v/>
      </c>
      <c r="J353" s="3">
        <f>G353/I353</f>
        <v/>
      </c>
      <c r="K353" s="3">
        <f>G353*12</f>
        <v/>
      </c>
      <c r="L353" s="3" t="n">
        <v>9090</v>
      </c>
    </row>
    <row r="354">
      <c r="A354" t="inlineStr">
        <is>
          <t>TA-2024-00333</t>
        </is>
      </c>
      <c r="B354" t="inlineStr">
        <is>
          <t>U-RH401-01-09</t>
        </is>
      </c>
      <c r="C354" t="inlineStr">
        <is>
          <t>Lim's Education Hub</t>
        </is>
      </c>
      <c r="D354" t="inlineStr">
        <is>
          <t>Tuition Centre</t>
        </is>
      </c>
      <c r="E354" s="2" t="n">
        <v>45413</v>
      </c>
      <c r="F354" s="2" t="n">
        <v>46507</v>
      </c>
      <c r="G354" s="3" t="n">
        <v>3370</v>
      </c>
      <c r="H354">
        <f>VLOOKUP(B354,Units!$A$2:$G$1646,2,FALSE)</f>
        <v/>
      </c>
      <c r="I354">
        <f>VLOOKUP(B354,Units!$A$2:$G$1646,5,FALSE)</f>
        <v/>
      </c>
      <c r="J354" s="3">
        <f>G354/I354</f>
        <v/>
      </c>
      <c r="K354" s="3">
        <f>G354*12</f>
        <v/>
      </c>
      <c r="L354" s="3" t="n">
        <v>10110</v>
      </c>
    </row>
    <row r="355">
      <c r="A355" t="inlineStr">
        <is>
          <t>TA-2024-00335</t>
        </is>
      </c>
      <c r="B355" t="inlineStr">
        <is>
          <t>U-RH456-01-05</t>
        </is>
      </c>
      <c r="C355" t="inlineStr">
        <is>
          <t>Mei Ling Minimart</t>
        </is>
      </c>
      <c r="D355" t="inlineStr">
        <is>
          <t>Minimart</t>
        </is>
      </c>
      <c r="E355" s="2" t="n">
        <v>45413</v>
      </c>
      <c r="F355" s="2" t="n">
        <v>46507</v>
      </c>
      <c r="G355" s="3" t="n">
        <v>1830</v>
      </c>
      <c r="H355">
        <f>VLOOKUP(B355,Units!$A$2:$G$1646,2,FALSE)</f>
        <v/>
      </c>
      <c r="I355">
        <f>VLOOKUP(B355,Units!$A$2:$G$1646,5,FALSE)</f>
        <v/>
      </c>
      <c r="J355" s="3">
        <f>G355/I355</f>
        <v/>
      </c>
      <c r="K355" s="3">
        <f>G355*12</f>
        <v/>
      </c>
      <c r="L355" s="3" t="n">
        <v>5490</v>
      </c>
    </row>
    <row r="356">
      <c r="A356" t="inlineStr">
        <is>
          <t>TA-2024-00337</t>
        </is>
      </c>
      <c r="B356" t="inlineStr">
        <is>
          <t>U-RH460-01-12</t>
        </is>
      </c>
      <c r="C356" t="inlineStr">
        <is>
          <t>Seri Murni Trading Pte Ltd</t>
        </is>
      </c>
      <c r="D356" t="inlineStr">
        <is>
          <t>Provision Shop</t>
        </is>
      </c>
      <c r="E356" s="2" t="n">
        <v>45413</v>
      </c>
      <c r="F356" s="2" t="n">
        <v>46507</v>
      </c>
      <c r="G356" s="3" t="n">
        <v>3290</v>
      </c>
      <c r="H356">
        <f>VLOOKUP(B356,Units!$A$2:$G$1646,2,FALSE)</f>
        <v/>
      </c>
      <c r="I356">
        <f>VLOOKUP(B356,Units!$A$2:$G$1646,5,FALSE)</f>
        <v/>
      </c>
      <c r="J356" s="3">
        <f>G356/I356</f>
        <v/>
      </c>
      <c r="K356" s="3">
        <f>G356*12</f>
        <v/>
      </c>
      <c r="L356" s="3" t="n">
        <v>9870</v>
      </c>
    </row>
    <row r="357">
      <c r="A357" t="inlineStr">
        <is>
          <t>TA-2024-00338</t>
        </is>
      </c>
      <c r="B357" t="inlineStr">
        <is>
          <t>U-RH464-01-04</t>
        </is>
      </c>
      <c r="C357" t="inlineStr">
        <is>
          <t>Murugan Remittance</t>
        </is>
      </c>
      <c r="D357" t="inlineStr">
        <is>
          <t>Remittance &amp; Money Changer</t>
        </is>
      </c>
      <c r="E357" s="2" t="n">
        <v>45413</v>
      </c>
      <c r="F357" s="2" t="n">
        <v>46507</v>
      </c>
      <c r="G357" s="3" t="n">
        <v>1180</v>
      </c>
      <c r="H357">
        <f>VLOOKUP(B357,Units!$A$2:$G$1646,2,FALSE)</f>
        <v/>
      </c>
      <c r="I357">
        <f>VLOOKUP(B357,Units!$A$2:$G$1646,5,FALSE)</f>
        <v/>
      </c>
      <c r="J357" s="3">
        <f>G357/I357</f>
        <v/>
      </c>
      <c r="K357" s="3">
        <f>G357*12</f>
        <v/>
      </c>
      <c r="L357" s="3" t="n">
        <v>3540</v>
      </c>
    </row>
    <row r="358">
      <c r="A358" t="inlineStr">
        <is>
          <t>TA-2024-00340</t>
        </is>
      </c>
      <c r="B358" t="inlineStr">
        <is>
          <t>U-RH484-01-12</t>
        </is>
      </c>
      <c r="C358" t="inlineStr">
        <is>
          <t>Lucky Star Eye Centre Pte Ltd</t>
        </is>
      </c>
      <c r="D358" t="inlineStr">
        <is>
          <t>Optical</t>
        </is>
      </c>
      <c r="E358" s="2" t="n">
        <v>45413</v>
      </c>
      <c r="F358" s="2" t="n">
        <v>46507</v>
      </c>
      <c r="G358" s="3" t="n">
        <v>2330</v>
      </c>
      <c r="H358">
        <f>VLOOKUP(B358,Units!$A$2:$G$1646,2,FALSE)</f>
        <v/>
      </c>
      <c r="I358">
        <f>VLOOKUP(B358,Units!$A$2:$G$1646,5,FALSE)</f>
        <v/>
      </c>
      <c r="J358" s="3">
        <f>G358/I358</f>
        <v/>
      </c>
      <c r="K358" s="3">
        <f>G358*12</f>
        <v/>
      </c>
      <c r="L358" s="3" t="n">
        <v>6990</v>
      </c>
    </row>
    <row r="359">
      <c r="A359" t="inlineStr">
        <is>
          <t>TA-2024-00342</t>
        </is>
      </c>
      <c r="B359" t="inlineStr">
        <is>
          <t>U-RH485-01-01</t>
        </is>
      </c>
      <c r="C359" t="inlineStr">
        <is>
          <t>Kian Huat Minimart</t>
        </is>
      </c>
      <c r="D359" t="inlineStr">
        <is>
          <t>Minimart</t>
        </is>
      </c>
      <c r="E359" s="2" t="n">
        <v>45413</v>
      </c>
      <c r="F359" s="2" t="n">
        <v>46507</v>
      </c>
      <c r="G359" s="3" t="n">
        <v>2300</v>
      </c>
      <c r="H359">
        <f>VLOOKUP(B359,Units!$A$2:$G$1646,2,FALSE)</f>
        <v/>
      </c>
      <c r="I359">
        <f>VLOOKUP(B359,Units!$A$2:$G$1646,5,FALSE)</f>
        <v/>
      </c>
      <c r="J359" s="3">
        <f>G359/I359</f>
        <v/>
      </c>
      <c r="K359" s="3">
        <f>G359*12</f>
        <v/>
      </c>
      <c r="L359" s="3" t="n">
        <v>6900</v>
      </c>
    </row>
    <row r="360">
      <c r="A360" t="inlineStr">
        <is>
          <t>TA-2024-00344</t>
        </is>
      </c>
      <c r="B360" t="inlineStr">
        <is>
          <t>U-ST501-01-06</t>
        </is>
      </c>
      <c r="C360" t="inlineStr">
        <is>
          <t>Jade Garden Aquarium &amp; Pets Pte Ltd</t>
        </is>
      </c>
      <c r="D360" t="inlineStr">
        <is>
          <t>Pet Shop</t>
        </is>
      </c>
      <c r="E360" s="2" t="n">
        <v>45413</v>
      </c>
      <c r="F360" s="2" t="n">
        <v>46507</v>
      </c>
      <c r="G360" s="3" t="n">
        <v>2300</v>
      </c>
      <c r="H360">
        <f>VLOOKUP(B360,Units!$A$2:$G$1646,2,FALSE)</f>
        <v/>
      </c>
      <c r="I360">
        <f>VLOOKUP(B360,Units!$A$2:$G$1646,5,FALSE)</f>
        <v/>
      </c>
      <c r="J360" s="3">
        <f>G360/I360</f>
        <v/>
      </c>
      <c r="K360" s="3">
        <f>G360*12</f>
        <v/>
      </c>
      <c r="L360" s="3" t="n">
        <v>6900</v>
      </c>
    </row>
    <row r="361">
      <c r="A361" t="inlineStr">
        <is>
          <t>TA-2024-00345</t>
        </is>
      </c>
      <c r="B361" t="inlineStr">
        <is>
          <t>U-ST535-01-01</t>
        </is>
      </c>
      <c r="C361" t="inlineStr">
        <is>
          <t>Al-Ameen Hardware &amp; Electrical</t>
        </is>
      </c>
      <c r="D361" t="inlineStr">
        <is>
          <t>Hardware</t>
        </is>
      </c>
      <c r="E361" s="2" t="n">
        <v>45413</v>
      </c>
      <c r="F361" s="2" t="n">
        <v>46507</v>
      </c>
      <c r="G361" s="3" t="n">
        <v>2850</v>
      </c>
      <c r="H361">
        <f>VLOOKUP(B361,Units!$A$2:$G$1646,2,FALSE)</f>
        <v/>
      </c>
      <c r="I361">
        <f>VLOOKUP(B361,Units!$A$2:$G$1646,5,FALSE)</f>
        <v/>
      </c>
      <c r="J361" s="3">
        <f>G361/I361</f>
        <v/>
      </c>
      <c r="K361" s="3">
        <f>G361*12</f>
        <v/>
      </c>
      <c r="L361" s="3" t="n">
        <v>8550</v>
      </c>
    </row>
    <row r="362">
      <c r="A362" t="inlineStr">
        <is>
          <t>TA-2024-00347</t>
        </is>
      </c>
      <c r="B362" t="inlineStr">
        <is>
          <t>U-ST583-01-03</t>
        </is>
      </c>
      <c r="C362" t="inlineStr">
        <is>
          <t>Brilliant Hair Salon Pte Ltd</t>
        </is>
      </c>
      <c r="D362" t="inlineStr">
        <is>
          <t>Hair Salon</t>
        </is>
      </c>
      <c r="E362" s="2" t="n">
        <v>45413</v>
      </c>
      <c r="F362" s="2" t="n">
        <v>46507</v>
      </c>
      <c r="G362" s="3" t="n">
        <v>2350</v>
      </c>
      <c r="H362">
        <f>VLOOKUP(B362,Units!$A$2:$G$1646,2,FALSE)</f>
        <v/>
      </c>
      <c r="I362">
        <f>VLOOKUP(B362,Units!$A$2:$G$1646,5,FALSE)</f>
        <v/>
      </c>
      <c r="J362" s="3">
        <f>G362/I362</f>
        <v/>
      </c>
      <c r="K362" s="3">
        <f>G362*12</f>
        <v/>
      </c>
      <c r="L362" s="3" t="n">
        <v>7050</v>
      </c>
    </row>
    <row r="363">
      <c r="A363" t="inlineStr">
        <is>
          <t>TA-2024-00348</t>
        </is>
      </c>
      <c r="B363" t="inlineStr">
        <is>
          <t>U-ST589-01-01</t>
        </is>
      </c>
      <c r="C363" t="inlineStr">
        <is>
          <t>Tian Fu Fruits</t>
        </is>
      </c>
      <c r="D363" t="inlineStr">
        <is>
          <t>Fruit Shop</t>
        </is>
      </c>
      <c r="E363" s="2" t="n">
        <v>45413</v>
      </c>
      <c r="F363" s="2" t="n">
        <v>46507</v>
      </c>
      <c r="G363" s="3" t="n">
        <v>1830</v>
      </c>
      <c r="H363">
        <f>VLOOKUP(B363,Units!$A$2:$G$1646,2,FALSE)</f>
        <v/>
      </c>
      <c r="I363">
        <f>VLOOKUP(B363,Units!$A$2:$G$1646,5,FALSE)</f>
        <v/>
      </c>
      <c r="J363" s="3">
        <f>G363/I363</f>
        <v/>
      </c>
      <c r="K363" s="3">
        <f>G363*12</f>
        <v/>
      </c>
      <c r="L363" s="3" t="n">
        <v>5490</v>
      </c>
    </row>
    <row r="364">
      <c r="A364" t="inlineStr">
        <is>
          <t>TA-2024-00350</t>
        </is>
      </c>
      <c r="B364" t="inlineStr">
        <is>
          <t>U-ST590-01-03</t>
        </is>
      </c>
      <c r="C364" t="inlineStr">
        <is>
          <t>Lotus Minimart Pte Ltd</t>
        </is>
      </c>
      <c r="D364" t="inlineStr">
        <is>
          <t>Minimart</t>
        </is>
      </c>
      <c r="E364" s="2" t="n">
        <v>45413</v>
      </c>
      <c r="F364" s="2" t="n">
        <v>46507</v>
      </c>
      <c r="G364" s="3" t="n">
        <v>3250</v>
      </c>
      <c r="H364">
        <f>VLOOKUP(B364,Units!$A$2:$G$1646,2,FALSE)</f>
        <v/>
      </c>
      <c r="I364">
        <f>VLOOKUP(B364,Units!$A$2:$G$1646,5,FALSE)</f>
        <v/>
      </c>
      <c r="J364" s="3">
        <f>G364/I364</f>
        <v/>
      </c>
      <c r="K364" s="3">
        <f>G364*12</f>
        <v/>
      </c>
      <c r="L364" s="3" t="n">
        <v>9750</v>
      </c>
    </row>
    <row r="365">
      <c r="A365" t="inlineStr">
        <is>
          <t>TA-2024-00352</t>
        </is>
      </c>
      <c r="B365" t="inlineStr">
        <is>
          <t>U-BV214-01-18</t>
        </is>
      </c>
      <c r="C365" t="inlineStr">
        <is>
          <t>Hup Seng Confectionery</t>
        </is>
      </c>
      <c r="D365" t="inlineStr">
        <is>
          <t>Bakery &amp; Confectionery</t>
        </is>
      </c>
      <c r="E365" s="2" t="n">
        <v>45444</v>
      </c>
      <c r="F365" s="2" t="n">
        <v>46538</v>
      </c>
      <c r="G365" s="3" t="n">
        <v>5280</v>
      </c>
      <c r="H365">
        <f>VLOOKUP(B365,Units!$A$2:$G$1646,2,FALSE)</f>
        <v/>
      </c>
      <c r="I365">
        <f>VLOOKUP(B365,Units!$A$2:$G$1646,5,FALSE)</f>
        <v/>
      </c>
      <c r="J365" s="3">
        <f>G365/I365</f>
        <v/>
      </c>
      <c r="K365" s="3">
        <f>G365*12</f>
        <v/>
      </c>
      <c r="L365" s="3" t="n">
        <v>15840</v>
      </c>
    </row>
    <row r="366">
      <c r="A366" t="inlineStr">
        <is>
          <t>TA-2024-00353</t>
        </is>
      </c>
      <c r="B366" t="inlineStr">
        <is>
          <t>U-BV219-01-03</t>
        </is>
      </c>
      <c r="C366" t="inlineStr">
        <is>
          <t>Sin Hock Supermarket</t>
        </is>
      </c>
      <c r="D366" t="inlineStr">
        <is>
          <t>Minimart</t>
        </is>
      </c>
      <c r="E366" s="2" t="n">
        <v>45444</v>
      </c>
      <c r="F366" s="2" t="n">
        <v>46538</v>
      </c>
      <c r="G366" s="3" t="n">
        <v>2690</v>
      </c>
      <c r="H366">
        <f>VLOOKUP(B366,Units!$A$2:$G$1646,2,FALSE)</f>
        <v/>
      </c>
      <c r="I366">
        <f>VLOOKUP(B366,Units!$A$2:$G$1646,5,FALSE)</f>
        <v/>
      </c>
      <c r="J366" s="3">
        <f>G366/I366</f>
        <v/>
      </c>
      <c r="K366" s="3">
        <f>G366*12</f>
        <v/>
      </c>
      <c r="L366" s="3" t="n">
        <v>8070</v>
      </c>
    </row>
    <row r="367">
      <c r="A367" t="inlineStr">
        <is>
          <t>TA-2024-00354</t>
        </is>
      </c>
      <c r="B367" t="inlineStr">
        <is>
          <t>U-BV283-01-03</t>
        </is>
      </c>
      <c r="C367" t="inlineStr">
        <is>
          <t>Everbright Kueh Corner</t>
        </is>
      </c>
      <c r="D367" t="inlineStr">
        <is>
          <t>Snack Kiosk</t>
        </is>
      </c>
      <c r="E367" s="2" t="n">
        <v>45444</v>
      </c>
      <c r="F367" s="2" t="n">
        <v>46538</v>
      </c>
      <c r="G367" s="3" t="n">
        <v>970</v>
      </c>
      <c r="H367">
        <f>VLOOKUP(B367,Units!$A$2:$G$1646,2,FALSE)</f>
        <v/>
      </c>
      <c r="I367">
        <f>VLOOKUP(B367,Units!$A$2:$G$1646,5,FALSE)</f>
        <v/>
      </c>
      <c r="J367" s="3">
        <f>G367/I367</f>
        <v/>
      </c>
      <c r="K367" s="3">
        <f>G367*12</f>
        <v/>
      </c>
      <c r="L367" s="3" t="n">
        <v>2910</v>
      </c>
    </row>
    <row r="368">
      <c r="A368" t="inlineStr">
        <is>
          <t>TA-2024-00356</t>
        </is>
      </c>
      <c r="B368" t="inlineStr">
        <is>
          <t>U-CD105-01-06</t>
        </is>
      </c>
      <c r="C368" t="inlineStr">
        <is>
          <t>Orchid Confectionery</t>
        </is>
      </c>
      <c r="D368" t="inlineStr">
        <is>
          <t>Bakery &amp; Confectionery</t>
        </is>
      </c>
      <c r="E368" s="2" t="n">
        <v>45444</v>
      </c>
      <c r="F368" s="2" t="n">
        <v>46538</v>
      </c>
      <c r="G368" s="3" t="n">
        <v>4880</v>
      </c>
      <c r="H368">
        <f>VLOOKUP(B368,Units!$A$2:$G$1646,2,FALSE)</f>
        <v/>
      </c>
      <c r="I368">
        <f>VLOOKUP(B368,Units!$A$2:$G$1646,5,FALSE)</f>
        <v/>
      </c>
      <c r="J368" s="3">
        <f>G368/I368</f>
        <v/>
      </c>
      <c r="K368" s="3">
        <f>G368*12</f>
        <v/>
      </c>
      <c r="L368" s="3" t="n">
        <v>14640</v>
      </c>
    </row>
    <row r="369">
      <c r="A369" t="inlineStr">
        <is>
          <t>TA-2024-00357</t>
        </is>
      </c>
      <c r="B369" t="inlineStr">
        <is>
          <t>U-CD118-01-23</t>
        </is>
      </c>
      <c r="C369" t="inlineStr">
        <is>
          <t>Siva Eating Place</t>
        </is>
      </c>
      <c r="D369" t="inlineStr">
        <is>
          <t>Restaurant</t>
        </is>
      </c>
      <c r="E369" s="2" t="n">
        <v>45444</v>
      </c>
      <c r="F369" s="2" t="n">
        <v>46538</v>
      </c>
      <c r="G369" s="3" t="n">
        <v>3990</v>
      </c>
      <c r="H369">
        <f>VLOOKUP(B369,Units!$A$2:$G$1646,2,FALSE)</f>
        <v/>
      </c>
      <c r="I369">
        <f>VLOOKUP(B369,Units!$A$2:$G$1646,5,FALSE)</f>
        <v/>
      </c>
      <c r="J369" s="3">
        <f>G369/I369</f>
        <v/>
      </c>
      <c r="K369" s="3">
        <f>G369*12</f>
        <v/>
      </c>
      <c r="L369" s="3" t="n">
        <v>11970</v>
      </c>
    </row>
    <row r="370">
      <c r="A370" t="inlineStr">
        <is>
          <t>TA-2024-00359</t>
        </is>
      </c>
      <c r="B370" t="inlineStr">
        <is>
          <t>U-CD118-02-05</t>
        </is>
      </c>
      <c r="C370" t="inlineStr">
        <is>
          <t>Teck Guan Education Hub</t>
        </is>
      </c>
      <c r="D370" t="inlineStr">
        <is>
          <t>Tuition Centre</t>
        </is>
      </c>
      <c r="E370" s="2" t="n">
        <v>45444</v>
      </c>
      <c r="F370" s="2" t="n">
        <v>46538</v>
      </c>
      <c r="G370" s="3" t="n">
        <v>3470</v>
      </c>
      <c r="H370">
        <f>VLOOKUP(B370,Units!$A$2:$G$1646,2,FALSE)</f>
        <v/>
      </c>
      <c r="I370">
        <f>VLOOKUP(B370,Units!$A$2:$G$1646,5,FALSE)</f>
        <v/>
      </c>
      <c r="J370" s="3">
        <f>G370/I370</f>
        <v/>
      </c>
      <c r="K370" s="3">
        <f>G370*12</f>
        <v/>
      </c>
      <c r="L370" s="3" t="n">
        <v>10410</v>
      </c>
    </row>
    <row r="371">
      <c r="A371" t="inlineStr">
        <is>
          <t>TA-2024-00360</t>
        </is>
      </c>
      <c r="B371" t="inlineStr">
        <is>
          <t>U-CD120-01-09</t>
        </is>
      </c>
      <c r="C371" t="inlineStr">
        <is>
          <t>Blue Pearl Bubble Tea</t>
        </is>
      </c>
      <c r="D371" t="inlineStr">
        <is>
          <t>Bubble Tea</t>
        </is>
      </c>
      <c r="E371" s="2" t="n">
        <v>45444</v>
      </c>
      <c r="F371" s="2" t="n">
        <v>46538</v>
      </c>
      <c r="G371" s="3" t="n">
        <v>2720</v>
      </c>
      <c r="H371">
        <f>VLOOKUP(B371,Units!$A$2:$G$1646,2,FALSE)</f>
        <v/>
      </c>
      <c r="I371">
        <f>VLOOKUP(B371,Units!$A$2:$G$1646,5,FALSE)</f>
        <v/>
      </c>
      <c r="J371" s="3">
        <f>G371/I371</f>
        <v/>
      </c>
      <c r="K371" s="3">
        <f>G371*12</f>
        <v/>
      </c>
      <c r="L371" s="3" t="n">
        <v>8160</v>
      </c>
    </row>
    <row r="372">
      <c r="A372" t="inlineStr">
        <is>
          <t>TA-2024-00362</t>
        </is>
      </c>
      <c r="B372" t="inlineStr">
        <is>
          <t>U-CD135-01-05</t>
        </is>
      </c>
      <c r="C372" t="inlineStr">
        <is>
          <t>Peng Kee Learning Centre Pte Ltd</t>
        </is>
      </c>
      <c r="D372" t="inlineStr">
        <is>
          <t>Tuition Centre</t>
        </is>
      </c>
      <c r="E372" s="2" t="n">
        <v>45444</v>
      </c>
      <c r="F372" s="2" t="n">
        <v>46538</v>
      </c>
      <c r="G372" s="3" t="n">
        <v>4810</v>
      </c>
      <c r="H372">
        <f>VLOOKUP(B372,Units!$A$2:$G$1646,2,FALSE)</f>
        <v/>
      </c>
      <c r="I372">
        <f>VLOOKUP(B372,Units!$A$2:$G$1646,5,FALSE)</f>
        <v/>
      </c>
      <c r="J372" s="3">
        <f>G372/I372</f>
        <v/>
      </c>
      <c r="K372" s="3">
        <f>G372*12</f>
        <v/>
      </c>
      <c r="L372" s="3" t="n">
        <v>14430</v>
      </c>
    </row>
    <row r="373">
      <c r="A373" t="inlineStr">
        <is>
          <t>TA-2024-00364</t>
        </is>
      </c>
      <c r="B373" t="inlineStr">
        <is>
          <t>U-CD135-01-07</t>
        </is>
      </c>
      <c r="C373" t="inlineStr">
        <is>
          <t>Hometown Minimart</t>
        </is>
      </c>
      <c r="D373" t="inlineStr">
        <is>
          <t>Minimart</t>
        </is>
      </c>
      <c r="E373" s="2" t="n">
        <v>45444</v>
      </c>
      <c r="F373" s="2" t="n">
        <v>46538</v>
      </c>
      <c r="G373" s="3" t="n">
        <v>3050</v>
      </c>
      <c r="H373">
        <f>VLOOKUP(B373,Units!$A$2:$G$1646,2,FALSE)</f>
        <v/>
      </c>
      <c r="I373">
        <f>VLOOKUP(B373,Units!$A$2:$G$1646,5,FALSE)</f>
        <v/>
      </c>
      <c r="J373" s="3">
        <f>G373/I373</f>
        <v/>
      </c>
      <c r="K373" s="3">
        <f>G373*12</f>
        <v/>
      </c>
      <c r="L373" s="3" t="n">
        <v>9150</v>
      </c>
    </row>
    <row r="374">
      <c r="A374" t="inlineStr">
        <is>
          <t>TA-2024-00365</t>
        </is>
      </c>
      <c r="B374" t="inlineStr">
        <is>
          <t>U-CD142-01-03</t>
        </is>
      </c>
      <c r="C374" t="inlineStr">
        <is>
          <t>Brilliant Beauty &amp; Hair</t>
        </is>
      </c>
      <c r="D374" t="inlineStr">
        <is>
          <t>Hair Salon</t>
        </is>
      </c>
      <c r="E374" s="2" t="n">
        <v>45444</v>
      </c>
      <c r="F374" s="2" t="n">
        <v>46538</v>
      </c>
      <c r="G374" s="3" t="n">
        <v>1930</v>
      </c>
      <c r="H374">
        <f>VLOOKUP(B374,Units!$A$2:$G$1646,2,FALSE)</f>
        <v/>
      </c>
      <c r="I374">
        <f>VLOOKUP(B374,Units!$A$2:$G$1646,5,FALSE)</f>
        <v/>
      </c>
      <c r="J374" s="3">
        <f>G374/I374</f>
        <v/>
      </c>
      <c r="K374" s="3">
        <f>G374*12</f>
        <v/>
      </c>
      <c r="L374" s="3" t="n">
        <v>5790</v>
      </c>
    </row>
    <row r="375">
      <c r="A375" t="inlineStr">
        <is>
          <t>TA-2024-00366</t>
        </is>
      </c>
      <c r="B375" t="inlineStr">
        <is>
          <t>U-CD194-01-01</t>
        </is>
      </c>
      <c r="C375" t="inlineStr">
        <is>
          <t>New Life Fruit Trading Pte Ltd</t>
        </is>
      </c>
      <c r="D375" t="inlineStr">
        <is>
          <t>Fruit Shop</t>
        </is>
      </c>
      <c r="E375" s="2" t="n">
        <v>45444</v>
      </c>
      <c r="F375" s="2" t="n">
        <v>46538</v>
      </c>
      <c r="G375" s="3" t="n">
        <v>2410</v>
      </c>
      <c r="H375">
        <f>VLOOKUP(B375,Units!$A$2:$G$1646,2,FALSE)</f>
        <v/>
      </c>
      <c r="I375">
        <f>VLOOKUP(B375,Units!$A$2:$G$1646,5,FALSE)</f>
        <v/>
      </c>
      <c r="J375" s="3">
        <f>G375/I375</f>
        <v/>
      </c>
      <c r="K375" s="3">
        <f>G375*12</f>
        <v/>
      </c>
      <c r="L375" s="3" t="n">
        <v>7230</v>
      </c>
    </row>
    <row r="376">
      <c r="A376" t="inlineStr">
        <is>
          <t>TA-2024-00368</t>
        </is>
      </c>
      <c r="B376" t="inlineStr">
        <is>
          <t>U-CD194-01-04</t>
        </is>
      </c>
      <c r="C376" t="inlineStr">
        <is>
          <t>Lotus Bakery Pte Ltd</t>
        </is>
      </c>
      <c r="D376" t="inlineStr">
        <is>
          <t>Bakery &amp; Confectionery</t>
        </is>
      </c>
      <c r="E376" s="2" t="n">
        <v>45444</v>
      </c>
      <c r="F376" s="2" t="n">
        <v>46538</v>
      </c>
      <c r="G376" s="3" t="n">
        <v>4530</v>
      </c>
      <c r="H376">
        <f>VLOOKUP(B376,Units!$A$2:$G$1646,2,FALSE)</f>
        <v/>
      </c>
      <c r="I376">
        <f>VLOOKUP(B376,Units!$A$2:$G$1646,5,FALSE)</f>
        <v/>
      </c>
      <c r="J376" s="3">
        <f>G376/I376</f>
        <v/>
      </c>
      <c r="K376" s="3">
        <f>G376*12</f>
        <v/>
      </c>
      <c r="L376" s="3" t="n">
        <v>13590</v>
      </c>
    </row>
    <row r="377">
      <c r="A377" t="inlineStr">
        <is>
          <t>TA-2024-00369</t>
        </is>
      </c>
      <c r="B377" t="inlineStr">
        <is>
          <t>U-KR345-01-08</t>
        </is>
      </c>
      <c r="C377" t="inlineStr">
        <is>
          <t>Sin Hock Beauty &amp; Hair Pte Ltd</t>
        </is>
      </c>
      <c r="D377" t="inlineStr">
        <is>
          <t>Hair Salon</t>
        </is>
      </c>
      <c r="E377" s="2" t="n">
        <v>45444</v>
      </c>
      <c r="F377" s="2" t="n">
        <v>46538</v>
      </c>
      <c r="G377" s="3" t="n">
        <v>5310</v>
      </c>
      <c r="H377">
        <f>VLOOKUP(B377,Units!$A$2:$G$1646,2,FALSE)</f>
        <v/>
      </c>
      <c r="I377">
        <f>VLOOKUP(B377,Units!$A$2:$G$1646,5,FALSE)</f>
        <v/>
      </c>
      <c r="J377" s="3">
        <f>G377/I377</f>
        <v/>
      </c>
      <c r="K377" s="3">
        <f>G377*12</f>
        <v/>
      </c>
      <c r="L377" s="3" t="n">
        <v>15930</v>
      </c>
    </row>
    <row r="378">
      <c r="A378" t="inlineStr">
        <is>
          <t>TA-2024-00370</t>
        </is>
      </c>
      <c r="B378" t="inlineStr">
        <is>
          <t>U-KR345-01-12</t>
        </is>
      </c>
      <c r="C378" t="inlineStr">
        <is>
          <t>Brilliant Medical Hall Pte Ltd</t>
        </is>
      </c>
      <c r="D378" t="inlineStr">
        <is>
          <t>TCM Clinic</t>
        </is>
      </c>
      <c r="E378" s="2" t="n">
        <v>45444</v>
      </c>
      <c r="F378" s="2" t="n">
        <v>46538</v>
      </c>
      <c r="G378" s="3" t="n">
        <v>6090</v>
      </c>
      <c r="H378">
        <f>VLOOKUP(B378,Units!$A$2:$G$1646,2,FALSE)</f>
        <v/>
      </c>
      <c r="I378">
        <f>VLOOKUP(B378,Units!$A$2:$G$1646,5,FALSE)</f>
        <v/>
      </c>
      <c r="J378" s="3">
        <f>G378/I378</f>
        <v/>
      </c>
      <c r="K378" s="3">
        <f>G378*12</f>
        <v/>
      </c>
      <c r="L378" s="3" t="n">
        <v>18270</v>
      </c>
    </row>
    <row r="379">
      <c r="A379" t="inlineStr">
        <is>
          <t>TA-2024-00371</t>
        </is>
      </c>
      <c r="B379" t="inlineStr">
        <is>
          <t>U-KR358-01-02</t>
        </is>
      </c>
      <c r="C379" t="inlineStr">
        <is>
          <t>Golden Leaf Tuition Centre</t>
        </is>
      </c>
      <c r="D379" t="inlineStr">
        <is>
          <t>Tuition Centre</t>
        </is>
      </c>
      <c r="E379" s="2" t="n">
        <v>45444</v>
      </c>
      <c r="F379" s="2" t="n">
        <v>46538</v>
      </c>
      <c r="G379" s="3" t="n">
        <v>4380</v>
      </c>
      <c r="H379">
        <f>VLOOKUP(B379,Units!$A$2:$G$1646,2,FALSE)</f>
        <v/>
      </c>
      <c r="I379">
        <f>VLOOKUP(B379,Units!$A$2:$G$1646,5,FALSE)</f>
        <v/>
      </c>
      <c r="J379" s="3">
        <f>G379/I379</f>
        <v/>
      </c>
      <c r="K379" s="3">
        <f>G379*12</f>
        <v/>
      </c>
      <c r="L379" s="3" t="n">
        <v>13140</v>
      </c>
    </row>
    <row r="380">
      <c r="A380" t="inlineStr">
        <is>
          <t>TA-2024-00372</t>
        </is>
      </c>
      <c r="B380" t="inlineStr">
        <is>
          <t>U-KR372-01-01</t>
        </is>
      </c>
      <c r="C380" t="inlineStr">
        <is>
          <t>Swee Heng Florist Pte Ltd</t>
        </is>
      </c>
      <c r="D380" t="inlineStr">
        <is>
          <t>Florist</t>
        </is>
      </c>
      <c r="E380" s="2" t="n">
        <v>45444</v>
      </c>
      <c r="F380" s="2" t="n">
        <v>46538</v>
      </c>
      <c r="G380" s="3" t="n">
        <v>3380</v>
      </c>
      <c r="H380">
        <f>VLOOKUP(B380,Units!$A$2:$G$1646,2,FALSE)</f>
        <v/>
      </c>
      <c r="I380">
        <f>VLOOKUP(B380,Units!$A$2:$G$1646,5,FALSE)</f>
        <v/>
      </c>
      <c r="J380" s="3">
        <f>G380/I380</f>
        <v/>
      </c>
      <c r="K380" s="3">
        <f>G380*12</f>
        <v/>
      </c>
      <c r="L380" s="3" t="n">
        <v>10140</v>
      </c>
    </row>
    <row r="381">
      <c r="A381" t="inlineStr">
        <is>
          <t>TA-2024-00374</t>
        </is>
      </c>
      <c r="B381" t="inlineStr">
        <is>
          <t>U-KR372-01-09</t>
        </is>
      </c>
      <c r="C381" t="inlineStr">
        <is>
          <t>New Life Minimart Pte Ltd</t>
        </is>
      </c>
      <c r="D381" t="inlineStr">
        <is>
          <t>Minimart</t>
        </is>
      </c>
      <c r="E381" s="2" t="n">
        <v>45444</v>
      </c>
      <c r="F381" s="2" t="n">
        <v>46538</v>
      </c>
      <c r="G381" s="3" t="n">
        <v>2240</v>
      </c>
      <c r="H381">
        <f>VLOOKUP(B381,Units!$A$2:$G$1646,2,FALSE)</f>
        <v/>
      </c>
      <c r="I381">
        <f>VLOOKUP(B381,Units!$A$2:$G$1646,5,FALSE)</f>
        <v/>
      </c>
      <c r="J381" s="3">
        <f>G381/I381</f>
        <v/>
      </c>
      <c r="K381" s="3">
        <f>G381*12</f>
        <v/>
      </c>
      <c r="L381" s="3" t="n">
        <v>6720</v>
      </c>
    </row>
    <row r="382">
      <c r="A382" t="inlineStr">
        <is>
          <t>TA-2024-00375</t>
        </is>
      </c>
      <c r="B382" t="inlineStr">
        <is>
          <t>U-PI615-01-10</t>
        </is>
      </c>
      <c r="C382" t="inlineStr">
        <is>
          <t>Green Leaf Provision Shop Pte Ltd</t>
        </is>
      </c>
      <c r="D382" t="inlineStr">
        <is>
          <t>Provision Shop</t>
        </is>
      </c>
      <c r="E382" s="2" t="n">
        <v>45444</v>
      </c>
      <c r="F382" s="2" t="n">
        <v>46538</v>
      </c>
      <c r="G382" s="3" t="n">
        <v>3940</v>
      </c>
      <c r="H382">
        <f>VLOOKUP(B382,Units!$A$2:$G$1646,2,FALSE)</f>
        <v/>
      </c>
      <c r="I382">
        <f>VLOOKUP(B382,Units!$A$2:$G$1646,5,FALSE)</f>
        <v/>
      </c>
      <c r="J382" s="3">
        <f>G382/I382</f>
        <v/>
      </c>
      <c r="K382" s="3">
        <f>G382*12</f>
        <v/>
      </c>
      <c r="L382" s="3" t="n">
        <v>11820</v>
      </c>
    </row>
    <row r="383">
      <c r="A383" t="inlineStr">
        <is>
          <t>TA-2024-00377</t>
        </is>
      </c>
      <c r="B383" t="inlineStr">
        <is>
          <t>U-PI625-01-02</t>
        </is>
      </c>
      <c r="C383" t="inlineStr">
        <is>
          <t>Hup Seng Minimart</t>
        </is>
      </c>
      <c r="D383" t="inlineStr">
        <is>
          <t>Minimart</t>
        </is>
      </c>
      <c r="E383" s="2" t="n">
        <v>45444</v>
      </c>
      <c r="F383" s="2" t="n">
        <v>46538</v>
      </c>
      <c r="G383" s="3" t="n">
        <v>5240</v>
      </c>
      <c r="H383">
        <f>VLOOKUP(B383,Units!$A$2:$G$1646,2,FALSE)</f>
        <v/>
      </c>
      <c r="I383">
        <f>VLOOKUP(B383,Units!$A$2:$G$1646,5,FALSE)</f>
        <v/>
      </c>
      <c r="J383" s="3">
        <f>G383/I383</f>
        <v/>
      </c>
      <c r="K383" s="3">
        <f>G383*12</f>
        <v/>
      </c>
      <c r="L383" s="3" t="n">
        <v>15720</v>
      </c>
    </row>
    <row r="384">
      <c r="A384" t="inlineStr">
        <is>
          <t>TA-2024-00379</t>
        </is>
      </c>
      <c r="B384" t="inlineStr">
        <is>
          <t>U-PI626-01-08</t>
        </is>
      </c>
      <c r="C384" t="inlineStr">
        <is>
          <t>Hock Lee Dry Cleaners</t>
        </is>
      </c>
      <c r="D384" t="inlineStr">
        <is>
          <t>Laundry</t>
        </is>
      </c>
      <c r="E384" s="2" t="n">
        <v>45444</v>
      </c>
      <c r="F384" s="2" t="n">
        <v>46538</v>
      </c>
      <c r="G384" s="3" t="n">
        <v>2880</v>
      </c>
      <c r="H384">
        <f>VLOOKUP(B384,Units!$A$2:$G$1646,2,FALSE)</f>
        <v/>
      </c>
      <c r="I384">
        <f>VLOOKUP(B384,Units!$A$2:$G$1646,5,FALSE)</f>
        <v/>
      </c>
      <c r="J384" s="3">
        <f>G384/I384</f>
        <v/>
      </c>
      <c r="K384" s="3">
        <f>G384*12</f>
        <v/>
      </c>
      <c r="L384" s="3" t="n">
        <v>8640</v>
      </c>
    </row>
    <row r="385">
      <c r="A385" t="inlineStr">
        <is>
          <t>TA-2024-00380</t>
        </is>
      </c>
      <c r="B385" t="inlineStr">
        <is>
          <t>U-PI627-01-10</t>
        </is>
      </c>
      <c r="C385" t="inlineStr">
        <is>
          <t>Gold Coin Provision Shop</t>
        </is>
      </c>
      <c r="D385" t="inlineStr">
        <is>
          <t>Provision Shop</t>
        </is>
      </c>
      <c r="E385" s="2" t="n">
        <v>45444</v>
      </c>
      <c r="F385" s="2" t="n">
        <v>46538</v>
      </c>
      <c r="G385" s="3" t="n">
        <v>2310</v>
      </c>
      <c r="H385">
        <f>VLOOKUP(B385,Units!$A$2:$G$1646,2,FALSE)</f>
        <v/>
      </c>
      <c r="I385">
        <f>VLOOKUP(B385,Units!$A$2:$G$1646,5,FALSE)</f>
        <v/>
      </c>
      <c r="J385" s="3">
        <f>G385/I385</f>
        <v/>
      </c>
      <c r="K385" s="3">
        <f>G385*12</f>
        <v/>
      </c>
      <c r="L385" s="3" t="n">
        <v>6930</v>
      </c>
    </row>
    <row r="386">
      <c r="A386" t="inlineStr">
        <is>
          <t>TA-2024-00381</t>
        </is>
      </c>
      <c r="B386" t="inlineStr">
        <is>
          <t>U-PI642-01-11</t>
        </is>
      </c>
      <c r="C386" t="inlineStr">
        <is>
          <t>Starlight Supermarket</t>
        </is>
      </c>
      <c r="D386" t="inlineStr">
        <is>
          <t>Minimart</t>
        </is>
      </c>
      <c r="E386" s="2" t="n">
        <v>45444</v>
      </c>
      <c r="F386" s="2" t="n">
        <v>46538</v>
      </c>
      <c r="G386" s="3" t="n">
        <v>4020</v>
      </c>
      <c r="H386">
        <f>VLOOKUP(B386,Units!$A$2:$G$1646,2,FALSE)</f>
        <v/>
      </c>
      <c r="I386">
        <f>VLOOKUP(B386,Units!$A$2:$G$1646,5,FALSE)</f>
        <v/>
      </c>
      <c r="J386" s="3">
        <f>G386/I386</f>
        <v/>
      </c>
      <c r="K386" s="3">
        <f>G386*12</f>
        <v/>
      </c>
      <c r="L386" s="3" t="n">
        <v>12060</v>
      </c>
    </row>
    <row r="387">
      <c r="A387" t="inlineStr">
        <is>
          <t>TA-2024-00383</t>
        </is>
      </c>
      <c r="B387" t="inlineStr">
        <is>
          <t>U-PI642-01-12</t>
        </is>
      </c>
      <c r="C387" t="inlineStr">
        <is>
          <t>Heng Ann TCM Clinic</t>
        </is>
      </c>
      <c r="D387" t="inlineStr">
        <is>
          <t>TCM Clinic</t>
        </is>
      </c>
      <c r="E387" s="2" t="n">
        <v>45444</v>
      </c>
      <c r="F387" s="2" t="n">
        <v>46538</v>
      </c>
      <c r="G387" s="3" t="n">
        <v>3320</v>
      </c>
      <c r="H387">
        <f>VLOOKUP(B387,Units!$A$2:$G$1646,2,FALSE)</f>
        <v/>
      </c>
      <c r="I387">
        <f>VLOOKUP(B387,Units!$A$2:$G$1646,5,FALSE)</f>
        <v/>
      </c>
      <c r="J387" s="3">
        <f>G387/I387</f>
        <v/>
      </c>
      <c r="K387" s="3">
        <f>G387*12</f>
        <v/>
      </c>
      <c r="L387" s="3" t="n">
        <v>9960</v>
      </c>
    </row>
    <row r="388">
      <c r="A388" t="inlineStr">
        <is>
          <t>TA-2024-00385</t>
        </is>
      </c>
      <c r="B388" t="inlineStr">
        <is>
          <t>U-PI642-01-14</t>
        </is>
      </c>
      <c r="C388" t="inlineStr">
        <is>
          <t>PrimeValue Mart Pte Ltd</t>
        </is>
      </c>
      <c r="D388" t="inlineStr">
        <is>
          <t>Minimart</t>
        </is>
      </c>
      <c r="E388" s="2" t="n">
        <v>45444</v>
      </c>
      <c r="F388" s="2" t="n">
        <v>46538</v>
      </c>
      <c r="G388" s="3" t="n">
        <v>5490</v>
      </c>
      <c r="H388">
        <f>VLOOKUP(B388,Units!$A$2:$G$1646,2,FALSE)</f>
        <v/>
      </c>
      <c r="I388">
        <f>VLOOKUP(B388,Units!$A$2:$G$1646,5,FALSE)</f>
        <v/>
      </c>
      <c r="J388" s="3">
        <f>G388/I388</f>
        <v/>
      </c>
      <c r="K388" s="3">
        <f>G388*12</f>
        <v/>
      </c>
      <c r="L388" s="3" t="n">
        <v>16470</v>
      </c>
    </row>
    <row r="389">
      <c r="A389" t="inlineStr">
        <is>
          <t>TA-2024-00386</t>
        </is>
      </c>
      <c r="B389" t="inlineStr">
        <is>
          <t>U-PI678-01-08</t>
        </is>
      </c>
      <c r="C389" t="inlineStr">
        <is>
          <t>Gold Coin Optical</t>
        </is>
      </c>
      <c r="D389" t="inlineStr">
        <is>
          <t>Optical</t>
        </is>
      </c>
      <c r="E389" s="2" t="n">
        <v>45444</v>
      </c>
      <c r="F389" s="2" t="n">
        <v>46538</v>
      </c>
      <c r="G389" s="3" t="n">
        <v>5380</v>
      </c>
      <c r="H389">
        <f>VLOOKUP(B389,Units!$A$2:$G$1646,2,FALSE)</f>
        <v/>
      </c>
      <c r="I389">
        <f>VLOOKUP(B389,Units!$A$2:$G$1646,5,FALSE)</f>
        <v/>
      </c>
      <c r="J389" s="3">
        <f>G389/I389</f>
        <v/>
      </c>
      <c r="K389" s="3">
        <f>G389*12</f>
        <v/>
      </c>
      <c r="L389" s="3" t="n">
        <v>16140</v>
      </c>
    </row>
    <row r="390">
      <c r="A390" t="inlineStr">
        <is>
          <t>TA-2024-00388</t>
        </is>
      </c>
      <c r="B390" t="inlineStr">
        <is>
          <t>U-PI684-01-01</t>
        </is>
      </c>
      <c r="C390" t="inlineStr">
        <is>
          <t>PrimeValue Mart Pte Ltd</t>
        </is>
      </c>
      <c r="D390" t="inlineStr">
        <is>
          <t>Minimart</t>
        </is>
      </c>
      <c r="E390" s="2" t="n">
        <v>45444</v>
      </c>
      <c r="F390" s="2" t="n">
        <v>46538</v>
      </c>
      <c r="G390" s="3" t="n">
        <v>3620</v>
      </c>
      <c r="H390">
        <f>VLOOKUP(B390,Units!$A$2:$G$1646,2,FALSE)</f>
        <v/>
      </c>
      <c r="I390">
        <f>VLOOKUP(B390,Units!$A$2:$G$1646,5,FALSE)</f>
        <v/>
      </c>
      <c r="J390" s="3">
        <f>G390/I390</f>
        <v/>
      </c>
      <c r="K390" s="3">
        <f>G390*12</f>
        <v/>
      </c>
      <c r="L390" s="3" t="n">
        <v>10860</v>
      </c>
    </row>
    <row r="391">
      <c r="A391" t="inlineStr">
        <is>
          <t>TA-2024-00389</t>
        </is>
      </c>
      <c r="B391" t="inlineStr">
        <is>
          <t>U-RH408-01-04</t>
        </is>
      </c>
      <c r="C391" t="inlineStr">
        <is>
          <t>Ever Joy Clinic &amp; Surgery</t>
        </is>
      </c>
      <c r="D391" t="inlineStr">
        <is>
          <t>GP Clinic</t>
        </is>
      </c>
      <c r="E391" s="2" t="n">
        <v>45444</v>
      </c>
      <c r="F391" s="2" t="n">
        <v>46538</v>
      </c>
      <c r="G391" s="3" t="n">
        <v>3510</v>
      </c>
      <c r="H391">
        <f>VLOOKUP(B391,Units!$A$2:$G$1646,2,FALSE)</f>
        <v/>
      </c>
      <c r="I391">
        <f>VLOOKUP(B391,Units!$A$2:$G$1646,5,FALSE)</f>
        <v/>
      </c>
      <c r="J391" s="3">
        <f>G391/I391</f>
        <v/>
      </c>
      <c r="K391" s="3">
        <f>G391*12</f>
        <v/>
      </c>
      <c r="L391" s="3" t="n">
        <v>10530</v>
      </c>
    </row>
    <row r="392">
      <c r="A392" t="inlineStr">
        <is>
          <t>TA-2024-00391</t>
        </is>
      </c>
      <c r="B392" t="inlineStr">
        <is>
          <t>U-RH428-01-01</t>
        </is>
      </c>
      <c r="C392" t="inlineStr">
        <is>
          <t>Soon Hin Mobile Pte Ltd</t>
        </is>
      </c>
      <c r="D392" t="inlineStr">
        <is>
          <t>Mobile Phone &amp; Accessories</t>
        </is>
      </c>
      <c r="E392" s="2" t="n">
        <v>45444</v>
      </c>
      <c r="F392" s="2" t="n">
        <v>46538</v>
      </c>
      <c r="G392" s="3" t="n">
        <v>3300</v>
      </c>
      <c r="H392">
        <f>VLOOKUP(B392,Units!$A$2:$G$1646,2,FALSE)</f>
        <v/>
      </c>
      <c r="I392">
        <f>VLOOKUP(B392,Units!$A$2:$G$1646,5,FALSE)</f>
        <v/>
      </c>
      <c r="J392" s="3">
        <f>G392/I392</f>
        <v/>
      </c>
      <c r="K392" s="3">
        <f>G392*12</f>
        <v/>
      </c>
      <c r="L392" s="3" t="n">
        <v>9900</v>
      </c>
    </row>
    <row r="393">
      <c r="A393" t="inlineStr">
        <is>
          <t>TA-2024-00393</t>
        </is>
      </c>
      <c r="B393" t="inlineStr">
        <is>
          <t>U-RH463-01-04</t>
        </is>
      </c>
      <c r="C393" t="inlineStr">
        <is>
          <t>Lotus Hair Salon</t>
        </is>
      </c>
      <c r="D393" t="inlineStr">
        <is>
          <t>Hair Salon</t>
        </is>
      </c>
      <c r="E393" s="2" t="n">
        <v>45444</v>
      </c>
      <c r="F393" s="2" t="n">
        <v>46538</v>
      </c>
      <c r="G393" s="3" t="n">
        <v>2160</v>
      </c>
      <c r="H393">
        <f>VLOOKUP(B393,Units!$A$2:$G$1646,2,FALSE)</f>
        <v/>
      </c>
      <c r="I393">
        <f>VLOOKUP(B393,Units!$A$2:$G$1646,5,FALSE)</f>
        <v/>
      </c>
      <c r="J393" s="3">
        <f>G393/I393</f>
        <v/>
      </c>
      <c r="K393" s="3">
        <f>G393*12</f>
        <v/>
      </c>
      <c r="L393" s="3" t="n">
        <v>6480</v>
      </c>
    </row>
    <row r="394">
      <c r="A394" t="inlineStr">
        <is>
          <t>TA-2024-00395</t>
        </is>
      </c>
      <c r="B394" t="inlineStr">
        <is>
          <t>U-RH476-01-06</t>
        </is>
      </c>
      <c r="C394" t="inlineStr">
        <is>
          <t>Green Leaf Medical Clinic</t>
        </is>
      </c>
      <c r="D394" t="inlineStr">
        <is>
          <t>GP Clinic</t>
        </is>
      </c>
      <c r="E394" s="2" t="n">
        <v>45444</v>
      </c>
      <c r="F394" s="2" t="n">
        <v>46538</v>
      </c>
      <c r="G394" s="3" t="n">
        <v>3030</v>
      </c>
      <c r="H394">
        <f>VLOOKUP(B394,Units!$A$2:$G$1646,2,FALSE)</f>
        <v/>
      </c>
      <c r="I394">
        <f>VLOOKUP(B394,Units!$A$2:$G$1646,5,FALSE)</f>
        <v/>
      </c>
      <c r="J394" s="3">
        <f>G394/I394</f>
        <v/>
      </c>
      <c r="K394" s="3">
        <f>G394*12</f>
        <v/>
      </c>
      <c r="L394" s="3" t="n">
        <v>9090</v>
      </c>
    </row>
    <row r="395">
      <c r="A395" t="inlineStr">
        <is>
          <t>TA-2024-00397</t>
        </is>
      </c>
      <c r="B395" t="inlineStr">
        <is>
          <t>U-RH485-01-04</t>
        </is>
      </c>
      <c r="C395" t="inlineStr">
        <is>
          <t>PrimeValue Mart Pte Ltd</t>
        </is>
      </c>
      <c r="D395" t="inlineStr">
        <is>
          <t>Minimart</t>
        </is>
      </c>
      <c r="E395" s="2" t="n">
        <v>45444</v>
      </c>
      <c r="F395" s="2" t="n">
        <v>46538</v>
      </c>
      <c r="G395" s="3" t="n">
        <v>4760</v>
      </c>
      <c r="H395">
        <f>VLOOKUP(B395,Units!$A$2:$G$1646,2,FALSE)</f>
        <v/>
      </c>
      <c r="I395">
        <f>VLOOKUP(B395,Units!$A$2:$G$1646,5,FALSE)</f>
        <v/>
      </c>
      <c r="J395" s="3">
        <f>G395/I395</f>
        <v/>
      </c>
      <c r="K395" s="3">
        <f>G395*12</f>
        <v/>
      </c>
      <c r="L395" s="3" t="n">
        <v>14280</v>
      </c>
    </row>
    <row r="396">
      <c r="A396" t="inlineStr">
        <is>
          <t>TA-2024-00398</t>
        </is>
      </c>
      <c r="B396" t="inlineStr">
        <is>
          <t>U-ST538-01-07</t>
        </is>
      </c>
      <c r="C396" t="inlineStr">
        <is>
          <t>Wellcare Store Pte Ltd</t>
        </is>
      </c>
      <c r="D396" t="inlineStr">
        <is>
          <t>Provision Shop</t>
        </is>
      </c>
      <c r="E396" s="2" t="n">
        <v>45444</v>
      </c>
      <c r="F396" s="2" t="n">
        <v>46538</v>
      </c>
      <c r="G396" s="3" t="n">
        <v>2400</v>
      </c>
      <c r="H396">
        <f>VLOOKUP(B396,Units!$A$2:$G$1646,2,FALSE)</f>
        <v/>
      </c>
      <c r="I396">
        <f>VLOOKUP(B396,Units!$A$2:$G$1646,5,FALSE)</f>
        <v/>
      </c>
      <c r="J396" s="3">
        <f>G396/I396</f>
        <v/>
      </c>
      <c r="K396" s="3">
        <f>G396*12</f>
        <v/>
      </c>
      <c r="L396" s="3" t="n">
        <v>7200</v>
      </c>
    </row>
    <row r="397">
      <c r="A397" t="inlineStr">
        <is>
          <t>TA-2024-00399</t>
        </is>
      </c>
      <c r="B397" t="inlineStr">
        <is>
          <t>U-ST545-01-08</t>
        </is>
      </c>
      <c r="C397" t="inlineStr">
        <is>
          <t>Teck Guan Snacks</t>
        </is>
      </c>
      <c r="D397" t="inlineStr">
        <is>
          <t>Snack Kiosk</t>
        </is>
      </c>
      <c r="E397" s="2" t="n">
        <v>45444</v>
      </c>
      <c r="F397" s="2" t="n">
        <v>46538</v>
      </c>
      <c r="G397" s="3" t="n">
        <v>1140</v>
      </c>
      <c r="H397">
        <f>VLOOKUP(B397,Units!$A$2:$G$1646,2,FALSE)</f>
        <v/>
      </c>
      <c r="I397">
        <f>VLOOKUP(B397,Units!$A$2:$G$1646,5,FALSE)</f>
        <v/>
      </c>
      <c r="J397" s="3">
        <f>G397/I397</f>
        <v/>
      </c>
      <c r="K397" s="3">
        <f>G397*12</f>
        <v/>
      </c>
      <c r="L397" s="3" t="n">
        <v>3420</v>
      </c>
    </row>
    <row r="398">
      <c r="A398" t="inlineStr">
        <is>
          <t>TA-2024-00400</t>
        </is>
      </c>
      <c r="B398" t="inlineStr">
        <is>
          <t>U-ST566-01-05</t>
        </is>
      </c>
      <c r="C398" t="inlineStr">
        <is>
          <t>Heng Ann Mart Pte Ltd</t>
        </is>
      </c>
      <c r="D398" t="inlineStr">
        <is>
          <t>Minimart</t>
        </is>
      </c>
      <c r="E398" s="2" t="n">
        <v>45444</v>
      </c>
      <c r="F398" s="2" t="n">
        <v>46538</v>
      </c>
      <c r="G398" s="3" t="n">
        <v>3090</v>
      </c>
      <c r="H398">
        <f>VLOOKUP(B398,Units!$A$2:$G$1646,2,FALSE)</f>
        <v/>
      </c>
      <c r="I398">
        <f>VLOOKUP(B398,Units!$A$2:$G$1646,5,FALSE)</f>
        <v/>
      </c>
      <c r="J398" s="3">
        <f>G398/I398</f>
        <v/>
      </c>
      <c r="K398" s="3">
        <f>G398*12</f>
        <v/>
      </c>
      <c r="L398" s="3" t="n">
        <v>9270</v>
      </c>
    </row>
    <row r="399">
      <c r="A399" t="inlineStr">
        <is>
          <t>TA-2024-00402</t>
        </is>
      </c>
      <c r="B399" t="inlineStr">
        <is>
          <t>U-ST591-01-07</t>
        </is>
      </c>
      <c r="C399" t="inlineStr">
        <is>
          <t>Siva Supermarket</t>
        </is>
      </c>
      <c r="D399" t="inlineStr">
        <is>
          <t>Minimart</t>
        </is>
      </c>
      <c r="E399" s="2" t="n">
        <v>45444</v>
      </c>
      <c r="F399" s="2" t="n">
        <v>46538</v>
      </c>
      <c r="G399" s="3" t="n">
        <v>3070</v>
      </c>
      <c r="H399">
        <f>VLOOKUP(B399,Units!$A$2:$G$1646,2,FALSE)</f>
        <v/>
      </c>
      <c r="I399">
        <f>VLOOKUP(B399,Units!$A$2:$G$1646,5,FALSE)</f>
        <v/>
      </c>
      <c r="J399" s="3">
        <f>G399/I399</f>
        <v/>
      </c>
      <c r="K399" s="3">
        <f>G399*12</f>
        <v/>
      </c>
      <c r="L399" s="3" t="n">
        <v>9210</v>
      </c>
    </row>
    <row r="400">
      <c r="A400" t="inlineStr">
        <is>
          <t>TA-2024-00403</t>
        </is>
      </c>
      <c r="B400" t="inlineStr">
        <is>
          <t>U-ST591-01-08</t>
        </is>
      </c>
      <c r="C400" t="inlineStr">
        <is>
          <t>Evergreen Family Clinic</t>
        </is>
      </c>
      <c r="D400" t="inlineStr">
        <is>
          <t>GP Clinic</t>
        </is>
      </c>
      <c r="E400" s="2" t="n">
        <v>45444</v>
      </c>
      <c r="F400" s="2" t="n">
        <v>46538</v>
      </c>
      <c r="G400" s="3" t="n">
        <v>4060</v>
      </c>
      <c r="H400">
        <f>VLOOKUP(B400,Units!$A$2:$G$1646,2,FALSE)</f>
        <v/>
      </c>
      <c r="I400">
        <f>VLOOKUP(B400,Units!$A$2:$G$1646,5,FALSE)</f>
        <v/>
      </c>
      <c r="J400" s="3">
        <f>G400/I400</f>
        <v/>
      </c>
      <c r="K400" s="3">
        <f>G400*12</f>
        <v/>
      </c>
      <c r="L400" s="3" t="n">
        <v>12180</v>
      </c>
    </row>
    <row r="401">
      <c r="A401" t="inlineStr">
        <is>
          <t>TA-2024-00405</t>
        </is>
      </c>
      <c r="B401" t="inlineStr">
        <is>
          <t>U-ST593-01-02</t>
        </is>
      </c>
      <c r="C401" t="inlineStr">
        <is>
          <t>Fresh Valley Bubble Tea</t>
        </is>
      </c>
      <c r="D401" t="inlineStr">
        <is>
          <t>Bubble Tea</t>
        </is>
      </c>
      <c r="E401" s="2" t="n">
        <v>45444</v>
      </c>
      <c r="F401" s="2" t="n">
        <v>46538</v>
      </c>
      <c r="G401" s="3" t="n">
        <v>910</v>
      </c>
      <c r="H401">
        <f>VLOOKUP(B401,Units!$A$2:$G$1646,2,FALSE)</f>
        <v/>
      </c>
      <c r="I401">
        <f>VLOOKUP(B401,Units!$A$2:$G$1646,5,FALSE)</f>
        <v/>
      </c>
      <c r="J401" s="3">
        <f>G401/I401</f>
        <v/>
      </c>
      <c r="K401" s="3">
        <f>G401*12</f>
        <v/>
      </c>
      <c r="L401" s="3" t="n">
        <v>2730</v>
      </c>
    </row>
    <row r="402">
      <c r="A402" t="inlineStr">
        <is>
          <t>TA-2024-00406</t>
        </is>
      </c>
      <c r="B402" t="inlineStr">
        <is>
          <t>U-BV205-01-06</t>
        </is>
      </c>
      <c r="C402" t="inlineStr">
        <is>
          <t>Kampung Cake House Pte Ltd</t>
        </is>
      </c>
      <c r="D402" t="inlineStr">
        <is>
          <t>Bakery &amp; Confectionery</t>
        </is>
      </c>
      <c r="E402" s="2" t="n">
        <v>45474</v>
      </c>
      <c r="F402" s="2" t="n">
        <v>46568</v>
      </c>
      <c r="G402" s="3" t="n">
        <v>4670</v>
      </c>
      <c r="H402">
        <f>VLOOKUP(B402,Units!$A$2:$G$1646,2,FALSE)</f>
        <v/>
      </c>
      <c r="I402">
        <f>VLOOKUP(B402,Units!$A$2:$G$1646,5,FALSE)</f>
        <v/>
      </c>
      <c r="J402" s="3">
        <f>G402/I402</f>
        <v/>
      </c>
      <c r="K402" s="3">
        <f>G402*12</f>
        <v/>
      </c>
      <c r="L402" s="3" t="n">
        <v>14010</v>
      </c>
    </row>
    <row r="403">
      <c r="A403" t="inlineStr">
        <is>
          <t>TA-2024-00408</t>
        </is>
      </c>
      <c r="B403" t="inlineStr">
        <is>
          <t>U-BV214-01-23</t>
        </is>
      </c>
      <c r="C403" t="inlineStr">
        <is>
          <t>Peng Kee Tuition Centre</t>
        </is>
      </c>
      <c r="D403" t="inlineStr">
        <is>
          <t>Tuition Centre</t>
        </is>
      </c>
      <c r="E403" s="2" t="n">
        <v>45474</v>
      </c>
      <c r="F403" s="2" t="n">
        <v>46568</v>
      </c>
      <c r="G403" s="3" t="n">
        <v>2140</v>
      </c>
      <c r="H403">
        <f>VLOOKUP(B403,Units!$A$2:$G$1646,2,FALSE)</f>
        <v/>
      </c>
      <c r="I403">
        <f>VLOOKUP(B403,Units!$A$2:$G$1646,5,FALSE)</f>
        <v/>
      </c>
      <c r="J403" s="3">
        <f>G403/I403</f>
        <v/>
      </c>
      <c r="K403" s="3">
        <f>G403*12</f>
        <v/>
      </c>
      <c r="L403" s="3" t="n">
        <v>6420</v>
      </c>
    </row>
    <row r="404">
      <c r="A404" t="inlineStr">
        <is>
          <t>TA-2024-00410</t>
        </is>
      </c>
      <c r="B404" t="inlineStr">
        <is>
          <t>U-BV214-02-09</t>
        </is>
      </c>
      <c r="C404" t="inlineStr">
        <is>
          <t>Sin Hock Learning Centre</t>
        </is>
      </c>
      <c r="D404" t="inlineStr">
        <is>
          <t>Tuition Centre</t>
        </is>
      </c>
      <c r="E404" s="2" t="n">
        <v>45474</v>
      </c>
      <c r="F404" s="2" t="n">
        <v>46568</v>
      </c>
      <c r="G404" s="3" t="n">
        <v>3470</v>
      </c>
      <c r="H404">
        <f>VLOOKUP(B404,Units!$A$2:$G$1646,2,FALSE)</f>
        <v/>
      </c>
      <c r="I404">
        <f>VLOOKUP(B404,Units!$A$2:$G$1646,5,FALSE)</f>
        <v/>
      </c>
      <c r="J404" s="3">
        <f>G404/I404</f>
        <v/>
      </c>
      <c r="K404" s="3">
        <f>G404*12</f>
        <v/>
      </c>
      <c r="L404" s="3" t="n">
        <v>10410</v>
      </c>
    </row>
    <row r="405">
      <c r="A405" t="inlineStr">
        <is>
          <t>TA-2024-00412</t>
        </is>
      </c>
      <c r="B405" t="inlineStr">
        <is>
          <t>U-BV219-01-06</t>
        </is>
      </c>
      <c r="C405" t="inlineStr">
        <is>
          <t>Ever Joy Supermarket</t>
        </is>
      </c>
      <c r="D405" t="inlineStr">
        <is>
          <t>Minimart</t>
        </is>
      </c>
      <c r="E405" s="2" t="n">
        <v>45474</v>
      </c>
      <c r="F405" s="2" t="n">
        <v>46568</v>
      </c>
      <c r="G405" s="3" t="n">
        <v>2110</v>
      </c>
      <c r="H405">
        <f>VLOOKUP(B405,Units!$A$2:$G$1646,2,FALSE)</f>
        <v/>
      </c>
      <c r="I405">
        <f>VLOOKUP(B405,Units!$A$2:$G$1646,5,FALSE)</f>
        <v/>
      </c>
      <c r="J405" s="3">
        <f>G405/I405</f>
        <v/>
      </c>
      <c r="K405" s="3">
        <f>G405*12</f>
        <v/>
      </c>
      <c r="L405" s="3" t="n">
        <v>6330</v>
      </c>
    </row>
    <row r="406">
      <c r="A406" t="inlineStr">
        <is>
          <t>TA-2024-00414</t>
        </is>
      </c>
      <c r="B406" t="inlineStr">
        <is>
          <t>U-BV296-01-08</t>
        </is>
      </c>
      <c r="C406" t="inlineStr">
        <is>
          <t>New Life Family Clinic Pte Ltd</t>
        </is>
      </c>
      <c r="D406" t="inlineStr">
        <is>
          <t>GP Clinic</t>
        </is>
      </c>
      <c r="E406" s="2" t="n">
        <v>45474</v>
      </c>
      <c r="F406" s="2" t="n">
        <v>46568</v>
      </c>
      <c r="G406" s="3" t="n">
        <v>2680</v>
      </c>
      <c r="H406">
        <f>VLOOKUP(B406,Units!$A$2:$G$1646,2,FALSE)</f>
        <v/>
      </c>
      <c r="I406">
        <f>VLOOKUP(B406,Units!$A$2:$G$1646,5,FALSE)</f>
        <v/>
      </c>
      <c r="J406" s="3">
        <f>G406/I406</f>
        <v/>
      </c>
      <c r="K406" s="3">
        <f>G406*12</f>
        <v/>
      </c>
      <c r="L406" s="3" t="n">
        <v>8040</v>
      </c>
    </row>
    <row r="407">
      <c r="A407" t="inlineStr">
        <is>
          <t>TA-2024-00415</t>
        </is>
      </c>
      <c r="B407" t="inlineStr">
        <is>
          <t>U-CD105-01-03</t>
        </is>
      </c>
      <c r="C407" t="inlineStr">
        <is>
          <t>Hock Lee Laundry</t>
        </is>
      </c>
      <c r="D407" t="inlineStr">
        <is>
          <t>Laundry</t>
        </is>
      </c>
      <c r="E407" s="2" t="n">
        <v>45474</v>
      </c>
      <c r="F407" s="2" t="n">
        <v>46568</v>
      </c>
      <c r="G407" s="3" t="n">
        <v>2520</v>
      </c>
      <c r="H407">
        <f>VLOOKUP(B407,Units!$A$2:$G$1646,2,FALSE)</f>
        <v/>
      </c>
      <c r="I407">
        <f>VLOOKUP(B407,Units!$A$2:$G$1646,5,FALSE)</f>
        <v/>
      </c>
      <c r="J407" s="3">
        <f>G407/I407</f>
        <v/>
      </c>
      <c r="K407" s="3">
        <f>G407*12</f>
        <v/>
      </c>
      <c r="L407" s="3" t="n">
        <v>7560</v>
      </c>
    </row>
    <row r="408">
      <c r="A408" t="inlineStr">
        <is>
          <t>TA-2024-00416</t>
        </is>
      </c>
      <c r="B408" t="inlineStr">
        <is>
          <t>U-CD118-01-29</t>
        </is>
      </c>
      <c r="C408" t="inlineStr">
        <is>
          <t>Unity Florist</t>
        </is>
      </c>
      <c r="D408" t="inlineStr">
        <is>
          <t>Florist</t>
        </is>
      </c>
      <c r="E408" s="2" t="n">
        <v>45474</v>
      </c>
      <c r="F408" s="2" t="n">
        <v>46568</v>
      </c>
      <c r="G408" s="3" t="n">
        <v>5450</v>
      </c>
      <c r="H408">
        <f>VLOOKUP(B408,Units!$A$2:$G$1646,2,FALSE)</f>
        <v/>
      </c>
      <c r="I408">
        <f>VLOOKUP(B408,Units!$A$2:$G$1646,5,FALSE)</f>
        <v/>
      </c>
      <c r="J408" s="3">
        <f>G408/I408</f>
        <v/>
      </c>
      <c r="K408" s="3">
        <f>G408*12</f>
        <v/>
      </c>
      <c r="L408" s="3" t="n">
        <v>16350</v>
      </c>
    </row>
    <row r="409">
      <c r="A409" t="inlineStr">
        <is>
          <t>TA-2024-00417</t>
        </is>
      </c>
      <c r="B409" t="inlineStr">
        <is>
          <t>U-CD120-01-02</t>
        </is>
      </c>
      <c r="C409" t="inlineStr">
        <is>
          <t>Brilliant Bookstore</t>
        </is>
      </c>
      <c r="D409" t="inlineStr">
        <is>
          <t>Stationery &amp; Books</t>
        </is>
      </c>
      <c r="E409" s="2" t="n">
        <v>45474</v>
      </c>
      <c r="F409" s="2" t="n">
        <v>46568</v>
      </c>
      <c r="G409" s="3" t="n">
        <v>6290</v>
      </c>
      <c r="H409">
        <f>VLOOKUP(B409,Units!$A$2:$G$1646,2,FALSE)</f>
        <v/>
      </c>
      <c r="I409">
        <f>VLOOKUP(B409,Units!$A$2:$G$1646,5,FALSE)</f>
        <v/>
      </c>
      <c r="J409" s="3">
        <f>G409/I409</f>
        <v/>
      </c>
      <c r="K409" s="3">
        <f>G409*12</f>
        <v/>
      </c>
      <c r="L409" s="3" t="n">
        <v>18870</v>
      </c>
    </row>
    <row r="410">
      <c r="A410" t="inlineStr">
        <is>
          <t>TA-2024-00418</t>
        </is>
      </c>
      <c r="B410" t="inlineStr">
        <is>
          <t>U-CD143-01-04</t>
        </is>
      </c>
      <c r="C410" t="inlineStr">
        <is>
          <t>Bright Path Hardware Pte Ltd</t>
        </is>
      </c>
      <c r="D410" t="inlineStr">
        <is>
          <t>Hardware</t>
        </is>
      </c>
      <c r="E410" s="2" t="n">
        <v>45474</v>
      </c>
      <c r="F410" s="2" t="n">
        <v>46568</v>
      </c>
      <c r="G410" s="3" t="n">
        <v>3580</v>
      </c>
      <c r="H410">
        <f>VLOOKUP(B410,Units!$A$2:$G$1646,2,FALSE)</f>
        <v/>
      </c>
      <c r="I410">
        <f>VLOOKUP(B410,Units!$A$2:$G$1646,5,FALSE)</f>
        <v/>
      </c>
      <c r="J410" s="3">
        <f>G410/I410</f>
        <v/>
      </c>
      <c r="K410" s="3">
        <f>G410*12</f>
        <v/>
      </c>
      <c r="L410" s="3" t="n">
        <v>10740</v>
      </c>
    </row>
    <row r="411">
      <c r="A411" t="inlineStr">
        <is>
          <t>TA-2024-00420</t>
        </is>
      </c>
      <c r="B411" t="inlineStr">
        <is>
          <t>U-CD185-01-07</t>
        </is>
      </c>
      <c r="C411" t="inlineStr">
        <is>
          <t>Tian Fu Clinic &amp; Surgery</t>
        </is>
      </c>
      <c r="D411" t="inlineStr">
        <is>
          <t>GP Clinic</t>
        </is>
      </c>
      <c r="E411" s="2" t="n">
        <v>45474</v>
      </c>
      <c r="F411" s="2" t="n">
        <v>46568</v>
      </c>
      <c r="G411" s="3" t="n">
        <v>3380</v>
      </c>
      <c r="H411">
        <f>VLOOKUP(B411,Units!$A$2:$G$1646,2,FALSE)</f>
        <v/>
      </c>
      <c r="I411">
        <f>VLOOKUP(B411,Units!$A$2:$G$1646,5,FALSE)</f>
        <v/>
      </c>
      <c r="J411" s="3">
        <f>G411/I411</f>
        <v/>
      </c>
      <c r="K411" s="3">
        <f>G411*12</f>
        <v/>
      </c>
      <c r="L411" s="3" t="n">
        <v>10140</v>
      </c>
    </row>
    <row r="412">
      <c r="A412" t="inlineStr">
        <is>
          <t>TA-2024-00421</t>
        </is>
      </c>
      <c r="B412" t="inlineStr">
        <is>
          <t>U-KR310-01-04</t>
        </is>
      </c>
      <c r="C412" t="inlineStr">
        <is>
          <t>Hock Lee Tea House Pte Ltd</t>
        </is>
      </c>
      <c r="D412" t="inlineStr">
        <is>
          <t>Bubble Tea</t>
        </is>
      </c>
      <c r="E412" s="2" t="n">
        <v>45474</v>
      </c>
      <c r="F412" s="2" t="n">
        <v>46568</v>
      </c>
      <c r="G412" s="3" t="n">
        <v>900</v>
      </c>
      <c r="H412">
        <f>VLOOKUP(B412,Units!$A$2:$G$1646,2,FALSE)</f>
        <v/>
      </c>
      <c r="I412">
        <f>VLOOKUP(B412,Units!$A$2:$G$1646,5,FALSE)</f>
        <v/>
      </c>
      <c r="J412" s="3">
        <f>G412/I412</f>
        <v/>
      </c>
      <c r="K412" s="3">
        <f>G412*12</f>
        <v/>
      </c>
      <c r="L412" s="3" t="n">
        <v>2700</v>
      </c>
    </row>
    <row r="413">
      <c r="A413" t="inlineStr">
        <is>
          <t>TA-2024-00423</t>
        </is>
      </c>
      <c r="B413" t="inlineStr">
        <is>
          <t>U-KR323-01-04</t>
        </is>
      </c>
      <c r="C413" t="inlineStr">
        <is>
          <t>Soon Hin Eating Place</t>
        </is>
      </c>
      <c r="D413" t="inlineStr">
        <is>
          <t>Restaurant</t>
        </is>
      </c>
      <c r="E413" s="2" t="n">
        <v>45474</v>
      </c>
      <c r="F413" s="2" t="n">
        <v>46568</v>
      </c>
      <c r="G413" s="3" t="n">
        <v>2750</v>
      </c>
      <c r="H413">
        <f>VLOOKUP(B413,Units!$A$2:$G$1646,2,FALSE)</f>
        <v/>
      </c>
      <c r="I413">
        <f>VLOOKUP(B413,Units!$A$2:$G$1646,5,FALSE)</f>
        <v/>
      </c>
      <c r="J413" s="3">
        <f>G413/I413</f>
        <v/>
      </c>
      <c r="K413" s="3">
        <f>G413*12</f>
        <v/>
      </c>
      <c r="L413" s="3" t="n">
        <v>8250</v>
      </c>
    </row>
    <row r="414">
      <c r="A414" t="inlineStr">
        <is>
          <t>TA-2024-00425</t>
        </is>
      </c>
      <c r="B414" t="inlineStr">
        <is>
          <t>U-KR341-01-12</t>
        </is>
      </c>
      <c r="C414" t="inlineStr">
        <is>
          <t>Harmony Supermarket Pte Ltd</t>
        </is>
      </c>
      <c r="D414" t="inlineStr">
        <is>
          <t>Minimart</t>
        </is>
      </c>
      <c r="E414" s="2" t="n">
        <v>45474</v>
      </c>
      <c r="F414" s="2" t="n">
        <v>46568</v>
      </c>
      <c r="G414" s="3" t="n">
        <v>5180</v>
      </c>
      <c r="H414">
        <f>VLOOKUP(B414,Units!$A$2:$G$1646,2,FALSE)</f>
        <v/>
      </c>
      <c r="I414">
        <f>VLOOKUP(B414,Units!$A$2:$G$1646,5,FALSE)</f>
        <v/>
      </c>
      <c r="J414" s="3">
        <f>G414/I414</f>
        <v/>
      </c>
      <c r="K414" s="3">
        <f>G414*12</f>
        <v/>
      </c>
      <c r="L414" s="3" t="n">
        <v>15540</v>
      </c>
    </row>
    <row r="415">
      <c r="A415" t="inlineStr">
        <is>
          <t>TA-2024-00426</t>
        </is>
      </c>
      <c r="B415" t="inlineStr">
        <is>
          <t>U-KR349-01-01</t>
        </is>
      </c>
      <c r="C415" t="inlineStr">
        <is>
          <t>Al-Ameen Medical Hall Pte Ltd</t>
        </is>
      </c>
      <c r="D415" t="inlineStr">
        <is>
          <t>TCM Clinic</t>
        </is>
      </c>
      <c r="E415" s="2" t="n">
        <v>45474</v>
      </c>
      <c r="F415" s="2" t="n">
        <v>46568</v>
      </c>
      <c r="G415" s="3" t="n">
        <v>1530</v>
      </c>
      <c r="H415">
        <f>VLOOKUP(B415,Units!$A$2:$G$1646,2,FALSE)</f>
        <v/>
      </c>
      <c r="I415">
        <f>VLOOKUP(B415,Units!$A$2:$G$1646,5,FALSE)</f>
        <v/>
      </c>
      <c r="J415" s="3">
        <f>G415/I415</f>
        <v/>
      </c>
      <c r="K415" s="3">
        <f>G415*12</f>
        <v/>
      </c>
      <c r="L415" s="3" t="n">
        <v>4590</v>
      </c>
    </row>
    <row r="416">
      <c r="A416" t="inlineStr">
        <is>
          <t>TA-2024-00428</t>
        </is>
      </c>
      <c r="B416" t="inlineStr">
        <is>
          <t>U-KR356-01-03</t>
        </is>
      </c>
      <c r="C416" t="inlineStr">
        <is>
          <t>Orchid Hardware &amp; Electrical Pte Ltd</t>
        </is>
      </c>
      <c r="D416" t="inlineStr">
        <is>
          <t>Hardware</t>
        </is>
      </c>
      <c r="E416" s="2" t="n">
        <v>45474</v>
      </c>
      <c r="F416" s="2" t="n">
        <v>46568</v>
      </c>
      <c r="G416" s="3" t="n">
        <v>2460</v>
      </c>
      <c r="H416">
        <f>VLOOKUP(B416,Units!$A$2:$G$1646,2,FALSE)</f>
        <v/>
      </c>
      <c r="I416">
        <f>VLOOKUP(B416,Units!$A$2:$G$1646,5,FALSE)</f>
        <v/>
      </c>
      <c r="J416" s="3">
        <f>G416/I416</f>
        <v/>
      </c>
      <c r="K416" s="3">
        <f>G416*12</f>
        <v/>
      </c>
      <c r="L416" s="3" t="n">
        <v>7380</v>
      </c>
    </row>
    <row r="417">
      <c r="A417" t="inlineStr">
        <is>
          <t>TA-2024-00430</t>
        </is>
      </c>
      <c r="B417" t="inlineStr">
        <is>
          <t>U-KR362-01-02</t>
        </is>
      </c>
      <c r="C417" t="inlineStr">
        <is>
          <t>Swee Heng Trading</t>
        </is>
      </c>
      <c r="D417" t="inlineStr">
        <is>
          <t>Provision Shop</t>
        </is>
      </c>
      <c r="E417" s="2" t="n">
        <v>45474</v>
      </c>
      <c r="F417" s="2" t="n">
        <v>46568</v>
      </c>
      <c r="G417" s="3" t="n">
        <v>3780</v>
      </c>
      <c r="H417">
        <f>VLOOKUP(B417,Units!$A$2:$G$1646,2,FALSE)</f>
        <v/>
      </c>
      <c r="I417">
        <f>VLOOKUP(B417,Units!$A$2:$G$1646,5,FALSE)</f>
        <v/>
      </c>
      <c r="J417" s="3">
        <f>G417/I417</f>
        <v/>
      </c>
      <c r="K417" s="3">
        <f>G417*12</f>
        <v/>
      </c>
      <c r="L417" s="3" t="n">
        <v>11340</v>
      </c>
    </row>
    <row r="418">
      <c r="A418" t="inlineStr">
        <is>
          <t>TA-2024-00432</t>
        </is>
      </c>
      <c r="B418" t="inlineStr">
        <is>
          <t>U-KR371-01-09</t>
        </is>
      </c>
      <c r="C418" t="inlineStr">
        <is>
          <t>Peng Kee Education Hub Pte Ltd</t>
        </is>
      </c>
      <c r="D418" t="inlineStr">
        <is>
          <t>Tuition Centre</t>
        </is>
      </c>
      <c r="E418" s="2" t="n">
        <v>45474</v>
      </c>
      <c r="F418" s="2" t="n">
        <v>46568</v>
      </c>
      <c r="G418" s="3" t="n">
        <v>3050</v>
      </c>
      <c r="H418">
        <f>VLOOKUP(B418,Units!$A$2:$G$1646,2,FALSE)</f>
        <v/>
      </c>
      <c r="I418">
        <f>VLOOKUP(B418,Units!$A$2:$G$1646,5,FALSE)</f>
        <v/>
      </c>
      <c r="J418" s="3">
        <f>G418/I418</f>
        <v/>
      </c>
      <c r="K418" s="3">
        <f>G418*12</f>
        <v/>
      </c>
      <c r="L418" s="3" t="n">
        <v>9150</v>
      </c>
    </row>
    <row r="419">
      <c r="A419" t="inlineStr">
        <is>
          <t>TA-2024-00433</t>
        </is>
      </c>
      <c r="B419" t="inlineStr">
        <is>
          <t>U-PI614-01-02</t>
        </is>
      </c>
      <c r="C419" t="inlineStr">
        <is>
          <t>Green Leaf Boba Bar Pte Ltd</t>
        </is>
      </c>
      <c r="D419" t="inlineStr">
        <is>
          <t>Bubble Tea</t>
        </is>
      </c>
      <c r="E419" s="2" t="n">
        <v>45474</v>
      </c>
      <c r="F419" s="2" t="n">
        <v>46568</v>
      </c>
      <c r="G419" s="3" t="n">
        <v>4800</v>
      </c>
      <c r="H419">
        <f>VLOOKUP(B419,Units!$A$2:$G$1646,2,FALSE)</f>
        <v/>
      </c>
      <c r="I419">
        <f>VLOOKUP(B419,Units!$A$2:$G$1646,5,FALSE)</f>
        <v/>
      </c>
      <c r="J419" s="3">
        <f>G419/I419</f>
        <v/>
      </c>
      <c r="K419" s="3">
        <f>G419*12</f>
        <v/>
      </c>
      <c r="L419" s="3" t="n">
        <v>14400</v>
      </c>
    </row>
    <row r="420">
      <c r="A420" t="inlineStr">
        <is>
          <t>TA-2024-00435</t>
        </is>
      </c>
      <c r="B420" t="inlineStr">
        <is>
          <t>U-PI646-01-06</t>
        </is>
      </c>
      <c r="C420" t="inlineStr">
        <is>
          <t>PrimeValue Mart Pte Ltd</t>
        </is>
      </c>
      <c r="D420" t="inlineStr">
        <is>
          <t>Minimart</t>
        </is>
      </c>
      <c r="E420" s="2" t="n">
        <v>45474</v>
      </c>
      <c r="F420" s="2" t="n">
        <v>46568</v>
      </c>
      <c r="G420" s="3" t="n">
        <v>2330</v>
      </c>
      <c r="H420">
        <f>VLOOKUP(B420,Units!$A$2:$G$1646,2,FALSE)</f>
        <v/>
      </c>
      <c r="I420">
        <f>VLOOKUP(B420,Units!$A$2:$G$1646,5,FALSE)</f>
        <v/>
      </c>
      <c r="J420" s="3">
        <f>G420/I420</f>
        <v/>
      </c>
      <c r="K420" s="3">
        <f>G420*12</f>
        <v/>
      </c>
      <c r="L420" s="3" t="n">
        <v>6990</v>
      </c>
    </row>
    <row r="421">
      <c r="A421" t="inlineStr">
        <is>
          <t>TA-2024-00436</t>
        </is>
      </c>
      <c r="B421" t="inlineStr">
        <is>
          <t>U-PI657-01-07</t>
        </is>
      </c>
      <c r="C421" t="inlineStr">
        <is>
          <t>Wong's TCM Clinic Pte Ltd</t>
        </is>
      </c>
      <c r="D421" t="inlineStr">
        <is>
          <t>TCM Clinic</t>
        </is>
      </c>
      <c r="E421" s="2" t="n">
        <v>45474</v>
      </c>
      <c r="F421" s="2" t="n">
        <v>46568</v>
      </c>
      <c r="G421" s="3" t="n">
        <v>1710</v>
      </c>
      <c r="H421">
        <f>VLOOKUP(B421,Units!$A$2:$G$1646,2,FALSE)</f>
        <v/>
      </c>
      <c r="I421">
        <f>VLOOKUP(B421,Units!$A$2:$G$1646,5,FALSE)</f>
        <v/>
      </c>
      <c r="J421" s="3">
        <f>G421/I421</f>
        <v/>
      </c>
      <c r="K421" s="3">
        <f>G421*12</f>
        <v/>
      </c>
      <c r="L421" s="3" t="n">
        <v>5130</v>
      </c>
    </row>
    <row r="422">
      <c r="A422" t="inlineStr">
        <is>
          <t>TA-2024-00438</t>
        </is>
      </c>
      <c r="B422" t="inlineStr">
        <is>
          <t>U-PI668-01-08</t>
        </is>
      </c>
      <c r="C422" t="inlineStr">
        <is>
          <t>Barakah Mart Pte Ltd</t>
        </is>
      </c>
      <c r="D422" t="inlineStr">
        <is>
          <t>Minimart</t>
        </is>
      </c>
      <c r="E422" s="2" t="n">
        <v>45474</v>
      </c>
      <c r="F422" s="2" t="n">
        <v>46568</v>
      </c>
      <c r="G422" s="3" t="n">
        <v>1900</v>
      </c>
      <c r="H422">
        <f>VLOOKUP(B422,Units!$A$2:$G$1646,2,FALSE)</f>
        <v/>
      </c>
      <c r="I422">
        <f>VLOOKUP(B422,Units!$A$2:$G$1646,5,FALSE)</f>
        <v/>
      </c>
      <c r="J422" s="3">
        <f>G422/I422</f>
        <v/>
      </c>
      <c r="K422" s="3">
        <f>G422*12</f>
        <v/>
      </c>
      <c r="L422" s="3" t="n">
        <v>5700</v>
      </c>
    </row>
    <row r="423">
      <c r="A423" t="inlineStr">
        <is>
          <t>TA-2024-00439</t>
        </is>
      </c>
      <c r="B423" t="inlineStr">
        <is>
          <t>U-PI675-01-08</t>
        </is>
      </c>
      <c r="C423" t="inlineStr">
        <is>
          <t>Hup Seng Medical Clinic Pte Ltd</t>
        </is>
      </c>
      <c r="D423" t="inlineStr">
        <is>
          <t>GP Clinic</t>
        </is>
      </c>
      <c r="E423" s="2" t="n">
        <v>45474</v>
      </c>
      <c r="F423" s="2" t="n">
        <v>46568</v>
      </c>
      <c r="G423" s="3" t="n">
        <v>3190</v>
      </c>
      <c r="H423">
        <f>VLOOKUP(B423,Units!$A$2:$G$1646,2,FALSE)</f>
        <v/>
      </c>
      <c r="I423">
        <f>VLOOKUP(B423,Units!$A$2:$G$1646,5,FALSE)</f>
        <v/>
      </c>
      <c r="J423" s="3">
        <f>G423/I423</f>
        <v/>
      </c>
      <c r="K423" s="3">
        <f>G423*12</f>
        <v/>
      </c>
      <c r="L423" s="3" t="n">
        <v>9570</v>
      </c>
    </row>
    <row r="424">
      <c r="A424" t="inlineStr">
        <is>
          <t>TA-2024-00441</t>
        </is>
      </c>
      <c r="B424" t="inlineStr">
        <is>
          <t>U-RH407-01-02</t>
        </is>
      </c>
      <c r="C424" t="inlineStr">
        <is>
          <t>Barakah Flowers &amp; Gifts</t>
        </is>
      </c>
      <c r="D424" t="inlineStr">
        <is>
          <t>Florist</t>
        </is>
      </c>
      <c r="E424" s="2" t="n">
        <v>45474</v>
      </c>
      <c r="F424" s="2" t="n">
        <v>46568</v>
      </c>
      <c r="G424" s="3" t="n">
        <v>3040</v>
      </c>
      <c r="H424">
        <f>VLOOKUP(B424,Units!$A$2:$G$1646,2,FALSE)</f>
        <v/>
      </c>
      <c r="I424">
        <f>VLOOKUP(B424,Units!$A$2:$G$1646,5,FALSE)</f>
        <v/>
      </c>
      <c r="J424" s="3">
        <f>G424/I424</f>
        <v/>
      </c>
      <c r="K424" s="3">
        <f>G424*12</f>
        <v/>
      </c>
      <c r="L424" s="3" t="n">
        <v>9120</v>
      </c>
    </row>
    <row r="425">
      <c r="A425" t="inlineStr">
        <is>
          <t>TA-2024-00442</t>
        </is>
      </c>
      <c r="B425" t="inlineStr">
        <is>
          <t>U-RH455-01-07</t>
        </is>
      </c>
      <c r="C425" t="inlineStr">
        <is>
          <t>Happy Paws Mobile Pte Ltd</t>
        </is>
      </c>
      <c r="D425" t="inlineStr">
        <is>
          <t>Mobile Phone &amp; Accessories</t>
        </is>
      </c>
      <c r="E425" s="2" t="n">
        <v>45474</v>
      </c>
      <c r="F425" s="2" t="n">
        <v>46568</v>
      </c>
      <c r="G425" s="3" t="n">
        <v>4210</v>
      </c>
      <c r="H425">
        <f>VLOOKUP(B425,Units!$A$2:$G$1646,2,FALSE)</f>
        <v/>
      </c>
      <c r="I425">
        <f>VLOOKUP(B425,Units!$A$2:$G$1646,5,FALSE)</f>
        <v/>
      </c>
      <c r="J425" s="3">
        <f>G425/I425</f>
        <v/>
      </c>
      <c r="K425" s="3">
        <f>G425*12</f>
        <v/>
      </c>
      <c r="L425" s="3" t="n">
        <v>12630</v>
      </c>
    </row>
    <row r="426">
      <c r="A426" t="inlineStr">
        <is>
          <t>TA-2024-00443</t>
        </is>
      </c>
      <c r="B426" t="inlineStr">
        <is>
          <t>U-RH455-01-25</t>
        </is>
      </c>
      <c r="C426" t="inlineStr">
        <is>
          <t>Ah Seng Eating Place</t>
        </is>
      </c>
      <c r="D426" t="inlineStr">
        <is>
          <t>Restaurant</t>
        </is>
      </c>
      <c r="E426" s="2" t="n">
        <v>45474</v>
      </c>
      <c r="F426" s="2" t="n">
        <v>46568</v>
      </c>
      <c r="G426" s="3" t="n">
        <v>2800</v>
      </c>
      <c r="H426">
        <f>VLOOKUP(B426,Units!$A$2:$G$1646,2,FALSE)</f>
        <v/>
      </c>
      <c r="I426">
        <f>VLOOKUP(B426,Units!$A$2:$G$1646,5,FALSE)</f>
        <v/>
      </c>
      <c r="J426" s="3">
        <f>G426/I426</f>
        <v/>
      </c>
      <c r="K426" s="3">
        <f>G426*12</f>
        <v/>
      </c>
      <c r="L426" s="3" t="n">
        <v>8400</v>
      </c>
    </row>
    <row r="427">
      <c r="A427" t="inlineStr">
        <is>
          <t>TA-2024-00445</t>
        </is>
      </c>
      <c r="B427" t="inlineStr">
        <is>
          <t>U-RH455-01-32</t>
        </is>
      </c>
      <c r="C427" t="inlineStr">
        <is>
          <t>Lakshmi Pet Shop</t>
        </is>
      </c>
      <c r="D427" t="inlineStr">
        <is>
          <t>Pet Shop</t>
        </is>
      </c>
      <c r="E427" s="2" t="n">
        <v>45474</v>
      </c>
      <c r="F427" s="2" t="n">
        <v>46568</v>
      </c>
      <c r="G427" s="3" t="n">
        <v>3370</v>
      </c>
      <c r="H427">
        <f>VLOOKUP(B427,Units!$A$2:$G$1646,2,FALSE)</f>
        <v/>
      </c>
      <c r="I427">
        <f>VLOOKUP(B427,Units!$A$2:$G$1646,5,FALSE)</f>
        <v/>
      </c>
      <c r="J427" s="3">
        <f>G427/I427</f>
        <v/>
      </c>
      <c r="K427" s="3">
        <f>G427*12</f>
        <v/>
      </c>
      <c r="L427" s="3" t="n">
        <v>10110</v>
      </c>
    </row>
    <row r="428">
      <c r="A428" t="inlineStr">
        <is>
          <t>TA-2024-00446</t>
        </is>
      </c>
      <c r="B428" t="inlineStr">
        <is>
          <t>U-RH460-01-01</t>
        </is>
      </c>
      <c r="C428" t="inlineStr">
        <is>
          <t>Tian Fu Family Clinic Pte Ltd</t>
        </is>
      </c>
      <c r="D428" t="inlineStr">
        <is>
          <t>GP Clinic</t>
        </is>
      </c>
      <c r="E428" s="2" t="n">
        <v>45474</v>
      </c>
      <c r="F428" s="2" t="n">
        <v>46568</v>
      </c>
      <c r="G428" s="3" t="n">
        <v>2410</v>
      </c>
      <c r="H428">
        <f>VLOOKUP(B428,Units!$A$2:$G$1646,2,FALSE)</f>
        <v/>
      </c>
      <c r="I428">
        <f>VLOOKUP(B428,Units!$A$2:$G$1646,5,FALSE)</f>
        <v/>
      </c>
      <c r="J428" s="3">
        <f>G428/I428</f>
        <v/>
      </c>
      <c r="K428" s="3">
        <f>G428*12</f>
        <v/>
      </c>
      <c r="L428" s="3" t="n">
        <v>7230</v>
      </c>
    </row>
    <row r="429">
      <c r="A429" t="inlineStr">
        <is>
          <t>TA-2024-00448</t>
        </is>
      </c>
      <c r="B429" t="inlineStr">
        <is>
          <t>U-RH460-01-07</t>
        </is>
      </c>
      <c r="C429" t="inlineStr">
        <is>
          <t>Smart Kids Bakery Pte Ltd</t>
        </is>
      </c>
      <c r="D429" t="inlineStr">
        <is>
          <t>Bakery &amp; Confectionery</t>
        </is>
      </c>
      <c r="E429" s="2" t="n">
        <v>45474</v>
      </c>
      <c r="F429" s="2" t="n">
        <v>46568</v>
      </c>
      <c r="G429" s="3" t="n">
        <v>2490</v>
      </c>
      <c r="H429">
        <f>VLOOKUP(B429,Units!$A$2:$G$1646,2,FALSE)</f>
        <v/>
      </c>
      <c r="I429">
        <f>VLOOKUP(B429,Units!$A$2:$G$1646,5,FALSE)</f>
        <v/>
      </c>
      <c r="J429" s="3">
        <f>G429/I429</f>
        <v/>
      </c>
      <c r="K429" s="3">
        <f>G429*12</f>
        <v/>
      </c>
      <c r="L429" s="3" t="n">
        <v>7470</v>
      </c>
    </row>
    <row r="430">
      <c r="A430" t="inlineStr">
        <is>
          <t>TA-2024-00449</t>
        </is>
      </c>
      <c r="B430" t="inlineStr">
        <is>
          <t>U-RH473-01-01</t>
        </is>
      </c>
      <c r="C430" t="inlineStr">
        <is>
          <t>Ong &amp; Sons Supermarket Pte Ltd</t>
        </is>
      </c>
      <c r="D430" t="inlineStr">
        <is>
          <t>Minimart</t>
        </is>
      </c>
      <c r="E430" s="2" t="n">
        <v>45474</v>
      </c>
      <c r="F430" s="2" t="n">
        <v>46568</v>
      </c>
      <c r="G430" s="3" t="n">
        <v>1980</v>
      </c>
      <c r="H430">
        <f>VLOOKUP(B430,Units!$A$2:$G$1646,2,FALSE)</f>
        <v/>
      </c>
      <c r="I430">
        <f>VLOOKUP(B430,Units!$A$2:$G$1646,5,FALSE)</f>
        <v/>
      </c>
      <c r="J430" s="3">
        <f>G430/I430</f>
        <v/>
      </c>
      <c r="K430" s="3">
        <f>G430*12</f>
        <v/>
      </c>
      <c r="L430" s="3" t="n">
        <v>5940</v>
      </c>
    </row>
    <row r="431">
      <c r="A431" t="inlineStr">
        <is>
          <t>TA-2024-00450</t>
        </is>
      </c>
      <c r="B431" t="inlineStr">
        <is>
          <t>U-RH486-01-01</t>
        </is>
      </c>
      <c r="C431" t="inlineStr">
        <is>
          <t>Harmony Trading Pte Ltd</t>
        </is>
      </c>
      <c r="D431" t="inlineStr">
        <is>
          <t>Provision Shop</t>
        </is>
      </c>
      <c r="E431" s="2" t="n">
        <v>45474</v>
      </c>
      <c r="F431" s="2" t="n">
        <v>46568</v>
      </c>
      <c r="G431" s="3" t="n">
        <v>2700</v>
      </c>
      <c r="H431">
        <f>VLOOKUP(B431,Units!$A$2:$G$1646,2,FALSE)</f>
        <v/>
      </c>
      <c r="I431">
        <f>VLOOKUP(B431,Units!$A$2:$G$1646,5,FALSE)</f>
        <v/>
      </c>
      <c r="J431" s="3">
        <f>G431/I431</f>
        <v/>
      </c>
      <c r="K431" s="3">
        <f>G431*12</f>
        <v/>
      </c>
      <c r="L431" s="3" t="n">
        <v>8100</v>
      </c>
    </row>
    <row r="432">
      <c r="A432" t="inlineStr">
        <is>
          <t>TA-2024-00451</t>
        </is>
      </c>
      <c r="B432" t="inlineStr">
        <is>
          <t>U-ST512-01-05</t>
        </is>
      </c>
      <c r="C432" t="inlineStr">
        <is>
          <t>Heng Ann Confectionery</t>
        </is>
      </c>
      <c r="D432" t="inlineStr">
        <is>
          <t>Bakery &amp; Confectionery</t>
        </is>
      </c>
      <c r="E432" s="2" t="n">
        <v>45474</v>
      </c>
      <c r="F432" s="2" t="n">
        <v>46568</v>
      </c>
      <c r="G432" s="3" t="n">
        <v>4850</v>
      </c>
      <c r="H432">
        <f>VLOOKUP(B432,Units!$A$2:$G$1646,2,FALSE)</f>
        <v/>
      </c>
      <c r="I432">
        <f>VLOOKUP(B432,Units!$A$2:$G$1646,5,FALSE)</f>
        <v/>
      </c>
      <c r="J432" s="3">
        <f>G432/I432</f>
        <v/>
      </c>
      <c r="K432" s="3">
        <f>G432*12</f>
        <v/>
      </c>
      <c r="L432" s="3" t="n">
        <v>14550</v>
      </c>
    </row>
    <row r="433">
      <c r="A433" t="inlineStr">
        <is>
          <t>TA-2024-00453</t>
        </is>
      </c>
      <c r="B433" t="inlineStr">
        <is>
          <t>U-ST512-01-17</t>
        </is>
      </c>
      <c r="C433" t="inlineStr">
        <is>
          <t>Kian Huat Provision Shop Pte Ltd</t>
        </is>
      </c>
      <c r="D433" t="inlineStr">
        <is>
          <t>Provision Shop</t>
        </is>
      </c>
      <c r="E433" s="2" t="n">
        <v>45474</v>
      </c>
      <c r="F433" s="2" t="n">
        <v>46568</v>
      </c>
      <c r="G433" s="3" t="n">
        <v>4690</v>
      </c>
      <c r="H433">
        <f>VLOOKUP(B433,Units!$A$2:$G$1646,2,FALSE)</f>
        <v/>
      </c>
      <c r="I433">
        <f>VLOOKUP(B433,Units!$A$2:$G$1646,5,FALSE)</f>
        <v/>
      </c>
      <c r="J433" s="3">
        <f>G433/I433</f>
        <v/>
      </c>
      <c r="K433" s="3">
        <f>G433*12</f>
        <v/>
      </c>
      <c r="L433" s="3" t="n">
        <v>14070</v>
      </c>
    </row>
    <row r="434">
      <c r="A434" t="inlineStr">
        <is>
          <t>TA-2024-00455</t>
        </is>
      </c>
      <c r="B434" t="inlineStr">
        <is>
          <t>U-ST512-01-23</t>
        </is>
      </c>
      <c r="C434" t="inlineStr">
        <is>
          <t>Seri Murni Hardware</t>
        </is>
      </c>
      <c r="D434" t="inlineStr">
        <is>
          <t>Hardware</t>
        </is>
      </c>
      <c r="E434" s="2" t="n">
        <v>45474</v>
      </c>
      <c r="F434" s="2" t="n">
        <v>46568</v>
      </c>
      <c r="G434" s="3" t="n">
        <v>2390</v>
      </c>
      <c r="H434">
        <f>VLOOKUP(B434,Units!$A$2:$G$1646,2,FALSE)</f>
        <v/>
      </c>
      <c r="I434">
        <f>VLOOKUP(B434,Units!$A$2:$G$1646,5,FALSE)</f>
        <v/>
      </c>
      <c r="J434" s="3">
        <f>G434/I434</f>
        <v/>
      </c>
      <c r="K434" s="3">
        <f>G434*12</f>
        <v/>
      </c>
      <c r="L434" s="3" t="n">
        <v>7170</v>
      </c>
    </row>
    <row r="435">
      <c r="A435" t="inlineStr">
        <is>
          <t>TA-2024-00457</t>
        </is>
      </c>
      <c r="B435" t="inlineStr">
        <is>
          <t>U-ST512-01-25</t>
        </is>
      </c>
      <c r="C435" t="inlineStr">
        <is>
          <t>Ever Joy Tuition Centre Pte Ltd</t>
        </is>
      </c>
      <c r="D435" t="inlineStr">
        <is>
          <t>Tuition Centre</t>
        </is>
      </c>
      <c r="E435" s="2" t="n">
        <v>45474</v>
      </c>
      <c r="F435" s="2" t="n">
        <v>46568</v>
      </c>
      <c r="G435" s="3" t="n">
        <v>2540</v>
      </c>
      <c r="H435">
        <f>VLOOKUP(B435,Units!$A$2:$G$1646,2,FALSE)</f>
        <v/>
      </c>
      <c r="I435">
        <f>VLOOKUP(B435,Units!$A$2:$G$1646,5,FALSE)</f>
        <v/>
      </c>
      <c r="J435" s="3">
        <f>G435/I435</f>
        <v/>
      </c>
      <c r="K435" s="3">
        <f>G435*12</f>
        <v/>
      </c>
      <c r="L435" s="3" t="n">
        <v>7620</v>
      </c>
    </row>
    <row r="436">
      <c r="A436" t="inlineStr">
        <is>
          <t>TA-2024-00459</t>
        </is>
      </c>
      <c r="B436" t="inlineStr">
        <is>
          <t>U-ST518-01-06</t>
        </is>
      </c>
      <c r="C436" t="inlineStr">
        <is>
          <t>Lucky Star Medical Hall Pte Ltd</t>
        </is>
      </c>
      <c r="D436" t="inlineStr">
        <is>
          <t>TCM Clinic</t>
        </is>
      </c>
      <c r="E436" s="2" t="n">
        <v>45474</v>
      </c>
      <c r="F436" s="2" t="n">
        <v>46568</v>
      </c>
      <c r="G436" s="3" t="n">
        <v>2160</v>
      </c>
      <c r="H436">
        <f>VLOOKUP(B436,Units!$A$2:$G$1646,2,FALSE)</f>
        <v/>
      </c>
      <c r="I436">
        <f>VLOOKUP(B436,Units!$A$2:$G$1646,5,FALSE)</f>
        <v/>
      </c>
      <c r="J436" s="3">
        <f>G436/I436</f>
        <v/>
      </c>
      <c r="K436" s="3">
        <f>G436*12</f>
        <v/>
      </c>
      <c r="L436" s="3" t="n">
        <v>6480</v>
      </c>
    </row>
    <row r="437">
      <c r="A437" t="inlineStr">
        <is>
          <t>TA-2024-00460</t>
        </is>
      </c>
      <c r="B437" t="inlineStr">
        <is>
          <t>U-ST579-01-01</t>
        </is>
      </c>
      <c r="C437" t="inlineStr">
        <is>
          <t>Sunflower Consultancy</t>
        </is>
      </c>
      <c r="D437" t="inlineStr">
        <is>
          <t>Professional Services Office</t>
        </is>
      </c>
      <c r="E437" s="2" t="n">
        <v>45474</v>
      </c>
      <c r="F437" s="2" t="n">
        <v>46568</v>
      </c>
      <c r="G437" s="3" t="n">
        <v>2410</v>
      </c>
      <c r="H437">
        <f>VLOOKUP(B437,Units!$A$2:$G$1646,2,FALSE)</f>
        <v/>
      </c>
      <c r="I437">
        <f>VLOOKUP(B437,Units!$A$2:$G$1646,5,FALSE)</f>
        <v/>
      </c>
      <c r="J437" s="3">
        <f>G437/I437</f>
        <v/>
      </c>
      <c r="K437" s="3">
        <f>G437*12</f>
        <v/>
      </c>
      <c r="L437" s="3" t="n">
        <v>7230</v>
      </c>
    </row>
    <row r="438">
      <c r="A438" t="inlineStr">
        <is>
          <t>TA-2024-00461</t>
        </is>
      </c>
      <c r="B438" t="inlineStr">
        <is>
          <t>U-ST579-01-02</t>
        </is>
      </c>
      <c r="C438" t="inlineStr">
        <is>
          <t>Hassan Eating Place</t>
        </is>
      </c>
      <c r="D438" t="inlineStr">
        <is>
          <t>Restaurant</t>
        </is>
      </c>
      <c r="E438" s="2" t="n">
        <v>45474</v>
      </c>
      <c r="F438" s="2" t="n">
        <v>46568</v>
      </c>
      <c r="G438" s="3" t="n">
        <v>2450</v>
      </c>
      <c r="H438">
        <f>VLOOKUP(B438,Units!$A$2:$G$1646,2,FALSE)</f>
        <v/>
      </c>
      <c r="I438">
        <f>VLOOKUP(B438,Units!$A$2:$G$1646,5,FALSE)</f>
        <v/>
      </c>
      <c r="J438" s="3">
        <f>G438/I438</f>
        <v/>
      </c>
      <c r="K438" s="3">
        <f>G438*12</f>
        <v/>
      </c>
      <c r="L438" s="3" t="n">
        <v>7350</v>
      </c>
    </row>
    <row r="439">
      <c r="A439" t="inlineStr">
        <is>
          <t>TA-2024-00463</t>
        </is>
      </c>
      <c r="B439" t="inlineStr">
        <is>
          <t>U-BV204-01-05</t>
        </is>
      </c>
      <c r="C439" t="inlineStr">
        <is>
          <t>Gold Coin Medical Supplies</t>
        </is>
      </c>
      <c r="D439" t="inlineStr">
        <is>
          <t>Pharmacy</t>
        </is>
      </c>
      <c r="E439" s="2" t="n">
        <v>45505</v>
      </c>
      <c r="F439" s="2" t="n">
        <v>46599</v>
      </c>
      <c r="G439" s="3" t="n">
        <v>2800</v>
      </c>
      <c r="H439">
        <f>VLOOKUP(B439,Units!$A$2:$G$1646,2,FALSE)</f>
        <v/>
      </c>
      <c r="I439">
        <f>VLOOKUP(B439,Units!$A$2:$G$1646,5,FALSE)</f>
        <v/>
      </c>
      <c r="J439" s="3">
        <f>G439/I439</f>
        <v/>
      </c>
      <c r="K439" s="3">
        <f>G439*12</f>
        <v/>
      </c>
      <c r="L439" s="3" t="n">
        <v>8400</v>
      </c>
    </row>
    <row r="440">
      <c r="A440" t="inlineStr">
        <is>
          <t>TA-2024-00465</t>
        </is>
      </c>
      <c r="B440" t="inlineStr">
        <is>
          <t>U-BV205-01-04</t>
        </is>
      </c>
      <c r="C440" t="inlineStr">
        <is>
          <t>Ah Seng Consultancy</t>
        </is>
      </c>
      <c r="D440" t="inlineStr">
        <is>
          <t>Professional Services Office</t>
        </is>
      </c>
      <c r="E440" s="2" t="n">
        <v>45505</v>
      </c>
      <c r="F440" s="2" t="n">
        <v>46599</v>
      </c>
      <c r="G440" s="3" t="n">
        <v>3210</v>
      </c>
      <c r="H440">
        <f>VLOOKUP(B440,Units!$A$2:$G$1646,2,FALSE)</f>
        <v/>
      </c>
      <c r="I440">
        <f>VLOOKUP(B440,Units!$A$2:$G$1646,5,FALSE)</f>
        <v/>
      </c>
      <c r="J440" s="3">
        <f>G440/I440</f>
        <v/>
      </c>
      <c r="K440" s="3">
        <f>G440*12</f>
        <v/>
      </c>
      <c r="L440" s="3" t="n">
        <v>9630</v>
      </c>
    </row>
    <row r="441">
      <c r="A441" t="inlineStr">
        <is>
          <t>TA-2024-00466</t>
        </is>
      </c>
      <c r="B441" t="inlineStr">
        <is>
          <t>U-BV212-02-14</t>
        </is>
      </c>
      <c r="C441" t="inlineStr">
        <is>
          <t>Fresh Valley Kindergarten Pte Ltd</t>
        </is>
      </c>
      <c r="D441" t="inlineStr">
        <is>
          <t>Childcare Centre</t>
        </is>
      </c>
      <c r="E441" s="2" t="n">
        <v>45505</v>
      </c>
      <c r="F441" s="2" t="n">
        <v>46599</v>
      </c>
      <c r="G441" s="3" t="n">
        <v>4050</v>
      </c>
      <c r="H441">
        <f>VLOOKUP(B441,Units!$A$2:$G$1646,2,FALSE)</f>
        <v/>
      </c>
      <c r="I441">
        <f>VLOOKUP(B441,Units!$A$2:$G$1646,5,FALSE)</f>
        <v/>
      </c>
      <c r="J441" s="3">
        <f>G441/I441</f>
        <v/>
      </c>
      <c r="K441" s="3">
        <f>G441*12</f>
        <v/>
      </c>
      <c r="L441" s="3" t="n">
        <v>12150</v>
      </c>
    </row>
    <row r="442">
      <c r="A442" t="inlineStr">
        <is>
          <t>TA-2024-00467</t>
        </is>
      </c>
      <c r="B442" t="inlineStr">
        <is>
          <t>U-BV214-01-01</t>
        </is>
      </c>
      <c r="C442" t="inlineStr">
        <is>
          <t>Starlight Trading Pte Ltd</t>
        </is>
      </c>
      <c r="D442" t="inlineStr">
        <is>
          <t>Provision Shop</t>
        </is>
      </c>
      <c r="E442" s="2" t="n">
        <v>45505</v>
      </c>
      <c r="F442" s="2" t="n">
        <v>46599</v>
      </c>
      <c r="G442" s="3" t="n">
        <v>2450</v>
      </c>
      <c r="H442">
        <f>VLOOKUP(B442,Units!$A$2:$G$1646,2,FALSE)</f>
        <v/>
      </c>
      <c r="I442">
        <f>VLOOKUP(B442,Units!$A$2:$G$1646,5,FALSE)</f>
        <v/>
      </c>
      <c r="J442" s="3">
        <f>G442/I442</f>
        <v/>
      </c>
      <c r="K442" s="3">
        <f>G442*12</f>
        <v/>
      </c>
      <c r="L442" s="3" t="n">
        <v>7350</v>
      </c>
    </row>
    <row r="443">
      <c r="A443" t="inlineStr">
        <is>
          <t>TA-2024-00468</t>
        </is>
      </c>
      <c r="B443" t="inlineStr">
        <is>
          <t>U-BV214-01-05</t>
        </is>
      </c>
      <c r="C443" t="inlineStr">
        <is>
          <t>Wellcare Learning Centre</t>
        </is>
      </c>
      <c r="D443" t="inlineStr">
        <is>
          <t>Tuition Centre</t>
        </is>
      </c>
      <c r="E443" s="2" t="n">
        <v>45505</v>
      </c>
      <c r="F443" s="2" t="n">
        <v>46599</v>
      </c>
      <c r="G443" s="3" t="n">
        <v>4520</v>
      </c>
      <c r="H443">
        <f>VLOOKUP(B443,Units!$A$2:$G$1646,2,FALSE)</f>
        <v/>
      </c>
      <c r="I443">
        <f>VLOOKUP(B443,Units!$A$2:$G$1646,5,FALSE)</f>
        <v/>
      </c>
      <c r="J443" s="3">
        <f>G443/I443</f>
        <v/>
      </c>
      <c r="K443" s="3">
        <f>G443*12</f>
        <v/>
      </c>
      <c r="L443" s="3" t="n">
        <v>13560</v>
      </c>
    </row>
    <row r="444">
      <c r="A444" t="inlineStr">
        <is>
          <t>TA-2024-00469</t>
        </is>
      </c>
      <c r="B444" t="inlineStr">
        <is>
          <t>U-BV216-01-05</t>
        </is>
      </c>
      <c r="C444" t="inlineStr">
        <is>
          <t>Chin Lee Fruits Pte Ltd</t>
        </is>
      </c>
      <c r="D444" t="inlineStr">
        <is>
          <t>Fruit Shop</t>
        </is>
      </c>
      <c r="E444" s="2" t="n">
        <v>45505</v>
      </c>
      <c r="F444" s="2" t="n">
        <v>46599</v>
      </c>
      <c r="G444" s="3" t="n">
        <v>6050</v>
      </c>
      <c r="H444">
        <f>VLOOKUP(B444,Units!$A$2:$G$1646,2,FALSE)</f>
        <v/>
      </c>
      <c r="I444">
        <f>VLOOKUP(B444,Units!$A$2:$G$1646,5,FALSE)</f>
        <v/>
      </c>
      <c r="J444" s="3">
        <f>G444/I444</f>
        <v/>
      </c>
      <c r="K444" s="3">
        <f>G444*12</f>
        <v/>
      </c>
      <c r="L444" s="3" t="n">
        <v>18150</v>
      </c>
    </row>
    <row r="445">
      <c r="A445" t="inlineStr">
        <is>
          <t>TA-2024-00470</t>
        </is>
      </c>
      <c r="B445" t="inlineStr">
        <is>
          <t>U-BV216-01-09</t>
        </is>
      </c>
      <c r="C445" t="inlineStr">
        <is>
          <t>Happy Paws Education Hub</t>
        </is>
      </c>
      <c r="D445" t="inlineStr">
        <is>
          <t>Tuition Centre</t>
        </is>
      </c>
      <c r="E445" s="2" t="n">
        <v>45505</v>
      </c>
      <c r="F445" s="2" t="n">
        <v>46599</v>
      </c>
      <c r="G445" s="3" t="n">
        <v>5580</v>
      </c>
      <c r="H445">
        <f>VLOOKUP(B445,Units!$A$2:$G$1646,2,FALSE)</f>
        <v/>
      </c>
      <c r="I445">
        <f>VLOOKUP(B445,Units!$A$2:$G$1646,5,FALSE)</f>
        <v/>
      </c>
      <c r="J445" s="3">
        <f>G445/I445</f>
        <v/>
      </c>
      <c r="K445" s="3">
        <f>G445*12</f>
        <v/>
      </c>
      <c r="L445" s="3" t="n">
        <v>16740</v>
      </c>
    </row>
    <row r="446">
      <c r="A446" t="inlineStr">
        <is>
          <t>TA-2024-00472</t>
        </is>
      </c>
      <c r="B446" t="inlineStr">
        <is>
          <t>U-BV229-01-07</t>
        </is>
      </c>
      <c r="C446" t="inlineStr">
        <is>
          <t>Amanah Cake House Pte Ltd</t>
        </is>
      </c>
      <c r="D446" t="inlineStr">
        <is>
          <t>Bakery &amp; Confectionery</t>
        </is>
      </c>
      <c r="E446" s="2" t="n">
        <v>45505</v>
      </c>
      <c r="F446" s="2" t="n">
        <v>46599</v>
      </c>
      <c r="G446" s="3" t="n">
        <v>3160</v>
      </c>
      <c r="H446">
        <f>VLOOKUP(B446,Units!$A$2:$G$1646,2,FALSE)</f>
        <v/>
      </c>
      <c r="I446">
        <f>VLOOKUP(B446,Units!$A$2:$G$1646,5,FALSE)</f>
        <v/>
      </c>
      <c r="J446" s="3">
        <f>G446/I446</f>
        <v/>
      </c>
      <c r="K446" s="3">
        <f>G446*12</f>
        <v/>
      </c>
      <c r="L446" s="3" t="n">
        <v>9480</v>
      </c>
    </row>
    <row r="447">
      <c r="A447" t="inlineStr">
        <is>
          <t>TA-2024-00474</t>
        </is>
      </c>
      <c r="B447" t="inlineStr">
        <is>
          <t>U-BV231-01-03</t>
        </is>
      </c>
      <c r="C447" t="inlineStr">
        <is>
          <t>Hock Lee Family Clinic</t>
        </is>
      </c>
      <c r="D447" t="inlineStr">
        <is>
          <t>GP Clinic</t>
        </is>
      </c>
      <c r="E447" s="2" t="n">
        <v>45505</v>
      </c>
      <c r="F447" s="2" t="n">
        <v>46599</v>
      </c>
      <c r="G447" s="3" t="n">
        <v>5460</v>
      </c>
      <c r="H447">
        <f>VLOOKUP(B447,Units!$A$2:$G$1646,2,FALSE)</f>
        <v/>
      </c>
      <c r="I447">
        <f>VLOOKUP(B447,Units!$A$2:$G$1646,5,FALSE)</f>
        <v/>
      </c>
      <c r="J447" s="3">
        <f>G447/I447</f>
        <v/>
      </c>
      <c r="K447" s="3">
        <f>G447*12</f>
        <v/>
      </c>
      <c r="L447" s="3" t="n">
        <v>16380</v>
      </c>
    </row>
    <row r="448">
      <c r="A448" t="inlineStr">
        <is>
          <t>TA-2024-00476</t>
        </is>
      </c>
      <c r="B448" t="inlineStr">
        <is>
          <t>U-BV256-01-11</t>
        </is>
      </c>
      <c r="C448" t="inlineStr">
        <is>
          <t>Chin Lee Medical Clinic Pte Ltd</t>
        </is>
      </c>
      <c r="D448" t="inlineStr">
        <is>
          <t>GP Clinic</t>
        </is>
      </c>
      <c r="E448" s="2" t="n">
        <v>45505</v>
      </c>
      <c r="F448" s="2" t="n">
        <v>46599</v>
      </c>
      <c r="G448" s="3" t="n">
        <v>2310</v>
      </c>
      <c r="H448">
        <f>VLOOKUP(B448,Units!$A$2:$G$1646,2,FALSE)</f>
        <v/>
      </c>
      <c r="I448">
        <f>VLOOKUP(B448,Units!$A$2:$G$1646,5,FALSE)</f>
        <v/>
      </c>
      <c r="J448" s="3">
        <f>G448/I448</f>
        <v/>
      </c>
      <c r="K448" s="3">
        <f>G448*12</f>
        <v/>
      </c>
      <c r="L448" s="3" t="n">
        <v>6930</v>
      </c>
    </row>
    <row r="449">
      <c r="A449" t="inlineStr">
        <is>
          <t>TA-2024-00477</t>
        </is>
      </c>
      <c r="B449" t="inlineStr">
        <is>
          <t>U-BV256-01-13</t>
        </is>
      </c>
      <c r="C449" t="inlineStr">
        <is>
          <t>Nur Remittance</t>
        </is>
      </c>
      <c r="D449" t="inlineStr">
        <is>
          <t>Remittance &amp; Money Changer</t>
        </is>
      </c>
      <c r="E449" s="2" t="n">
        <v>45505</v>
      </c>
      <c r="F449" s="2" t="n">
        <v>46599</v>
      </c>
      <c r="G449" s="3" t="n">
        <v>3290</v>
      </c>
      <c r="H449">
        <f>VLOOKUP(B449,Units!$A$2:$G$1646,2,FALSE)</f>
        <v/>
      </c>
      <c r="I449">
        <f>VLOOKUP(B449,Units!$A$2:$G$1646,5,FALSE)</f>
        <v/>
      </c>
      <c r="J449" s="3">
        <f>G449/I449</f>
        <v/>
      </c>
      <c r="K449" s="3">
        <f>G449*12</f>
        <v/>
      </c>
      <c r="L449" s="3" t="n">
        <v>9870</v>
      </c>
    </row>
    <row r="450">
      <c r="A450" t="inlineStr">
        <is>
          <t>TA-2024-00478</t>
        </is>
      </c>
      <c r="B450" t="inlineStr">
        <is>
          <t>U-BV266-01-12</t>
        </is>
      </c>
      <c r="C450" t="inlineStr">
        <is>
          <t>PrimeValue Mart Pte Ltd</t>
        </is>
      </c>
      <c r="D450" t="inlineStr">
        <is>
          <t>Minimart</t>
        </is>
      </c>
      <c r="E450" s="2" t="n">
        <v>45505</v>
      </c>
      <c r="F450" s="2" t="n">
        <v>46599</v>
      </c>
      <c r="G450" s="3" t="n">
        <v>5190</v>
      </c>
      <c r="H450">
        <f>VLOOKUP(B450,Units!$A$2:$G$1646,2,FALSE)</f>
        <v/>
      </c>
      <c r="I450">
        <f>VLOOKUP(B450,Units!$A$2:$G$1646,5,FALSE)</f>
        <v/>
      </c>
      <c r="J450" s="3">
        <f>G450/I450</f>
        <v/>
      </c>
      <c r="K450" s="3">
        <f>G450*12</f>
        <v/>
      </c>
      <c r="L450" s="3" t="n">
        <v>15570</v>
      </c>
    </row>
    <row r="451">
      <c r="A451" t="inlineStr">
        <is>
          <t>TA-2024-00479</t>
        </is>
      </c>
      <c r="B451" t="inlineStr">
        <is>
          <t>U-BV271-01-12</t>
        </is>
      </c>
      <c r="C451" t="inlineStr">
        <is>
          <t>Rainbow Supermarket</t>
        </is>
      </c>
      <c r="D451" t="inlineStr">
        <is>
          <t>Minimart</t>
        </is>
      </c>
      <c r="E451" s="2" t="n">
        <v>45505</v>
      </c>
      <c r="F451" s="2" t="n">
        <v>46599</v>
      </c>
      <c r="G451" s="3" t="n">
        <v>2470</v>
      </c>
      <c r="H451">
        <f>VLOOKUP(B451,Units!$A$2:$G$1646,2,FALSE)</f>
        <v/>
      </c>
      <c r="I451">
        <f>VLOOKUP(B451,Units!$A$2:$G$1646,5,FALSE)</f>
        <v/>
      </c>
      <c r="J451" s="3">
        <f>G451/I451</f>
        <v/>
      </c>
      <c r="K451" s="3">
        <f>G451*12</f>
        <v/>
      </c>
      <c r="L451" s="3" t="n">
        <v>7410</v>
      </c>
    </row>
    <row r="452">
      <c r="A452" t="inlineStr">
        <is>
          <t>TA-2024-00481</t>
        </is>
      </c>
      <c r="B452" t="inlineStr">
        <is>
          <t>U-BV296-01-06</t>
        </is>
      </c>
      <c r="C452" t="inlineStr">
        <is>
          <t>Harmony Florist Pte Ltd</t>
        </is>
      </c>
      <c r="D452" t="inlineStr">
        <is>
          <t>Florist</t>
        </is>
      </c>
      <c r="E452" s="2" t="n">
        <v>45505</v>
      </c>
      <c r="F452" s="2" t="n">
        <v>46599</v>
      </c>
      <c r="G452" s="3" t="n">
        <v>4970</v>
      </c>
      <c r="H452">
        <f>VLOOKUP(B452,Units!$A$2:$G$1646,2,FALSE)</f>
        <v/>
      </c>
      <c r="I452">
        <f>VLOOKUP(B452,Units!$A$2:$G$1646,5,FALSE)</f>
        <v/>
      </c>
      <c r="J452" s="3">
        <f>G452/I452</f>
        <v/>
      </c>
      <c r="K452" s="3">
        <f>G452*12</f>
        <v/>
      </c>
      <c r="L452" s="3" t="n">
        <v>14910</v>
      </c>
    </row>
    <row r="453">
      <c r="A453" t="inlineStr">
        <is>
          <t>TA-2024-00483</t>
        </is>
      </c>
      <c r="B453" t="inlineStr">
        <is>
          <t>U-BV297-01-01</t>
        </is>
      </c>
      <c r="C453" t="inlineStr">
        <is>
          <t>Sin Hock Dental Surgery</t>
        </is>
      </c>
      <c r="D453" t="inlineStr">
        <is>
          <t>Dental Clinic</t>
        </is>
      </c>
      <c r="E453" s="2" t="n">
        <v>45505</v>
      </c>
      <c r="F453" s="2" t="n">
        <v>46599</v>
      </c>
      <c r="G453" s="3" t="n">
        <v>4620</v>
      </c>
      <c r="H453">
        <f>VLOOKUP(B453,Units!$A$2:$G$1646,2,FALSE)</f>
        <v/>
      </c>
      <c r="I453">
        <f>VLOOKUP(B453,Units!$A$2:$G$1646,5,FALSE)</f>
        <v/>
      </c>
      <c r="J453" s="3">
        <f>G453/I453</f>
        <v/>
      </c>
      <c r="K453" s="3">
        <f>G453*12</f>
        <v/>
      </c>
      <c r="L453" s="3" t="n">
        <v>13860</v>
      </c>
    </row>
    <row r="454">
      <c r="A454" t="inlineStr">
        <is>
          <t>TA-2024-00484</t>
        </is>
      </c>
      <c r="B454" t="inlineStr">
        <is>
          <t>U-CD105-01-12</t>
        </is>
      </c>
      <c r="C454" t="inlineStr">
        <is>
          <t>Fortune TCM Clinic Pte Ltd</t>
        </is>
      </c>
      <c r="D454" t="inlineStr">
        <is>
          <t>TCM Clinic</t>
        </is>
      </c>
      <c r="E454" s="2" t="n">
        <v>45505</v>
      </c>
      <c r="F454" s="2" t="n">
        <v>46599</v>
      </c>
      <c r="G454" s="3" t="n">
        <v>6020</v>
      </c>
      <c r="H454">
        <f>VLOOKUP(B454,Units!$A$2:$G$1646,2,FALSE)</f>
        <v/>
      </c>
      <c r="I454">
        <f>VLOOKUP(B454,Units!$A$2:$G$1646,5,FALSE)</f>
        <v/>
      </c>
      <c r="J454" s="3">
        <f>G454/I454</f>
        <v/>
      </c>
      <c r="K454" s="3">
        <f>G454*12</f>
        <v/>
      </c>
      <c r="L454" s="3" t="n">
        <v>18060</v>
      </c>
    </row>
    <row r="455">
      <c r="A455" t="inlineStr">
        <is>
          <t>TA-2024-00486</t>
        </is>
      </c>
      <c r="B455" t="inlineStr">
        <is>
          <t>U-CD129-01-03</t>
        </is>
      </c>
      <c r="C455" t="inlineStr">
        <is>
          <t>Tian Fu Mart Pte Ltd</t>
        </is>
      </c>
      <c r="D455" t="inlineStr">
        <is>
          <t>Minimart</t>
        </is>
      </c>
      <c r="E455" s="2" t="n">
        <v>45505</v>
      </c>
      <c r="F455" s="2" t="n">
        <v>46599</v>
      </c>
      <c r="G455" s="3" t="n">
        <v>6370</v>
      </c>
      <c r="H455">
        <f>VLOOKUP(B455,Units!$A$2:$G$1646,2,FALSE)</f>
        <v/>
      </c>
      <c r="I455">
        <f>VLOOKUP(B455,Units!$A$2:$G$1646,5,FALSE)</f>
        <v/>
      </c>
      <c r="J455" s="3">
        <f>G455/I455</f>
        <v/>
      </c>
      <c r="K455" s="3">
        <f>G455*12</f>
        <v/>
      </c>
      <c r="L455" s="3" t="n">
        <v>19110</v>
      </c>
    </row>
    <row r="456">
      <c r="A456" t="inlineStr">
        <is>
          <t>TA-2024-00487</t>
        </is>
      </c>
      <c r="B456" t="inlineStr">
        <is>
          <t>U-CD129-01-06</t>
        </is>
      </c>
      <c r="C456" t="inlineStr">
        <is>
          <t>Bloom Trading</t>
        </is>
      </c>
      <c r="D456" t="inlineStr">
        <is>
          <t>Provision Shop</t>
        </is>
      </c>
      <c r="E456" s="2" t="n">
        <v>45505</v>
      </c>
      <c r="F456" s="2" t="n">
        <v>46599</v>
      </c>
      <c r="G456" s="3" t="n">
        <v>3740</v>
      </c>
      <c r="H456">
        <f>VLOOKUP(B456,Units!$A$2:$G$1646,2,FALSE)</f>
        <v/>
      </c>
      <c r="I456">
        <f>VLOOKUP(B456,Units!$A$2:$G$1646,5,FALSE)</f>
        <v/>
      </c>
      <c r="J456" s="3">
        <f>G456/I456</f>
        <v/>
      </c>
      <c r="K456" s="3">
        <f>G456*12</f>
        <v/>
      </c>
      <c r="L456" s="3" t="n">
        <v>11220</v>
      </c>
    </row>
    <row r="457">
      <c r="A457" t="inlineStr">
        <is>
          <t>TA-2024-00488</t>
        </is>
      </c>
      <c r="B457" t="inlineStr">
        <is>
          <t>U-CD143-01-05</t>
        </is>
      </c>
      <c r="C457" t="inlineStr">
        <is>
          <t>Teck Guan Kitchen</t>
        </is>
      </c>
      <c r="D457" t="inlineStr">
        <is>
          <t>Restaurant</t>
        </is>
      </c>
      <c r="E457" s="2" t="n">
        <v>45505</v>
      </c>
      <c r="F457" s="2" t="n">
        <v>46599</v>
      </c>
      <c r="G457" s="3" t="n">
        <v>4390</v>
      </c>
      <c r="H457">
        <f>VLOOKUP(B457,Units!$A$2:$G$1646,2,FALSE)</f>
        <v/>
      </c>
      <c r="I457">
        <f>VLOOKUP(B457,Units!$A$2:$G$1646,5,FALSE)</f>
        <v/>
      </c>
      <c r="J457" s="3">
        <f>G457/I457</f>
        <v/>
      </c>
      <c r="K457" s="3">
        <f>G457*12</f>
        <v/>
      </c>
      <c r="L457" s="3" t="n">
        <v>13170</v>
      </c>
    </row>
    <row r="458">
      <c r="A458" t="inlineStr">
        <is>
          <t>TA-2024-00490</t>
        </is>
      </c>
      <c r="B458" t="inlineStr">
        <is>
          <t>U-CD153-01-08</t>
        </is>
      </c>
      <c r="C458" t="inlineStr">
        <is>
          <t>Kumar Laundry</t>
        </is>
      </c>
      <c r="D458" t="inlineStr">
        <is>
          <t>Laundry</t>
        </is>
      </c>
      <c r="E458" s="2" t="n">
        <v>45505</v>
      </c>
      <c r="F458" s="2" t="n">
        <v>46599</v>
      </c>
      <c r="G458" s="3" t="n">
        <v>3810</v>
      </c>
      <c r="H458">
        <f>VLOOKUP(B458,Units!$A$2:$G$1646,2,FALSE)</f>
        <v/>
      </c>
      <c r="I458">
        <f>VLOOKUP(B458,Units!$A$2:$G$1646,5,FALSE)</f>
        <v/>
      </c>
      <c r="J458" s="3">
        <f>G458/I458</f>
        <v/>
      </c>
      <c r="K458" s="3">
        <f>G458*12</f>
        <v/>
      </c>
      <c r="L458" s="3" t="n">
        <v>11430</v>
      </c>
    </row>
    <row r="459">
      <c r="A459" t="inlineStr">
        <is>
          <t>TA-2024-00491</t>
        </is>
      </c>
      <c r="B459" t="inlineStr">
        <is>
          <t>U-KR305-01-06</t>
        </is>
      </c>
      <c r="C459" t="inlineStr">
        <is>
          <t>PrimeValue Mart Pte Ltd</t>
        </is>
      </c>
      <c r="D459" t="inlineStr">
        <is>
          <t>Minimart</t>
        </is>
      </c>
      <c r="E459" s="2" t="n">
        <v>45505</v>
      </c>
      <c r="F459" s="2" t="n">
        <v>46599</v>
      </c>
      <c r="G459" s="3" t="n">
        <v>4180</v>
      </c>
      <c r="H459">
        <f>VLOOKUP(B459,Units!$A$2:$G$1646,2,FALSE)</f>
        <v/>
      </c>
      <c r="I459">
        <f>VLOOKUP(B459,Units!$A$2:$G$1646,5,FALSE)</f>
        <v/>
      </c>
      <c r="J459" s="3">
        <f>G459/I459</f>
        <v/>
      </c>
      <c r="K459" s="3">
        <f>G459*12</f>
        <v/>
      </c>
      <c r="L459" s="3" t="n">
        <v>12540</v>
      </c>
    </row>
    <row r="460">
      <c r="A460" t="inlineStr">
        <is>
          <t>TA-2024-00493</t>
        </is>
      </c>
      <c r="B460" t="inlineStr">
        <is>
          <t>U-KR317-01-04</t>
        </is>
      </c>
      <c r="C460" t="inlineStr">
        <is>
          <t>Lotus Mobile</t>
        </is>
      </c>
      <c r="D460" t="inlineStr">
        <is>
          <t>Mobile Phone &amp; Accessories</t>
        </is>
      </c>
      <c r="E460" s="2" t="n">
        <v>45505</v>
      </c>
      <c r="F460" s="2" t="n">
        <v>46599</v>
      </c>
      <c r="G460" s="3" t="n">
        <v>4360</v>
      </c>
      <c r="H460">
        <f>VLOOKUP(B460,Units!$A$2:$G$1646,2,FALSE)</f>
        <v/>
      </c>
      <c r="I460">
        <f>VLOOKUP(B460,Units!$A$2:$G$1646,5,FALSE)</f>
        <v/>
      </c>
      <c r="J460" s="3">
        <f>G460/I460</f>
        <v/>
      </c>
      <c r="K460" s="3">
        <f>G460*12</f>
        <v/>
      </c>
      <c r="L460" s="3" t="n">
        <v>13080</v>
      </c>
    </row>
    <row r="461">
      <c r="A461" t="inlineStr">
        <is>
          <t>TA-2024-00495</t>
        </is>
      </c>
      <c r="B461" t="inlineStr">
        <is>
          <t>U-KR327-01-01</t>
        </is>
      </c>
      <c r="C461" t="inlineStr">
        <is>
          <t>Unity Eating House</t>
        </is>
      </c>
      <c r="D461" t="inlineStr">
        <is>
          <t>Coffeeshop</t>
        </is>
      </c>
      <c r="E461" s="2" t="n">
        <v>45505</v>
      </c>
      <c r="F461" s="2" t="n">
        <v>46599</v>
      </c>
      <c r="G461" s="3" t="n">
        <v>12000</v>
      </c>
      <c r="H461">
        <f>VLOOKUP(B461,Units!$A$2:$G$1646,2,FALSE)</f>
        <v/>
      </c>
      <c r="I461">
        <f>VLOOKUP(B461,Units!$A$2:$G$1646,5,FALSE)</f>
        <v/>
      </c>
      <c r="J461" s="3">
        <f>G461/I461</f>
        <v/>
      </c>
      <c r="K461" s="3">
        <f>G461*12</f>
        <v/>
      </c>
      <c r="L461" s="3" t="n">
        <v>36000</v>
      </c>
    </row>
    <row r="462">
      <c r="A462" t="inlineStr">
        <is>
          <t>TA-2024-00497</t>
        </is>
      </c>
      <c r="B462" t="inlineStr">
        <is>
          <t>U-KR335-01-12</t>
        </is>
      </c>
      <c r="C462" t="inlineStr">
        <is>
          <t>Bloom Locksmith Pte Ltd</t>
        </is>
      </c>
      <c r="D462" t="inlineStr">
        <is>
          <t>Key Cutting &amp; Shoe Repair</t>
        </is>
      </c>
      <c r="E462" s="2" t="n">
        <v>45505</v>
      </c>
      <c r="F462" s="2" t="n">
        <v>46599</v>
      </c>
      <c r="G462" s="3" t="n">
        <v>900</v>
      </c>
      <c r="H462">
        <f>VLOOKUP(B462,Units!$A$2:$G$1646,2,FALSE)</f>
        <v/>
      </c>
      <c r="I462">
        <f>VLOOKUP(B462,Units!$A$2:$G$1646,5,FALSE)</f>
        <v/>
      </c>
      <c r="J462" s="3">
        <f>G462/I462</f>
        <v/>
      </c>
      <c r="K462" s="3">
        <f>G462*12</f>
        <v/>
      </c>
      <c r="L462" s="3" t="n">
        <v>2700</v>
      </c>
    </row>
    <row r="463">
      <c r="A463" t="inlineStr">
        <is>
          <t>TA-2024-00498</t>
        </is>
      </c>
      <c r="B463" t="inlineStr">
        <is>
          <t>U-KR341-01-01</t>
        </is>
      </c>
      <c r="C463" t="inlineStr">
        <is>
          <t>Raja Tuition Centre Pte Ltd</t>
        </is>
      </c>
      <c r="D463" t="inlineStr">
        <is>
          <t>Tuition Centre</t>
        </is>
      </c>
      <c r="E463" s="2" t="n">
        <v>45505</v>
      </c>
      <c r="F463" s="2" t="n">
        <v>46599</v>
      </c>
      <c r="G463" s="3" t="n">
        <v>5740</v>
      </c>
      <c r="H463">
        <f>VLOOKUP(B463,Units!$A$2:$G$1646,2,FALSE)</f>
        <v/>
      </c>
      <c r="I463">
        <f>VLOOKUP(B463,Units!$A$2:$G$1646,5,FALSE)</f>
        <v/>
      </c>
      <c r="J463" s="3">
        <f>G463/I463</f>
        <v/>
      </c>
      <c r="K463" s="3">
        <f>G463*12</f>
        <v/>
      </c>
      <c r="L463" s="3" t="n">
        <v>17220</v>
      </c>
    </row>
    <row r="464">
      <c r="A464" t="inlineStr">
        <is>
          <t>TA-2024-00499</t>
        </is>
      </c>
      <c r="B464" t="inlineStr">
        <is>
          <t>U-KR353-01-04</t>
        </is>
      </c>
      <c r="C464" t="inlineStr">
        <is>
          <t>Treasure Tea House Pte Ltd</t>
        </is>
      </c>
      <c r="D464" t="inlineStr">
        <is>
          <t>Bubble Tea</t>
        </is>
      </c>
      <c r="E464" s="2" t="n">
        <v>45505</v>
      </c>
      <c r="F464" s="2" t="n">
        <v>46599</v>
      </c>
      <c r="G464" s="3" t="n">
        <v>1380</v>
      </c>
      <c r="H464">
        <f>VLOOKUP(B464,Units!$A$2:$G$1646,2,FALSE)</f>
        <v/>
      </c>
      <c r="I464">
        <f>VLOOKUP(B464,Units!$A$2:$G$1646,5,FALSE)</f>
        <v/>
      </c>
      <c r="J464" s="3">
        <f>G464/I464</f>
        <v/>
      </c>
      <c r="K464" s="3">
        <f>G464*12</f>
        <v/>
      </c>
      <c r="L464" s="3" t="n">
        <v>4140</v>
      </c>
    </row>
    <row r="465">
      <c r="A465" t="inlineStr">
        <is>
          <t>TA-2024-00500</t>
        </is>
      </c>
      <c r="B465" t="inlineStr">
        <is>
          <t>U-KR356-02-04</t>
        </is>
      </c>
      <c r="C465" t="inlineStr">
        <is>
          <t>Sri Ganesh Family Clinic Pte Ltd</t>
        </is>
      </c>
      <c r="D465" t="inlineStr">
        <is>
          <t>GP Clinic</t>
        </is>
      </c>
      <c r="E465" s="2" t="n">
        <v>45505</v>
      </c>
      <c r="F465" s="2" t="n">
        <v>46599</v>
      </c>
      <c r="G465" s="3" t="n">
        <v>2680</v>
      </c>
      <c r="H465">
        <f>VLOOKUP(B465,Units!$A$2:$G$1646,2,FALSE)</f>
        <v/>
      </c>
      <c r="I465">
        <f>VLOOKUP(B465,Units!$A$2:$G$1646,5,FALSE)</f>
        <v/>
      </c>
      <c r="J465" s="3">
        <f>G465/I465</f>
        <v/>
      </c>
      <c r="K465" s="3">
        <f>G465*12</f>
        <v/>
      </c>
      <c r="L465" s="3" t="n">
        <v>8040</v>
      </c>
    </row>
    <row r="466">
      <c r="A466" t="inlineStr">
        <is>
          <t>TA-2024-00501</t>
        </is>
      </c>
      <c r="B466" t="inlineStr">
        <is>
          <t>U-KR358-01-05</t>
        </is>
      </c>
      <c r="C466" t="inlineStr">
        <is>
          <t>Hassan Supermarket Pte Ltd</t>
        </is>
      </c>
      <c r="D466" t="inlineStr">
        <is>
          <t>Minimart</t>
        </is>
      </c>
      <c r="E466" s="2" t="n">
        <v>45505</v>
      </c>
      <c r="F466" s="2" t="n">
        <v>46599</v>
      </c>
      <c r="G466" s="3" t="n">
        <v>2550</v>
      </c>
      <c r="H466">
        <f>VLOOKUP(B466,Units!$A$2:$G$1646,2,FALSE)</f>
        <v/>
      </c>
      <c r="I466">
        <f>VLOOKUP(B466,Units!$A$2:$G$1646,5,FALSE)</f>
        <v/>
      </c>
      <c r="J466" s="3">
        <f>G466/I466</f>
        <v/>
      </c>
      <c r="K466" s="3">
        <f>G466*12</f>
        <v/>
      </c>
      <c r="L466" s="3" t="n">
        <v>7650</v>
      </c>
    </row>
    <row r="467">
      <c r="A467" t="inlineStr">
        <is>
          <t>TA-2024-00503</t>
        </is>
      </c>
      <c r="B467" t="inlineStr">
        <is>
          <t>U-KR359-02-09</t>
        </is>
      </c>
      <c r="C467" t="inlineStr">
        <is>
          <t>Kim Hiap Medical Clinic</t>
        </is>
      </c>
      <c r="D467" t="inlineStr">
        <is>
          <t>GP Clinic</t>
        </is>
      </c>
      <c r="E467" s="2" t="n">
        <v>45505</v>
      </c>
      <c r="F467" s="2" t="n">
        <v>46599</v>
      </c>
      <c r="G467" s="3" t="n">
        <v>1670</v>
      </c>
      <c r="H467">
        <f>VLOOKUP(B467,Units!$A$2:$G$1646,2,FALSE)</f>
        <v/>
      </c>
      <c r="I467">
        <f>VLOOKUP(B467,Units!$A$2:$G$1646,5,FALSE)</f>
        <v/>
      </c>
      <c r="J467" s="3">
        <f>G467/I467</f>
        <v/>
      </c>
      <c r="K467" s="3">
        <f>G467*12</f>
        <v/>
      </c>
      <c r="L467" s="3" t="n">
        <v>5010</v>
      </c>
    </row>
    <row r="468">
      <c r="A468" t="inlineStr">
        <is>
          <t>TA-2024-00505</t>
        </is>
      </c>
      <c r="B468" t="inlineStr">
        <is>
          <t>U-KR362-01-07</t>
        </is>
      </c>
      <c r="C468" t="inlineStr">
        <is>
          <t>Lim's Restaurant</t>
        </is>
      </c>
      <c r="D468" t="inlineStr">
        <is>
          <t>Restaurant</t>
        </is>
      </c>
      <c r="E468" s="2" t="n">
        <v>45505</v>
      </c>
      <c r="F468" s="2" t="n">
        <v>46599</v>
      </c>
      <c r="G468" s="3" t="n">
        <v>2910</v>
      </c>
      <c r="H468">
        <f>VLOOKUP(B468,Units!$A$2:$G$1646,2,FALSE)</f>
        <v/>
      </c>
      <c r="I468">
        <f>VLOOKUP(B468,Units!$A$2:$G$1646,5,FALSE)</f>
        <v/>
      </c>
      <c r="J468" s="3">
        <f>G468/I468</f>
        <v/>
      </c>
      <c r="K468" s="3">
        <f>G468*12</f>
        <v/>
      </c>
      <c r="L468" s="3" t="n">
        <v>8730</v>
      </c>
    </row>
    <row r="469">
      <c r="A469" t="inlineStr">
        <is>
          <t>TA-2024-00506</t>
        </is>
      </c>
      <c r="B469" t="inlineStr">
        <is>
          <t>U-KR368-01-08</t>
        </is>
      </c>
      <c r="C469" t="inlineStr">
        <is>
          <t>Value Money Changer</t>
        </is>
      </c>
      <c r="D469" t="inlineStr">
        <is>
          <t>Remittance &amp; Money Changer</t>
        </is>
      </c>
      <c r="E469" s="2" t="n">
        <v>45505</v>
      </c>
      <c r="F469" s="2" t="n">
        <v>46599</v>
      </c>
      <c r="G469" s="3" t="n">
        <v>5250</v>
      </c>
      <c r="H469">
        <f>VLOOKUP(B469,Units!$A$2:$G$1646,2,FALSE)</f>
        <v/>
      </c>
      <c r="I469">
        <f>VLOOKUP(B469,Units!$A$2:$G$1646,5,FALSE)</f>
        <v/>
      </c>
      <c r="J469" s="3">
        <f>G469/I469</f>
        <v/>
      </c>
      <c r="K469" s="3">
        <f>G469*12</f>
        <v/>
      </c>
      <c r="L469" s="3" t="n">
        <v>15750</v>
      </c>
    </row>
    <row r="470">
      <c r="A470" t="inlineStr">
        <is>
          <t>TA-2024-00508</t>
        </is>
      </c>
      <c r="B470" t="inlineStr">
        <is>
          <t>U-PI609-01-03</t>
        </is>
      </c>
      <c r="C470" t="inlineStr">
        <is>
          <t>Fresh Valley Store</t>
        </is>
      </c>
      <c r="D470" t="inlineStr">
        <is>
          <t>Provision Shop</t>
        </is>
      </c>
      <c r="E470" s="2" t="n">
        <v>45505</v>
      </c>
      <c r="F470" s="2" t="n">
        <v>46599</v>
      </c>
      <c r="G470" s="3" t="n">
        <v>4370</v>
      </c>
      <c r="H470">
        <f>VLOOKUP(B470,Units!$A$2:$G$1646,2,FALSE)</f>
        <v/>
      </c>
      <c r="I470">
        <f>VLOOKUP(B470,Units!$A$2:$G$1646,5,FALSE)</f>
        <v/>
      </c>
      <c r="J470" s="3">
        <f>G470/I470</f>
        <v/>
      </c>
      <c r="K470" s="3">
        <f>G470*12</f>
        <v/>
      </c>
      <c r="L470" s="3" t="n">
        <v>13110</v>
      </c>
    </row>
    <row r="471">
      <c r="A471" t="inlineStr">
        <is>
          <t>TA-2024-00509</t>
        </is>
      </c>
      <c r="B471" t="inlineStr">
        <is>
          <t>U-PI609-01-04</t>
        </is>
      </c>
      <c r="C471" t="inlineStr">
        <is>
          <t>Jade Garden Store Pte Ltd</t>
        </is>
      </c>
      <c r="D471" t="inlineStr">
        <is>
          <t>Provision Shop</t>
        </is>
      </c>
      <c r="E471" s="2" t="n">
        <v>45505</v>
      </c>
      <c r="F471" s="2" t="n">
        <v>46599</v>
      </c>
      <c r="G471" s="3" t="n">
        <v>2910</v>
      </c>
      <c r="H471">
        <f>VLOOKUP(B471,Units!$A$2:$G$1646,2,FALSE)</f>
        <v/>
      </c>
      <c r="I471">
        <f>VLOOKUP(B471,Units!$A$2:$G$1646,5,FALSE)</f>
        <v/>
      </c>
      <c r="J471" s="3">
        <f>G471/I471</f>
        <v/>
      </c>
      <c r="K471" s="3">
        <f>G471*12</f>
        <v/>
      </c>
      <c r="L471" s="3" t="n">
        <v>8730</v>
      </c>
    </row>
    <row r="472">
      <c r="A472" t="inlineStr">
        <is>
          <t>TA-2024-00510</t>
        </is>
      </c>
      <c r="B472" t="inlineStr">
        <is>
          <t>U-PI614-01-05</t>
        </is>
      </c>
      <c r="C472" t="inlineStr">
        <is>
          <t>Heng Ann Locksmith</t>
        </is>
      </c>
      <c r="D472" t="inlineStr">
        <is>
          <t>Key Cutting &amp; Shoe Repair</t>
        </is>
      </c>
      <c r="E472" s="2" t="n">
        <v>45505</v>
      </c>
      <c r="F472" s="2" t="n">
        <v>46599</v>
      </c>
      <c r="G472" s="3" t="n">
        <v>1200</v>
      </c>
      <c r="H472">
        <f>VLOOKUP(B472,Units!$A$2:$G$1646,2,FALSE)</f>
        <v/>
      </c>
      <c r="I472">
        <f>VLOOKUP(B472,Units!$A$2:$G$1646,5,FALSE)</f>
        <v/>
      </c>
      <c r="J472" s="3">
        <f>G472/I472</f>
        <v/>
      </c>
      <c r="K472" s="3">
        <f>G472*12</f>
        <v/>
      </c>
      <c r="L472" s="3" t="n">
        <v>3600</v>
      </c>
    </row>
    <row r="473">
      <c r="A473" t="inlineStr">
        <is>
          <t>TA-2024-00511</t>
        </is>
      </c>
      <c r="B473" t="inlineStr">
        <is>
          <t>U-PI625-01-07</t>
        </is>
      </c>
      <c r="C473" t="inlineStr">
        <is>
          <t>Kampung Confectionery</t>
        </is>
      </c>
      <c r="D473" t="inlineStr">
        <is>
          <t>Bakery &amp; Confectionery</t>
        </is>
      </c>
      <c r="E473" s="2" t="n">
        <v>45505</v>
      </c>
      <c r="F473" s="2" t="n">
        <v>46599</v>
      </c>
      <c r="G473" s="3" t="n">
        <v>4460</v>
      </c>
      <c r="H473">
        <f>VLOOKUP(B473,Units!$A$2:$G$1646,2,FALSE)</f>
        <v/>
      </c>
      <c r="I473">
        <f>VLOOKUP(B473,Units!$A$2:$G$1646,5,FALSE)</f>
        <v/>
      </c>
      <c r="J473" s="3">
        <f>G473/I473</f>
        <v/>
      </c>
      <c r="K473" s="3">
        <f>G473*12</f>
        <v/>
      </c>
      <c r="L473" s="3" t="n">
        <v>13380</v>
      </c>
    </row>
    <row r="474">
      <c r="A474" t="inlineStr">
        <is>
          <t>TA-2024-00513</t>
        </is>
      </c>
      <c r="B474" t="inlineStr">
        <is>
          <t>U-PI627-01-03</t>
        </is>
      </c>
      <c r="C474" t="inlineStr">
        <is>
          <t>Cosy Supermarket</t>
        </is>
      </c>
      <c r="D474" t="inlineStr">
        <is>
          <t>Minimart</t>
        </is>
      </c>
      <c r="E474" s="2" t="n">
        <v>45505</v>
      </c>
      <c r="F474" s="2" t="n">
        <v>46599</v>
      </c>
      <c r="G474" s="3" t="n">
        <v>2610</v>
      </c>
      <c r="H474">
        <f>VLOOKUP(B474,Units!$A$2:$G$1646,2,FALSE)</f>
        <v/>
      </c>
      <c r="I474">
        <f>VLOOKUP(B474,Units!$A$2:$G$1646,5,FALSE)</f>
        <v/>
      </c>
      <c r="J474" s="3">
        <f>G474/I474</f>
        <v/>
      </c>
      <c r="K474" s="3">
        <f>G474*12</f>
        <v/>
      </c>
      <c r="L474" s="3" t="n">
        <v>7830</v>
      </c>
    </row>
    <row r="475">
      <c r="A475" t="inlineStr">
        <is>
          <t>TA-2024-00514</t>
        </is>
      </c>
      <c r="B475" t="inlineStr">
        <is>
          <t>U-PI634-01-14</t>
        </is>
      </c>
      <c r="C475" t="inlineStr">
        <is>
          <t>Hock Lee Optical Pte Ltd</t>
        </is>
      </c>
      <c r="D475" t="inlineStr">
        <is>
          <t>Optical</t>
        </is>
      </c>
      <c r="E475" s="2" t="n">
        <v>45505</v>
      </c>
      <c r="F475" s="2" t="n">
        <v>46599</v>
      </c>
      <c r="G475" s="3" t="n">
        <v>3680</v>
      </c>
      <c r="H475">
        <f>VLOOKUP(B475,Units!$A$2:$G$1646,2,FALSE)</f>
        <v/>
      </c>
      <c r="I475">
        <f>VLOOKUP(B475,Units!$A$2:$G$1646,5,FALSE)</f>
        <v/>
      </c>
      <c r="J475" s="3">
        <f>G475/I475</f>
        <v/>
      </c>
      <c r="K475" s="3">
        <f>G475*12</f>
        <v/>
      </c>
      <c r="L475" s="3" t="n">
        <v>11040</v>
      </c>
    </row>
    <row r="476">
      <c r="A476" t="inlineStr">
        <is>
          <t>TA-2024-00515</t>
        </is>
      </c>
      <c r="B476" t="inlineStr">
        <is>
          <t>U-PI667-01-02</t>
        </is>
      </c>
      <c r="C476" t="inlineStr">
        <is>
          <t>PrimeValue Mart Pte Ltd</t>
        </is>
      </c>
      <c r="D476" t="inlineStr">
        <is>
          <t>Minimart</t>
        </is>
      </c>
      <c r="E476" s="2" t="n">
        <v>45505</v>
      </c>
      <c r="F476" s="2" t="n">
        <v>46599</v>
      </c>
      <c r="G476" s="3" t="n">
        <v>2210</v>
      </c>
      <c r="H476">
        <f>VLOOKUP(B476,Units!$A$2:$G$1646,2,FALSE)</f>
        <v/>
      </c>
      <c r="I476">
        <f>VLOOKUP(B476,Units!$A$2:$G$1646,5,FALSE)</f>
        <v/>
      </c>
      <c r="J476" s="3">
        <f>G476/I476</f>
        <v/>
      </c>
      <c r="K476" s="3">
        <f>G476*12</f>
        <v/>
      </c>
      <c r="L476" s="3" t="n">
        <v>6630</v>
      </c>
    </row>
    <row r="477">
      <c r="A477" t="inlineStr">
        <is>
          <t>TA-2024-00516</t>
        </is>
      </c>
      <c r="B477" t="inlineStr">
        <is>
          <t>U-PI684-01-12</t>
        </is>
      </c>
      <c r="C477" t="inlineStr">
        <is>
          <t>Golden Leaf Mart</t>
        </is>
      </c>
      <c r="D477" t="inlineStr">
        <is>
          <t>Minimart</t>
        </is>
      </c>
      <c r="E477" s="2" t="n">
        <v>45505</v>
      </c>
      <c r="F477" s="2" t="n">
        <v>46599</v>
      </c>
      <c r="G477" s="3" t="n">
        <v>3670</v>
      </c>
      <c r="H477">
        <f>VLOOKUP(B477,Units!$A$2:$G$1646,2,FALSE)</f>
        <v/>
      </c>
      <c r="I477">
        <f>VLOOKUP(B477,Units!$A$2:$G$1646,5,FALSE)</f>
        <v/>
      </c>
      <c r="J477" s="3">
        <f>G477/I477</f>
        <v/>
      </c>
      <c r="K477" s="3">
        <f>G477*12</f>
        <v/>
      </c>
      <c r="L477" s="3" t="n">
        <v>11010</v>
      </c>
    </row>
    <row r="478">
      <c r="A478" t="inlineStr">
        <is>
          <t>TA-2024-00517</t>
        </is>
      </c>
      <c r="B478" t="inlineStr">
        <is>
          <t>U-RH401-01-05</t>
        </is>
      </c>
      <c r="C478" t="inlineStr">
        <is>
          <t>Silver Moon Optical</t>
        </is>
      </c>
      <c r="D478" t="inlineStr">
        <is>
          <t>Optical</t>
        </is>
      </c>
      <c r="E478" s="2" t="n">
        <v>45505</v>
      </c>
      <c r="F478" s="2" t="n">
        <v>46599</v>
      </c>
      <c r="G478" s="3" t="n">
        <v>1910</v>
      </c>
      <c r="H478">
        <f>VLOOKUP(B478,Units!$A$2:$G$1646,2,FALSE)</f>
        <v/>
      </c>
      <c r="I478">
        <f>VLOOKUP(B478,Units!$A$2:$G$1646,5,FALSE)</f>
        <v/>
      </c>
      <c r="J478" s="3">
        <f>G478/I478</f>
        <v/>
      </c>
      <c r="K478" s="3">
        <f>G478*12</f>
        <v/>
      </c>
      <c r="L478" s="3" t="n">
        <v>5730</v>
      </c>
    </row>
    <row r="479">
      <c r="A479" t="inlineStr">
        <is>
          <t>TA-2024-00519</t>
        </is>
      </c>
      <c r="B479" t="inlineStr">
        <is>
          <t>U-RH408-01-01</t>
        </is>
      </c>
      <c r="C479" t="inlineStr">
        <is>
          <t>Ananda Kopitiam</t>
        </is>
      </c>
      <c r="D479" t="inlineStr">
        <is>
          <t>Coffeeshop</t>
        </is>
      </c>
      <c r="E479" s="2" t="n">
        <v>45505</v>
      </c>
      <c r="F479" s="2" t="n">
        <v>46599</v>
      </c>
      <c r="G479" s="3" t="n">
        <v>11690</v>
      </c>
      <c r="H479">
        <f>VLOOKUP(B479,Units!$A$2:$G$1646,2,FALSE)</f>
        <v/>
      </c>
      <c r="I479">
        <f>VLOOKUP(B479,Units!$A$2:$G$1646,5,FALSE)</f>
        <v/>
      </c>
      <c r="J479" s="3">
        <f>G479/I479</f>
        <v/>
      </c>
      <c r="K479" s="3">
        <f>G479*12</f>
        <v/>
      </c>
      <c r="L479" s="3" t="n">
        <v>35070</v>
      </c>
    </row>
    <row r="480">
      <c r="A480" t="inlineStr">
        <is>
          <t>TA-2024-00520</t>
        </is>
      </c>
      <c r="B480" t="inlineStr">
        <is>
          <t>U-RH420-01-04</t>
        </is>
      </c>
      <c r="C480" t="inlineStr">
        <is>
          <t>Peng Kee Cake House</t>
        </is>
      </c>
      <c r="D480" t="inlineStr">
        <is>
          <t>Bakery &amp; Confectionery</t>
        </is>
      </c>
      <c r="E480" s="2" t="n">
        <v>45505</v>
      </c>
      <c r="F480" s="2" t="n">
        <v>46599</v>
      </c>
      <c r="G480" s="3" t="n">
        <v>3390</v>
      </c>
      <c r="H480">
        <f>VLOOKUP(B480,Units!$A$2:$G$1646,2,FALSE)</f>
        <v/>
      </c>
      <c r="I480">
        <f>VLOOKUP(B480,Units!$A$2:$G$1646,5,FALSE)</f>
        <v/>
      </c>
      <c r="J480" s="3">
        <f>G480/I480</f>
        <v/>
      </c>
      <c r="K480" s="3">
        <f>G480*12</f>
        <v/>
      </c>
      <c r="L480" s="3" t="n">
        <v>10170</v>
      </c>
    </row>
    <row r="481">
      <c r="A481" t="inlineStr">
        <is>
          <t>TA-2024-00522</t>
        </is>
      </c>
      <c r="B481" t="inlineStr">
        <is>
          <t>U-RH438-01-07</t>
        </is>
      </c>
      <c r="C481" t="inlineStr">
        <is>
          <t>Hassan Mart Pte Ltd</t>
        </is>
      </c>
      <c r="D481" t="inlineStr">
        <is>
          <t>Minimart</t>
        </is>
      </c>
      <c r="E481" s="2" t="n">
        <v>45505</v>
      </c>
      <c r="F481" s="2" t="n">
        <v>46599</v>
      </c>
      <c r="G481" s="3" t="n">
        <v>2370</v>
      </c>
      <c r="H481">
        <f>VLOOKUP(B481,Units!$A$2:$G$1646,2,FALSE)</f>
        <v/>
      </c>
      <c r="I481">
        <f>VLOOKUP(B481,Units!$A$2:$G$1646,5,FALSE)</f>
        <v/>
      </c>
      <c r="J481" s="3">
        <f>G481/I481</f>
        <v/>
      </c>
      <c r="K481" s="3">
        <f>G481*12</f>
        <v/>
      </c>
      <c r="L481" s="3" t="n">
        <v>7110</v>
      </c>
    </row>
    <row r="482">
      <c r="A482" t="inlineStr">
        <is>
          <t>TA-2024-00523</t>
        </is>
      </c>
      <c r="B482" t="inlineStr">
        <is>
          <t>U-RH441-01-04</t>
        </is>
      </c>
      <c r="C482" t="inlineStr">
        <is>
          <t>Blue Pearl Eye Centre</t>
        </is>
      </c>
      <c r="D482" t="inlineStr">
        <is>
          <t>Optical</t>
        </is>
      </c>
      <c r="E482" s="2" t="n">
        <v>45505</v>
      </c>
      <c r="F482" s="2" t="n">
        <v>46599</v>
      </c>
      <c r="G482" s="3" t="n">
        <v>3150</v>
      </c>
      <c r="H482">
        <f>VLOOKUP(B482,Units!$A$2:$G$1646,2,FALSE)</f>
        <v/>
      </c>
      <c r="I482">
        <f>VLOOKUP(B482,Units!$A$2:$G$1646,5,FALSE)</f>
        <v/>
      </c>
      <c r="J482" s="3">
        <f>G482/I482</f>
        <v/>
      </c>
      <c r="K482" s="3">
        <f>G482*12</f>
        <v/>
      </c>
      <c r="L482" s="3" t="n">
        <v>9450</v>
      </c>
    </row>
    <row r="483">
      <c r="A483" t="inlineStr">
        <is>
          <t>TA-2024-00525</t>
        </is>
      </c>
      <c r="B483" t="inlineStr">
        <is>
          <t>U-RH464-01-08</t>
        </is>
      </c>
      <c r="C483" t="inlineStr">
        <is>
          <t>Barakah Fruits Pte Ltd</t>
        </is>
      </c>
      <c r="D483" t="inlineStr">
        <is>
          <t>Fruit Shop</t>
        </is>
      </c>
      <c r="E483" s="2" t="n">
        <v>45505</v>
      </c>
      <c r="F483" s="2" t="n">
        <v>46599</v>
      </c>
      <c r="G483" s="3" t="n">
        <v>900</v>
      </c>
      <c r="H483">
        <f>VLOOKUP(B483,Units!$A$2:$G$1646,2,FALSE)</f>
        <v/>
      </c>
      <c r="I483">
        <f>VLOOKUP(B483,Units!$A$2:$G$1646,5,FALSE)</f>
        <v/>
      </c>
      <c r="J483" s="3">
        <f>G483/I483</f>
        <v/>
      </c>
      <c r="K483" s="3">
        <f>G483*12</f>
        <v/>
      </c>
      <c r="L483" s="3" t="n">
        <v>2700</v>
      </c>
    </row>
    <row r="484">
      <c r="A484" t="inlineStr">
        <is>
          <t>TA-2024-00527</t>
        </is>
      </c>
      <c r="B484" t="inlineStr">
        <is>
          <t>U-RH476-01-04</t>
        </is>
      </c>
      <c r="C484" t="inlineStr">
        <is>
          <t>Hock Lee Kueh Corner Pte Ltd</t>
        </is>
      </c>
      <c r="D484" t="inlineStr">
        <is>
          <t>Snack Kiosk</t>
        </is>
      </c>
      <c r="E484" s="2" t="n">
        <v>45505</v>
      </c>
      <c r="F484" s="2" t="n">
        <v>46599</v>
      </c>
      <c r="G484" s="3" t="n">
        <v>900</v>
      </c>
      <c r="H484">
        <f>VLOOKUP(B484,Units!$A$2:$G$1646,2,FALSE)</f>
        <v/>
      </c>
      <c r="I484">
        <f>VLOOKUP(B484,Units!$A$2:$G$1646,5,FALSE)</f>
        <v/>
      </c>
      <c r="J484" s="3">
        <f>G484/I484</f>
        <v/>
      </c>
      <c r="K484" s="3">
        <f>G484*12</f>
        <v/>
      </c>
      <c r="L484" s="3" t="n">
        <v>2700</v>
      </c>
    </row>
    <row r="485">
      <c r="A485" t="inlineStr">
        <is>
          <t>TA-2024-00529</t>
        </is>
      </c>
      <c r="B485" t="inlineStr">
        <is>
          <t>U-RH482-02-06</t>
        </is>
      </c>
      <c r="C485" t="inlineStr">
        <is>
          <t>Lakshmi Kindergarten Pte Ltd</t>
        </is>
      </c>
      <c r="D485" t="inlineStr">
        <is>
          <t>Childcare Centre</t>
        </is>
      </c>
      <c r="E485" s="2" t="n">
        <v>45505</v>
      </c>
      <c r="F485" s="2" t="n">
        <v>46599</v>
      </c>
      <c r="G485" s="3" t="n">
        <v>3140</v>
      </c>
      <c r="H485">
        <f>VLOOKUP(B485,Units!$A$2:$G$1646,2,FALSE)</f>
        <v/>
      </c>
      <c r="I485">
        <f>VLOOKUP(B485,Units!$A$2:$G$1646,5,FALSE)</f>
        <v/>
      </c>
      <c r="J485" s="3">
        <f>G485/I485</f>
        <v/>
      </c>
      <c r="K485" s="3">
        <f>G485*12</f>
        <v/>
      </c>
      <c r="L485" s="3" t="n">
        <v>9420</v>
      </c>
    </row>
    <row r="486">
      <c r="A486" t="inlineStr">
        <is>
          <t>TA-2024-00531</t>
        </is>
      </c>
      <c r="B486" t="inlineStr">
        <is>
          <t>U-ST501-01-09</t>
        </is>
      </c>
      <c r="C486" t="inlineStr">
        <is>
          <t>Mutiara Learning Centre Pte Ltd</t>
        </is>
      </c>
      <c r="D486" t="inlineStr">
        <is>
          <t>Tuition Centre</t>
        </is>
      </c>
      <c r="E486" s="2" t="n">
        <v>45505</v>
      </c>
      <c r="F486" s="2" t="n">
        <v>46599</v>
      </c>
      <c r="G486" s="3" t="n">
        <v>4700</v>
      </c>
      <c r="H486">
        <f>VLOOKUP(B486,Units!$A$2:$G$1646,2,FALSE)</f>
        <v/>
      </c>
      <c r="I486">
        <f>VLOOKUP(B486,Units!$A$2:$G$1646,5,FALSE)</f>
        <v/>
      </c>
      <c r="J486" s="3">
        <f>G486/I486</f>
        <v/>
      </c>
      <c r="K486" s="3">
        <f>G486*12</f>
        <v/>
      </c>
      <c r="L486" s="3" t="n">
        <v>14100</v>
      </c>
    </row>
    <row r="487">
      <c r="A487" t="inlineStr">
        <is>
          <t>TA-2024-00532</t>
        </is>
      </c>
      <c r="B487" t="inlineStr">
        <is>
          <t>U-ST507-01-03</t>
        </is>
      </c>
      <c r="C487" t="inlineStr">
        <is>
          <t>Bright Path Mart</t>
        </is>
      </c>
      <c r="D487" t="inlineStr">
        <is>
          <t>Minimart</t>
        </is>
      </c>
      <c r="E487" s="2" t="n">
        <v>45505</v>
      </c>
      <c r="F487" s="2" t="n">
        <v>46599</v>
      </c>
      <c r="G487" s="3" t="n">
        <v>1640</v>
      </c>
      <c r="H487">
        <f>VLOOKUP(B487,Units!$A$2:$G$1646,2,FALSE)</f>
        <v/>
      </c>
      <c r="I487">
        <f>VLOOKUP(B487,Units!$A$2:$G$1646,5,FALSE)</f>
        <v/>
      </c>
      <c r="J487" s="3">
        <f>G487/I487</f>
        <v/>
      </c>
      <c r="K487" s="3">
        <f>G487*12</f>
        <v/>
      </c>
      <c r="L487" s="3" t="n">
        <v>4920</v>
      </c>
    </row>
    <row r="488">
      <c r="A488" t="inlineStr">
        <is>
          <t>TA-2024-00533</t>
        </is>
      </c>
      <c r="B488" t="inlineStr">
        <is>
          <t>U-ST536-01-07</t>
        </is>
      </c>
      <c r="C488" t="inlineStr">
        <is>
          <t>Bright Path Medical Clinic Pte Ltd</t>
        </is>
      </c>
      <c r="D488" t="inlineStr">
        <is>
          <t>GP Clinic</t>
        </is>
      </c>
      <c r="E488" s="2" t="n">
        <v>45505</v>
      </c>
      <c r="F488" s="2" t="n">
        <v>46599</v>
      </c>
      <c r="G488" s="3" t="n">
        <v>3920</v>
      </c>
      <c r="H488">
        <f>VLOOKUP(B488,Units!$A$2:$G$1646,2,FALSE)</f>
        <v/>
      </c>
      <c r="I488">
        <f>VLOOKUP(B488,Units!$A$2:$G$1646,5,FALSE)</f>
        <v/>
      </c>
      <c r="J488" s="3">
        <f>G488/I488</f>
        <v/>
      </c>
      <c r="K488" s="3">
        <f>G488*12</f>
        <v/>
      </c>
      <c r="L488" s="3" t="n">
        <v>11760</v>
      </c>
    </row>
    <row r="489">
      <c r="A489" t="inlineStr">
        <is>
          <t>TA-2024-00535</t>
        </is>
      </c>
      <c r="B489" t="inlineStr">
        <is>
          <t>U-ST538-01-06</t>
        </is>
      </c>
      <c r="C489" t="inlineStr">
        <is>
          <t>Fortune Beauty &amp; Hair Pte Ltd</t>
        </is>
      </c>
      <c r="D489" t="inlineStr">
        <is>
          <t>Hair Salon</t>
        </is>
      </c>
      <c r="E489" s="2" t="n">
        <v>45505</v>
      </c>
      <c r="F489" s="2" t="n">
        <v>46599</v>
      </c>
      <c r="G489" s="3" t="n">
        <v>3190</v>
      </c>
      <c r="H489">
        <f>VLOOKUP(B489,Units!$A$2:$G$1646,2,FALSE)</f>
        <v/>
      </c>
      <c r="I489">
        <f>VLOOKUP(B489,Units!$A$2:$G$1646,5,FALSE)</f>
        <v/>
      </c>
      <c r="J489" s="3">
        <f>G489/I489</f>
        <v/>
      </c>
      <c r="K489" s="3">
        <f>G489*12</f>
        <v/>
      </c>
      <c r="L489" s="3" t="n">
        <v>9570</v>
      </c>
    </row>
    <row r="490">
      <c r="A490" t="inlineStr">
        <is>
          <t>TA-2024-00537</t>
        </is>
      </c>
      <c r="B490" t="inlineStr">
        <is>
          <t>U-ST564-01-12</t>
        </is>
      </c>
      <c r="C490" t="inlineStr">
        <is>
          <t>Phoenix Clinic &amp; Surgery</t>
        </is>
      </c>
      <c r="D490" t="inlineStr">
        <is>
          <t>GP Clinic</t>
        </is>
      </c>
      <c r="E490" s="2" t="n">
        <v>45505</v>
      </c>
      <c r="F490" s="2" t="n">
        <v>46599</v>
      </c>
      <c r="G490" s="3" t="n">
        <v>3140</v>
      </c>
      <c r="H490">
        <f>VLOOKUP(B490,Units!$A$2:$G$1646,2,FALSE)</f>
        <v/>
      </c>
      <c r="I490">
        <f>VLOOKUP(B490,Units!$A$2:$G$1646,5,FALSE)</f>
        <v/>
      </c>
      <c r="J490" s="3">
        <f>G490/I490</f>
        <v/>
      </c>
      <c r="K490" s="3">
        <f>G490*12</f>
        <v/>
      </c>
      <c r="L490" s="3" t="n">
        <v>9420</v>
      </c>
    </row>
    <row r="491">
      <c r="A491" t="inlineStr">
        <is>
          <t>TA-2024-00539</t>
        </is>
      </c>
      <c r="B491" t="inlineStr">
        <is>
          <t>U-ST583-02-01</t>
        </is>
      </c>
      <c r="C491" t="inlineStr">
        <is>
          <t>Prima Medical Hall Pte Ltd</t>
        </is>
      </c>
      <c r="D491" t="inlineStr">
        <is>
          <t>TCM Clinic</t>
        </is>
      </c>
      <c r="E491" s="2" t="n">
        <v>45505</v>
      </c>
      <c r="F491" s="2" t="n">
        <v>46599</v>
      </c>
      <c r="G491" s="3" t="n">
        <v>1770</v>
      </c>
      <c r="H491">
        <f>VLOOKUP(B491,Units!$A$2:$G$1646,2,FALSE)</f>
        <v/>
      </c>
      <c r="I491">
        <f>VLOOKUP(B491,Units!$A$2:$G$1646,5,FALSE)</f>
        <v/>
      </c>
      <c r="J491" s="3">
        <f>G491/I491</f>
        <v/>
      </c>
      <c r="K491" s="3">
        <f>G491*12</f>
        <v/>
      </c>
      <c r="L491" s="3" t="n">
        <v>5310</v>
      </c>
    </row>
    <row r="492">
      <c r="A492" t="inlineStr">
        <is>
          <t>TA-2024-00540</t>
        </is>
      </c>
      <c r="B492" t="inlineStr">
        <is>
          <t>U-BV214-01-17</t>
        </is>
      </c>
      <c r="C492" t="inlineStr">
        <is>
          <t>Joo Chiat Dry Cleaners Pte Ltd</t>
        </is>
      </c>
      <c r="D492" t="inlineStr">
        <is>
          <t>Laundry</t>
        </is>
      </c>
      <c r="E492" s="2" t="n">
        <v>45536</v>
      </c>
      <c r="F492" s="2" t="n">
        <v>46630</v>
      </c>
      <c r="G492" s="3" t="n">
        <v>5380</v>
      </c>
      <c r="H492">
        <f>VLOOKUP(B492,Units!$A$2:$G$1646,2,FALSE)</f>
        <v/>
      </c>
      <c r="I492">
        <f>VLOOKUP(B492,Units!$A$2:$G$1646,5,FALSE)</f>
        <v/>
      </c>
      <c r="J492" s="3">
        <f>G492/I492</f>
        <v/>
      </c>
      <c r="K492" s="3">
        <f>G492*12</f>
        <v/>
      </c>
      <c r="L492" s="3" t="n">
        <v>16140</v>
      </c>
    </row>
    <row r="493">
      <c r="A493" t="inlineStr">
        <is>
          <t>TA-2024-00542</t>
        </is>
      </c>
      <c r="B493" t="inlineStr">
        <is>
          <t>U-BV214-01-32</t>
        </is>
      </c>
      <c r="C493" t="inlineStr">
        <is>
          <t>Golden Leaf Minimart Pte Ltd</t>
        </is>
      </c>
      <c r="D493" t="inlineStr">
        <is>
          <t>Minimart</t>
        </is>
      </c>
      <c r="E493" s="2" t="n">
        <v>45536</v>
      </c>
      <c r="F493" s="2" t="n">
        <v>46630</v>
      </c>
      <c r="G493" s="3" t="n">
        <v>5200</v>
      </c>
      <c r="H493">
        <f>VLOOKUP(B493,Units!$A$2:$G$1646,2,FALSE)</f>
        <v/>
      </c>
      <c r="I493">
        <f>VLOOKUP(B493,Units!$A$2:$G$1646,5,FALSE)</f>
        <v/>
      </c>
      <c r="J493" s="3">
        <f>G493/I493</f>
        <v/>
      </c>
      <c r="K493" s="3">
        <f>G493*12</f>
        <v/>
      </c>
      <c r="L493" s="3" t="n">
        <v>15600</v>
      </c>
    </row>
    <row r="494">
      <c r="A494" t="inlineStr">
        <is>
          <t>TA-2024-00544</t>
        </is>
      </c>
      <c r="B494" t="inlineStr">
        <is>
          <t>U-BV256-01-02</t>
        </is>
      </c>
      <c r="C494" t="inlineStr">
        <is>
          <t>Bayu Fruit Trading</t>
        </is>
      </c>
      <c r="D494" t="inlineStr">
        <is>
          <t>Fruit Shop</t>
        </is>
      </c>
      <c r="E494" s="2" t="n">
        <v>45536</v>
      </c>
      <c r="F494" s="2" t="n">
        <v>46630</v>
      </c>
      <c r="G494" s="3" t="n">
        <v>5770</v>
      </c>
      <c r="H494">
        <f>VLOOKUP(B494,Units!$A$2:$G$1646,2,FALSE)</f>
        <v/>
      </c>
      <c r="I494">
        <f>VLOOKUP(B494,Units!$A$2:$G$1646,5,FALSE)</f>
        <v/>
      </c>
      <c r="J494" s="3">
        <f>G494/I494</f>
        <v/>
      </c>
      <c r="K494" s="3">
        <f>G494*12</f>
        <v/>
      </c>
      <c r="L494" s="3" t="n">
        <v>17310</v>
      </c>
    </row>
    <row r="495">
      <c r="A495" t="inlineStr">
        <is>
          <t>TA-2024-00546</t>
        </is>
      </c>
      <c r="B495" t="inlineStr">
        <is>
          <t>U-BV256-01-12</t>
        </is>
      </c>
      <c r="C495" t="inlineStr">
        <is>
          <t>Tan Brothers Trading</t>
        </is>
      </c>
      <c r="D495" t="inlineStr">
        <is>
          <t>Provision Shop</t>
        </is>
      </c>
      <c r="E495" s="2" t="n">
        <v>45536</v>
      </c>
      <c r="F495" s="2" t="n">
        <v>46630</v>
      </c>
      <c r="G495" s="3" t="n">
        <v>6360</v>
      </c>
      <c r="H495">
        <f>VLOOKUP(B495,Units!$A$2:$G$1646,2,FALSE)</f>
        <v/>
      </c>
      <c r="I495">
        <f>VLOOKUP(B495,Units!$A$2:$G$1646,5,FALSE)</f>
        <v/>
      </c>
      <c r="J495" s="3">
        <f>G495/I495</f>
        <v/>
      </c>
      <c r="K495" s="3">
        <f>G495*12</f>
        <v/>
      </c>
      <c r="L495" s="3" t="n">
        <v>19080</v>
      </c>
    </row>
    <row r="496">
      <c r="A496" t="inlineStr">
        <is>
          <t>TA-2024-00547</t>
        </is>
      </c>
      <c r="B496" t="inlineStr">
        <is>
          <t>U-BV266-01-01</t>
        </is>
      </c>
      <c r="C496" t="inlineStr">
        <is>
          <t>Wong's Mart</t>
        </is>
      </c>
      <c r="D496" t="inlineStr">
        <is>
          <t>Minimart</t>
        </is>
      </c>
      <c r="E496" s="2" t="n">
        <v>45536</v>
      </c>
      <c r="F496" s="2" t="n">
        <v>46630</v>
      </c>
      <c r="G496" s="3" t="n">
        <v>5430</v>
      </c>
      <c r="H496">
        <f>VLOOKUP(B496,Units!$A$2:$G$1646,2,FALSE)</f>
        <v/>
      </c>
      <c r="I496">
        <f>VLOOKUP(B496,Units!$A$2:$G$1646,5,FALSE)</f>
        <v/>
      </c>
      <c r="J496" s="3">
        <f>G496/I496</f>
        <v/>
      </c>
      <c r="K496" s="3">
        <f>G496*12</f>
        <v/>
      </c>
      <c r="L496" s="3" t="n">
        <v>16290</v>
      </c>
    </row>
    <row r="497">
      <c r="A497" t="inlineStr">
        <is>
          <t>TA-2024-00548</t>
        </is>
      </c>
      <c r="B497" t="inlineStr">
        <is>
          <t>U-BV271-01-04</t>
        </is>
      </c>
      <c r="C497" t="inlineStr">
        <is>
          <t>Suria Boba Bar</t>
        </is>
      </c>
      <c r="D497" t="inlineStr">
        <is>
          <t>Bubble Tea</t>
        </is>
      </c>
      <c r="E497" s="2" t="n">
        <v>45536</v>
      </c>
      <c r="F497" s="2" t="n">
        <v>46630</v>
      </c>
      <c r="G497" s="3" t="n">
        <v>1050</v>
      </c>
      <c r="H497">
        <f>VLOOKUP(B497,Units!$A$2:$G$1646,2,FALSE)</f>
        <v/>
      </c>
      <c r="I497">
        <f>VLOOKUP(B497,Units!$A$2:$G$1646,5,FALSE)</f>
        <v/>
      </c>
      <c r="J497" s="3">
        <f>G497/I497</f>
        <v/>
      </c>
      <c r="K497" s="3">
        <f>G497*12</f>
        <v/>
      </c>
      <c r="L497" s="3" t="n">
        <v>3150</v>
      </c>
    </row>
    <row r="498">
      <c r="A498" t="inlineStr">
        <is>
          <t>TA-2024-00549</t>
        </is>
      </c>
      <c r="B498" t="inlineStr">
        <is>
          <t>U-BV290-01-10</t>
        </is>
      </c>
      <c r="C498" t="inlineStr">
        <is>
          <t>Lim's Medical Hall</t>
        </is>
      </c>
      <c r="D498" t="inlineStr">
        <is>
          <t>TCM Clinic</t>
        </is>
      </c>
      <c r="E498" s="2" t="n">
        <v>45536</v>
      </c>
      <c r="F498" s="2" t="n">
        <v>46630</v>
      </c>
      <c r="G498" s="3" t="n">
        <v>2640</v>
      </c>
      <c r="H498">
        <f>VLOOKUP(B498,Units!$A$2:$G$1646,2,FALSE)</f>
        <v/>
      </c>
      <c r="I498">
        <f>VLOOKUP(B498,Units!$A$2:$G$1646,5,FALSE)</f>
        <v/>
      </c>
      <c r="J498" s="3">
        <f>G498/I498</f>
        <v/>
      </c>
      <c r="K498" s="3">
        <f>G498*12</f>
        <v/>
      </c>
      <c r="L498" s="3" t="n">
        <v>7920</v>
      </c>
    </row>
    <row r="499">
      <c r="A499" t="inlineStr">
        <is>
          <t>TA-2024-00550</t>
        </is>
      </c>
      <c r="B499" t="inlineStr">
        <is>
          <t>U-BV290-01-11</t>
        </is>
      </c>
      <c r="C499" t="inlineStr">
        <is>
          <t>Bayu Store Pte Ltd</t>
        </is>
      </c>
      <c r="D499" t="inlineStr">
        <is>
          <t>Provision Shop</t>
        </is>
      </c>
      <c r="E499" s="2" t="n">
        <v>45536</v>
      </c>
      <c r="F499" s="2" t="n">
        <v>46630</v>
      </c>
      <c r="G499" s="3" t="n">
        <v>4120</v>
      </c>
      <c r="H499">
        <f>VLOOKUP(B499,Units!$A$2:$G$1646,2,FALSE)</f>
        <v/>
      </c>
      <c r="I499">
        <f>VLOOKUP(B499,Units!$A$2:$G$1646,5,FALSE)</f>
        <v/>
      </c>
      <c r="J499" s="3">
        <f>G499/I499</f>
        <v/>
      </c>
      <c r="K499" s="3">
        <f>G499*12</f>
        <v/>
      </c>
      <c r="L499" s="3" t="n">
        <v>12360</v>
      </c>
    </row>
    <row r="500">
      <c r="A500" t="inlineStr">
        <is>
          <t>TA-2024-00551</t>
        </is>
      </c>
      <c r="B500" t="inlineStr">
        <is>
          <t>U-BV296-01-04</t>
        </is>
      </c>
      <c r="C500" t="inlineStr">
        <is>
          <t>Sin Hock Minimart</t>
        </is>
      </c>
      <c r="D500" t="inlineStr">
        <is>
          <t>Minimart</t>
        </is>
      </c>
      <c r="E500" s="2" t="n">
        <v>45536</v>
      </c>
      <c r="F500" s="2" t="n">
        <v>46630</v>
      </c>
      <c r="G500" s="3" t="n">
        <v>2950</v>
      </c>
      <c r="H500">
        <f>VLOOKUP(B500,Units!$A$2:$G$1646,2,FALSE)</f>
        <v/>
      </c>
      <c r="I500">
        <f>VLOOKUP(B500,Units!$A$2:$G$1646,5,FALSE)</f>
        <v/>
      </c>
      <c r="J500" s="3">
        <f>G500/I500</f>
        <v/>
      </c>
      <c r="K500" s="3">
        <f>G500*12</f>
        <v/>
      </c>
      <c r="L500" s="3" t="n">
        <v>8850</v>
      </c>
    </row>
    <row r="501">
      <c r="A501" t="inlineStr">
        <is>
          <t>TA-2024-00552</t>
        </is>
      </c>
      <c r="B501" t="inlineStr">
        <is>
          <t>U-CD108-01-08</t>
        </is>
      </c>
      <c r="C501" t="inlineStr">
        <is>
          <t>Golden Leaf Supermarket</t>
        </is>
      </c>
      <c r="D501" t="inlineStr">
        <is>
          <t>Minimart</t>
        </is>
      </c>
      <c r="E501" s="2" t="n">
        <v>45536</v>
      </c>
      <c r="F501" s="2" t="n">
        <v>46630</v>
      </c>
      <c r="G501" s="3" t="n">
        <v>2930</v>
      </c>
      <c r="H501">
        <f>VLOOKUP(B501,Units!$A$2:$G$1646,2,FALSE)</f>
        <v/>
      </c>
      <c r="I501">
        <f>VLOOKUP(B501,Units!$A$2:$G$1646,5,FALSE)</f>
        <v/>
      </c>
      <c r="J501" s="3">
        <f>G501/I501</f>
        <v/>
      </c>
      <c r="K501" s="3">
        <f>G501*12</f>
        <v/>
      </c>
      <c r="L501" s="3" t="n">
        <v>8790</v>
      </c>
    </row>
    <row r="502">
      <c r="A502" t="inlineStr">
        <is>
          <t>TA-2024-00553</t>
        </is>
      </c>
      <c r="B502" t="inlineStr">
        <is>
          <t>U-CD109-01-03</t>
        </is>
      </c>
      <c r="C502" t="inlineStr">
        <is>
          <t>Tian Fu Medical Supplies Pte Ltd</t>
        </is>
      </c>
      <c r="D502" t="inlineStr">
        <is>
          <t>Pharmacy</t>
        </is>
      </c>
      <c r="E502" s="2" t="n">
        <v>45536</v>
      </c>
      <c r="F502" s="2" t="n">
        <v>46630</v>
      </c>
      <c r="G502" s="3" t="n">
        <v>4500</v>
      </c>
      <c r="H502">
        <f>VLOOKUP(B502,Units!$A$2:$G$1646,2,FALSE)</f>
        <v/>
      </c>
      <c r="I502">
        <f>VLOOKUP(B502,Units!$A$2:$G$1646,5,FALSE)</f>
        <v/>
      </c>
      <c r="J502" s="3">
        <f>G502/I502</f>
        <v/>
      </c>
      <c r="K502" s="3">
        <f>G502*12</f>
        <v/>
      </c>
      <c r="L502" s="3" t="n">
        <v>13500</v>
      </c>
    </row>
    <row r="503">
      <c r="A503" t="inlineStr">
        <is>
          <t>TA-2024-00554</t>
        </is>
      </c>
      <c r="B503" t="inlineStr">
        <is>
          <t>U-CD131-01-05</t>
        </is>
      </c>
      <c r="C503" t="inlineStr">
        <is>
          <t>Bayu Education Hub Pte Ltd</t>
        </is>
      </c>
      <c r="D503" t="inlineStr">
        <is>
          <t>Tuition Centre</t>
        </is>
      </c>
      <c r="E503" s="2" t="n">
        <v>45536</v>
      </c>
      <c r="F503" s="2" t="n">
        <v>46630</v>
      </c>
      <c r="G503" s="3" t="n">
        <v>5550</v>
      </c>
      <c r="H503">
        <f>VLOOKUP(B503,Units!$A$2:$G$1646,2,FALSE)</f>
        <v/>
      </c>
      <c r="I503">
        <f>VLOOKUP(B503,Units!$A$2:$G$1646,5,FALSE)</f>
        <v/>
      </c>
      <c r="J503" s="3">
        <f>G503/I503</f>
        <v/>
      </c>
      <c r="K503" s="3">
        <f>G503*12</f>
        <v/>
      </c>
      <c r="L503" s="3" t="n">
        <v>16650</v>
      </c>
    </row>
    <row r="504">
      <c r="A504" t="inlineStr">
        <is>
          <t>TA-2024-00556</t>
        </is>
      </c>
      <c r="B504" t="inlineStr">
        <is>
          <t>U-CD136-01-06</t>
        </is>
      </c>
      <c r="C504" t="inlineStr">
        <is>
          <t>Everbright Laundry</t>
        </is>
      </c>
      <c r="D504" t="inlineStr">
        <is>
          <t>Laundry</t>
        </is>
      </c>
      <c r="E504" s="2" t="n">
        <v>45536</v>
      </c>
      <c r="F504" s="2" t="n">
        <v>46630</v>
      </c>
      <c r="G504" s="3" t="n">
        <v>5580</v>
      </c>
      <c r="H504">
        <f>VLOOKUP(B504,Units!$A$2:$G$1646,2,FALSE)</f>
        <v/>
      </c>
      <c r="I504">
        <f>VLOOKUP(B504,Units!$A$2:$G$1646,5,FALSE)</f>
        <v/>
      </c>
      <c r="J504" s="3">
        <f>G504/I504</f>
        <v/>
      </c>
      <c r="K504" s="3">
        <f>G504*12</f>
        <v/>
      </c>
      <c r="L504" s="3" t="n">
        <v>16740</v>
      </c>
    </row>
    <row r="505">
      <c r="A505" t="inlineStr">
        <is>
          <t>TA-2024-00558</t>
        </is>
      </c>
      <c r="B505" t="inlineStr">
        <is>
          <t>U-CD160-01-03</t>
        </is>
      </c>
      <c r="C505" t="inlineStr">
        <is>
          <t>Silver Moon Kitchen Pte Ltd</t>
        </is>
      </c>
      <c r="D505" t="inlineStr">
        <is>
          <t>Restaurant</t>
        </is>
      </c>
      <c r="E505" s="2" t="n">
        <v>45536</v>
      </c>
      <c r="F505" s="2" t="n">
        <v>46630</v>
      </c>
      <c r="G505" s="3" t="n">
        <v>4150</v>
      </c>
      <c r="H505">
        <f>VLOOKUP(B505,Units!$A$2:$G$1646,2,FALSE)</f>
        <v/>
      </c>
      <c r="I505">
        <f>VLOOKUP(B505,Units!$A$2:$G$1646,5,FALSE)</f>
        <v/>
      </c>
      <c r="J505" s="3">
        <f>G505/I505</f>
        <v/>
      </c>
      <c r="K505" s="3">
        <f>G505*12</f>
        <v/>
      </c>
      <c r="L505" s="3" t="n">
        <v>12450</v>
      </c>
    </row>
    <row r="506">
      <c r="A506" t="inlineStr">
        <is>
          <t>TA-2024-00559</t>
        </is>
      </c>
      <c r="B506" t="inlineStr">
        <is>
          <t>U-CD189-01-06</t>
        </is>
      </c>
      <c r="C506" t="inlineStr">
        <is>
          <t>Nanyang Medical Clinic</t>
        </is>
      </c>
      <c r="D506" t="inlineStr">
        <is>
          <t>GP Clinic</t>
        </is>
      </c>
      <c r="E506" s="2" t="n">
        <v>45536</v>
      </c>
      <c r="F506" s="2" t="n">
        <v>46630</v>
      </c>
      <c r="G506" s="3" t="n">
        <v>2630</v>
      </c>
      <c r="H506">
        <f>VLOOKUP(B506,Units!$A$2:$G$1646,2,FALSE)</f>
        <v/>
      </c>
      <c r="I506">
        <f>VLOOKUP(B506,Units!$A$2:$G$1646,5,FALSE)</f>
        <v/>
      </c>
      <c r="J506" s="3">
        <f>G506/I506</f>
        <v/>
      </c>
      <c r="K506" s="3">
        <f>G506*12</f>
        <v/>
      </c>
      <c r="L506" s="3" t="n">
        <v>7890</v>
      </c>
    </row>
    <row r="507">
      <c r="A507" t="inlineStr">
        <is>
          <t>TA-2024-00561</t>
        </is>
      </c>
      <c r="B507" t="inlineStr">
        <is>
          <t>U-CD189-01-10</t>
        </is>
      </c>
      <c r="C507" t="inlineStr">
        <is>
          <t>Sin Hock Eye Centre Pte Ltd</t>
        </is>
      </c>
      <c r="D507" t="inlineStr">
        <is>
          <t>Optical</t>
        </is>
      </c>
      <c r="E507" s="2" t="n">
        <v>45536</v>
      </c>
      <c r="F507" s="2" t="n">
        <v>46630</v>
      </c>
      <c r="G507" s="3" t="n">
        <v>3870</v>
      </c>
      <c r="H507">
        <f>VLOOKUP(B507,Units!$A$2:$G$1646,2,FALSE)</f>
        <v/>
      </c>
      <c r="I507">
        <f>VLOOKUP(B507,Units!$A$2:$G$1646,5,FALSE)</f>
        <v/>
      </c>
      <c r="J507" s="3">
        <f>G507/I507</f>
        <v/>
      </c>
      <c r="K507" s="3">
        <f>G507*12</f>
        <v/>
      </c>
      <c r="L507" s="3" t="n">
        <v>11610</v>
      </c>
    </row>
    <row r="508">
      <c r="A508" t="inlineStr">
        <is>
          <t>TA-2024-00563</t>
        </is>
      </c>
      <c r="B508" t="inlineStr">
        <is>
          <t>U-KR345-01-04</t>
        </is>
      </c>
      <c r="C508" t="inlineStr">
        <is>
          <t>Soon Hin Telecom Pte Ltd</t>
        </is>
      </c>
      <c r="D508" t="inlineStr">
        <is>
          <t>Mobile Phone &amp; Accessories</t>
        </is>
      </c>
      <c r="E508" s="2" t="n">
        <v>45536</v>
      </c>
      <c r="F508" s="2" t="n">
        <v>46630</v>
      </c>
      <c r="G508" s="3" t="n">
        <v>3720</v>
      </c>
      <c r="H508">
        <f>VLOOKUP(B508,Units!$A$2:$G$1646,2,FALSE)</f>
        <v/>
      </c>
      <c r="I508">
        <f>VLOOKUP(B508,Units!$A$2:$G$1646,5,FALSE)</f>
        <v/>
      </c>
      <c r="J508" s="3">
        <f>G508/I508</f>
        <v/>
      </c>
      <c r="K508" s="3">
        <f>G508*12</f>
        <v/>
      </c>
      <c r="L508" s="3" t="n">
        <v>11160</v>
      </c>
    </row>
    <row r="509">
      <c r="A509" t="inlineStr">
        <is>
          <t>TA-2024-00564</t>
        </is>
      </c>
      <c r="B509" t="inlineStr">
        <is>
          <t>U-KR345-01-07</t>
        </is>
      </c>
      <c r="C509" t="inlineStr">
        <is>
          <t>Ananda Mobile</t>
        </is>
      </c>
      <c r="D509" t="inlineStr">
        <is>
          <t>Mobile Phone &amp; Accessories</t>
        </is>
      </c>
      <c r="E509" s="2" t="n">
        <v>45536</v>
      </c>
      <c r="F509" s="2" t="n">
        <v>46630</v>
      </c>
      <c r="G509" s="3" t="n">
        <v>2360</v>
      </c>
      <c r="H509">
        <f>VLOOKUP(B509,Units!$A$2:$G$1646,2,FALSE)</f>
        <v/>
      </c>
      <c r="I509">
        <f>VLOOKUP(B509,Units!$A$2:$G$1646,5,FALSE)</f>
        <v/>
      </c>
      <c r="J509" s="3">
        <f>G509/I509</f>
        <v/>
      </c>
      <c r="K509" s="3">
        <f>G509*12</f>
        <v/>
      </c>
      <c r="L509" s="3" t="n">
        <v>7080</v>
      </c>
    </row>
    <row r="510">
      <c r="A510" t="inlineStr">
        <is>
          <t>TA-2024-00566</t>
        </is>
      </c>
      <c r="B510" t="inlineStr">
        <is>
          <t>U-KR359-01-10</t>
        </is>
      </c>
      <c r="C510" t="inlineStr">
        <is>
          <t>Ever Joy Minimart</t>
        </is>
      </c>
      <c r="D510" t="inlineStr">
        <is>
          <t>Minimart</t>
        </is>
      </c>
      <c r="E510" s="2" t="n">
        <v>45536</v>
      </c>
      <c r="F510" s="2" t="n">
        <v>46630</v>
      </c>
      <c r="G510" s="3" t="n">
        <v>2780</v>
      </c>
      <c r="H510">
        <f>VLOOKUP(B510,Units!$A$2:$G$1646,2,FALSE)</f>
        <v/>
      </c>
      <c r="I510">
        <f>VLOOKUP(B510,Units!$A$2:$G$1646,5,FALSE)</f>
        <v/>
      </c>
      <c r="J510" s="3">
        <f>G510/I510</f>
        <v/>
      </c>
      <c r="K510" s="3">
        <f>G510*12</f>
        <v/>
      </c>
      <c r="L510" s="3" t="n">
        <v>8340</v>
      </c>
    </row>
    <row r="511">
      <c r="A511" t="inlineStr">
        <is>
          <t>TA-2024-00567</t>
        </is>
      </c>
      <c r="B511" t="inlineStr">
        <is>
          <t>U-KR371-01-02</t>
        </is>
      </c>
      <c r="C511" t="inlineStr">
        <is>
          <t>Daily Fresh Learning Centre</t>
        </is>
      </c>
      <c r="D511" t="inlineStr">
        <is>
          <t>Tuition Centre</t>
        </is>
      </c>
      <c r="E511" s="2" t="n">
        <v>45536</v>
      </c>
      <c r="F511" s="2" t="n">
        <v>46630</v>
      </c>
      <c r="G511" s="3" t="n">
        <v>2240</v>
      </c>
      <c r="H511">
        <f>VLOOKUP(B511,Units!$A$2:$G$1646,2,FALSE)</f>
        <v/>
      </c>
      <c r="I511">
        <f>VLOOKUP(B511,Units!$A$2:$G$1646,5,FALSE)</f>
        <v/>
      </c>
      <c r="J511" s="3">
        <f>G511/I511</f>
        <v/>
      </c>
      <c r="K511" s="3">
        <f>G511*12</f>
        <v/>
      </c>
      <c r="L511" s="3" t="n">
        <v>6720</v>
      </c>
    </row>
    <row r="512">
      <c r="A512" t="inlineStr">
        <is>
          <t>TA-2024-00568</t>
        </is>
      </c>
      <c r="B512" t="inlineStr">
        <is>
          <t>U-KR372-01-05</t>
        </is>
      </c>
      <c r="C512" t="inlineStr">
        <is>
          <t>Teck Guan Medical Hall</t>
        </is>
      </c>
      <c r="D512" t="inlineStr">
        <is>
          <t>TCM Clinic</t>
        </is>
      </c>
      <c r="E512" s="2" t="n">
        <v>45536</v>
      </c>
      <c r="F512" s="2" t="n">
        <v>46630</v>
      </c>
      <c r="G512" s="3" t="n">
        <v>4690</v>
      </c>
      <c r="H512">
        <f>VLOOKUP(B512,Units!$A$2:$G$1646,2,FALSE)</f>
        <v/>
      </c>
      <c r="I512">
        <f>VLOOKUP(B512,Units!$A$2:$G$1646,5,FALSE)</f>
        <v/>
      </c>
      <c r="J512" s="3">
        <f>G512/I512</f>
        <v/>
      </c>
      <c r="K512" s="3">
        <f>G512*12</f>
        <v/>
      </c>
      <c r="L512" s="3" t="n">
        <v>14070</v>
      </c>
    </row>
    <row r="513">
      <c r="A513" t="inlineStr">
        <is>
          <t>TA-2024-00569</t>
        </is>
      </c>
      <c r="B513" t="inlineStr">
        <is>
          <t>U-PI609-01-07</t>
        </is>
      </c>
      <c r="C513" t="inlineStr">
        <is>
          <t>Mutiara Flowers &amp; Gifts</t>
        </is>
      </c>
      <c r="D513" t="inlineStr">
        <is>
          <t>Florist</t>
        </is>
      </c>
      <c r="E513" s="2" t="n">
        <v>45536</v>
      </c>
      <c r="F513" s="2" t="n">
        <v>46630</v>
      </c>
      <c r="G513" s="3" t="n">
        <v>3980</v>
      </c>
      <c r="H513">
        <f>VLOOKUP(B513,Units!$A$2:$G$1646,2,FALSE)</f>
        <v/>
      </c>
      <c r="I513">
        <f>VLOOKUP(B513,Units!$A$2:$G$1646,5,FALSE)</f>
        <v/>
      </c>
      <c r="J513" s="3">
        <f>G513/I513</f>
        <v/>
      </c>
      <c r="K513" s="3">
        <f>G513*12</f>
        <v/>
      </c>
      <c r="L513" s="3" t="n">
        <v>11940</v>
      </c>
    </row>
    <row r="514">
      <c r="A514" t="inlineStr">
        <is>
          <t>TA-2024-00570</t>
        </is>
      </c>
      <c r="B514" t="inlineStr">
        <is>
          <t>U-PI615-01-12</t>
        </is>
      </c>
      <c r="C514" t="inlineStr">
        <is>
          <t>Hassan Mart</t>
        </is>
      </c>
      <c r="D514" t="inlineStr">
        <is>
          <t>Minimart</t>
        </is>
      </c>
      <c r="E514" s="2" t="n">
        <v>45536</v>
      </c>
      <c r="F514" s="2" t="n">
        <v>46630</v>
      </c>
      <c r="G514" s="3" t="n">
        <v>4360</v>
      </c>
      <c r="H514">
        <f>VLOOKUP(B514,Units!$A$2:$G$1646,2,FALSE)</f>
        <v/>
      </c>
      <c r="I514">
        <f>VLOOKUP(B514,Units!$A$2:$G$1646,5,FALSE)</f>
        <v/>
      </c>
      <c r="J514" s="3">
        <f>G514/I514</f>
        <v/>
      </c>
      <c r="K514" s="3">
        <f>G514*12</f>
        <v/>
      </c>
      <c r="L514" s="3" t="n">
        <v>13080</v>
      </c>
    </row>
    <row r="515">
      <c r="A515" t="inlineStr">
        <is>
          <t>TA-2024-00572</t>
        </is>
      </c>
      <c r="B515" t="inlineStr">
        <is>
          <t>U-PI634-01-01</t>
        </is>
      </c>
      <c r="C515" t="inlineStr">
        <is>
          <t>Nur Minimart</t>
        </is>
      </c>
      <c r="D515" t="inlineStr">
        <is>
          <t>Minimart</t>
        </is>
      </c>
      <c r="E515" s="2" t="n">
        <v>45536</v>
      </c>
      <c r="F515" s="2" t="n">
        <v>46630</v>
      </c>
      <c r="G515" s="3" t="n">
        <v>4190</v>
      </c>
      <c r="H515">
        <f>VLOOKUP(B515,Units!$A$2:$G$1646,2,FALSE)</f>
        <v/>
      </c>
      <c r="I515">
        <f>VLOOKUP(B515,Units!$A$2:$G$1646,5,FALSE)</f>
        <v/>
      </c>
      <c r="J515" s="3">
        <f>G515/I515</f>
        <v/>
      </c>
      <c r="K515" s="3">
        <f>G515*12</f>
        <v/>
      </c>
      <c r="L515" s="3" t="n">
        <v>12570</v>
      </c>
    </row>
    <row r="516">
      <c r="A516" t="inlineStr">
        <is>
          <t>TA-2024-00574</t>
        </is>
      </c>
      <c r="B516" t="inlineStr">
        <is>
          <t>U-PI634-01-10</t>
        </is>
      </c>
      <c r="C516" t="inlineStr">
        <is>
          <t>Gold Coin Fruit Trading Pte Ltd</t>
        </is>
      </c>
      <c r="D516" t="inlineStr">
        <is>
          <t>Fruit Shop</t>
        </is>
      </c>
      <c r="E516" s="2" t="n">
        <v>45536</v>
      </c>
      <c r="F516" s="2" t="n">
        <v>46630</v>
      </c>
      <c r="G516" s="3" t="n">
        <v>3970</v>
      </c>
      <c r="H516">
        <f>VLOOKUP(B516,Units!$A$2:$G$1646,2,FALSE)</f>
        <v/>
      </c>
      <c r="I516">
        <f>VLOOKUP(B516,Units!$A$2:$G$1646,5,FALSE)</f>
        <v/>
      </c>
      <c r="J516" s="3">
        <f>G516/I516</f>
        <v/>
      </c>
      <c r="K516" s="3">
        <f>G516*12</f>
        <v/>
      </c>
      <c r="L516" s="3" t="n">
        <v>11910</v>
      </c>
    </row>
    <row r="517">
      <c r="A517" t="inlineStr">
        <is>
          <t>TA-2024-00575</t>
        </is>
      </c>
      <c r="B517" t="inlineStr">
        <is>
          <t>U-PI634-01-13</t>
        </is>
      </c>
      <c r="C517" t="inlineStr">
        <is>
          <t>Sunflower Laundry</t>
        </is>
      </c>
      <c r="D517" t="inlineStr">
        <is>
          <t>Laundry</t>
        </is>
      </c>
      <c r="E517" s="2" t="n">
        <v>45536</v>
      </c>
      <c r="F517" s="2" t="n">
        <v>46630</v>
      </c>
      <c r="G517" s="3" t="n">
        <v>3510</v>
      </c>
      <c r="H517">
        <f>VLOOKUP(B517,Units!$A$2:$G$1646,2,FALSE)</f>
        <v/>
      </c>
      <c r="I517">
        <f>VLOOKUP(B517,Units!$A$2:$G$1646,5,FALSE)</f>
        <v/>
      </c>
      <c r="J517" s="3">
        <f>G517/I517</f>
        <v/>
      </c>
      <c r="K517" s="3">
        <f>G517*12</f>
        <v/>
      </c>
      <c r="L517" s="3" t="n">
        <v>10530</v>
      </c>
    </row>
    <row r="518">
      <c r="A518" t="inlineStr">
        <is>
          <t>TA-2024-00577</t>
        </is>
      </c>
      <c r="B518" t="inlineStr">
        <is>
          <t>U-PI648-01-06</t>
        </is>
      </c>
      <c r="C518" t="inlineStr">
        <is>
          <t>Hup Seng Education Hub</t>
        </is>
      </c>
      <c r="D518" t="inlineStr">
        <is>
          <t>Tuition Centre</t>
        </is>
      </c>
      <c r="E518" s="2" t="n">
        <v>45536</v>
      </c>
      <c r="F518" s="2" t="n">
        <v>46630</v>
      </c>
      <c r="G518" s="3" t="n">
        <v>2490</v>
      </c>
      <c r="H518">
        <f>VLOOKUP(B518,Units!$A$2:$G$1646,2,FALSE)</f>
        <v/>
      </c>
      <c r="I518">
        <f>VLOOKUP(B518,Units!$A$2:$G$1646,5,FALSE)</f>
        <v/>
      </c>
      <c r="J518" s="3">
        <f>G518/I518</f>
        <v/>
      </c>
      <c r="K518" s="3">
        <f>G518*12</f>
        <v/>
      </c>
      <c r="L518" s="3" t="n">
        <v>7470</v>
      </c>
    </row>
    <row r="519">
      <c r="A519" t="inlineStr">
        <is>
          <t>TA-2024-00578</t>
        </is>
      </c>
      <c r="B519" t="inlineStr">
        <is>
          <t>U-PI651-01-01</t>
        </is>
      </c>
      <c r="C519" t="inlineStr">
        <is>
          <t>Phoenix Mart Pte Ltd</t>
        </is>
      </c>
      <c r="D519" t="inlineStr">
        <is>
          <t>Minimart</t>
        </is>
      </c>
      <c r="E519" s="2" t="n">
        <v>45536</v>
      </c>
      <c r="F519" s="2" t="n">
        <v>46630</v>
      </c>
      <c r="G519" s="3" t="n">
        <v>5940</v>
      </c>
      <c r="H519">
        <f>VLOOKUP(B519,Units!$A$2:$G$1646,2,FALSE)</f>
        <v/>
      </c>
      <c r="I519">
        <f>VLOOKUP(B519,Units!$A$2:$G$1646,5,FALSE)</f>
        <v/>
      </c>
      <c r="J519" s="3">
        <f>G519/I519</f>
        <v/>
      </c>
      <c r="K519" s="3">
        <f>G519*12</f>
        <v/>
      </c>
      <c r="L519" s="3" t="n">
        <v>17820</v>
      </c>
    </row>
    <row r="520">
      <c r="A520" t="inlineStr">
        <is>
          <t>TA-2024-00579</t>
        </is>
      </c>
      <c r="B520" t="inlineStr">
        <is>
          <t>U-PI667-01-13</t>
        </is>
      </c>
      <c r="C520" t="inlineStr">
        <is>
          <t>Raja Flowers &amp; Gifts</t>
        </is>
      </c>
      <c r="D520" t="inlineStr">
        <is>
          <t>Florist</t>
        </is>
      </c>
      <c r="E520" s="2" t="n">
        <v>45536</v>
      </c>
      <c r="F520" s="2" t="n">
        <v>46630</v>
      </c>
      <c r="G520" s="3" t="n">
        <v>900</v>
      </c>
      <c r="H520">
        <f>VLOOKUP(B520,Units!$A$2:$G$1646,2,FALSE)</f>
        <v/>
      </c>
      <c r="I520">
        <f>VLOOKUP(B520,Units!$A$2:$G$1646,5,FALSE)</f>
        <v/>
      </c>
      <c r="J520" s="3">
        <f>G520/I520</f>
        <v/>
      </c>
      <c r="K520" s="3">
        <f>G520*12</f>
        <v/>
      </c>
      <c r="L520" s="3" t="n">
        <v>2700</v>
      </c>
    </row>
    <row r="521">
      <c r="A521" t="inlineStr">
        <is>
          <t>TA-2024-00580</t>
        </is>
      </c>
      <c r="B521" t="inlineStr">
        <is>
          <t>U-PI693-01-02</t>
        </is>
      </c>
      <c r="C521" t="inlineStr">
        <is>
          <t>Bright Path Hardware &amp; Electrical</t>
        </is>
      </c>
      <c r="D521" t="inlineStr">
        <is>
          <t>Hardware</t>
        </is>
      </c>
      <c r="E521" s="2" t="n">
        <v>45536</v>
      </c>
      <c r="F521" s="2" t="n">
        <v>46630</v>
      </c>
      <c r="G521" s="3" t="n">
        <v>4400</v>
      </c>
      <c r="H521">
        <f>VLOOKUP(B521,Units!$A$2:$G$1646,2,FALSE)</f>
        <v/>
      </c>
      <c r="I521">
        <f>VLOOKUP(B521,Units!$A$2:$G$1646,5,FALSE)</f>
        <v/>
      </c>
      <c r="J521" s="3">
        <f>G521/I521</f>
        <v/>
      </c>
      <c r="K521" s="3">
        <f>G521*12</f>
        <v/>
      </c>
      <c r="L521" s="3" t="n">
        <v>13200</v>
      </c>
    </row>
    <row r="522">
      <c r="A522" t="inlineStr">
        <is>
          <t>TA-2024-00581</t>
        </is>
      </c>
      <c r="B522" t="inlineStr">
        <is>
          <t>U-PI696-02-06</t>
        </is>
      </c>
      <c r="C522" t="inlineStr">
        <is>
          <t>Lim's Dental Care Pte Ltd</t>
        </is>
      </c>
      <c r="D522" t="inlineStr">
        <is>
          <t>Dental Clinic</t>
        </is>
      </c>
      <c r="E522" s="2" t="n">
        <v>45536</v>
      </c>
      <c r="F522" s="2" t="n">
        <v>46630</v>
      </c>
      <c r="G522" s="3" t="n">
        <v>1850</v>
      </c>
      <c r="H522">
        <f>VLOOKUP(B522,Units!$A$2:$G$1646,2,FALSE)</f>
        <v/>
      </c>
      <c r="I522">
        <f>VLOOKUP(B522,Units!$A$2:$G$1646,5,FALSE)</f>
        <v/>
      </c>
      <c r="J522" s="3">
        <f>G522/I522</f>
        <v/>
      </c>
      <c r="K522" s="3">
        <f>G522*12</f>
        <v/>
      </c>
      <c r="L522" s="3" t="n">
        <v>5550</v>
      </c>
    </row>
    <row r="523">
      <c r="A523" t="inlineStr">
        <is>
          <t>TA-2024-00582</t>
        </is>
      </c>
      <c r="B523" t="inlineStr">
        <is>
          <t>U-RH420-01-06</t>
        </is>
      </c>
      <c r="C523" t="inlineStr">
        <is>
          <t>Gold Coin Learning Centre</t>
        </is>
      </c>
      <c r="D523" t="inlineStr">
        <is>
          <t>Tuition Centre</t>
        </is>
      </c>
      <c r="E523" s="2" t="n">
        <v>45536</v>
      </c>
      <c r="F523" s="2" t="n">
        <v>46630</v>
      </c>
      <c r="G523" s="3" t="n">
        <v>2060</v>
      </c>
      <c r="H523">
        <f>VLOOKUP(B523,Units!$A$2:$G$1646,2,FALSE)</f>
        <v/>
      </c>
      <c r="I523">
        <f>VLOOKUP(B523,Units!$A$2:$G$1646,5,FALSE)</f>
        <v/>
      </c>
      <c r="J523" s="3">
        <f>G523/I523</f>
        <v/>
      </c>
      <c r="K523" s="3">
        <f>G523*12</f>
        <v/>
      </c>
      <c r="L523" s="3" t="n">
        <v>6180</v>
      </c>
    </row>
    <row r="524">
      <c r="A524" t="inlineStr">
        <is>
          <t>TA-2024-00583</t>
        </is>
      </c>
      <c r="B524" t="inlineStr">
        <is>
          <t>U-RH437-01-10</t>
        </is>
      </c>
      <c r="C524" t="inlineStr">
        <is>
          <t>Daily Fresh Fruit Trading Pte Ltd</t>
        </is>
      </c>
      <c r="D524" t="inlineStr">
        <is>
          <t>Fruit Shop</t>
        </is>
      </c>
      <c r="E524" s="2" t="n">
        <v>45536</v>
      </c>
      <c r="F524" s="2" t="n">
        <v>46630</v>
      </c>
      <c r="G524" s="3" t="n">
        <v>1140</v>
      </c>
      <c r="H524">
        <f>VLOOKUP(B524,Units!$A$2:$G$1646,2,FALSE)</f>
        <v/>
      </c>
      <c r="I524">
        <f>VLOOKUP(B524,Units!$A$2:$G$1646,5,FALSE)</f>
        <v/>
      </c>
      <c r="J524" s="3">
        <f>G524/I524</f>
        <v/>
      </c>
      <c r="K524" s="3">
        <f>G524*12</f>
        <v/>
      </c>
      <c r="L524" s="3" t="n">
        <v>3420</v>
      </c>
    </row>
    <row r="525">
      <c r="A525" t="inlineStr">
        <is>
          <t>TA-2024-00584</t>
        </is>
      </c>
      <c r="B525" t="inlineStr">
        <is>
          <t>U-RH460-01-03</t>
        </is>
      </c>
      <c r="C525" t="inlineStr">
        <is>
          <t>Thye Hin Supermarket</t>
        </is>
      </c>
      <c r="D525" t="inlineStr">
        <is>
          <t>Minimart</t>
        </is>
      </c>
      <c r="E525" s="2" t="n">
        <v>45536</v>
      </c>
      <c r="F525" s="2" t="n">
        <v>46630</v>
      </c>
      <c r="G525" s="3" t="n">
        <v>3790</v>
      </c>
      <c r="H525">
        <f>VLOOKUP(B525,Units!$A$2:$G$1646,2,FALSE)</f>
        <v/>
      </c>
      <c r="I525">
        <f>VLOOKUP(B525,Units!$A$2:$G$1646,5,FALSE)</f>
        <v/>
      </c>
      <c r="J525" s="3">
        <f>G525/I525</f>
        <v/>
      </c>
      <c r="K525" s="3">
        <f>G525*12</f>
        <v/>
      </c>
      <c r="L525" s="3" t="n">
        <v>11370</v>
      </c>
    </row>
    <row r="526">
      <c r="A526" t="inlineStr">
        <is>
          <t>TA-2024-00585</t>
        </is>
      </c>
      <c r="B526" t="inlineStr">
        <is>
          <t>U-RH460-01-14</t>
        </is>
      </c>
      <c r="C526" t="inlineStr">
        <is>
          <t>Kian Huat TCM Clinic Pte Ltd</t>
        </is>
      </c>
      <c r="D526" t="inlineStr">
        <is>
          <t>TCM Clinic</t>
        </is>
      </c>
      <c r="E526" s="2" t="n">
        <v>45536</v>
      </c>
      <c r="F526" s="2" t="n">
        <v>46630</v>
      </c>
      <c r="G526" s="3" t="n">
        <v>2350</v>
      </c>
      <c r="H526">
        <f>VLOOKUP(B526,Units!$A$2:$G$1646,2,FALSE)</f>
        <v/>
      </c>
      <c r="I526">
        <f>VLOOKUP(B526,Units!$A$2:$G$1646,5,FALSE)</f>
        <v/>
      </c>
      <c r="J526" s="3">
        <f>G526/I526</f>
        <v/>
      </c>
      <c r="K526" s="3">
        <f>G526*12</f>
        <v/>
      </c>
      <c r="L526" s="3" t="n">
        <v>7050</v>
      </c>
    </row>
    <row r="527">
      <c r="A527" t="inlineStr">
        <is>
          <t>TA-2024-00587</t>
        </is>
      </c>
      <c r="B527" t="inlineStr">
        <is>
          <t>U-RH466-01-06</t>
        </is>
      </c>
      <c r="C527" t="inlineStr">
        <is>
          <t>Sejahtera Mart</t>
        </is>
      </c>
      <c r="D527" t="inlineStr">
        <is>
          <t>Minimart</t>
        </is>
      </c>
      <c r="E527" s="2" t="n">
        <v>45536</v>
      </c>
      <c r="F527" s="2" t="n">
        <v>46630</v>
      </c>
      <c r="G527" s="3" t="n">
        <v>2020</v>
      </c>
      <c r="H527">
        <f>VLOOKUP(B527,Units!$A$2:$G$1646,2,FALSE)</f>
        <v/>
      </c>
      <c r="I527">
        <f>VLOOKUP(B527,Units!$A$2:$G$1646,5,FALSE)</f>
        <v/>
      </c>
      <c r="J527" s="3">
        <f>G527/I527</f>
        <v/>
      </c>
      <c r="K527" s="3">
        <f>G527*12</f>
        <v/>
      </c>
      <c r="L527" s="3" t="n">
        <v>6060</v>
      </c>
    </row>
    <row r="528">
      <c r="A528" t="inlineStr">
        <is>
          <t>TA-2024-00588</t>
        </is>
      </c>
      <c r="B528" t="inlineStr">
        <is>
          <t>U-RH466-02-08</t>
        </is>
      </c>
      <c r="C528" t="inlineStr">
        <is>
          <t>Silver Moon Medical Clinic Pte Ltd</t>
        </is>
      </c>
      <c r="D528" t="inlineStr">
        <is>
          <t>GP Clinic</t>
        </is>
      </c>
      <c r="E528" s="2" t="n">
        <v>45536</v>
      </c>
      <c r="F528" s="2" t="n">
        <v>46630</v>
      </c>
      <c r="G528" s="3" t="n">
        <v>1420</v>
      </c>
      <c r="H528">
        <f>VLOOKUP(B528,Units!$A$2:$G$1646,2,FALSE)</f>
        <v/>
      </c>
      <c r="I528">
        <f>VLOOKUP(B528,Units!$A$2:$G$1646,5,FALSE)</f>
        <v/>
      </c>
      <c r="J528" s="3">
        <f>G528/I528</f>
        <v/>
      </c>
      <c r="K528" s="3">
        <f>G528*12</f>
        <v/>
      </c>
      <c r="L528" s="3" t="n">
        <v>4260</v>
      </c>
    </row>
    <row r="529">
      <c r="A529" t="inlineStr">
        <is>
          <t>TA-2024-00590</t>
        </is>
      </c>
      <c r="B529" t="inlineStr">
        <is>
          <t>U-RH473-01-06</t>
        </is>
      </c>
      <c r="C529" t="inlineStr">
        <is>
          <t>Sin Hock Bakery Pte Ltd</t>
        </is>
      </c>
      <c r="D529" t="inlineStr">
        <is>
          <t>Bakery &amp; Confectionery</t>
        </is>
      </c>
      <c r="E529" s="2" t="n">
        <v>45536</v>
      </c>
      <c r="F529" s="2" t="n">
        <v>46630</v>
      </c>
      <c r="G529" s="3" t="n">
        <v>2210</v>
      </c>
      <c r="H529">
        <f>VLOOKUP(B529,Units!$A$2:$G$1646,2,FALSE)</f>
        <v/>
      </c>
      <c r="I529">
        <f>VLOOKUP(B529,Units!$A$2:$G$1646,5,FALSE)</f>
        <v/>
      </c>
      <c r="J529" s="3">
        <f>G529/I529</f>
        <v/>
      </c>
      <c r="K529" s="3">
        <f>G529*12</f>
        <v/>
      </c>
      <c r="L529" s="3" t="n">
        <v>6630</v>
      </c>
    </row>
    <row r="530">
      <c r="A530" t="inlineStr">
        <is>
          <t>TA-2024-00591</t>
        </is>
      </c>
      <c r="B530" t="inlineStr">
        <is>
          <t>U-RH485-01-10</t>
        </is>
      </c>
      <c r="C530" t="inlineStr">
        <is>
          <t>Wisdom Eye Centre Pte Ltd</t>
        </is>
      </c>
      <c r="D530" t="inlineStr">
        <is>
          <t>Optical</t>
        </is>
      </c>
      <c r="E530" s="2" t="n">
        <v>45536</v>
      </c>
      <c r="F530" s="2" t="n">
        <v>46630</v>
      </c>
      <c r="G530" s="3" t="n">
        <v>1630</v>
      </c>
      <c r="H530">
        <f>VLOOKUP(B530,Units!$A$2:$G$1646,2,FALSE)</f>
        <v/>
      </c>
      <c r="I530">
        <f>VLOOKUP(B530,Units!$A$2:$G$1646,5,FALSE)</f>
        <v/>
      </c>
      <c r="J530" s="3">
        <f>G530/I530</f>
        <v/>
      </c>
      <c r="K530" s="3">
        <f>G530*12</f>
        <v/>
      </c>
      <c r="L530" s="3" t="n">
        <v>4890</v>
      </c>
    </row>
    <row r="531">
      <c r="A531" t="inlineStr">
        <is>
          <t>TA-2024-00592</t>
        </is>
      </c>
      <c r="B531" t="inlineStr">
        <is>
          <t>U-RH491-01-13</t>
        </is>
      </c>
      <c r="C531" t="inlineStr">
        <is>
          <t>Teck Guan Fruit Trading Pte Ltd</t>
        </is>
      </c>
      <c r="D531" t="inlineStr">
        <is>
          <t>Fruit Shop</t>
        </is>
      </c>
      <c r="E531" s="2" t="n">
        <v>45536</v>
      </c>
      <c r="F531" s="2" t="n">
        <v>46630</v>
      </c>
      <c r="G531" s="3" t="n">
        <v>3140</v>
      </c>
      <c r="H531">
        <f>VLOOKUP(B531,Units!$A$2:$G$1646,2,FALSE)</f>
        <v/>
      </c>
      <c r="I531">
        <f>VLOOKUP(B531,Units!$A$2:$G$1646,5,FALSE)</f>
        <v/>
      </c>
      <c r="J531" s="3">
        <f>G531/I531</f>
        <v/>
      </c>
      <c r="K531" s="3">
        <f>G531*12</f>
        <v/>
      </c>
      <c r="L531" s="3" t="n">
        <v>9420</v>
      </c>
    </row>
    <row r="532">
      <c r="A532" t="inlineStr">
        <is>
          <t>TA-2024-00593</t>
        </is>
      </c>
      <c r="B532" t="inlineStr">
        <is>
          <t>U-ST512-01-31</t>
        </is>
      </c>
      <c r="C532" t="inlineStr">
        <is>
          <t>Hock Lee Beauty &amp; Hair Pte Ltd</t>
        </is>
      </c>
      <c r="D532" t="inlineStr">
        <is>
          <t>Hair Salon</t>
        </is>
      </c>
      <c r="E532" s="2" t="n">
        <v>45536</v>
      </c>
      <c r="F532" s="2" t="n">
        <v>46630</v>
      </c>
      <c r="G532" s="3" t="n">
        <v>2340</v>
      </c>
      <c r="H532">
        <f>VLOOKUP(B532,Units!$A$2:$G$1646,2,FALSE)</f>
        <v/>
      </c>
      <c r="I532">
        <f>VLOOKUP(B532,Units!$A$2:$G$1646,5,FALSE)</f>
        <v/>
      </c>
      <c r="J532" s="3">
        <f>G532/I532</f>
        <v/>
      </c>
      <c r="K532" s="3">
        <f>G532*12</f>
        <v/>
      </c>
      <c r="L532" s="3" t="n">
        <v>7020</v>
      </c>
    </row>
    <row r="533">
      <c r="A533" t="inlineStr">
        <is>
          <t>TA-2024-00595</t>
        </is>
      </c>
      <c r="B533" t="inlineStr">
        <is>
          <t>U-ST518-01-02</t>
        </is>
      </c>
      <c r="C533" t="inlineStr">
        <is>
          <t>PrimeValue Mart Pte Ltd</t>
        </is>
      </c>
      <c r="D533" t="inlineStr">
        <is>
          <t>Minimart</t>
        </is>
      </c>
      <c r="E533" s="2" t="n">
        <v>45536</v>
      </c>
      <c r="F533" s="2" t="n">
        <v>46630</v>
      </c>
      <c r="G533" s="3" t="n">
        <v>1860</v>
      </c>
      <c r="H533">
        <f>VLOOKUP(B533,Units!$A$2:$G$1646,2,FALSE)</f>
        <v/>
      </c>
      <c r="I533">
        <f>VLOOKUP(B533,Units!$A$2:$G$1646,5,FALSE)</f>
        <v/>
      </c>
      <c r="J533" s="3">
        <f>G533/I533</f>
        <v/>
      </c>
      <c r="K533" s="3">
        <f>G533*12</f>
        <v/>
      </c>
      <c r="L533" s="3" t="n">
        <v>5580</v>
      </c>
    </row>
    <row r="534">
      <c r="A534" t="inlineStr">
        <is>
          <t>TA-2024-00597</t>
        </is>
      </c>
      <c r="B534" t="inlineStr">
        <is>
          <t>U-ST528-01-03</t>
        </is>
      </c>
      <c r="C534" t="inlineStr">
        <is>
          <t>Tian Fu Hair Studio</t>
        </is>
      </c>
      <c r="D534" t="inlineStr">
        <is>
          <t>Hair Salon</t>
        </is>
      </c>
      <c r="E534" s="2" t="n">
        <v>45536</v>
      </c>
      <c r="F534" s="2" t="n">
        <v>46630</v>
      </c>
      <c r="G534" s="3" t="n">
        <v>2010</v>
      </c>
      <c r="H534">
        <f>VLOOKUP(B534,Units!$A$2:$G$1646,2,FALSE)</f>
        <v/>
      </c>
      <c r="I534">
        <f>VLOOKUP(B534,Units!$A$2:$G$1646,5,FALSE)</f>
        <v/>
      </c>
      <c r="J534" s="3">
        <f>G534/I534</f>
        <v/>
      </c>
      <c r="K534" s="3">
        <f>G534*12</f>
        <v/>
      </c>
      <c r="L534" s="3" t="n">
        <v>6030</v>
      </c>
    </row>
    <row r="535">
      <c r="A535" t="inlineStr">
        <is>
          <t>TA-2024-00599</t>
        </is>
      </c>
      <c r="B535" t="inlineStr">
        <is>
          <t>U-ST564-01-04</t>
        </is>
      </c>
      <c r="C535" t="inlineStr">
        <is>
          <t>Lucky Star Confectionery</t>
        </is>
      </c>
      <c r="D535" t="inlineStr">
        <is>
          <t>Bakery &amp; Confectionery</t>
        </is>
      </c>
      <c r="E535" s="2" t="n">
        <v>45536</v>
      </c>
      <c r="F535" s="2" t="n">
        <v>46630</v>
      </c>
      <c r="G535" s="3" t="n">
        <v>3720</v>
      </c>
      <c r="H535">
        <f>VLOOKUP(B535,Units!$A$2:$G$1646,2,FALSE)</f>
        <v/>
      </c>
      <c r="I535">
        <f>VLOOKUP(B535,Units!$A$2:$G$1646,5,FALSE)</f>
        <v/>
      </c>
      <c r="J535" s="3">
        <f>G535/I535</f>
        <v/>
      </c>
      <c r="K535" s="3">
        <f>G535*12</f>
        <v/>
      </c>
      <c r="L535" s="3" t="n">
        <v>11160</v>
      </c>
    </row>
    <row r="536">
      <c r="A536" t="inlineStr">
        <is>
          <t>TA-2024-00600</t>
        </is>
      </c>
      <c r="B536" t="inlineStr">
        <is>
          <t>U-ST566-02-01</t>
        </is>
      </c>
      <c r="C536" t="inlineStr">
        <is>
          <t>Little Sprouts Accounting Services Pte Ltd</t>
        </is>
      </c>
      <c r="D536" t="inlineStr">
        <is>
          <t>Professional Services Office</t>
        </is>
      </c>
      <c r="E536" s="2" t="n">
        <v>45536</v>
      </c>
      <c r="F536" s="2" t="n">
        <v>46630</v>
      </c>
      <c r="G536" s="3" t="n">
        <v>3070</v>
      </c>
      <c r="H536">
        <f>VLOOKUP(B536,Units!$A$2:$G$1646,2,FALSE)</f>
        <v/>
      </c>
      <c r="I536">
        <f>VLOOKUP(B536,Units!$A$2:$G$1646,5,FALSE)</f>
        <v/>
      </c>
      <c r="J536" s="3">
        <f>G536/I536</f>
        <v/>
      </c>
      <c r="K536" s="3">
        <f>G536*12</f>
        <v/>
      </c>
      <c r="L536" s="3" t="n">
        <v>9210</v>
      </c>
    </row>
    <row r="537">
      <c r="A537" t="inlineStr">
        <is>
          <t>TA-2024-00602</t>
        </is>
      </c>
      <c r="B537" t="inlineStr">
        <is>
          <t>U-ST579-02-03</t>
        </is>
      </c>
      <c r="C537" t="inlineStr">
        <is>
          <t>Daily Fresh Dental Surgery</t>
        </is>
      </c>
      <c r="D537" t="inlineStr">
        <is>
          <t>Dental Clinic</t>
        </is>
      </c>
      <c r="E537" s="2" t="n">
        <v>45536</v>
      </c>
      <c r="F537" s="2" t="n">
        <v>46630</v>
      </c>
      <c r="G537" s="3" t="n">
        <v>3750</v>
      </c>
      <c r="H537">
        <f>VLOOKUP(B537,Units!$A$2:$G$1646,2,FALSE)</f>
        <v/>
      </c>
      <c r="I537">
        <f>VLOOKUP(B537,Units!$A$2:$G$1646,5,FALSE)</f>
        <v/>
      </c>
      <c r="J537" s="3">
        <f>G537/I537</f>
        <v/>
      </c>
      <c r="K537" s="3">
        <f>G537*12</f>
        <v/>
      </c>
      <c r="L537" s="3" t="n">
        <v>11250</v>
      </c>
    </row>
    <row r="538">
      <c r="A538" t="inlineStr">
        <is>
          <t>TA-2024-00604</t>
        </is>
      </c>
      <c r="B538" t="inlineStr">
        <is>
          <t>U-BV212-02-06</t>
        </is>
      </c>
      <c r="C538" t="inlineStr">
        <is>
          <t>Old Town Tuition Centre</t>
        </is>
      </c>
      <c r="D538" t="inlineStr">
        <is>
          <t>Tuition Centre</t>
        </is>
      </c>
      <c r="E538" s="2" t="n">
        <v>45566</v>
      </c>
      <c r="F538" s="2" t="n">
        <v>46660</v>
      </c>
      <c r="G538" s="3" t="n">
        <v>2920</v>
      </c>
      <c r="H538">
        <f>VLOOKUP(B538,Units!$A$2:$G$1646,2,FALSE)</f>
        <v/>
      </c>
      <c r="I538">
        <f>VLOOKUP(B538,Units!$A$2:$G$1646,5,FALSE)</f>
        <v/>
      </c>
      <c r="J538" s="3">
        <f>G538/I538</f>
        <v/>
      </c>
      <c r="K538" s="3">
        <f>G538*12</f>
        <v/>
      </c>
      <c r="L538" s="3" t="n">
        <v>8760</v>
      </c>
    </row>
    <row r="539">
      <c r="A539" t="inlineStr">
        <is>
          <t>TA-2024-00605</t>
        </is>
      </c>
      <c r="B539" t="inlineStr">
        <is>
          <t>U-BV214-01-22</t>
        </is>
      </c>
      <c r="C539" t="inlineStr">
        <is>
          <t>Brilliant Mart</t>
        </is>
      </c>
      <c r="D539" t="inlineStr">
        <is>
          <t>Minimart</t>
        </is>
      </c>
      <c r="E539" s="2" t="n">
        <v>45566</v>
      </c>
      <c r="F539" s="2" t="n">
        <v>46660</v>
      </c>
      <c r="G539" s="3" t="n">
        <v>5730</v>
      </c>
      <c r="H539">
        <f>VLOOKUP(B539,Units!$A$2:$G$1646,2,FALSE)</f>
        <v/>
      </c>
      <c r="I539">
        <f>VLOOKUP(B539,Units!$A$2:$G$1646,5,FALSE)</f>
        <v/>
      </c>
      <c r="J539" s="3">
        <f>G539/I539</f>
        <v/>
      </c>
      <c r="K539" s="3">
        <f>G539*12</f>
        <v/>
      </c>
      <c r="L539" s="3" t="n">
        <v>17190</v>
      </c>
    </row>
    <row r="540">
      <c r="A540" t="inlineStr">
        <is>
          <t>TA-2024-00607</t>
        </is>
      </c>
      <c r="B540" t="inlineStr">
        <is>
          <t>U-BV214-01-31</t>
        </is>
      </c>
      <c r="C540" t="inlineStr">
        <is>
          <t>Sunflower Trading</t>
        </is>
      </c>
      <c r="D540" t="inlineStr">
        <is>
          <t>Provision Shop</t>
        </is>
      </c>
      <c r="E540" s="2" t="n">
        <v>45566</v>
      </c>
      <c r="F540" s="2" t="n">
        <v>46660</v>
      </c>
      <c r="G540" s="3" t="n">
        <v>5030</v>
      </c>
      <c r="H540">
        <f>VLOOKUP(B540,Units!$A$2:$G$1646,2,FALSE)</f>
        <v/>
      </c>
      <c r="I540">
        <f>VLOOKUP(B540,Units!$A$2:$G$1646,5,FALSE)</f>
        <v/>
      </c>
      <c r="J540" s="3">
        <f>G540/I540</f>
        <v/>
      </c>
      <c r="K540" s="3">
        <f>G540*12</f>
        <v/>
      </c>
      <c r="L540" s="3" t="n">
        <v>15090</v>
      </c>
    </row>
    <row r="541">
      <c r="A541" t="inlineStr">
        <is>
          <t>TA-2024-00609</t>
        </is>
      </c>
      <c r="B541" t="inlineStr">
        <is>
          <t>U-BV216-01-12</t>
        </is>
      </c>
      <c r="C541" t="inlineStr">
        <is>
          <t>Sunflower Provision Shop Pte Ltd</t>
        </is>
      </c>
      <c r="D541" t="inlineStr">
        <is>
          <t>Provision Shop</t>
        </is>
      </c>
      <c r="E541" s="2" t="n">
        <v>45566</v>
      </c>
      <c r="F541" s="2" t="n">
        <v>46660</v>
      </c>
      <c r="G541" s="3" t="n">
        <v>4910</v>
      </c>
      <c r="H541">
        <f>VLOOKUP(B541,Units!$A$2:$G$1646,2,FALSE)</f>
        <v/>
      </c>
      <c r="I541">
        <f>VLOOKUP(B541,Units!$A$2:$G$1646,5,FALSE)</f>
        <v/>
      </c>
      <c r="J541" s="3">
        <f>G541/I541</f>
        <v/>
      </c>
      <c r="K541" s="3">
        <f>G541*12</f>
        <v/>
      </c>
      <c r="L541" s="3" t="n">
        <v>14730</v>
      </c>
    </row>
    <row r="542">
      <c r="A542" t="inlineStr">
        <is>
          <t>TA-2024-00610</t>
        </is>
      </c>
      <c r="B542" t="inlineStr">
        <is>
          <t>U-BV219-01-08</t>
        </is>
      </c>
      <c r="C542" t="inlineStr">
        <is>
          <t>Sejahtera Store</t>
        </is>
      </c>
      <c r="D542" t="inlineStr">
        <is>
          <t>Provision Shop</t>
        </is>
      </c>
      <c r="E542" s="2" t="n">
        <v>45566</v>
      </c>
      <c r="F542" s="2" t="n">
        <v>46660</v>
      </c>
      <c r="G542" s="3" t="n">
        <v>6430</v>
      </c>
      <c r="H542">
        <f>VLOOKUP(B542,Units!$A$2:$G$1646,2,FALSE)</f>
        <v/>
      </c>
      <c r="I542">
        <f>VLOOKUP(B542,Units!$A$2:$G$1646,5,FALSE)</f>
        <v/>
      </c>
      <c r="J542" s="3">
        <f>G542/I542</f>
        <v/>
      </c>
      <c r="K542" s="3">
        <f>G542*12</f>
        <v/>
      </c>
      <c r="L542" s="3" t="n">
        <v>19290</v>
      </c>
    </row>
    <row r="543">
      <c r="A543" t="inlineStr">
        <is>
          <t>TA-2024-00612</t>
        </is>
      </c>
      <c r="B543" t="inlineStr">
        <is>
          <t>U-BV231-02-10</t>
        </is>
      </c>
      <c r="C543" t="inlineStr">
        <is>
          <t>Jade Garden Accounting Services Pte Ltd</t>
        </is>
      </c>
      <c r="D543" t="inlineStr">
        <is>
          <t>Professional Services Office</t>
        </is>
      </c>
      <c r="E543" s="2" t="n">
        <v>45566</v>
      </c>
      <c r="F543" s="2" t="n">
        <v>46660</v>
      </c>
      <c r="G543" s="3" t="n">
        <v>3130</v>
      </c>
      <c r="H543">
        <f>VLOOKUP(B543,Units!$A$2:$G$1646,2,FALSE)</f>
        <v/>
      </c>
      <c r="I543">
        <f>VLOOKUP(B543,Units!$A$2:$G$1646,5,FALSE)</f>
        <v/>
      </c>
      <c r="J543" s="3">
        <f>G543/I543</f>
        <v/>
      </c>
      <c r="K543" s="3">
        <f>G543*12</f>
        <v/>
      </c>
      <c r="L543" s="3" t="n">
        <v>9390</v>
      </c>
    </row>
    <row r="544">
      <c r="A544" t="inlineStr">
        <is>
          <t>TA-2024-00614</t>
        </is>
      </c>
      <c r="B544" t="inlineStr">
        <is>
          <t>U-BV233-01-03</t>
        </is>
      </c>
      <c r="C544" t="inlineStr">
        <is>
          <t>Bloom Bakery Pte Ltd</t>
        </is>
      </c>
      <c r="D544" t="inlineStr">
        <is>
          <t>Bakery &amp; Confectionery</t>
        </is>
      </c>
      <c r="E544" s="2" t="n">
        <v>45566</v>
      </c>
      <c r="F544" s="2" t="n">
        <v>46660</v>
      </c>
      <c r="G544" s="3" t="n">
        <v>4070</v>
      </c>
      <c r="H544">
        <f>VLOOKUP(B544,Units!$A$2:$G$1646,2,FALSE)</f>
        <v/>
      </c>
      <c r="I544">
        <f>VLOOKUP(B544,Units!$A$2:$G$1646,5,FALSE)</f>
        <v/>
      </c>
      <c r="J544" s="3">
        <f>G544/I544</f>
        <v/>
      </c>
      <c r="K544" s="3">
        <f>G544*12</f>
        <v/>
      </c>
      <c r="L544" s="3" t="n">
        <v>12210</v>
      </c>
    </row>
    <row r="545">
      <c r="A545" t="inlineStr">
        <is>
          <t>TA-2024-00616</t>
        </is>
      </c>
      <c r="B545" t="inlineStr">
        <is>
          <t>U-BV271-01-09</t>
        </is>
      </c>
      <c r="C545" t="inlineStr">
        <is>
          <t>Nanyang Aquarium &amp; Pets</t>
        </is>
      </c>
      <c r="D545" t="inlineStr">
        <is>
          <t>Pet Shop</t>
        </is>
      </c>
      <c r="E545" s="2" t="n">
        <v>45566</v>
      </c>
      <c r="F545" s="2" t="n">
        <v>46660</v>
      </c>
      <c r="G545" s="3" t="n">
        <v>2340</v>
      </c>
      <c r="H545">
        <f>VLOOKUP(B545,Units!$A$2:$G$1646,2,FALSE)</f>
        <v/>
      </c>
      <c r="I545">
        <f>VLOOKUP(B545,Units!$A$2:$G$1646,5,FALSE)</f>
        <v/>
      </c>
      <c r="J545" s="3">
        <f>G545/I545</f>
        <v/>
      </c>
      <c r="K545" s="3">
        <f>G545*12</f>
        <v/>
      </c>
      <c r="L545" s="3" t="n">
        <v>7020</v>
      </c>
    </row>
    <row r="546">
      <c r="A546" t="inlineStr">
        <is>
          <t>TA-2024-00618</t>
        </is>
      </c>
      <c r="B546" t="inlineStr">
        <is>
          <t>U-BV273-01-02</t>
        </is>
      </c>
      <c r="C546" t="inlineStr">
        <is>
          <t>Hock Lee Education Hub</t>
        </is>
      </c>
      <c r="D546" t="inlineStr">
        <is>
          <t>Tuition Centre</t>
        </is>
      </c>
      <c r="E546" s="2" t="n">
        <v>45566</v>
      </c>
      <c r="F546" s="2" t="n">
        <v>46660</v>
      </c>
      <c r="G546" s="3" t="n">
        <v>2900</v>
      </c>
      <c r="H546">
        <f>VLOOKUP(B546,Units!$A$2:$G$1646,2,FALSE)</f>
        <v/>
      </c>
      <c r="I546">
        <f>VLOOKUP(B546,Units!$A$2:$G$1646,5,FALSE)</f>
        <v/>
      </c>
      <c r="J546" s="3">
        <f>G546/I546</f>
        <v/>
      </c>
      <c r="K546" s="3">
        <f>G546*12</f>
        <v/>
      </c>
      <c r="L546" s="3" t="n">
        <v>8700</v>
      </c>
    </row>
    <row r="547">
      <c r="A547" t="inlineStr">
        <is>
          <t>TA-2024-00619</t>
        </is>
      </c>
      <c r="B547" t="inlineStr">
        <is>
          <t>U-BV283-01-01</t>
        </is>
      </c>
      <c r="C547" t="inlineStr">
        <is>
          <t>Suria Education Hub Pte Ltd</t>
        </is>
      </c>
      <c r="D547" t="inlineStr">
        <is>
          <t>Tuition Centre</t>
        </is>
      </c>
      <c r="E547" s="2" t="n">
        <v>45566</v>
      </c>
      <c r="F547" s="2" t="n">
        <v>46660</v>
      </c>
      <c r="G547" s="3" t="n">
        <v>5710</v>
      </c>
      <c r="H547">
        <f>VLOOKUP(B547,Units!$A$2:$G$1646,2,FALSE)</f>
        <v/>
      </c>
      <c r="I547">
        <f>VLOOKUP(B547,Units!$A$2:$G$1646,5,FALSE)</f>
        <v/>
      </c>
      <c r="J547" s="3">
        <f>G547/I547</f>
        <v/>
      </c>
      <c r="K547" s="3">
        <f>G547*12</f>
        <v/>
      </c>
      <c r="L547" s="3" t="n">
        <v>17130</v>
      </c>
    </row>
    <row r="548">
      <c r="A548" t="inlineStr">
        <is>
          <t>TA-2024-00621</t>
        </is>
      </c>
      <c r="B548" t="inlineStr">
        <is>
          <t>U-BV290-01-06</t>
        </is>
      </c>
      <c r="C548" t="inlineStr">
        <is>
          <t>PrimeValue Mart Pte Ltd</t>
        </is>
      </c>
      <c r="D548" t="inlineStr">
        <is>
          <t>Minimart</t>
        </is>
      </c>
      <c r="E548" s="2" t="n">
        <v>45566</v>
      </c>
      <c r="F548" s="2" t="n">
        <v>46660</v>
      </c>
      <c r="G548" s="3" t="n">
        <v>6320</v>
      </c>
      <c r="H548">
        <f>VLOOKUP(B548,Units!$A$2:$G$1646,2,FALSE)</f>
        <v/>
      </c>
      <c r="I548">
        <f>VLOOKUP(B548,Units!$A$2:$G$1646,5,FALSE)</f>
        <v/>
      </c>
      <c r="J548" s="3">
        <f>G548/I548</f>
        <v/>
      </c>
      <c r="K548" s="3">
        <f>G548*12</f>
        <v/>
      </c>
      <c r="L548" s="3" t="n">
        <v>18960</v>
      </c>
    </row>
    <row r="549">
      <c r="A549" t="inlineStr">
        <is>
          <t>TA-2024-00623</t>
        </is>
      </c>
      <c r="B549" t="inlineStr">
        <is>
          <t>U-CD118-01-10</t>
        </is>
      </c>
      <c r="C549" t="inlineStr">
        <is>
          <t>Pinnacle Family Clinic</t>
        </is>
      </c>
      <c r="D549" t="inlineStr">
        <is>
          <t>GP Clinic</t>
        </is>
      </c>
      <c r="E549" s="2" t="n">
        <v>45566</v>
      </c>
      <c r="F549" s="2" t="n">
        <v>46660</v>
      </c>
      <c r="G549" s="3" t="n">
        <v>4060</v>
      </c>
      <c r="H549">
        <f>VLOOKUP(B549,Units!$A$2:$G$1646,2,FALSE)</f>
        <v/>
      </c>
      <c r="I549">
        <f>VLOOKUP(B549,Units!$A$2:$G$1646,5,FALSE)</f>
        <v/>
      </c>
      <c r="J549" s="3">
        <f>G549/I549</f>
        <v/>
      </c>
      <c r="K549" s="3">
        <f>G549*12</f>
        <v/>
      </c>
      <c r="L549" s="3" t="n">
        <v>12180</v>
      </c>
    </row>
    <row r="550">
      <c r="A550" t="inlineStr">
        <is>
          <t>TA-2024-00624</t>
        </is>
      </c>
      <c r="B550" t="inlineStr">
        <is>
          <t>U-CD118-01-21</t>
        </is>
      </c>
      <c r="C550" t="inlineStr">
        <is>
          <t>New Life Learning Centre</t>
        </is>
      </c>
      <c r="D550" t="inlineStr">
        <is>
          <t>Tuition Centre</t>
        </is>
      </c>
      <c r="E550" s="2" t="n">
        <v>45566</v>
      </c>
      <c r="F550" s="2" t="n">
        <v>46660</v>
      </c>
      <c r="G550" s="3" t="n">
        <v>3550</v>
      </c>
      <c r="H550">
        <f>VLOOKUP(B550,Units!$A$2:$G$1646,2,FALSE)</f>
        <v/>
      </c>
      <c r="I550">
        <f>VLOOKUP(B550,Units!$A$2:$G$1646,5,FALSE)</f>
        <v/>
      </c>
      <c r="J550" s="3">
        <f>G550/I550</f>
        <v/>
      </c>
      <c r="K550" s="3">
        <f>G550*12</f>
        <v/>
      </c>
      <c r="L550" s="3" t="n">
        <v>10650</v>
      </c>
    </row>
    <row r="551">
      <c r="A551" t="inlineStr">
        <is>
          <t>TA-2024-00625</t>
        </is>
      </c>
      <c r="B551" t="inlineStr">
        <is>
          <t>U-CD119-02-07</t>
        </is>
      </c>
      <c r="C551" t="inlineStr">
        <is>
          <t>Lakshmi Accounting Services Pte Ltd</t>
        </is>
      </c>
      <c r="D551" t="inlineStr">
        <is>
          <t>Professional Services Office</t>
        </is>
      </c>
      <c r="E551" s="2" t="n">
        <v>45566</v>
      </c>
      <c r="F551" s="2" t="n">
        <v>46660</v>
      </c>
      <c r="G551" s="3" t="n">
        <v>2410</v>
      </c>
      <c r="H551">
        <f>VLOOKUP(B551,Units!$A$2:$G$1646,2,FALSE)</f>
        <v/>
      </c>
      <c r="I551">
        <f>VLOOKUP(B551,Units!$A$2:$G$1646,5,FALSE)</f>
        <v/>
      </c>
      <c r="J551" s="3">
        <f>G551/I551</f>
        <v/>
      </c>
      <c r="K551" s="3">
        <f>G551*12</f>
        <v/>
      </c>
      <c r="L551" s="3" t="n">
        <v>7230</v>
      </c>
    </row>
    <row r="552">
      <c r="A552" t="inlineStr">
        <is>
          <t>TA-2024-00626</t>
        </is>
      </c>
      <c r="B552" t="inlineStr">
        <is>
          <t>U-CD131-02-06</t>
        </is>
      </c>
      <c r="C552" t="inlineStr">
        <is>
          <t>Bayu Learning Centre Pte Ltd</t>
        </is>
      </c>
      <c r="D552" t="inlineStr">
        <is>
          <t>Tuition Centre</t>
        </is>
      </c>
      <c r="E552" s="2" t="n">
        <v>45566</v>
      </c>
      <c r="F552" s="2" t="n">
        <v>46660</v>
      </c>
      <c r="G552" s="3" t="n">
        <v>2050</v>
      </c>
      <c r="H552">
        <f>VLOOKUP(B552,Units!$A$2:$G$1646,2,FALSE)</f>
        <v/>
      </c>
      <c r="I552">
        <f>VLOOKUP(B552,Units!$A$2:$G$1646,5,FALSE)</f>
        <v/>
      </c>
      <c r="J552" s="3">
        <f>G552/I552</f>
        <v/>
      </c>
      <c r="K552" s="3">
        <f>G552*12</f>
        <v/>
      </c>
      <c r="L552" s="3" t="n">
        <v>6150</v>
      </c>
    </row>
    <row r="553">
      <c r="A553" t="inlineStr">
        <is>
          <t>TA-2024-00628</t>
        </is>
      </c>
      <c r="B553" t="inlineStr">
        <is>
          <t>U-CD133-02-11</t>
        </is>
      </c>
      <c r="C553" t="inlineStr">
        <is>
          <t>Old Town Medical Hall</t>
        </is>
      </c>
      <c r="D553" t="inlineStr">
        <is>
          <t>TCM Clinic</t>
        </is>
      </c>
      <c r="E553" s="2" t="n">
        <v>45566</v>
      </c>
      <c r="F553" s="2" t="n">
        <v>46660</v>
      </c>
      <c r="G553" s="3" t="n">
        <v>2770</v>
      </c>
      <c r="H553">
        <f>VLOOKUP(B553,Units!$A$2:$G$1646,2,FALSE)</f>
        <v/>
      </c>
      <c r="I553">
        <f>VLOOKUP(B553,Units!$A$2:$G$1646,5,FALSE)</f>
        <v/>
      </c>
      <c r="J553" s="3">
        <f>G553/I553</f>
        <v/>
      </c>
      <c r="K553" s="3">
        <f>G553*12</f>
        <v/>
      </c>
      <c r="L553" s="3" t="n">
        <v>8310</v>
      </c>
    </row>
    <row r="554">
      <c r="A554" t="inlineStr">
        <is>
          <t>TA-2024-00630</t>
        </is>
      </c>
      <c r="B554" t="inlineStr">
        <is>
          <t>U-CD143-01-03</t>
        </is>
      </c>
      <c r="C554" t="inlineStr">
        <is>
          <t>New Life Bubble Tea</t>
        </is>
      </c>
      <c r="D554" t="inlineStr">
        <is>
          <t>Bubble Tea</t>
        </is>
      </c>
      <c r="E554" s="2" t="n">
        <v>45566</v>
      </c>
      <c r="F554" s="2" t="n">
        <v>46660</v>
      </c>
      <c r="G554" s="3" t="n">
        <v>2250</v>
      </c>
      <c r="H554">
        <f>VLOOKUP(B554,Units!$A$2:$G$1646,2,FALSE)</f>
        <v/>
      </c>
      <c r="I554">
        <f>VLOOKUP(B554,Units!$A$2:$G$1646,5,FALSE)</f>
        <v/>
      </c>
      <c r="J554" s="3">
        <f>G554/I554</f>
        <v/>
      </c>
      <c r="K554" s="3">
        <f>G554*12</f>
        <v/>
      </c>
      <c r="L554" s="3" t="n">
        <v>6750</v>
      </c>
    </row>
    <row r="555">
      <c r="A555" t="inlineStr">
        <is>
          <t>TA-2024-00631</t>
        </is>
      </c>
      <c r="B555" t="inlineStr">
        <is>
          <t>U-CD173-01-04</t>
        </is>
      </c>
      <c r="C555" t="inlineStr">
        <is>
          <t>Smart Kids Beauty &amp; Hair</t>
        </is>
      </c>
      <c r="D555" t="inlineStr">
        <is>
          <t>Hair Salon</t>
        </is>
      </c>
      <c r="E555" s="2" t="n">
        <v>45566</v>
      </c>
      <c r="F555" s="2" t="n">
        <v>46660</v>
      </c>
      <c r="G555" s="3" t="n">
        <v>2740</v>
      </c>
      <c r="H555">
        <f>VLOOKUP(B555,Units!$A$2:$G$1646,2,FALSE)</f>
        <v/>
      </c>
      <c r="I555">
        <f>VLOOKUP(B555,Units!$A$2:$G$1646,5,FALSE)</f>
        <v/>
      </c>
      <c r="J555" s="3">
        <f>G555/I555</f>
        <v/>
      </c>
      <c r="K555" s="3">
        <f>G555*12</f>
        <v/>
      </c>
      <c r="L555" s="3" t="n">
        <v>8220</v>
      </c>
    </row>
    <row r="556">
      <c r="A556" t="inlineStr">
        <is>
          <t>TA-2024-00632</t>
        </is>
      </c>
      <c r="B556" t="inlineStr">
        <is>
          <t>U-CD173-01-09</t>
        </is>
      </c>
      <c r="C556" t="inlineStr">
        <is>
          <t>Raja Hardware &amp; Electrical Pte Ltd</t>
        </is>
      </c>
      <c r="D556" t="inlineStr">
        <is>
          <t>Hardware</t>
        </is>
      </c>
      <c r="E556" s="2" t="n">
        <v>45566</v>
      </c>
      <c r="F556" s="2" t="n">
        <v>46660</v>
      </c>
      <c r="G556" s="3" t="n">
        <v>5420</v>
      </c>
      <c r="H556">
        <f>VLOOKUP(B556,Units!$A$2:$G$1646,2,FALSE)</f>
        <v/>
      </c>
      <c r="I556">
        <f>VLOOKUP(B556,Units!$A$2:$G$1646,5,FALSE)</f>
        <v/>
      </c>
      <c r="J556" s="3">
        <f>G556/I556</f>
        <v/>
      </c>
      <c r="K556" s="3">
        <f>G556*12</f>
        <v/>
      </c>
      <c r="L556" s="3" t="n">
        <v>16260</v>
      </c>
    </row>
    <row r="557">
      <c r="A557" t="inlineStr">
        <is>
          <t>TA-2024-00633</t>
        </is>
      </c>
      <c r="B557" t="inlineStr">
        <is>
          <t>U-CD185-01-09</t>
        </is>
      </c>
      <c r="C557" t="inlineStr">
        <is>
          <t>Evergreen Eating Place</t>
        </is>
      </c>
      <c r="D557" t="inlineStr">
        <is>
          <t>Restaurant</t>
        </is>
      </c>
      <c r="E557" s="2" t="n">
        <v>45566</v>
      </c>
      <c r="F557" s="2" t="n">
        <v>46660</v>
      </c>
      <c r="G557" s="3" t="n">
        <v>5160</v>
      </c>
      <c r="H557">
        <f>VLOOKUP(B557,Units!$A$2:$G$1646,2,FALSE)</f>
        <v/>
      </c>
      <c r="I557">
        <f>VLOOKUP(B557,Units!$A$2:$G$1646,5,FALSE)</f>
        <v/>
      </c>
      <c r="J557" s="3">
        <f>G557/I557</f>
        <v/>
      </c>
      <c r="K557" s="3">
        <f>G557*12</f>
        <v/>
      </c>
      <c r="L557" s="3" t="n">
        <v>15480</v>
      </c>
    </row>
    <row r="558">
      <c r="A558" t="inlineStr">
        <is>
          <t>TA-2024-00635</t>
        </is>
      </c>
      <c r="B558" t="inlineStr">
        <is>
          <t>U-KR305-01-16</t>
        </is>
      </c>
      <c r="C558" t="inlineStr">
        <is>
          <t>Kim Hiap Telecom</t>
        </is>
      </c>
      <c r="D558" t="inlineStr">
        <is>
          <t>Mobile Phone &amp; Accessories</t>
        </is>
      </c>
      <c r="E558" s="2" t="n">
        <v>45566</v>
      </c>
      <c r="F558" s="2" t="n">
        <v>46660</v>
      </c>
      <c r="G558" s="3" t="n">
        <v>4510</v>
      </c>
      <c r="H558">
        <f>VLOOKUP(B558,Units!$A$2:$G$1646,2,FALSE)</f>
        <v/>
      </c>
      <c r="I558">
        <f>VLOOKUP(B558,Units!$A$2:$G$1646,5,FALSE)</f>
        <v/>
      </c>
      <c r="J558" s="3">
        <f>G558/I558</f>
        <v/>
      </c>
      <c r="K558" s="3">
        <f>G558*12</f>
        <v/>
      </c>
      <c r="L558" s="3" t="n">
        <v>13530</v>
      </c>
    </row>
    <row r="559">
      <c r="A559" t="inlineStr">
        <is>
          <t>TA-2024-00636</t>
        </is>
      </c>
      <c r="B559" t="inlineStr">
        <is>
          <t>U-KR318-02-07</t>
        </is>
      </c>
      <c r="C559" t="inlineStr">
        <is>
          <t>Soon Hin Kindergarten Pte Ltd</t>
        </is>
      </c>
      <c r="D559" t="inlineStr">
        <is>
          <t>Childcare Centre</t>
        </is>
      </c>
      <c r="E559" s="2" t="n">
        <v>45566</v>
      </c>
      <c r="F559" s="2" t="n">
        <v>46660</v>
      </c>
      <c r="G559" s="3" t="n">
        <v>4520</v>
      </c>
      <c r="H559">
        <f>VLOOKUP(B559,Units!$A$2:$G$1646,2,FALSE)</f>
        <v/>
      </c>
      <c r="I559">
        <f>VLOOKUP(B559,Units!$A$2:$G$1646,5,FALSE)</f>
        <v/>
      </c>
      <c r="J559" s="3">
        <f>G559/I559</f>
        <v/>
      </c>
      <c r="K559" s="3">
        <f>G559*12</f>
        <v/>
      </c>
      <c r="L559" s="3" t="n">
        <v>13560</v>
      </c>
    </row>
    <row r="560">
      <c r="A560" t="inlineStr">
        <is>
          <t>TA-2024-00637</t>
        </is>
      </c>
      <c r="B560" t="inlineStr">
        <is>
          <t>U-KR333-02-10</t>
        </is>
      </c>
      <c r="C560" t="inlineStr">
        <is>
          <t>Bayu Kindergarten</t>
        </is>
      </c>
      <c r="D560" t="inlineStr">
        <is>
          <t>Childcare Centre</t>
        </is>
      </c>
      <c r="E560" s="2" t="n">
        <v>45566</v>
      </c>
      <c r="F560" s="2" t="n">
        <v>46660</v>
      </c>
      <c r="G560" s="3" t="n">
        <v>2550</v>
      </c>
      <c r="H560">
        <f>VLOOKUP(B560,Units!$A$2:$G$1646,2,FALSE)</f>
        <v/>
      </c>
      <c r="I560">
        <f>VLOOKUP(B560,Units!$A$2:$G$1646,5,FALSE)</f>
        <v/>
      </c>
      <c r="J560" s="3">
        <f>G560/I560</f>
        <v/>
      </c>
      <c r="K560" s="3">
        <f>G560*12</f>
        <v/>
      </c>
      <c r="L560" s="3" t="n">
        <v>7650</v>
      </c>
    </row>
    <row r="561">
      <c r="A561" t="inlineStr">
        <is>
          <t>TA-2024-00639</t>
        </is>
      </c>
      <c r="B561" t="inlineStr">
        <is>
          <t>U-KR356-01-09</t>
        </is>
      </c>
      <c r="C561" t="inlineStr">
        <is>
          <t>Fortune Mart Pte Ltd</t>
        </is>
      </c>
      <c r="D561" t="inlineStr">
        <is>
          <t>Minimart</t>
        </is>
      </c>
      <c r="E561" s="2" t="n">
        <v>45566</v>
      </c>
      <c r="F561" s="2" t="n">
        <v>46660</v>
      </c>
      <c r="G561" s="3" t="n">
        <v>4600</v>
      </c>
      <c r="H561">
        <f>VLOOKUP(B561,Units!$A$2:$G$1646,2,FALSE)</f>
        <v/>
      </c>
      <c r="I561">
        <f>VLOOKUP(B561,Units!$A$2:$G$1646,5,FALSE)</f>
        <v/>
      </c>
      <c r="J561" s="3">
        <f>G561/I561</f>
        <v/>
      </c>
      <c r="K561" s="3">
        <f>G561*12</f>
        <v/>
      </c>
      <c r="L561" s="3" t="n">
        <v>13800</v>
      </c>
    </row>
    <row r="562">
      <c r="A562" t="inlineStr">
        <is>
          <t>TA-2024-00640</t>
        </is>
      </c>
      <c r="B562" t="inlineStr">
        <is>
          <t>U-KR372-01-08</t>
        </is>
      </c>
      <c r="C562" t="inlineStr">
        <is>
          <t>Mei Ling Medical Clinic</t>
        </is>
      </c>
      <c r="D562" t="inlineStr">
        <is>
          <t>GP Clinic</t>
        </is>
      </c>
      <c r="E562" s="2" t="n">
        <v>45566</v>
      </c>
      <c r="F562" s="2" t="n">
        <v>46660</v>
      </c>
      <c r="G562" s="3" t="n">
        <v>3210</v>
      </c>
      <c r="H562">
        <f>VLOOKUP(B562,Units!$A$2:$G$1646,2,FALSE)</f>
        <v/>
      </c>
      <c r="I562">
        <f>VLOOKUP(B562,Units!$A$2:$G$1646,5,FALSE)</f>
        <v/>
      </c>
      <c r="J562" s="3">
        <f>G562/I562</f>
        <v/>
      </c>
      <c r="K562" s="3">
        <f>G562*12</f>
        <v/>
      </c>
      <c r="L562" s="3" t="n">
        <v>9630</v>
      </c>
    </row>
    <row r="563">
      <c r="A563" t="inlineStr">
        <is>
          <t>TA-2024-00641</t>
        </is>
      </c>
      <c r="B563" t="inlineStr">
        <is>
          <t>U-KR379-01-04</t>
        </is>
      </c>
      <c r="C563" t="inlineStr">
        <is>
          <t>Little Sprouts Fruits</t>
        </is>
      </c>
      <c r="D563" t="inlineStr">
        <is>
          <t>Fruit Shop</t>
        </is>
      </c>
      <c r="E563" s="2" t="n">
        <v>45566</v>
      </c>
      <c r="F563" s="2" t="n">
        <v>46660</v>
      </c>
      <c r="G563" s="3" t="n">
        <v>5300</v>
      </c>
      <c r="H563">
        <f>VLOOKUP(B563,Units!$A$2:$G$1646,2,FALSE)</f>
        <v/>
      </c>
      <c r="I563">
        <f>VLOOKUP(B563,Units!$A$2:$G$1646,5,FALSE)</f>
        <v/>
      </c>
      <c r="J563" s="3">
        <f>G563/I563</f>
        <v/>
      </c>
      <c r="K563" s="3">
        <f>G563*12</f>
        <v/>
      </c>
      <c r="L563" s="3" t="n">
        <v>15900</v>
      </c>
    </row>
    <row r="564">
      <c r="A564" t="inlineStr">
        <is>
          <t>TA-2024-00642</t>
        </is>
      </c>
      <c r="B564" t="inlineStr">
        <is>
          <t>U-PI606-01-03</t>
        </is>
      </c>
      <c r="C564" t="inlineStr">
        <is>
          <t>Kian Huat Mobile Pte Ltd</t>
        </is>
      </c>
      <c r="D564" t="inlineStr">
        <is>
          <t>Mobile Phone &amp; Accessories</t>
        </is>
      </c>
      <c r="E564" s="2" t="n">
        <v>45566</v>
      </c>
      <c r="F564" s="2" t="n">
        <v>46660</v>
      </c>
      <c r="G564" s="3" t="n">
        <v>3920</v>
      </c>
      <c r="H564">
        <f>VLOOKUP(B564,Units!$A$2:$G$1646,2,FALSE)</f>
        <v/>
      </c>
      <c r="I564">
        <f>VLOOKUP(B564,Units!$A$2:$G$1646,5,FALSE)</f>
        <v/>
      </c>
      <c r="J564" s="3">
        <f>G564/I564</f>
        <v/>
      </c>
      <c r="K564" s="3">
        <f>G564*12</f>
        <v/>
      </c>
      <c r="L564" s="3" t="n">
        <v>11760</v>
      </c>
    </row>
    <row r="565">
      <c r="A565" t="inlineStr">
        <is>
          <t>TA-2024-00643</t>
        </is>
      </c>
      <c r="B565" t="inlineStr">
        <is>
          <t>U-PI609-01-05</t>
        </is>
      </c>
      <c r="C565" t="inlineStr">
        <is>
          <t>Phoenix Supermarket Pte Ltd</t>
        </is>
      </c>
      <c r="D565" t="inlineStr">
        <is>
          <t>Minimart</t>
        </is>
      </c>
      <c r="E565" s="2" t="n">
        <v>45566</v>
      </c>
      <c r="F565" s="2" t="n">
        <v>46660</v>
      </c>
      <c r="G565" s="3" t="n">
        <v>4510</v>
      </c>
      <c r="H565">
        <f>VLOOKUP(B565,Units!$A$2:$G$1646,2,FALSE)</f>
        <v/>
      </c>
      <c r="I565">
        <f>VLOOKUP(B565,Units!$A$2:$G$1646,5,FALSE)</f>
        <v/>
      </c>
      <c r="J565" s="3">
        <f>G565/I565</f>
        <v/>
      </c>
      <c r="K565" s="3">
        <f>G565*12</f>
        <v/>
      </c>
      <c r="L565" s="3" t="n">
        <v>13530</v>
      </c>
    </row>
    <row r="566">
      <c r="A566" t="inlineStr">
        <is>
          <t>TA-2024-00645</t>
        </is>
      </c>
      <c r="B566" t="inlineStr">
        <is>
          <t>U-PI615-01-06</t>
        </is>
      </c>
      <c r="C566" t="inlineStr">
        <is>
          <t>PrimeValue Mart Pte Ltd</t>
        </is>
      </c>
      <c r="D566" t="inlineStr">
        <is>
          <t>Minimart</t>
        </is>
      </c>
      <c r="E566" s="2" t="n">
        <v>45566</v>
      </c>
      <c r="F566" s="2" t="n">
        <v>46660</v>
      </c>
      <c r="G566" s="3" t="n">
        <v>3620</v>
      </c>
      <c r="H566">
        <f>VLOOKUP(B566,Units!$A$2:$G$1646,2,FALSE)</f>
        <v/>
      </c>
      <c r="I566">
        <f>VLOOKUP(B566,Units!$A$2:$G$1646,5,FALSE)</f>
        <v/>
      </c>
      <c r="J566" s="3">
        <f>G566/I566</f>
        <v/>
      </c>
      <c r="K566" s="3">
        <f>G566*12</f>
        <v/>
      </c>
      <c r="L566" s="3" t="n">
        <v>10860</v>
      </c>
    </row>
    <row r="567">
      <c r="A567" t="inlineStr">
        <is>
          <t>TA-2024-00647</t>
        </is>
      </c>
      <c r="B567" t="inlineStr">
        <is>
          <t>U-PI626-01-09</t>
        </is>
      </c>
      <c r="C567" t="inlineStr">
        <is>
          <t>Fortune TCM Clinic</t>
        </is>
      </c>
      <c r="D567" t="inlineStr">
        <is>
          <t>TCM Clinic</t>
        </is>
      </c>
      <c r="E567" s="2" t="n">
        <v>45566</v>
      </c>
      <c r="F567" s="2" t="n">
        <v>46660</v>
      </c>
      <c r="G567" s="3" t="n">
        <v>3180</v>
      </c>
      <c r="H567">
        <f>VLOOKUP(B567,Units!$A$2:$G$1646,2,FALSE)</f>
        <v/>
      </c>
      <c r="I567">
        <f>VLOOKUP(B567,Units!$A$2:$G$1646,5,FALSE)</f>
        <v/>
      </c>
      <c r="J567" s="3">
        <f>G567/I567</f>
        <v/>
      </c>
      <c r="K567" s="3">
        <f>G567*12</f>
        <v/>
      </c>
      <c r="L567" s="3" t="n">
        <v>9540</v>
      </c>
    </row>
    <row r="568">
      <c r="A568" t="inlineStr">
        <is>
          <t>TA-2024-00648</t>
        </is>
      </c>
      <c r="B568" t="inlineStr">
        <is>
          <t>U-PI627-01-08</t>
        </is>
      </c>
      <c r="C568" t="inlineStr">
        <is>
          <t>Mutiara Provision Shop</t>
        </is>
      </c>
      <c r="D568" t="inlineStr">
        <is>
          <t>Provision Shop</t>
        </is>
      </c>
      <c r="E568" s="2" t="n">
        <v>45566</v>
      </c>
      <c r="F568" s="2" t="n">
        <v>46660</v>
      </c>
      <c r="G568" s="3" t="n">
        <v>3900</v>
      </c>
      <c r="H568">
        <f>VLOOKUP(B568,Units!$A$2:$G$1646,2,FALSE)</f>
        <v/>
      </c>
      <c r="I568">
        <f>VLOOKUP(B568,Units!$A$2:$G$1646,5,FALSE)</f>
        <v/>
      </c>
      <c r="J568" s="3">
        <f>G568/I568</f>
        <v/>
      </c>
      <c r="K568" s="3">
        <f>G568*12</f>
        <v/>
      </c>
      <c r="L568" s="3" t="n">
        <v>11700</v>
      </c>
    </row>
    <row r="569">
      <c r="A569" t="inlineStr">
        <is>
          <t>TA-2024-00649</t>
        </is>
      </c>
      <c r="B569" t="inlineStr">
        <is>
          <t>U-PI634-01-05</t>
        </is>
      </c>
      <c r="C569" t="inlineStr">
        <is>
          <t>Tan Brothers Mart Pte Ltd</t>
        </is>
      </c>
      <c r="D569" t="inlineStr">
        <is>
          <t>Minimart</t>
        </is>
      </c>
      <c r="E569" s="2" t="n">
        <v>45566</v>
      </c>
      <c r="F569" s="2" t="n">
        <v>46660</v>
      </c>
      <c r="G569" s="3" t="n">
        <v>2750</v>
      </c>
      <c r="H569">
        <f>VLOOKUP(B569,Units!$A$2:$G$1646,2,FALSE)</f>
        <v/>
      </c>
      <c r="I569">
        <f>VLOOKUP(B569,Units!$A$2:$G$1646,5,FALSE)</f>
        <v/>
      </c>
      <c r="J569" s="3">
        <f>G569/I569</f>
        <v/>
      </c>
      <c r="K569" s="3">
        <f>G569*12</f>
        <v/>
      </c>
      <c r="L569" s="3" t="n">
        <v>8250</v>
      </c>
    </row>
    <row r="570">
      <c r="A570" t="inlineStr">
        <is>
          <t>TA-2024-00650</t>
        </is>
      </c>
      <c r="B570" t="inlineStr">
        <is>
          <t>U-PI644-02-05</t>
        </is>
      </c>
      <c r="C570" t="inlineStr">
        <is>
          <t>Sin Hock Consultancy</t>
        </is>
      </c>
      <c r="D570" t="inlineStr">
        <is>
          <t>Professional Services Office</t>
        </is>
      </c>
      <c r="E570" s="2" t="n">
        <v>45566</v>
      </c>
      <c r="F570" s="2" t="n">
        <v>46660</v>
      </c>
      <c r="G570" s="3" t="n">
        <v>1620</v>
      </c>
      <c r="H570">
        <f>VLOOKUP(B570,Units!$A$2:$G$1646,2,FALSE)</f>
        <v/>
      </c>
      <c r="I570">
        <f>VLOOKUP(B570,Units!$A$2:$G$1646,5,FALSE)</f>
        <v/>
      </c>
      <c r="J570" s="3">
        <f>G570/I570</f>
        <v/>
      </c>
      <c r="K570" s="3">
        <f>G570*12</f>
        <v/>
      </c>
      <c r="L570" s="3" t="n">
        <v>4860</v>
      </c>
    </row>
    <row r="571">
      <c r="A571" t="inlineStr">
        <is>
          <t>TA-2024-00651</t>
        </is>
      </c>
      <c r="B571" t="inlineStr">
        <is>
          <t>U-PI679-01-08</t>
        </is>
      </c>
      <c r="C571" t="inlineStr">
        <is>
          <t>Amanah Hair Salon</t>
        </is>
      </c>
      <c r="D571" t="inlineStr">
        <is>
          <t>Hair Salon</t>
        </is>
      </c>
      <c r="E571" s="2" t="n">
        <v>45566</v>
      </c>
      <c r="F571" s="2" t="n">
        <v>46660</v>
      </c>
      <c r="G571" s="3" t="n">
        <v>2310</v>
      </c>
      <c r="H571">
        <f>VLOOKUP(B571,Units!$A$2:$G$1646,2,FALSE)</f>
        <v/>
      </c>
      <c r="I571">
        <f>VLOOKUP(B571,Units!$A$2:$G$1646,5,FALSE)</f>
        <v/>
      </c>
      <c r="J571" s="3">
        <f>G571/I571</f>
        <v/>
      </c>
      <c r="K571" s="3">
        <f>G571*12</f>
        <v/>
      </c>
      <c r="L571" s="3" t="n">
        <v>6930</v>
      </c>
    </row>
    <row r="572">
      <c r="A572" t="inlineStr">
        <is>
          <t>TA-2024-00653</t>
        </is>
      </c>
      <c r="B572" t="inlineStr">
        <is>
          <t>U-PI684-01-04</t>
        </is>
      </c>
      <c r="C572" t="inlineStr">
        <is>
          <t>Thye Hin Optical Pte Ltd</t>
        </is>
      </c>
      <c r="D572" t="inlineStr">
        <is>
          <t>Optical</t>
        </is>
      </c>
      <c r="E572" s="2" t="n">
        <v>45566</v>
      </c>
      <c r="F572" s="2" t="n">
        <v>46660</v>
      </c>
      <c r="G572" s="3" t="n">
        <v>3340</v>
      </c>
      <c r="H572">
        <f>VLOOKUP(B572,Units!$A$2:$G$1646,2,FALSE)</f>
        <v/>
      </c>
      <c r="I572">
        <f>VLOOKUP(B572,Units!$A$2:$G$1646,5,FALSE)</f>
        <v/>
      </c>
      <c r="J572" s="3">
        <f>G572/I572</f>
        <v/>
      </c>
      <c r="K572" s="3">
        <f>G572*12</f>
        <v/>
      </c>
      <c r="L572" s="3" t="n">
        <v>10020</v>
      </c>
    </row>
    <row r="573">
      <c r="A573" t="inlineStr">
        <is>
          <t>TA-2024-00655</t>
        </is>
      </c>
      <c r="B573" t="inlineStr">
        <is>
          <t>U-PI693-01-01</t>
        </is>
      </c>
      <c r="C573" t="inlineStr">
        <is>
          <t>Kampung Mobile Pte Ltd</t>
        </is>
      </c>
      <c r="D573" t="inlineStr">
        <is>
          <t>Mobile Phone &amp; Accessories</t>
        </is>
      </c>
      <c r="E573" s="2" t="n">
        <v>45566</v>
      </c>
      <c r="F573" s="2" t="n">
        <v>46660</v>
      </c>
      <c r="G573" s="3" t="n">
        <v>1640</v>
      </c>
      <c r="H573">
        <f>VLOOKUP(B573,Units!$A$2:$G$1646,2,FALSE)</f>
        <v/>
      </c>
      <c r="I573">
        <f>VLOOKUP(B573,Units!$A$2:$G$1646,5,FALSE)</f>
        <v/>
      </c>
      <c r="J573" s="3">
        <f>G573/I573</f>
        <v/>
      </c>
      <c r="K573" s="3">
        <f>G573*12</f>
        <v/>
      </c>
      <c r="L573" s="3" t="n">
        <v>4920</v>
      </c>
    </row>
    <row r="574">
      <c r="A574" t="inlineStr">
        <is>
          <t>TA-2024-00657</t>
        </is>
      </c>
      <c r="B574" t="inlineStr">
        <is>
          <t>U-PI693-01-03</t>
        </is>
      </c>
      <c r="C574" t="inlineStr">
        <is>
          <t>Kumar Telecom</t>
        </is>
      </c>
      <c r="D574" t="inlineStr">
        <is>
          <t>Mobile Phone &amp; Accessories</t>
        </is>
      </c>
      <c r="E574" s="2" t="n">
        <v>45566</v>
      </c>
      <c r="F574" s="2" t="n">
        <v>46660</v>
      </c>
      <c r="G574" s="3" t="n">
        <v>1360</v>
      </c>
      <c r="H574">
        <f>VLOOKUP(B574,Units!$A$2:$G$1646,2,FALSE)</f>
        <v/>
      </c>
      <c r="I574">
        <f>VLOOKUP(B574,Units!$A$2:$G$1646,5,FALSE)</f>
        <v/>
      </c>
      <c r="J574" s="3">
        <f>G574/I574</f>
        <v/>
      </c>
      <c r="K574" s="3">
        <f>G574*12</f>
        <v/>
      </c>
      <c r="L574" s="3" t="n">
        <v>4080</v>
      </c>
    </row>
    <row r="575">
      <c r="A575" t="inlineStr">
        <is>
          <t>TA-2024-00658</t>
        </is>
      </c>
      <c r="B575" t="inlineStr">
        <is>
          <t>U-RH450-01-07</t>
        </is>
      </c>
      <c r="C575" t="inlineStr">
        <is>
          <t>Tian Fu Minimart Pte Ltd</t>
        </is>
      </c>
      <c r="D575" t="inlineStr">
        <is>
          <t>Minimart</t>
        </is>
      </c>
      <c r="E575" s="2" t="n">
        <v>45566</v>
      </c>
      <c r="F575" s="2" t="n">
        <v>46660</v>
      </c>
      <c r="G575" s="3" t="n">
        <v>3900</v>
      </c>
      <c r="H575">
        <f>VLOOKUP(B575,Units!$A$2:$G$1646,2,FALSE)</f>
        <v/>
      </c>
      <c r="I575">
        <f>VLOOKUP(B575,Units!$A$2:$G$1646,5,FALSE)</f>
        <v/>
      </c>
      <c r="J575" s="3">
        <f>G575/I575</f>
        <v/>
      </c>
      <c r="K575" s="3">
        <f>G575*12</f>
        <v/>
      </c>
      <c r="L575" s="3" t="n">
        <v>11700</v>
      </c>
    </row>
    <row r="576">
      <c r="A576" t="inlineStr">
        <is>
          <t>TA-2024-00660</t>
        </is>
      </c>
      <c r="B576" t="inlineStr">
        <is>
          <t>U-RH456-01-01</t>
        </is>
      </c>
      <c r="C576" t="inlineStr">
        <is>
          <t>Ah Seng Medical Supplies Pte Ltd</t>
        </is>
      </c>
      <c r="D576" t="inlineStr">
        <is>
          <t>Pharmacy</t>
        </is>
      </c>
      <c r="E576" s="2" t="n">
        <v>45566</v>
      </c>
      <c r="F576" s="2" t="n">
        <v>46660</v>
      </c>
      <c r="G576" s="3" t="n">
        <v>2220</v>
      </c>
      <c r="H576">
        <f>VLOOKUP(B576,Units!$A$2:$G$1646,2,FALSE)</f>
        <v/>
      </c>
      <c r="I576">
        <f>VLOOKUP(B576,Units!$A$2:$G$1646,5,FALSE)</f>
        <v/>
      </c>
      <c r="J576" s="3">
        <f>G576/I576</f>
        <v/>
      </c>
      <c r="K576" s="3">
        <f>G576*12</f>
        <v/>
      </c>
      <c r="L576" s="3" t="n">
        <v>6660</v>
      </c>
    </row>
    <row r="577">
      <c r="A577" t="inlineStr">
        <is>
          <t>TA-2024-00661</t>
        </is>
      </c>
      <c r="B577" t="inlineStr">
        <is>
          <t>U-RH456-01-07</t>
        </is>
      </c>
      <c r="C577" t="inlineStr">
        <is>
          <t>Evergreen Learning Centre Pte Ltd</t>
        </is>
      </c>
      <c r="D577" t="inlineStr">
        <is>
          <t>Tuition Centre</t>
        </is>
      </c>
      <c r="E577" s="2" t="n">
        <v>45566</v>
      </c>
      <c r="F577" s="2" t="n">
        <v>46660</v>
      </c>
      <c r="G577" s="3" t="n">
        <v>3780</v>
      </c>
      <c r="H577">
        <f>VLOOKUP(B577,Units!$A$2:$G$1646,2,FALSE)</f>
        <v/>
      </c>
      <c r="I577">
        <f>VLOOKUP(B577,Units!$A$2:$G$1646,5,FALSE)</f>
        <v/>
      </c>
      <c r="J577" s="3">
        <f>G577/I577</f>
        <v/>
      </c>
      <c r="K577" s="3">
        <f>G577*12</f>
        <v/>
      </c>
      <c r="L577" s="3" t="n">
        <v>11340</v>
      </c>
    </row>
    <row r="578">
      <c r="A578" t="inlineStr">
        <is>
          <t>TA-2024-00663</t>
        </is>
      </c>
      <c r="B578" t="inlineStr">
        <is>
          <t>U-RH482-02-03</t>
        </is>
      </c>
      <c r="C578" t="inlineStr">
        <is>
          <t>Joo Chiat Dental Care</t>
        </is>
      </c>
      <c r="D578" t="inlineStr">
        <is>
          <t>Dental Clinic</t>
        </is>
      </c>
      <c r="E578" s="2" t="n">
        <v>45566</v>
      </c>
      <c r="F578" s="2" t="n">
        <v>46660</v>
      </c>
      <c r="G578" s="3" t="n">
        <v>1990</v>
      </c>
      <c r="H578">
        <f>VLOOKUP(B578,Units!$A$2:$G$1646,2,FALSE)</f>
        <v/>
      </c>
      <c r="I578">
        <f>VLOOKUP(B578,Units!$A$2:$G$1646,5,FALSE)</f>
        <v/>
      </c>
      <c r="J578" s="3">
        <f>G578/I578</f>
        <v/>
      </c>
      <c r="K578" s="3">
        <f>G578*12</f>
        <v/>
      </c>
      <c r="L578" s="3" t="n">
        <v>5970</v>
      </c>
    </row>
    <row r="579">
      <c r="A579" t="inlineStr">
        <is>
          <t>TA-2024-00664</t>
        </is>
      </c>
      <c r="B579" t="inlineStr">
        <is>
          <t>U-RH485-01-07</t>
        </is>
      </c>
      <c r="C579" t="inlineStr">
        <is>
          <t>Bloom Education Hub Pte Ltd</t>
        </is>
      </c>
      <c r="D579" t="inlineStr">
        <is>
          <t>Tuition Centre</t>
        </is>
      </c>
      <c r="E579" s="2" t="n">
        <v>45566</v>
      </c>
      <c r="F579" s="2" t="n">
        <v>46660</v>
      </c>
      <c r="G579" s="3" t="n">
        <v>4120</v>
      </c>
      <c r="H579">
        <f>VLOOKUP(B579,Units!$A$2:$G$1646,2,FALSE)</f>
        <v/>
      </c>
      <c r="I579">
        <f>VLOOKUP(B579,Units!$A$2:$G$1646,5,FALSE)</f>
        <v/>
      </c>
      <c r="J579" s="3">
        <f>G579/I579</f>
        <v/>
      </c>
      <c r="K579" s="3">
        <f>G579*12</f>
        <v/>
      </c>
      <c r="L579" s="3" t="n">
        <v>12360</v>
      </c>
    </row>
    <row r="580">
      <c r="A580" t="inlineStr">
        <is>
          <t>TA-2024-00666</t>
        </is>
      </c>
      <c r="B580" t="inlineStr">
        <is>
          <t>U-RH491-01-05</t>
        </is>
      </c>
      <c r="C580" t="inlineStr">
        <is>
          <t>Thye Hin Mart Pte Ltd</t>
        </is>
      </c>
      <c r="D580" t="inlineStr">
        <is>
          <t>Minimart</t>
        </is>
      </c>
      <c r="E580" s="2" t="n">
        <v>45566</v>
      </c>
      <c r="F580" s="2" t="n">
        <v>46660</v>
      </c>
      <c r="G580" s="3" t="n">
        <v>4350</v>
      </c>
      <c r="H580">
        <f>VLOOKUP(B580,Units!$A$2:$G$1646,2,FALSE)</f>
        <v/>
      </c>
      <c r="I580">
        <f>VLOOKUP(B580,Units!$A$2:$G$1646,5,FALSE)</f>
        <v/>
      </c>
      <c r="J580" s="3">
        <f>G580/I580</f>
        <v/>
      </c>
      <c r="K580" s="3">
        <f>G580*12</f>
        <v/>
      </c>
      <c r="L580" s="3" t="n">
        <v>13050</v>
      </c>
    </row>
    <row r="581">
      <c r="A581" t="inlineStr">
        <is>
          <t>TA-2024-00667</t>
        </is>
      </c>
      <c r="B581" t="inlineStr">
        <is>
          <t>U-ST528-01-04</t>
        </is>
      </c>
      <c r="C581" t="inlineStr">
        <is>
          <t>PrimeValue Mart Pte Ltd</t>
        </is>
      </c>
      <c r="D581" t="inlineStr">
        <is>
          <t>Minimart</t>
        </is>
      </c>
      <c r="E581" s="2" t="n">
        <v>45566</v>
      </c>
      <c r="F581" s="2" t="n">
        <v>46660</v>
      </c>
      <c r="G581" s="3" t="n">
        <v>3010</v>
      </c>
      <c r="H581">
        <f>VLOOKUP(B581,Units!$A$2:$G$1646,2,FALSE)</f>
        <v/>
      </c>
      <c r="I581">
        <f>VLOOKUP(B581,Units!$A$2:$G$1646,5,FALSE)</f>
        <v/>
      </c>
      <c r="J581" s="3">
        <f>G581/I581</f>
        <v/>
      </c>
      <c r="K581" s="3">
        <f>G581*12</f>
        <v/>
      </c>
      <c r="L581" s="3" t="n">
        <v>9030</v>
      </c>
    </row>
    <row r="582">
      <c r="A582" t="inlineStr">
        <is>
          <t>TA-2024-00668</t>
        </is>
      </c>
      <c r="B582" t="inlineStr">
        <is>
          <t>U-ST556-02-04</t>
        </is>
      </c>
      <c r="C582" t="inlineStr">
        <is>
          <t>Kian Huat Accounting Services</t>
        </is>
      </c>
      <c r="D582" t="inlineStr">
        <is>
          <t>Professional Services Office</t>
        </is>
      </c>
      <c r="E582" s="2" t="n">
        <v>45566</v>
      </c>
      <c r="F582" s="2" t="n">
        <v>46660</v>
      </c>
      <c r="G582" s="3" t="n">
        <v>2140</v>
      </c>
      <c r="H582">
        <f>VLOOKUP(B582,Units!$A$2:$G$1646,2,FALSE)</f>
        <v/>
      </c>
      <c r="I582">
        <f>VLOOKUP(B582,Units!$A$2:$G$1646,5,FALSE)</f>
        <v/>
      </c>
      <c r="J582" s="3">
        <f>G582/I582</f>
        <v/>
      </c>
      <c r="K582" s="3">
        <f>G582*12</f>
        <v/>
      </c>
      <c r="L582" s="3" t="n">
        <v>6420</v>
      </c>
    </row>
    <row r="583">
      <c r="A583" t="inlineStr">
        <is>
          <t>TA-2024-00669</t>
        </is>
      </c>
      <c r="B583" t="inlineStr">
        <is>
          <t>U-BV212-01-12</t>
        </is>
      </c>
      <c r="C583" t="inlineStr">
        <is>
          <t>Gold Coin Mobile</t>
        </is>
      </c>
      <c r="D583" t="inlineStr">
        <is>
          <t>Mobile Phone &amp; Accessories</t>
        </is>
      </c>
      <c r="E583" s="2" t="n">
        <v>45597</v>
      </c>
      <c r="F583" s="2" t="n">
        <v>46691</v>
      </c>
      <c r="G583" s="3" t="n">
        <v>1540</v>
      </c>
      <c r="H583">
        <f>VLOOKUP(B583,Units!$A$2:$G$1646,2,FALSE)</f>
        <v/>
      </c>
      <c r="I583">
        <f>VLOOKUP(B583,Units!$A$2:$G$1646,5,FALSE)</f>
        <v/>
      </c>
      <c r="J583" s="3">
        <f>G583/I583</f>
        <v/>
      </c>
      <c r="K583" s="3">
        <f>G583*12</f>
        <v/>
      </c>
      <c r="L583" s="3" t="n">
        <v>4620</v>
      </c>
    </row>
    <row r="584">
      <c r="A584" t="inlineStr">
        <is>
          <t>TA-2024-00670</t>
        </is>
      </c>
      <c r="B584" t="inlineStr">
        <is>
          <t>U-BV215-02-04</t>
        </is>
      </c>
      <c r="C584" t="inlineStr">
        <is>
          <t>Hometown Consultancy Pte Ltd</t>
        </is>
      </c>
      <c r="D584" t="inlineStr">
        <is>
          <t>Professional Services Office</t>
        </is>
      </c>
      <c r="E584" s="2" t="n">
        <v>45597</v>
      </c>
      <c r="F584" s="2" t="n">
        <v>46691</v>
      </c>
      <c r="G584" s="3" t="n">
        <v>2570</v>
      </c>
      <c r="H584">
        <f>VLOOKUP(B584,Units!$A$2:$G$1646,2,FALSE)</f>
        <v/>
      </c>
      <c r="I584">
        <f>VLOOKUP(B584,Units!$A$2:$G$1646,5,FALSE)</f>
        <v/>
      </c>
      <c r="J584" s="3">
        <f>G584/I584</f>
        <v/>
      </c>
      <c r="K584" s="3">
        <f>G584*12</f>
        <v/>
      </c>
      <c r="L584" s="3" t="n">
        <v>7710</v>
      </c>
    </row>
    <row r="585">
      <c r="A585" t="inlineStr">
        <is>
          <t>TA-2024-00671</t>
        </is>
      </c>
      <c r="B585" t="inlineStr">
        <is>
          <t>U-BV231-02-09</t>
        </is>
      </c>
      <c r="C585" t="inlineStr">
        <is>
          <t>Soon Hin Accounting Services</t>
        </is>
      </c>
      <c r="D585" t="inlineStr">
        <is>
          <t>Professional Services Office</t>
        </is>
      </c>
      <c r="E585" s="2" t="n">
        <v>45597</v>
      </c>
      <c r="F585" s="2" t="n">
        <v>46691</v>
      </c>
      <c r="G585" s="3" t="n">
        <v>3500</v>
      </c>
      <c r="H585">
        <f>VLOOKUP(B585,Units!$A$2:$G$1646,2,FALSE)</f>
        <v/>
      </c>
      <c r="I585">
        <f>VLOOKUP(B585,Units!$A$2:$G$1646,5,FALSE)</f>
        <v/>
      </c>
      <c r="J585" s="3">
        <f>G585/I585</f>
        <v/>
      </c>
      <c r="K585" s="3">
        <f>G585*12</f>
        <v/>
      </c>
      <c r="L585" s="3" t="n">
        <v>10500</v>
      </c>
    </row>
    <row r="586">
      <c r="A586" t="inlineStr">
        <is>
          <t>TA-2024-00673</t>
        </is>
      </c>
      <c r="B586" t="inlineStr">
        <is>
          <t>U-BV233-01-08</t>
        </is>
      </c>
      <c r="C586" t="inlineStr">
        <is>
          <t>Wisdom Confectionery Pte Ltd</t>
        </is>
      </c>
      <c r="D586" t="inlineStr">
        <is>
          <t>Bakery &amp; Confectionery</t>
        </is>
      </c>
      <c r="E586" s="2" t="n">
        <v>45597</v>
      </c>
      <c r="F586" s="2" t="n">
        <v>46691</v>
      </c>
      <c r="G586" s="3" t="n">
        <v>5190</v>
      </c>
      <c r="H586">
        <f>VLOOKUP(B586,Units!$A$2:$G$1646,2,FALSE)</f>
        <v/>
      </c>
      <c r="I586">
        <f>VLOOKUP(B586,Units!$A$2:$G$1646,5,FALSE)</f>
        <v/>
      </c>
      <c r="J586" s="3">
        <f>G586/I586</f>
        <v/>
      </c>
      <c r="K586" s="3">
        <f>G586*12</f>
        <v/>
      </c>
      <c r="L586" s="3" t="n">
        <v>15570</v>
      </c>
    </row>
    <row r="587">
      <c r="A587" t="inlineStr">
        <is>
          <t>TA-2024-00674</t>
        </is>
      </c>
      <c r="B587" t="inlineStr">
        <is>
          <t>U-BV237-02-04</t>
        </is>
      </c>
      <c r="C587" t="inlineStr">
        <is>
          <t>Soon Hin Learning Centre Pte Ltd</t>
        </is>
      </c>
      <c r="D587" t="inlineStr">
        <is>
          <t>Tuition Centre</t>
        </is>
      </c>
      <c r="E587" s="2" t="n">
        <v>45597</v>
      </c>
      <c r="F587" s="2" t="n">
        <v>46691</v>
      </c>
      <c r="G587" s="3" t="n">
        <v>2310</v>
      </c>
      <c r="H587">
        <f>VLOOKUP(B587,Units!$A$2:$G$1646,2,FALSE)</f>
        <v/>
      </c>
      <c r="I587">
        <f>VLOOKUP(B587,Units!$A$2:$G$1646,5,FALSE)</f>
        <v/>
      </c>
      <c r="J587" s="3">
        <f>G587/I587</f>
        <v/>
      </c>
      <c r="K587" s="3">
        <f>G587*12</f>
        <v/>
      </c>
      <c r="L587" s="3" t="n">
        <v>6930</v>
      </c>
    </row>
    <row r="588">
      <c r="A588" t="inlineStr">
        <is>
          <t>TA-2024-00675</t>
        </is>
      </c>
      <c r="B588" t="inlineStr">
        <is>
          <t>U-BV283-01-06</t>
        </is>
      </c>
      <c r="C588" t="inlineStr">
        <is>
          <t>Kim Hiap Mart Pte Ltd</t>
        </is>
      </c>
      <c r="D588" t="inlineStr">
        <is>
          <t>Minimart</t>
        </is>
      </c>
      <c r="E588" s="2" t="n">
        <v>45597</v>
      </c>
      <c r="F588" s="2" t="n">
        <v>46691</v>
      </c>
      <c r="G588" s="3" t="n">
        <v>4280</v>
      </c>
      <c r="H588">
        <f>VLOOKUP(B588,Units!$A$2:$G$1646,2,FALSE)</f>
        <v/>
      </c>
      <c r="I588">
        <f>VLOOKUP(B588,Units!$A$2:$G$1646,5,FALSE)</f>
        <v/>
      </c>
      <c r="J588" s="3">
        <f>G588/I588</f>
        <v/>
      </c>
      <c r="K588" s="3">
        <f>G588*12</f>
        <v/>
      </c>
      <c r="L588" s="3" t="n">
        <v>12840</v>
      </c>
    </row>
    <row r="589">
      <c r="A589" t="inlineStr">
        <is>
          <t>TA-2024-00676</t>
        </is>
      </c>
      <c r="B589" t="inlineStr">
        <is>
          <t>U-BV290-01-07</t>
        </is>
      </c>
      <c r="C589" t="inlineStr">
        <is>
          <t>Hometown Agency</t>
        </is>
      </c>
      <c r="D589" t="inlineStr">
        <is>
          <t>Professional Services Office</t>
        </is>
      </c>
      <c r="E589" s="2" t="n">
        <v>45597</v>
      </c>
      <c r="F589" s="2" t="n">
        <v>46691</v>
      </c>
      <c r="G589" s="3" t="n">
        <v>1870</v>
      </c>
      <c r="H589">
        <f>VLOOKUP(B589,Units!$A$2:$G$1646,2,FALSE)</f>
        <v/>
      </c>
      <c r="I589">
        <f>VLOOKUP(B589,Units!$A$2:$G$1646,5,FALSE)</f>
        <v/>
      </c>
      <c r="J589" s="3">
        <f>G589/I589</f>
        <v/>
      </c>
      <c r="K589" s="3">
        <f>G589*12</f>
        <v/>
      </c>
      <c r="L589" s="3" t="n">
        <v>5610</v>
      </c>
    </row>
    <row r="590">
      <c r="A590" t="inlineStr">
        <is>
          <t>TA-2024-00677</t>
        </is>
      </c>
      <c r="B590" t="inlineStr">
        <is>
          <t>U-CD109-01-11</t>
        </is>
      </c>
      <c r="C590" t="inlineStr">
        <is>
          <t>Cosy Hair Salon</t>
        </is>
      </c>
      <c r="D590" t="inlineStr">
        <is>
          <t>Hair Salon</t>
        </is>
      </c>
      <c r="E590" s="2" t="n">
        <v>45597</v>
      </c>
      <c r="F590" s="2" t="n">
        <v>46691</v>
      </c>
      <c r="G590" s="3" t="n">
        <v>3620</v>
      </c>
      <c r="H590">
        <f>VLOOKUP(B590,Units!$A$2:$G$1646,2,FALSE)</f>
        <v/>
      </c>
      <c r="I590">
        <f>VLOOKUP(B590,Units!$A$2:$G$1646,5,FALSE)</f>
        <v/>
      </c>
      <c r="J590" s="3">
        <f>G590/I590</f>
        <v/>
      </c>
      <c r="K590" s="3">
        <f>G590*12</f>
        <v/>
      </c>
      <c r="L590" s="3" t="n">
        <v>10860</v>
      </c>
    </row>
    <row r="591">
      <c r="A591" t="inlineStr">
        <is>
          <t>TA-2024-00679</t>
        </is>
      </c>
      <c r="B591" t="inlineStr">
        <is>
          <t>U-CD119-01-01</t>
        </is>
      </c>
      <c r="C591" t="inlineStr">
        <is>
          <t>Brilliant Laundry Pte Ltd</t>
        </is>
      </c>
      <c r="D591" t="inlineStr">
        <is>
          <t>Laundry</t>
        </is>
      </c>
      <c r="E591" s="2" t="n">
        <v>45597</v>
      </c>
      <c r="F591" s="2" t="n">
        <v>46691</v>
      </c>
      <c r="G591" s="3" t="n">
        <v>2690</v>
      </c>
      <c r="H591">
        <f>VLOOKUP(B591,Units!$A$2:$G$1646,2,FALSE)</f>
        <v/>
      </c>
      <c r="I591">
        <f>VLOOKUP(B591,Units!$A$2:$G$1646,5,FALSE)</f>
        <v/>
      </c>
      <c r="J591" s="3">
        <f>G591/I591</f>
        <v/>
      </c>
      <c r="K591" s="3">
        <f>G591*12</f>
        <v/>
      </c>
      <c r="L591" s="3" t="n">
        <v>8070</v>
      </c>
    </row>
    <row r="592">
      <c r="A592" t="inlineStr">
        <is>
          <t>TA-2024-00680</t>
        </is>
      </c>
      <c r="B592" t="inlineStr">
        <is>
          <t>U-CD160-01-02</t>
        </is>
      </c>
      <c r="C592" t="inlineStr">
        <is>
          <t>Prima Trading</t>
        </is>
      </c>
      <c r="D592" t="inlineStr">
        <is>
          <t>Provision Shop</t>
        </is>
      </c>
      <c r="E592" s="2" t="n">
        <v>45597</v>
      </c>
      <c r="F592" s="2" t="n">
        <v>46691</v>
      </c>
      <c r="G592" s="3" t="n">
        <v>2570</v>
      </c>
      <c r="H592">
        <f>VLOOKUP(B592,Units!$A$2:$G$1646,2,FALSE)</f>
        <v/>
      </c>
      <c r="I592">
        <f>VLOOKUP(B592,Units!$A$2:$G$1646,5,FALSE)</f>
        <v/>
      </c>
      <c r="J592" s="3">
        <f>G592/I592</f>
        <v/>
      </c>
      <c r="K592" s="3">
        <f>G592*12</f>
        <v/>
      </c>
      <c r="L592" s="3" t="n">
        <v>7710</v>
      </c>
    </row>
    <row r="593">
      <c r="A593" t="inlineStr">
        <is>
          <t>TA-2024-00681</t>
        </is>
      </c>
      <c r="B593" t="inlineStr">
        <is>
          <t>U-CD165-01-06</t>
        </is>
      </c>
      <c r="C593" t="inlineStr">
        <is>
          <t>Sin Hock Aquarium &amp; Pets Pte Ltd</t>
        </is>
      </c>
      <c r="D593" t="inlineStr">
        <is>
          <t>Pet Shop</t>
        </is>
      </c>
      <c r="E593" s="2" t="n">
        <v>45597</v>
      </c>
      <c r="F593" s="2" t="n">
        <v>46691</v>
      </c>
      <c r="G593" s="3" t="n">
        <v>6450</v>
      </c>
      <c r="H593">
        <f>VLOOKUP(B593,Units!$A$2:$G$1646,2,FALSE)</f>
        <v/>
      </c>
      <c r="I593">
        <f>VLOOKUP(B593,Units!$A$2:$G$1646,5,FALSE)</f>
        <v/>
      </c>
      <c r="J593" s="3">
        <f>G593/I593</f>
        <v/>
      </c>
      <c r="K593" s="3">
        <f>G593*12</f>
        <v/>
      </c>
      <c r="L593" s="3" t="n">
        <v>19350</v>
      </c>
    </row>
    <row r="594">
      <c r="A594" t="inlineStr">
        <is>
          <t>TA-2024-00683</t>
        </is>
      </c>
      <c r="B594" t="inlineStr">
        <is>
          <t>U-KR318-01-12</t>
        </is>
      </c>
      <c r="C594" t="inlineStr">
        <is>
          <t>Phoenix Dental Care Pte Ltd</t>
        </is>
      </c>
      <c r="D594" t="inlineStr">
        <is>
          <t>Dental Clinic</t>
        </is>
      </c>
      <c r="E594" s="2" t="n">
        <v>45597</v>
      </c>
      <c r="F594" s="2" t="n">
        <v>46691</v>
      </c>
      <c r="G594" s="3" t="n">
        <v>6000</v>
      </c>
      <c r="H594">
        <f>VLOOKUP(B594,Units!$A$2:$G$1646,2,FALSE)</f>
        <v/>
      </c>
      <c r="I594">
        <f>VLOOKUP(B594,Units!$A$2:$G$1646,5,FALSE)</f>
        <v/>
      </c>
      <c r="J594" s="3">
        <f>G594/I594</f>
        <v/>
      </c>
      <c r="K594" s="3">
        <f>G594*12</f>
        <v/>
      </c>
      <c r="L594" s="3" t="n">
        <v>18000</v>
      </c>
    </row>
    <row r="595">
      <c r="A595" t="inlineStr">
        <is>
          <t>TA-2024-00685</t>
        </is>
      </c>
      <c r="B595" t="inlineStr">
        <is>
          <t>U-KR323-01-02</t>
        </is>
      </c>
      <c r="C595" t="inlineStr">
        <is>
          <t>Hup Seng Eating Place Pte Ltd</t>
        </is>
      </c>
      <c r="D595" t="inlineStr">
        <is>
          <t>Restaurant</t>
        </is>
      </c>
      <c r="E595" s="2" t="n">
        <v>45597</v>
      </c>
      <c r="F595" s="2" t="n">
        <v>46691</v>
      </c>
      <c r="G595" s="3" t="n">
        <v>1920</v>
      </c>
      <c r="H595">
        <f>VLOOKUP(B595,Units!$A$2:$G$1646,2,FALSE)</f>
        <v/>
      </c>
      <c r="I595">
        <f>VLOOKUP(B595,Units!$A$2:$G$1646,5,FALSE)</f>
        <v/>
      </c>
      <c r="J595" s="3">
        <f>G595/I595</f>
        <v/>
      </c>
      <c r="K595" s="3">
        <f>G595*12</f>
        <v/>
      </c>
      <c r="L595" s="3" t="n">
        <v>5760</v>
      </c>
    </row>
    <row r="596">
      <c r="A596" t="inlineStr">
        <is>
          <t>TA-2024-00686</t>
        </is>
      </c>
      <c r="B596" t="inlineStr">
        <is>
          <t>U-PI606-01-07</t>
        </is>
      </c>
      <c r="C596" t="inlineStr">
        <is>
          <t>Old Town Flowers &amp; Gifts</t>
        </is>
      </c>
      <c r="D596" t="inlineStr">
        <is>
          <t>Florist</t>
        </is>
      </c>
      <c r="E596" s="2" t="n">
        <v>45597</v>
      </c>
      <c r="F596" s="2" t="n">
        <v>46691</v>
      </c>
      <c r="G596" s="3" t="n">
        <v>1300</v>
      </c>
      <c r="H596">
        <f>VLOOKUP(B596,Units!$A$2:$G$1646,2,FALSE)</f>
        <v/>
      </c>
      <c r="I596">
        <f>VLOOKUP(B596,Units!$A$2:$G$1646,5,FALSE)</f>
        <v/>
      </c>
      <c r="J596" s="3">
        <f>G596/I596</f>
        <v/>
      </c>
      <c r="K596" s="3">
        <f>G596*12</f>
        <v/>
      </c>
      <c r="L596" s="3" t="n">
        <v>3900</v>
      </c>
    </row>
    <row r="597">
      <c r="A597" t="inlineStr">
        <is>
          <t>TA-2024-00687</t>
        </is>
      </c>
      <c r="B597" t="inlineStr">
        <is>
          <t>U-PI634-02-11</t>
        </is>
      </c>
      <c r="C597" t="inlineStr">
        <is>
          <t>Lim's Dental Care</t>
        </is>
      </c>
      <c r="D597" t="inlineStr">
        <is>
          <t>Dental Clinic</t>
        </is>
      </c>
      <c r="E597" s="2" t="n">
        <v>45597</v>
      </c>
      <c r="F597" s="2" t="n">
        <v>46691</v>
      </c>
      <c r="G597" s="3" t="n">
        <v>1590</v>
      </c>
      <c r="H597">
        <f>VLOOKUP(B597,Units!$A$2:$G$1646,2,FALSE)</f>
        <v/>
      </c>
      <c r="I597">
        <f>VLOOKUP(B597,Units!$A$2:$G$1646,5,FALSE)</f>
        <v/>
      </c>
      <c r="J597" s="3">
        <f>G597/I597</f>
        <v/>
      </c>
      <c r="K597" s="3">
        <f>G597*12</f>
        <v/>
      </c>
      <c r="L597" s="3" t="n">
        <v>4770</v>
      </c>
    </row>
    <row r="598">
      <c r="A598" t="inlineStr">
        <is>
          <t>TA-2024-00689</t>
        </is>
      </c>
      <c r="B598" t="inlineStr">
        <is>
          <t>U-PI648-01-01</t>
        </is>
      </c>
      <c r="C598" t="inlineStr">
        <is>
          <t>Hometown Education Hub</t>
        </is>
      </c>
      <c r="D598" t="inlineStr">
        <is>
          <t>Tuition Centre</t>
        </is>
      </c>
      <c r="E598" s="2" t="n">
        <v>45597</v>
      </c>
      <c r="F598" s="2" t="n">
        <v>46691</v>
      </c>
      <c r="G598" s="3" t="n">
        <v>2140</v>
      </c>
      <c r="H598">
        <f>VLOOKUP(B598,Units!$A$2:$G$1646,2,FALSE)</f>
        <v/>
      </c>
      <c r="I598">
        <f>VLOOKUP(B598,Units!$A$2:$G$1646,5,FALSE)</f>
        <v/>
      </c>
      <c r="J598" s="3">
        <f>G598/I598</f>
        <v/>
      </c>
      <c r="K598" s="3">
        <f>G598*12</f>
        <v/>
      </c>
      <c r="L598" s="3" t="n">
        <v>6420</v>
      </c>
    </row>
    <row r="599">
      <c r="A599" t="inlineStr">
        <is>
          <t>TA-2024-00691</t>
        </is>
      </c>
      <c r="B599" t="inlineStr">
        <is>
          <t>U-PI657-01-03</t>
        </is>
      </c>
      <c r="C599" t="inlineStr">
        <is>
          <t>Siva Hair Salon</t>
        </is>
      </c>
      <c r="D599" t="inlineStr">
        <is>
          <t>Hair Salon</t>
        </is>
      </c>
      <c r="E599" s="2" t="n">
        <v>45597</v>
      </c>
      <c r="F599" s="2" t="n">
        <v>46691</v>
      </c>
      <c r="G599" s="3" t="n">
        <v>3680</v>
      </c>
      <c r="H599">
        <f>VLOOKUP(B599,Units!$A$2:$G$1646,2,FALSE)</f>
        <v/>
      </c>
      <c r="I599">
        <f>VLOOKUP(B599,Units!$A$2:$G$1646,5,FALSE)</f>
        <v/>
      </c>
      <c r="J599" s="3">
        <f>G599/I599</f>
        <v/>
      </c>
      <c r="K599" s="3">
        <f>G599*12</f>
        <v/>
      </c>
      <c r="L599" s="3" t="n">
        <v>11040</v>
      </c>
    </row>
    <row r="600">
      <c r="A600" t="inlineStr">
        <is>
          <t>TA-2024-00693</t>
        </is>
      </c>
      <c r="B600" t="inlineStr">
        <is>
          <t>U-RH455-01-11</t>
        </is>
      </c>
      <c r="C600" t="inlineStr">
        <is>
          <t>Prima Clinic &amp; Surgery Pte Ltd</t>
        </is>
      </c>
      <c r="D600" t="inlineStr">
        <is>
          <t>GP Clinic</t>
        </is>
      </c>
      <c r="E600" s="2" t="n">
        <v>45597</v>
      </c>
      <c r="F600" s="2" t="n">
        <v>46691</v>
      </c>
      <c r="G600" s="3" t="n">
        <v>3900</v>
      </c>
      <c r="H600">
        <f>VLOOKUP(B600,Units!$A$2:$G$1646,2,FALSE)</f>
        <v/>
      </c>
      <c r="I600">
        <f>VLOOKUP(B600,Units!$A$2:$G$1646,5,FALSE)</f>
        <v/>
      </c>
      <c r="J600" s="3">
        <f>G600/I600</f>
        <v/>
      </c>
      <c r="K600" s="3">
        <f>G600*12</f>
        <v/>
      </c>
      <c r="L600" s="3" t="n">
        <v>11700</v>
      </c>
    </row>
    <row r="601">
      <c r="A601" t="inlineStr">
        <is>
          <t>TA-2024-00694</t>
        </is>
      </c>
      <c r="B601" t="inlineStr">
        <is>
          <t>U-RH455-01-29</t>
        </is>
      </c>
      <c r="C601" t="inlineStr">
        <is>
          <t>Wisdom Florist</t>
        </is>
      </c>
      <c r="D601" t="inlineStr">
        <is>
          <t>Florist</t>
        </is>
      </c>
      <c r="E601" s="2" t="n">
        <v>45597</v>
      </c>
      <c r="F601" s="2" t="n">
        <v>46691</v>
      </c>
      <c r="G601" s="3" t="n">
        <v>900</v>
      </c>
      <c r="H601">
        <f>VLOOKUP(B601,Units!$A$2:$G$1646,2,FALSE)</f>
        <v/>
      </c>
      <c r="I601">
        <f>VLOOKUP(B601,Units!$A$2:$G$1646,5,FALSE)</f>
        <v/>
      </c>
      <c r="J601" s="3">
        <f>G601/I601</f>
        <v/>
      </c>
      <c r="K601" s="3">
        <f>G601*12</f>
        <v/>
      </c>
      <c r="L601" s="3" t="n">
        <v>2700</v>
      </c>
    </row>
    <row r="602">
      <c r="A602" t="inlineStr">
        <is>
          <t>TA-2024-00695</t>
        </is>
      </c>
      <c r="B602" t="inlineStr">
        <is>
          <t>U-RH455-02-16</t>
        </is>
      </c>
      <c r="C602" t="inlineStr">
        <is>
          <t>Daily Fresh Dental Care Pte Ltd</t>
        </is>
      </c>
      <c r="D602" t="inlineStr">
        <is>
          <t>Dental Clinic</t>
        </is>
      </c>
      <c r="E602" s="2" t="n">
        <v>45597</v>
      </c>
      <c r="F602" s="2" t="n">
        <v>46691</v>
      </c>
      <c r="G602" s="3" t="n">
        <v>2050</v>
      </c>
      <c r="H602">
        <f>VLOOKUP(B602,Units!$A$2:$G$1646,2,FALSE)</f>
        <v/>
      </c>
      <c r="I602">
        <f>VLOOKUP(B602,Units!$A$2:$G$1646,5,FALSE)</f>
        <v/>
      </c>
      <c r="J602" s="3">
        <f>G602/I602</f>
        <v/>
      </c>
      <c r="K602" s="3">
        <f>G602*12</f>
        <v/>
      </c>
      <c r="L602" s="3" t="n">
        <v>6150</v>
      </c>
    </row>
    <row r="603">
      <c r="A603" t="inlineStr">
        <is>
          <t>TA-2024-00696</t>
        </is>
      </c>
      <c r="B603" t="inlineStr">
        <is>
          <t>U-RH463-01-08</t>
        </is>
      </c>
      <c r="C603" t="inlineStr">
        <is>
          <t>Harmony Laundry</t>
        </is>
      </c>
      <c r="D603" t="inlineStr">
        <is>
          <t>Laundry</t>
        </is>
      </c>
      <c r="E603" s="2" t="n">
        <v>45597</v>
      </c>
      <c r="F603" s="2" t="n">
        <v>46691</v>
      </c>
      <c r="G603" s="3" t="n">
        <v>3660</v>
      </c>
      <c r="H603">
        <f>VLOOKUP(B603,Units!$A$2:$G$1646,2,FALSE)</f>
        <v/>
      </c>
      <c r="I603">
        <f>VLOOKUP(B603,Units!$A$2:$G$1646,5,FALSE)</f>
        <v/>
      </c>
      <c r="J603" s="3">
        <f>G603/I603</f>
        <v/>
      </c>
      <c r="K603" s="3">
        <f>G603*12</f>
        <v/>
      </c>
      <c r="L603" s="3" t="n">
        <v>10980</v>
      </c>
    </row>
    <row r="604">
      <c r="A604" t="inlineStr">
        <is>
          <t>TA-2024-00697</t>
        </is>
      </c>
      <c r="B604" t="inlineStr">
        <is>
          <t>U-RH466-02-04</t>
        </is>
      </c>
      <c r="C604" t="inlineStr">
        <is>
          <t>Happy Paws TCM Clinic Pte Ltd</t>
        </is>
      </c>
      <c r="D604" t="inlineStr">
        <is>
          <t>TCM Clinic</t>
        </is>
      </c>
      <c r="E604" s="2" t="n">
        <v>45597</v>
      </c>
      <c r="F604" s="2" t="n">
        <v>46691</v>
      </c>
      <c r="G604" s="3" t="n">
        <v>2700</v>
      </c>
      <c r="H604">
        <f>VLOOKUP(B604,Units!$A$2:$G$1646,2,FALSE)</f>
        <v/>
      </c>
      <c r="I604">
        <f>VLOOKUP(B604,Units!$A$2:$G$1646,5,FALSE)</f>
        <v/>
      </c>
      <c r="J604" s="3">
        <f>G604/I604</f>
        <v/>
      </c>
      <c r="K604" s="3">
        <f>G604*12</f>
        <v/>
      </c>
      <c r="L604" s="3" t="n">
        <v>8100</v>
      </c>
    </row>
    <row r="605">
      <c r="A605" t="inlineStr">
        <is>
          <t>TA-2024-00698</t>
        </is>
      </c>
      <c r="B605" t="inlineStr">
        <is>
          <t>U-RH482-01-05</t>
        </is>
      </c>
      <c r="C605" t="inlineStr">
        <is>
          <t>Lotus Mart Pte Ltd</t>
        </is>
      </c>
      <c r="D605" t="inlineStr">
        <is>
          <t>Minimart</t>
        </is>
      </c>
      <c r="E605" s="2" t="n">
        <v>45597</v>
      </c>
      <c r="F605" s="2" t="n">
        <v>46691</v>
      </c>
      <c r="G605" s="3" t="n">
        <v>2510</v>
      </c>
      <c r="H605">
        <f>VLOOKUP(B605,Units!$A$2:$G$1646,2,FALSE)</f>
        <v/>
      </c>
      <c r="I605">
        <f>VLOOKUP(B605,Units!$A$2:$G$1646,5,FALSE)</f>
        <v/>
      </c>
      <c r="J605" s="3">
        <f>G605/I605</f>
        <v/>
      </c>
      <c r="K605" s="3">
        <f>G605*12</f>
        <v/>
      </c>
      <c r="L605" s="3" t="n">
        <v>7530</v>
      </c>
    </row>
    <row r="606">
      <c r="A606" t="inlineStr">
        <is>
          <t>TA-2024-00700</t>
        </is>
      </c>
      <c r="B606" t="inlineStr">
        <is>
          <t>U-ST506-01-02</t>
        </is>
      </c>
      <c r="C606" t="inlineStr">
        <is>
          <t>Wisdom Education Hub</t>
        </is>
      </c>
      <c r="D606" t="inlineStr">
        <is>
          <t>Tuition Centre</t>
        </is>
      </c>
      <c r="E606" s="2" t="n">
        <v>45597</v>
      </c>
      <c r="F606" s="2" t="n">
        <v>46691</v>
      </c>
      <c r="G606" s="3" t="n">
        <v>5110</v>
      </c>
      <c r="H606">
        <f>VLOOKUP(B606,Units!$A$2:$G$1646,2,FALSE)</f>
        <v/>
      </c>
      <c r="I606">
        <f>VLOOKUP(B606,Units!$A$2:$G$1646,5,FALSE)</f>
        <v/>
      </c>
      <c r="J606" s="3">
        <f>G606/I606</f>
        <v/>
      </c>
      <c r="K606" s="3">
        <f>G606*12</f>
        <v/>
      </c>
      <c r="L606" s="3" t="n">
        <v>15330</v>
      </c>
    </row>
    <row r="607">
      <c r="A607" t="inlineStr">
        <is>
          <t>TA-2024-00701</t>
        </is>
      </c>
      <c r="B607" t="inlineStr">
        <is>
          <t>U-ST512-01-16</t>
        </is>
      </c>
      <c r="C607" t="inlineStr">
        <is>
          <t>Blue Pearl Hardware</t>
        </is>
      </c>
      <c r="D607" t="inlineStr">
        <is>
          <t>Hardware</t>
        </is>
      </c>
      <c r="E607" s="2" t="n">
        <v>45597</v>
      </c>
      <c r="F607" s="2" t="n">
        <v>46691</v>
      </c>
      <c r="G607" s="3" t="n">
        <v>4010</v>
      </c>
      <c r="H607">
        <f>VLOOKUP(B607,Units!$A$2:$G$1646,2,FALSE)</f>
        <v/>
      </c>
      <c r="I607">
        <f>VLOOKUP(B607,Units!$A$2:$G$1646,5,FALSE)</f>
        <v/>
      </c>
      <c r="J607" s="3">
        <f>G607/I607</f>
        <v/>
      </c>
      <c r="K607" s="3">
        <f>G607*12</f>
        <v/>
      </c>
      <c r="L607" s="3" t="n">
        <v>12030</v>
      </c>
    </row>
    <row r="608">
      <c r="A608" t="inlineStr">
        <is>
          <t>TA-2024-00703</t>
        </is>
      </c>
      <c r="B608" t="inlineStr">
        <is>
          <t>U-ST556-01-02</t>
        </is>
      </c>
      <c r="C608" t="inlineStr">
        <is>
          <t>Treasure Medical Hall</t>
        </is>
      </c>
      <c r="D608" t="inlineStr">
        <is>
          <t>TCM Clinic</t>
        </is>
      </c>
      <c r="E608" s="2" t="n">
        <v>45597</v>
      </c>
      <c r="F608" s="2" t="n">
        <v>46691</v>
      </c>
      <c r="G608" s="3" t="n">
        <v>3890</v>
      </c>
      <c r="H608">
        <f>VLOOKUP(B608,Units!$A$2:$G$1646,2,FALSE)</f>
        <v/>
      </c>
      <c r="I608">
        <f>VLOOKUP(B608,Units!$A$2:$G$1646,5,FALSE)</f>
        <v/>
      </c>
      <c r="J608" s="3">
        <f>G608/I608</f>
        <v/>
      </c>
      <c r="K608" s="3">
        <f>G608*12</f>
        <v/>
      </c>
      <c r="L608" s="3" t="n">
        <v>11670</v>
      </c>
    </row>
    <row r="609">
      <c r="A609" t="inlineStr">
        <is>
          <t>TA-2024-00704</t>
        </is>
      </c>
      <c r="B609" t="inlineStr">
        <is>
          <t>U-ST590-02-08</t>
        </is>
      </c>
      <c r="C609" t="inlineStr">
        <is>
          <t>Treasure Dental Care Pte Ltd</t>
        </is>
      </c>
      <c r="D609" t="inlineStr">
        <is>
          <t>Dental Clinic</t>
        </is>
      </c>
      <c r="E609" s="2" t="n">
        <v>45597</v>
      </c>
      <c r="F609" s="2" t="n">
        <v>46691</v>
      </c>
      <c r="G609" s="3" t="n">
        <v>2280</v>
      </c>
      <c r="H609">
        <f>VLOOKUP(B609,Units!$A$2:$G$1646,2,FALSE)</f>
        <v/>
      </c>
      <c r="I609">
        <f>VLOOKUP(B609,Units!$A$2:$G$1646,5,FALSE)</f>
        <v/>
      </c>
      <c r="J609" s="3">
        <f>G609/I609</f>
        <v/>
      </c>
      <c r="K609" s="3">
        <f>G609*12</f>
        <v/>
      </c>
      <c r="L609" s="3" t="n">
        <v>6840</v>
      </c>
    </row>
    <row r="610">
      <c r="A610" t="inlineStr">
        <is>
          <t>TA-2024-00706</t>
        </is>
      </c>
      <c r="B610" t="inlineStr">
        <is>
          <t>U-ST593-01-01</t>
        </is>
      </c>
      <c r="C610" t="inlineStr">
        <is>
          <t>Ong &amp; Sons Beauty &amp; Hair</t>
        </is>
      </c>
      <c r="D610" t="inlineStr">
        <is>
          <t>Hair Salon</t>
        </is>
      </c>
      <c r="E610" s="2" t="n">
        <v>45597</v>
      </c>
      <c r="F610" s="2" t="n">
        <v>46691</v>
      </c>
      <c r="G610" s="3" t="n">
        <v>1620</v>
      </c>
      <c r="H610">
        <f>VLOOKUP(B610,Units!$A$2:$G$1646,2,FALSE)</f>
        <v/>
      </c>
      <c r="I610">
        <f>VLOOKUP(B610,Units!$A$2:$G$1646,5,FALSE)</f>
        <v/>
      </c>
      <c r="J610" s="3">
        <f>G610/I610</f>
        <v/>
      </c>
      <c r="K610" s="3">
        <f>G610*12</f>
        <v/>
      </c>
      <c r="L610" s="3" t="n">
        <v>4860</v>
      </c>
    </row>
    <row r="611">
      <c r="A611" t="inlineStr">
        <is>
          <t>TA-2024-00707</t>
        </is>
      </c>
      <c r="B611" t="inlineStr">
        <is>
          <t>U-BV205-01-07</t>
        </is>
      </c>
      <c r="C611" t="inlineStr">
        <is>
          <t>Sin Hock Tuition Centre Pte Ltd</t>
        </is>
      </c>
      <c r="D611" t="inlineStr">
        <is>
          <t>Tuition Centre</t>
        </is>
      </c>
      <c r="E611" s="2" t="n">
        <v>45627</v>
      </c>
      <c r="F611" s="2" t="n">
        <v>46721</v>
      </c>
      <c r="G611" s="3" t="n">
        <v>4310</v>
      </c>
      <c r="H611">
        <f>VLOOKUP(B611,Units!$A$2:$G$1646,2,FALSE)</f>
        <v/>
      </c>
      <c r="I611">
        <f>VLOOKUP(B611,Units!$A$2:$G$1646,5,FALSE)</f>
        <v/>
      </c>
      <c r="J611" s="3">
        <f>G611/I611</f>
        <v/>
      </c>
      <c r="K611" s="3">
        <f>G611*12</f>
        <v/>
      </c>
      <c r="L611" s="3" t="n">
        <v>12930</v>
      </c>
    </row>
    <row r="612">
      <c r="A612" t="inlineStr">
        <is>
          <t>TA-2024-00708</t>
        </is>
      </c>
      <c r="B612" t="inlineStr">
        <is>
          <t>U-BV214-01-16</t>
        </is>
      </c>
      <c r="C612" t="inlineStr">
        <is>
          <t>Heng Ann Snacks Pte Ltd</t>
        </is>
      </c>
      <c r="D612" t="inlineStr">
        <is>
          <t>Snack Kiosk</t>
        </is>
      </c>
      <c r="E612" s="2" t="n">
        <v>45627</v>
      </c>
      <c r="F612" s="2" t="n">
        <v>46721</v>
      </c>
      <c r="G612" s="3" t="n">
        <v>930</v>
      </c>
      <c r="H612">
        <f>VLOOKUP(B612,Units!$A$2:$G$1646,2,FALSE)</f>
        <v/>
      </c>
      <c r="I612">
        <f>VLOOKUP(B612,Units!$A$2:$G$1646,5,FALSE)</f>
        <v/>
      </c>
      <c r="J612" s="3">
        <f>G612/I612</f>
        <v/>
      </c>
      <c r="K612" s="3">
        <f>G612*12</f>
        <v/>
      </c>
      <c r="L612" s="3" t="n">
        <v>2790</v>
      </c>
    </row>
    <row r="613">
      <c r="A613" t="inlineStr">
        <is>
          <t>TA-2024-00710</t>
        </is>
      </c>
      <c r="B613" t="inlineStr">
        <is>
          <t>U-BV214-01-20</t>
        </is>
      </c>
      <c r="C613" t="inlineStr">
        <is>
          <t>Gold Coin Dental Surgery Pte Ltd</t>
        </is>
      </c>
      <c r="D613" t="inlineStr">
        <is>
          <t>Dental Clinic</t>
        </is>
      </c>
      <c r="E613" s="2" t="n">
        <v>45627</v>
      </c>
      <c r="F613" s="2" t="n">
        <v>46721</v>
      </c>
      <c r="G613" s="3" t="n">
        <v>4720</v>
      </c>
      <c r="H613">
        <f>VLOOKUP(B613,Units!$A$2:$G$1646,2,FALSE)</f>
        <v/>
      </c>
      <c r="I613">
        <f>VLOOKUP(B613,Units!$A$2:$G$1646,5,FALSE)</f>
        <v/>
      </c>
      <c r="J613" s="3">
        <f>G613/I613</f>
        <v/>
      </c>
      <c r="K613" s="3">
        <f>G613*12</f>
        <v/>
      </c>
      <c r="L613" s="3" t="n">
        <v>14160</v>
      </c>
    </row>
    <row r="614">
      <c r="A614" t="inlineStr">
        <is>
          <t>TA-2024-00712</t>
        </is>
      </c>
      <c r="B614" t="inlineStr">
        <is>
          <t>U-BV215-01-06</t>
        </is>
      </c>
      <c r="C614" t="inlineStr">
        <is>
          <t>Amanah Clinic &amp; Surgery</t>
        </is>
      </c>
      <c r="D614" t="inlineStr">
        <is>
          <t>GP Clinic</t>
        </is>
      </c>
      <c r="E614" s="2" t="n">
        <v>45627</v>
      </c>
      <c r="F614" s="2" t="n">
        <v>46721</v>
      </c>
      <c r="G614" s="3" t="n">
        <v>4090</v>
      </c>
      <c r="H614">
        <f>VLOOKUP(B614,Units!$A$2:$G$1646,2,FALSE)</f>
        <v/>
      </c>
      <c r="I614">
        <f>VLOOKUP(B614,Units!$A$2:$G$1646,5,FALSE)</f>
        <v/>
      </c>
      <c r="J614" s="3">
        <f>G614/I614</f>
        <v/>
      </c>
      <c r="K614" s="3">
        <f>G614*12</f>
        <v/>
      </c>
      <c r="L614" s="3" t="n">
        <v>12270</v>
      </c>
    </row>
    <row r="615">
      <c r="A615" t="inlineStr">
        <is>
          <t>TA-2024-00714</t>
        </is>
      </c>
      <c r="B615" t="inlineStr">
        <is>
          <t>U-BV216-01-08</t>
        </is>
      </c>
      <c r="C615" t="inlineStr">
        <is>
          <t>Little Sprouts Supermarket</t>
        </is>
      </c>
      <c r="D615" t="inlineStr">
        <is>
          <t>Minimart</t>
        </is>
      </c>
      <c r="E615" s="2" t="n">
        <v>45627</v>
      </c>
      <c r="F615" s="2" t="n">
        <v>46721</v>
      </c>
      <c r="G615" s="3" t="n">
        <v>4550</v>
      </c>
      <c r="H615">
        <f>VLOOKUP(B615,Units!$A$2:$G$1646,2,FALSE)</f>
        <v/>
      </c>
      <c r="I615">
        <f>VLOOKUP(B615,Units!$A$2:$G$1646,5,FALSE)</f>
        <v/>
      </c>
      <c r="J615" s="3">
        <f>G615/I615</f>
        <v/>
      </c>
      <c r="K615" s="3">
        <f>G615*12</f>
        <v/>
      </c>
      <c r="L615" s="3" t="n">
        <v>13650</v>
      </c>
    </row>
    <row r="616">
      <c r="A616" t="inlineStr">
        <is>
          <t>TA-2024-00716</t>
        </is>
      </c>
      <c r="B616" t="inlineStr">
        <is>
          <t>U-BV230-01-01</t>
        </is>
      </c>
      <c r="C616" t="inlineStr">
        <is>
          <t>Nur Kopitiam Pte Ltd</t>
        </is>
      </c>
      <c r="D616" t="inlineStr">
        <is>
          <t>Coffeeshop</t>
        </is>
      </c>
      <c r="E616" s="2" t="n">
        <v>45627</v>
      </c>
      <c r="F616" s="2" t="n">
        <v>46721</v>
      </c>
      <c r="G616" s="3" t="n">
        <v>10840</v>
      </c>
      <c r="H616">
        <f>VLOOKUP(B616,Units!$A$2:$G$1646,2,FALSE)</f>
        <v/>
      </c>
      <c r="I616">
        <f>VLOOKUP(B616,Units!$A$2:$G$1646,5,FALSE)</f>
        <v/>
      </c>
      <c r="J616" s="3">
        <f>G616/I616</f>
        <v/>
      </c>
      <c r="K616" s="3">
        <f>G616*12</f>
        <v/>
      </c>
      <c r="L616" s="3" t="n">
        <v>32520</v>
      </c>
    </row>
    <row r="617">
      <c r="A617" t="inlineStr">
        <is>
          <t>TA-2024-00718</t>
        </is>
      </c>
      <c r="B617" t="inlineStr">
        <is>
          <t>U-BV256-01-03</t>
        </is>
      </c>
      <c r="C617" t="inlineStr">
        <is>
          <t>PrimeValue Mart Pte Ltd</t>
        </is>
      </c>
      <c r="D617" t="inlineStr">
        <is>
          <t>Minimart</t>
        </is>
      </c>
      <c r="E617" s="2" t="n">
        <v>45627</v>
      </c>
      <c r="F617" s="2" t="n">
        <v>46721</v>
      </c>
      <c r="G617" s="3" t="n">
        <v>2950</v>
      </c>
      <c r="H617">
        <f>VLOOKUP(B617,Units!$A$2:$G$1646,2,FALSE)</f>
        <v/>
      </c>
      <c r="I617">
        <f>VLOOKUP(B617,Units!$A$2:$G$1646,5,FALSE)</f>
        <v/>
      </c>
      <c r="J617" s="3">
        <f>G617/I617</f>
        <v/>
      </c>
      <c r="K617" s="3">
        <f>G617*12</f>
        <v/>
      </c>
      <c r="L617" s="3" t="n">
        <v>8850</v>
      </c>
    </row>
    <row r="618">
      <c r="A618" t="inlineStr">
        <is>
          <t>TA-2024-00720</t>
        </is>
      </c>
      <c r="B618" t="inlineStr">
        <is>
          <t>U-BV266-01-09</t>
        </is>
      </c>
      <c r="C618" t="inlineStr">
        <is>
          <t>Sunflower Remittance</t>
        </is>
      </c>
      <c r="D618" t="inlineStr">
        <is>
          <t>Remittance &amp; Money Changer</t>
        </is>
      </c>
      <c r="E618" s="2" t="n">
        <v>45627</v>
      </c>
      <c r="F618" s="2" t="n">
        <v>46721</v>
      </c>
      <c r="G618" s="3" t="n">
        <v>6300</v>
      </c>
      <c r="H618">
        <f>VLOOKUP(B618,Units!$A$2:$G$1646,2,FALSE)</f>
        <v/>
      </c>
      <c r="I618">
        <f>VLOOKUP(B618,Units!$A$2:$G$1646,5,FALSE)</f>
        <v/>
      </c>
      <c r="J618" s="3">
        <f>G618/I618</f>
        <v/>
      </c>
      <c r="K618" s="3">
        <f>G618*12</f>
        <v/>
      </c>
      <c r="L618" s="3" t="n">
        <v>18900</v>
      </c>
    </row>
    <row r="619">
      <c r="A619" t="inlineStr">
        <is>
          <t>TA-2024-00721</t>
        </is>
      </c>
      <c r="B619" t="inlineStr">
        <is>
          <t>U-BV273-02-06</t>
        </is>
      </c>
      <c r="C619" t="inlineStr">
        <is>
          <t>Fresh Valley TCM Clinic</t>
        </is>
      </c>
      <c r="D619" t="inlineStr">
        <is>
          <t>TCM Clinic</t>
        </is>
      </c>
      <c r="E619" s="2" t="n">
        <v>45627</v>
      </c>
      <c r="F619" s="2" t="n">
        <v>46721</v>
      </c>
      <c r="G619" s="3" t="n">
        <v>2450</v>
      </c>
      <c r="H619">
        <f>VLOOKUP(B619,Units!$A$2:$G$1646,2,FALSE)</f>
        <v/>
      </c>
      <c r="I619">
        <f>VLOOKUP(B619,Units!$A$2:$G$1646,5,FALSE)</f>
        <v/>
      </c>
      <c r="J619" s="3">
        <f>G619/I619</f>
        <v/>
      </c>
      <c r="K619" s="3">
        <f>G619*12</f>
        <v/>
      </c>
      <c r="L619" s="3" t="n">
        <v>7350</v>
      </c>
    </row>
    <row r="620">
      <c r="A620" t="inlineStr">
        <is>
          <t>TA-2024-00722</t>
        </is>
      </c>
      <c r="B620" t="inlineStr">
        <is>
          <t>U-BV290-02-01</t>
        </is>
      </c>
      <c r="C620" t="inlineStr">
        <is>
          <t>Chin Lee Agency Pte Ltd</t>
        </is>
      </c>
      <c r="D620" t="inlineStr">
        <is>
          <t>Professional Services Office</t>
        </is>
      </c>
      <c r="E620" s="2" t="n">
        <v>45627</v>
      </c>
      <c r="F620" s="2" t="n">
        <v>46721</v>
      </c>
      <c r="G620" s="3" t="n">
        <v>4060</v>
      </c>
      <c r="H620">
        <f>VLOOKUP(B620,Units!$A$2:$G$1646,2,FALSE)</f>
        <v/>
      </c>
      <c r="I620">
        <f>VLOOKUP(B620,Units!$A$2:$G$1646,5,FALSE)</f>
        <v/>
      </c>
      <c r="J620" s="3">
        <f>G620/I620</f>
        <v/>
      </c>
      <c r="K620" s="3">
        <f>G620*12</f>
        <v/>
      </c>
      <c r="L620" s="3" t="n">
        <v>12180</v>
      </c>
    </row>
    <row r="621">
      <c r="A621" t="inlineStr">
        <is>
          <t>TA-2024-00724</t>
        </is>
      </c>
      <c r="B621" t="inlineStr">
        <is>
          <t>U-BV296-01-01</t>
        </is>
      </c>
      <c r="C621" t="inlineStr">
        <is>
          <t>Ananda Mobile Pte Ltd</t>
        </is>
      </c>
      <c r="D621" t="inlineStr">
        <is>
          <t>Mobile Phone &amp; Accessories</t>
        </is>
      </c>
      <c r="E621" s="2" t="n">
        <v>45627</v>
      </c>
      <c r="F621" s="2" t="n">
        <v>46721</v>
      </c>
      <c r="G621" s="3" t="n">
        <v>2610</v>
      </c>
      <c r="H621">
        <f>VLOOKUP(B621,Units!$A$2:$G$1646,2,FALSE)</f>
        <v/>
      </c>
      <c r="I621">
        <f>VLOOKUP(B621,Units!$A$2:$G$1646,5,FALSE)</f>
        <v/>
      </c>
      <c r="J621" s="3">
        <f>G621/I621</f>
        <v/>
      </c>
      <c r="K621" s="3">
        <f>G621*12</f>
        <v/>
      </c>
      <c r="L621" s="3" t="n">
        <v>7830</v>
      </c>
    </row>
    <row r="622">
      <c r="A622" t="inlineStr">
        <is>
          <t>TA-2024-00726</t>
        </is>
      </c>
      <c r="B622" t="inlineStr">
        <is>
          <t>U-CD135-01-08</t>
        </is>
      </c>
      <c r="C622" t="inlineStr">
        <is>
          <t>Hassan Aquarium &amp; Pets</t>
        </is>
      </c>
      <c r="D622" t="inlineStr">
        <is>
          <t>Pet Shop</t>
        </is>
      </c>
      <c r="E622" s="2" t="n">
        <v>45627</v>
      </c>
      <c r="F622" s="2" t="n">
        <v>46721</v>
      </c>
      <c r="G622" s="3" t="n">
        <v>4880</v>
      </c>
      <c r="H622">
        <f>VLOOKUP(B622,Units!$A$2:$G$1646,2,FALSE)</f>
        <v/>
      </c>
      <c r="I622">
        <f>VLOOKUP(B622,Units!$A$2:$G$1646,5,FALSE)</f>
        <v/>
      </c>
      <c r="J622" s="3">
        <f>G622/I622</f>
        <v/>
      </c>
      <c r="K622" s="3">
        <f>G622*12</f>
        <v/>
      </c>
      <c r="L622" s="3" t="n">
        <v>14640</v>
      </c>
    </row>
    <row r="623">
      <c r="A623" t="inlineStr">
        <is>
          <t>TA-2024-00728</t>
        </is>
      </c>
      <c r="B623" t="inlineStr">
        <is>
          <t>U-CD142-01-07</t>
        </is>
      </c>
      <c r="C623" t="inlineStr">
        <is>
          <t>Old Town Dental Surgery</t>
        </is>
      </c>
      <c r="D623" t="inlineStr">
        <is>
          <t>Dental Clinic</t>
        </is>
      </c>
      <c r="E623" s="2" t="n">
        <v>45627</v>
      </c>
      <c r="F623" s="2" t="n">
        <v>46721</v>
      </c>
      <c r="G623" s="3" t="n">
        <v>5020</v>
      </c>
      <c r="H623">
        <f>VLOOKUP(B623,Units!$A$2:$G$1646,2,FALSE)</f>
        <v/>
      </c>
      <c r="I623">
        <f>VLOOKUP(B623,Units!$A$2:$G$1646,5,FALSE)</f>
        <v/>
      </c>
      <c r="J623" s="3">
        <f>G623/I623</f>
        <v/>
      </c>
      <c r="K623" s="3">
        <f>G623*12</f>
        <v/>
      </c>
      <c r="L623" s="3" t="n">
        <v>15060</v>
      </c>
    </row>
    <row r="624">
      <c r="A624" t="inlineStr">
        <is>
          <t>TA-2024-00729</t>
        </is>
      </c>
      <c r="B624" t="inlineStr">
        <is>
          <t>U-CD143-01-01</t>
        </is>
      </c>
      <c r="C624" t="inlineStr">
        <is>
          <t>Fresh Valley Store Pte Ltd</t>
        </is>
      </c>
      <c r="D624" t="inlineStr">
        <is>
          <t>Provision Shop</t>
        </is>
      </c>
      <c r="E624" s="2" t="n">
        <v>45627</v>
      </c>
      <c r="F624" s="2" t="n">
        <v>46721</v>
      </c>
      <c r="G624" s="3" t="n">
        <v>2070</v>
      </c>
      <c r="H624">
        <f>VLOOKUP(B624,Units!$A$2:$G$1646,2,FALSE)</f>
        <v/>
      </c>
      <c r="I624">
        <f>VLOOKUP(B624,Units!$A$2:$G$1646,5,FALSE)</f>
        <v/>
      </c>
      <c r="J624" s="3">
        <f>G624/I624</f>
        <v/>
      </c>
      <c r="K624" s="3">
        <f>G624*12</f>
        <v/>
      </c>
      <c r="L624" s="3" t="n">
        <v>6210</v>
      </c>
    </row>
    <row r="625">
      <c r="A625" t="inlineStr">
        <is>
          <t>TA-2024-00730</t>
        </is>
      </c>
      <c r="B625" t="inlineStr">
        <is>
          <t>U-CD189-01-05</t>
        </is>
      </c>
      <c r="C625" t="inlineStr">
        <is>
          <t>Fresh Valley Hardware Pte Ltd</t>
        </is>
      </c>
      <c r="D625" t="inlineStr">
        <is>
          <t>Hardware</t>
        </is>
      </c>
      <c r="E625" s="2" t="n">
        <v>45627</v>
      </c>
      <c r="F625" s="2" t="n">
        <v>46721</v>
      </c>
      <c r="G625" s="3" t="n">
        <v>3210</v>
      </c>
      <c r="H625">
        <f>VLOOKUP(B625,Units!$A$2:$G$1646,2,FALSE)</f>
        <v/>
      </c>
      <c r="I625">
        <f>VLOOKUP(B625,Units!$A$2:$G$1646,5,FALSE)</f>
        <v/>
      </c>
      <c r="J625" s="3">
        <f>G625/I625</f>
        <v/>
      </c>
      <c r="K625" s="3">
        <f>G625*12</f>
        <v/>
      </c>
      <c r="L625" s="3" t="n">
        <v>9630</v>
      </c>
    </row>
    <row r="626">
      <c r="A626" t="inlineStr">
        <is>
          <t>TA-2024-00731</t>
        </is>
      </c>
      <c r="B626" t="inlineStr">
        <is>
          <t>U-CD194-01-02</t>
        </is>
      </c>
      <c r="C626" t="inlineStr">
        <is>
          <t>Kian Huat Hair Studio Pte Ltd</t>
        </is>
      </c>
      <c r="D626" t="inlineStr">
        <is>
          <t>Hair Salon</t>
        </is>
      </c>
      <c r="E626" s="2" t="n">
        <v>45627</v>
      </c>
      <c r="F626" s="2" t="n">
        <v>46721</v>
      </c>
      <c r="G626" s="3" t="n">
        <v>6210</v>
      </c>
      <c r="H626">
        <f>VLOOKUP(B626,Units!$A$2:$G$1646,2,FALSE)</f>
        <v/>
      </c>
      <c r="I626">
        <f>VLOOKUP(B626,Units!$A$2:$G$1646,5,FALSE)</f>
        <v/>
      </c>
      <c r="J626" s="3">
        <f>G626/I626</f>
        <v/>
      </c>
      <c r="K626" s="3">
        <f>G626*12</f>
        <v/>
      </c>
      <c r="L626" s="3" t="n">
        <v>18630</v>
      </c>
    </row>
    <row r="627">
      <c r="A627" t="inlineStr">
        <is>
          <t>TA-2024-00733</t>
        </is>
      </c>
      <c r="B627" t="inlineStr">
        <is>
          <t>U-CD194-01-05</t>
        </is>
      </c>
      <c r="C627" t="inlineStr">
        <is>
          <t>Sejahtera Dental Care</t>
        </is>
      </c>
      <c r="D627" t="inlineStr">
        <is>
          <t>Dental Clinic</t>
        </is>
      </c>
      <c r="E627" s="2" t="n">
        <v>45627</v>
      </c>
      <c r="F627" s="2" t="n">
        <v>46721</v>
      </c>
      <c r="G627" s="3" t="n">
        <v>2000</v>
      </c>
      <c r="H627">
        <f>VLOOKUP(B627,Units!$A$2:$G$1646,2,FALSE)</f>
        <v/>
      </c>
      <c r="I627">
        <f>VLOOKUP(B627,Units!$A$2:$G$1646,5,FALSE)</f>
        <v/>
      </c>
      <c r="J627" s="3">
        <f>G627/I627</f>
        <v/>
      </c>
      <c r="K627" s="3">
        <f>G627*12</f>
        <v/>
      </c>
      <c r="L627" s="3" t="n">
        <v>6000</v>
      </c>
    </row>
    <row r="628">
      <c r="A628" t="inlineStr">
        <is>
          <t>TA-2024-00735</t>
        </is>
      </c>
      <c r="B628" t="inlineStr">
        <is>
          <t>U-KR305-01-07</t>
        </is>
      </c>
      <c r="C628" t="inlineStr">
        <is>
          <t>Murugan Optical Pte Ltd</t>
        </is>
      </c>
      <c r="D628" t="inlineStr">
        <is>
          <t>Optical</t>
        </is>
      </c>
      <c r="E628" s="2" t="n">
        <v>45627</v>
      </c>
      <c r="F628" s="2" t="n">
        <v>46721</v>
      </c>
      <c r="G628" s="3" t="n">
        <v>4040</v>
      </c>
      <c r="H628">
        <f>VLOOKUP(B628,Units!$A$2:$G$1646,2,FALSE)</f>
        <v/>
      </c>
      <c r="I628">
        <f>VLOOKUP(B628,Units!$A$2:$G$1646,5,FALSE)</f>
        <v/>
      </c>
      <c r="J628" s="3">
        <f>G628/I628</f>
        <v/>
      </c>
      <c r="K628" s="3">
        <f>G628*12</f>
        <v/>
      </c>
      <c r="L628" s="3" t="n">
        <v>12120</v>
      </c>
    </row>
    <row r="629">
      <c r="A629" t="inlineStr">
        <is>
          <t>TA-2024-00737</t>
        </is>
      </c>
      <c r="B629" t="inlineStr">
        <is>
          <t>U-KR305-01-24</t>
        </is>
      </c>
      <c r="C629" t="inlineStr">
        <is>
          <t>Everbright Laundry Pte Ltd</t>
        </is>
      </c>
      <c r="D629" t="inlineStr">
        <is>
          <t>Laundry</t>
        </is>
      </c>
      <c r="E629" s="2" t="n">
        <v>45627</v>
      </c>
      <c r="F629" s="2" t="n">
        <v>46721</v>
      </c>
      <c r="G629" s="3" t="n">
        <v>2740</v>
      </c>
      <c r="H629">
        <f>VLOOKUP(B629,Units!$A$2:$G$1646,2,FALSE)</f>
        <v/>
      </c>
      <c r="I629">
        <f>VLOOKUP(B629,Units!$A$2:$G$1646,5,FALSE)</f>
        <v/>
      </c>
      <c r="J629" s="3">
        <f>G629/I629</f>
        <v/>
      </c>
      <c r="K629" s="3">
        <f>G629*12</f>
        <v/>
      </c>
      <c r="L629" s="3" t="n">
        <v>8220</v>
      </c>
    </row>
    <row r="630">
      <c r="A630" t="inlineStr">
        <is>
          <t>TA-2024-00739</t>
        </is>
      </c>
      <c r="B630" t="inlineStr">
        <is>
          <t>U-KR305-01-28</t>
        </is>
      </c>
      <c r="C630" t="inlineStr">
        <is>
          <t>PrimeValue Mart Pte Ltd</t>
        </is>
      </c>
      <c r="D630" t="inlineStr">
        <is>
          <t>Minimart</t>
        </is>
      </c>
      <c r="E630" s="2" t="n">
        <v>45627</v>
      </c>
      <c r="F630" s="2" t="n">
        <v>46721</v>
      </c>
      <c r="G630" s="3" t="n">
        <v>3630</v>
      </c>
      <c r="H630">
        <f>VLOOKUP(B630,Units!$A$2:$G$1646,2,FALSE)</f>
        <v/>
      </c>
      <c r="I630">
        <f>VLOOKUP(B630,Units!$A$2:$G$1646,5,FALSE)</f>
        <v/>
      </c>
      <c r="J630" s="3">
        <f>G630/I630</f>
        <v/>
      </c>
      <c r="K630" s="3">
        <f>G630*12</f>
        <v/>
      </c>
      <c r="L630" s="3" t="n">
        <v>10890</v>
      </c>
    </row>
    <row r="631">
      <c r="A631" t="inlineStr">
        <is>
          <t>TA-2024-00741</t>
        </is>
      </c>
      <c r="B631" t="inlineStr">
        <is>
          <t>U-KR353-02-10</t>
        </is>
      </c>
      <c r="C631" t="inlineStr">
        <is>
          <t>Murugan Learning Centre</t>
        </is>
      </c>
      <c r="D631" t="inlineStr">
        <is>
          <t>Tuition Centre</t>
        </is>
      </c>
      <c r="E631" s="2" t="n">
        <v>45627</v>
      </c>
      <c r="F631" s="2" t="n">
        <v>46721</v>
      </c>
      <c r="G631" s="3" t="n">
        <v>3150</v>
      </c>
      <c r="H631">
        <f>VLOOKUP(B631,Units!$A$2:$G$1646,2,FALSE)</f>
        <v/>
      </c>
      <c r="I631">
        <f>VLOOKUP(B631,Units!$A$2:$G$1646,5,FALSE)</f>
        <v/>
      </c>
      <c r="J631" s="3">
        <f>G631/I631</f>
        <v/>
      </c>
      <c r="K631" s="3">
        <f>G631*12</f>
        <v/>
      </c>
      <c r="L631" s="3" t="n">
        <v>9450</v>
      </c>
    </row>
    <row r="632">
      <c r="A632" t="inlineStr">
        <is>
          <t>TA-2024-00743</t>
        </is>
      </c>
      <c r="B632" t="inlineStr">
        <is>
          <t>U-KR362-01-04</t>
        </is>
      </c>
      <c r="C632" t="inlineStr">
        <is>
          <t>Thye Hin Clinic &amp; Surgery Pte Ltd</t>
        </is>
      </c>
      <c r="D632" t="inlineStr">
        <is>
          <t>GP Clinic</t>
        </is>
      </c>
      <c r="E632" s="2" t="n">
        <v>45627</v>
      </c>
      <c r="F632" s="2" t="n">
        <v>46721</v>
      </c>
      <c r="G632" s="3" t="n">
        <v>3710</v>
      </c>
      <c r="H632">
        <f>VLOOKUP(B632,Units!$A$2:$G$1646,2,FALSE)</f>
        <v/>
      </c>
      <c r="I632">
        <f>VLOOKUP(B632,Units!$A$2:$G$1646,5,FALSE)</f>
        <v/>
      </c>
      <c r="J632" s="3">
        <f>G632/I632</f>
        <v/>
      </c>
      <c r="K632" s="3">
        <f>G632*12</f>
        <v/>
      </c>
      <c r="L632" s="3" t="n">
        <v>11130</v>
      </c>
    </row>
    <row r="633">
      <c r="A633" t="inlineStr">
        <is>
          <t>TA-2024-00745</t>
        </is>
      </c>
      <c r="B633" t="inlineStr">
        <is>
          <t>U-KR368-01-07</t>
        </is>
      </c>
      <c r="C633" t="inlineStr">
        <is>
          <t>Fresh Valley Mart</t>
        </is>
      </c>
      <c r="D633" t="inlineStr">
        <is>
          <t>Minimart</t>
        </is>
      </c>
      <c r="E633" s="2" t="n">
        <v>45627</v>
      </c>
      <c r="F633" s="2" t="n">
        <v>46721</v>
      </c>
      <c r="G633" s="3" t="n">
        <v>2600</v>
      </c>
      <c r="H633">
        <f>VLOOKUP(B633,Units!$A$2:$G$1646,2,FALSE)</f>
        <v/>
      </c>
      <c r="I633">
        <f>VLOOKUP(B633,Units!$A$2:$G$1646,5,FALSE)</f>
        <v/>
      </c>
      <c r="J633" s="3">
        <f>G633/I633</f>
        <v/>
      </c>
      <c r="K633" s="3">
        <f>G633*12</f>
        <v/>
      </c>
      <c r="L633" s="3" t="n">
        <v>7800</v>
      </c>
    </row>
    <row r="634">
      <c r="A634" t="inlineStr">
        <is>
          <t>TA-2024-00747</t>
        </is>
      </c>
      <c r="B634" t="inlineStr">
        <is>
          <t>U-KR372-01-07</t>
        </is>
      </c>
      <c r="C634" t="inlineStr">
        <is>
          <t>Bright Path Kueh Corner</t>
        </is>
      </c>
      <c r="D634" t="inlineStr">
        <is>
          <t>Snack Kiosk</t>
        </is>
      </c>
      <c r="E634" s="2" t="n">
        <v>45627</v>
      </c>
      <c r="F634" s="2" t="n">
        <v>46721</v>
      </c>
      <c r="G634" s="3" t="n">
        <v>900</v>
      </c>
      <c r="H634">
        <f>VLOOKUP(B634,Units!$A$2:$G$1646,2,FALSE)</f>
        <v/>
      </c>
      <c r="I634">
        <f>VLOOKUP(B634,Units!$A$2:$G$1646,5,FALSE)</f>
        <v/>
      </c>
      <c r="J634" s="3">
        <f>G634/I634</f>
        <v/>
      </c>
      <c r="K634" s="3">
        <f>G634*12</f>
        <v/>
      </c>
      <c r="L634" s="3" t="n">
        <v>2700</v>
      </c>
    </row>
    <row r="635">
      <c r="A635" t="inlineStr">
        <is>
          <t>TA-2024-00749</t>
        </is>
      </c>
      <c r="B635" t="inlineStr">
        <is>
          <t>U-PI605-01-03</t>
        </is>
      </c>
      <c r="C635" t="inlineStr">
        <is>
          <t>Tian Fu Provision Shop Pte Ltd</t>
        </is>
      </c>
      <c r="D635" t="inlineStr">
        <is>
          <t>Provision Shop</t>
        </is>
      </c>
      <c r="E635" s="2" t="n">
        <v>45627</v>
      </c>
      <c r="F635" s="2" t="n">
        <v>46721</v>
      </c>
      <c r="G635" s="3" t="n">
        <v>4670</v>
      </c>
      <c r="H635">
        <f>VLOOKUP(B635,Units!$A$2:$G$1646,2,FALSE)</f>
        <v/>
      </c>
      <c r="I635">
        <f>VLOOKUP(B635,Units!$A$2:$G$1646,5,FALSE)</f>
        <v/>
      </c>
      <c r="J635" s="3">
        <f>G635/I635</f>
        <v/>
      </c>
      <c r="K635" s="3">
        <f>G635*12</f>
        <v/>
      </c>
      <c r="L635" s="3" t="n">
        <v>14010</v>
      </c>
    </row>
    <row r="636">
      <c r="A636" t="inlineStr">
        <is>
          <t>TA-2024-00750</t>
        </is>
      </c>
      <c r="B636" t="inlineStr">
        <is>
          <t>U-PI609-01-01</t>
        </is>
      </c>
      <c r="C636" t="inlineStr">
        <is>
          <t>Lim's Learning Centre Pte Ltd</t>
        </is>
      </c>
      <c r="D636" t="inlineStr">
        <is>
          <t>Tuition Centre</t>
        </is>
      </c>
      <c r="E636" s="2" t="n">
        <v>45627</v>
      </c>
      <c r="F636" s="2" t="n">
        <v>46721</v>
      </c>
      <c r="G636" s="3" t="n">
        <v>5390</v>
      </c>
      <c r="H636">
        <f>VLOOKUP(B636,Units!$A$2:$G$1646,2,FALSE)</f>
        <v/>
      </c>
      <c r="I636">
        <f>VLOOKUP(B636,Units!$A$2:$G$1646,5,FALSE)</f>
        <v/>
      </c>
      <c r="J636" s="3">
        <f>G636/I636</f>
        <v/>
      </c>
      <c r="K636" s="3">
        <f>G636*12</f>
        <v/>
      </c>
      <c r="L636" s="3" t="n">
        <v>16170</v>
      </c>
    </row>
    <row r="637">
      <c r="A637" t="inlineStr">
        <is>
          <t>TA-2024-00752</t>
        </is>
      </c>
      <c r="B637" t="inlineStr">
        <is>
          <t>U-PI615-01-08</t>
        </is>
      </c>
      <c r="C637" t="inlineStr">
        <is>
          <t>Brilliant Medical Clinic</t>
        </is>
      </c>
      <c r="D637" t="inlineStr">
        <is>
          <t>GP Clinic</t>
        </is>
      </c>
      <c r="E637" s="2" t="n">
        <v>45627</v>
      </c>
      <c r="F637" s="2" t="n">
        <v>46721</v>
      </c>
      <c r="G637" s="3" t="n">
        <v>3730</v>
      </c>
      <c r="H637">
        <f>VLOOKUP(B637,Units!$A$2:$G$1646,2,FALSE)</f>
        <v/>
      </c>
      <c r="I637">
        <f>VLOOKUP(B637,Units!$A$2:$G$1646,5,FALSE)</f>
        <v/>
      </c>
      <c r="J637" s="3">
        <f>G637/I637</f>
        <v/>
      </c>
      <c r="K637" s="3">
        <f>G637*12</f>
        <v/>
      </c>
      <c r="L637" s="3" t="n">
        <v>11190</v>
      </c>
    </row>
    <row r="638">
      <c r="A638" t="inlineStr">
        <is>
          <t>TA-2024-00753</t>
        </is>
      </c>
      <c r="B638" t="inlineStr">
        <is>
          <t>U-PI627-01-12</t>
        </is>
      </c>
      <c r="C638" t="inlineStr">
        <is>
          <t>Bright Path Optical</t>
        </is>
      </c>
      <c r="D638" t="inlineStr">
        <is>
          <t>Optical</t>
        </is>
      </c>
      <c r="E638" s="2" t="n">
        <v>45627</v>
      </c>
      <c r="F638" s="2" t="n">
        <v>46721</v>
      </c>
      <c r="G638" s="3" t="n">
        <v>4290</v>
      </c>
      <c r="H638">
        <f>VLOOKUP(B638,Units!$A$2:$G$1646,2,FALSE)</f>
        <v/>
      </c>
      <c r="I638">
        <f>VLOOKUP(B638,Units!$A$2:$G$1646,5,FALSE)</f>
        <v/>
      </c>
      <c r="J638" s="3">
        <f>G638/I638</f>
        <v/>
      </c>
      <c r="K638" s="3">
        <f>G638*12</f>
        <v/>
      </c>
      <c r="L638" s="3" t="n">
        <v>12870</v>
      </c>
    </row>
    <row r="639">
      <c r="A639" t="inlineStr">
        <is>
          <t>TA-2024-00754</t>
        </is>
      </c>
      <c r="B639" t="inlineStr">
        <is>
          <t>U-PI634-01-12</t>
        </is>
      </c>
      <c r="C639" t="inlineStr">
        <is>
          <t>Heng Ann Florist Pte Ltd</t>
        </is>
      </c>
      <c r="D639" t="inlineStr">
        <is>
          <t>Florist</t>
        </is>
      </c>
      <c r="E639" s="2" t="n">
        <v>45627</v>
      </c>
      <c r="F639" s="2" t="n">
        <v>46721</v>
      </c>
      <c r="G639" s="3" t="n">
        <v>900</v>
      </c>
      <c r="H639">
        <f>VLOOKUP(B639,Units!$A$2:$G$1646,2,FALSE)</f>
        <v/>
      </c>
      <c r="I639">
        <f>VLOOKUP(B639,Units!$A$2:$G$1646,5,FALSE)</f>
        <v/>
      </c>
      <c r="J639" s="3">
        <f>G639/I639</f>
        <v/>
      </c>
      <c r="K639" s="3">
        <f>G639*12</f>
        <v/>
      </c>
      <c r="L639" s="3" t="n">
        <v>2700</v>
      </c>
    </row>
    <row r="640">
      <c r="A640" t="inlineStr">
        <is>
          <t>TA-2024-00755</t>
        </is>
      </c>
      <c r="B640" t="inlineStr">
        <is>
          <t>U-PI644-01-12</t>
        </is>
      </c>
      <c r="C640" t="inlineStr">
        <is>
          <t>Brilliant Kitchen</t>
        </is>
      </c>
      <c r="D640" t="inlineStr">
        <is>
          <t>Restaurant</t>
        </is>
      </c>
      <c r="E640" s="2" t="n">
        <v>45627</v>
      </c>
      <c r="F640" s="2" t="n">
        <v>46721</v>
      </c>
      <c r="G640" s="3" t="n">
        <v>2890</v>
      </c>
      <c r="H640">
        <f>VLOOKUP(B640,Units!$A$2:$G$1646,2,FALSE)</f>
        <v/>
      </c>
      <c r="I640">
        <f>VLOOKUP(B640,Units!$A$2:$G$1646,5,FALSE)</f>
        <v/>
      </c>
      <c r="J640" s="3">
        <f>G640/I640</f>
        <v/>
      </c>
      <c r="K640" s="3">
        <f>G640*12</f>
        <v/>
      </c>
      <c r="L640" s="3" t="n">
        <v>8670</v>
      </c>
    </row>
    <row r="641">
      <c r="A641" t="inlineStr">
        <is>
          <t>TA-2024-00756</t>
        </is>
      </c>
      <c r="B641" t="inlineStr">
        <is>
          <t>U-PI693-01-10</t>
        </is>
      </c>
      <c r="C641" t="inlineStr">
        <is>
          <t>Barakah Bakery Pte Ltd</t>
        </is>
      </c>
      <c r="D641" t="inlineStr">
        <is>
          <t>Bakery &amp; Confectionery</t>
        </is>
      </c>
      <c r="E641" s="2" t="n">
        <v>45627</v>
      </c>
      <c r="F641" s="2" t="n">
        <v>46721</v>
      </c>
      <c r="G641" s="3" t="n">
        <v>5340</v>
      </c>
      <c r="H641">
        <f>VLOOKUP(B641,Units!$A$2:$G$1646,2,FALSE)</f>
        <v/>
      </c>
      <c r="I641">
        <f>VLOOKUP(B641,Units!$A$2:$G$1646,5,FALSE)</f>
        <v/>
      </c>
      <c r="J641" s="3">
        <f>G641/I641</f>
        <v/>
      </c>
      <c r="K641" s="3">
        <f>G641*12</f>
        <v/>
      </c>
      <c r="L641" s="3" t="n">
        <v>16020</v>
      </c>
    </row>
    <row r="642">
      <c r="A642" t="inlineStr">
        <is>
          <t>TA-2024-00758</t>
        </is>
      </c>
      <c r="B642" t="inlineStr">
        <is>
          <t>U-PI696-01-03</t>
        </is>
      </c>
      <c r="C642" t="inlineStr">
        <is>
          <t>Cosy Mobile</t>
        </is>
      </c>
      <c r="D642" t="inlineStr">
        <is>
          <t>Mobile Phone &amp; Accessories</t>
        </is>
      </c>
      <c r="E642" s="2" t="n">
        <v>45627</v>
      </c>
      <c r="F642" s="2" t="n">
        <v>46721</v>
      </c>
      <c r="G642" s="3" t="n">
        <v>1940</v>
      </c>
      <c r="H642">
        <f>VLOOKUP(B642,Units!$A$2:$G$1646,2,FALSE)</f>
        <v/>
      </c>
      <c r="I642">
        <f>VLOOKUP(B642,Units!$A$2:$G$1646,5,FALSE)</f>
        <v/>
      </c>
      <c r="J642" s="3">
        <f>G642/I642</f>
        <v/>
      </c>
      <c r="K642" s="3">
        <f>G642*12</f>
        <v/>
      </c>
      <c r="L642" s="3" t="n">
        <v>5820</v>
      </c>
    </row>
    <row r="643">
      <c r="A643" t="inlineStr">
        <is>
          <t>TA-2024-00760</t>
        </is>
      </c>
      <c r="B643" t="inlineStr">
        <is>
          <t>U-RH407-01-06</t>
        </is>
      </c>
      <c r="C643" t="inlineStr">
        <is>
          <t>Wellcare Beauty &amp; Hair</t>
        </is>
      </c>
      <c r="D643" t="inlineStr">
        <is>
          <t>Hair Salon</t>
        </is>
      </c>
      <c r="E643" s="2" t="n">
        <v>45627</v>
      </c>
      <c r="F643" s="2" t="n">
        <v>46721</v>
      </c>
      <c r="G643" s="3" t="n">
        <v>2760</v>
      </c>
      <c r="H643">
        <f>VLOOKUP(B643,Units!$A$2:$G$1646,2,FALSE)</f>
        <v/>
      </c>
      <c r="I643">
        <f>VLOOKUP(B643,Units!$A$2:$G$1646,5,FALSE)</f>
        <v/>
      </c>
      <c r="J643" s="3">
        <f>G643/I643</f>
        <v/>
      </c>
      <c r="K643" s="3">
        <f>G643*12</f>
        <v/>
      </c>
      <c r="L643" s="3" t="n">
        <v>8280</v>
      </c>
    </row>
    <row r="644">
      <c r="A644" t="inlineStr">
        <is>
          <t>TA-2024-00762</t>
        </is>
      </c>
      <c r="B644" t="inlineStr">
        <is>
          <t>U-RH434-01-01</t>
        </is>
      </c>
      <c r="C644" t="inlineStr">
        <is>
          <t>Little Sprouts Medical Clinic</t>
        </is>
      </c>
      <c r="D644" t="inlineStr">
        <is>
          <t>GP Clinic</t>
        </is>
      </c>
      <c r="E644" s="2" t="n">
        <v>45627</v>
      </c>
      <c r="F644" s="2" t="n">
        <v>46721</v>
      </c>
      <c r="G644" s="3" t="n">
        <v>4870</v>
      </c>
      <c r="H644">
        <f>VLOOKUP(B644,Units!$A$2:$G$1646,2,FALSE)</f>
        <v/>
      </c>
      <c r="I644">
        <f>VLOOKUP(B644,Units!$A$2:$G$1646,5,FALSE)</f>
        <v/>
      </c>
      <c r="J644" s="3">
        <f>G644/I644</f>
        <v/>
      </c>
      <c r="K644" s="3">
        <f>G644*12</f>
        <v/>
      </c>
      <c r="L644" s="3" t="n">
        <v>14610</v>
      </c>
    </row>
    <row r="645">
      <c r="A645" t="inlineStr">
        <is>
          <t>TA-2024-00764</t>
        </is>
      </c>
      <c r="B645" t="inlineStr">
        <is>
          <t>U-RH434-01-06</t>
        </is>
      </c>
      <c r="C645" t="inlineStr">
        <is>
          <t>Cosy Telecom Pte Ltd</t>
        </is>
      </c>
      <c r="D645" t="inlineStr">
        <is>
          <t>Mobile Phone &amp; Accessories</t>
        </is>
      </c>
      <c r="E645" s="2" t="n">
        <v>45627</v>
      </c>
      <c r="F645" s="2" t="n">
        <v>46721</v>
      </c>
      <c r="G645" s="3" t="n">
        <v>3880</v>
      </c>
      <c r="H645">
        <f>VLOOKUP(B645,Units!$A$2:$G$1646,2,FALSE)</f>
        <v/>
      </c>
      <c r="I645">
        <f>VLOOKUP(B645,Units!$A$2:$G$1646,5,FALSE)</f>
        <v/>
      </c>
      <c r="J645" s="3">
        <f>G645/I645</f>
        <v/>
      </c>
      <c r="K645" s="3">
        <f>G645*12</f>
        <v/>
      </c>
      <c r="L645" s="3" t="n">
        <v>11640</v>
      </c>
    </row>
    <row r="646">
      <c r="A646" t="inlineStr">
        <is>
          <t>TA-2024-00766</t>
        </is>
      </c>
      <c r="B646" t="inlineStr">
        <is>
          <t>U-RH437-01-05</t>
        </is>
      </c>
      <c r="C646" t="inlineStr">
        <is>
          <t>Murugan Hair Salon Pte Ltd</t>
        </is>
      </c>
      <c r="D646" t="inlineStr">
        <is>
          <t>Hair Salon</t>
        </is>
      </c>
      <c r="E646" s="2" t="n">
        <v>45627</v>
      </c>
      <c r="F646" s="2" t="n">
        <v>46721</v>
      </c>
      <c r="G646" s="3" t="n">
        <v>5190</v>
      </c>
      <c r="H646">
        <f>VLOOKUP(B646,Units!$A$2:$G$1646,2,FALSE)</f>
        <v/>
      </c>
      <c r="I646">
        <f>VLOOKUP(B646,Units!$A$2:$G$1646,5,FALSE)</f>
        <v/>
      </c>
      <c r="J646" s="3">
        <f>G646/I646</f>
        <v/>
      </c>
      <c r="K646" s="3">
        <f>G646*12</f>
        <v/>
      </c>
      <c r="L646" s="3" t="n">
        <v>15570</v>
      </c>
    </row>
    <row r="647">
      <c r="A647" t="inlineStr">
        <is>
          <t>TA-2024-00768</t>
        </is>
      </c>
      <c r="B647" t="inlineStr">
        <is>
          <t>U-RH438-02-05</t>
        </is>
      </c>
      <c r="C647" t="inlineStr">
        <is>
          <t>Prima Tuition Centre</t>
        </is>
      </c>
      <c r="D647" t="inlineStr">
        <is>
          <t>Tuition Centre</t>
        </is>
      </c>
      <c r="E647" s="2" t="n">
        <v>45627</v>
      </c>
      <c r="F647" s="2" t="n">
        <v>46721</v>
      </c>
      <c r="G647" s="3" t="n">
        <v>3070</v>
      </c>
      <c r="H647">
        <f>VLOOKUP(B647,Units!$A$2:$G$1646,2,FALSE)</f>
        <v/>
      </c>
      <c r="I647">
        <f>VLOOKUP(B647,Units!$A$2:$G$1646,5,FALSE)</f>
        <v/>
      </c>
      <c r="J647" s="3">
        <f>G647/I647</f>
        <v/>
      </c>
      <c r="K647" s="3">
        <f>G647*12</f>
        <v/>
      </c>
      <c r="L647" s="3" t="n">
        <v>9210</v>
      </c>
    </row>
    <row r="648">
      <c r="A648" t="inlineStr">
        <is>
          <t>TA-2024-00769</t>
        </is>
      </c>
      <c r="B648" t="inlineStr">
        <is>
          <t>U-RH441-01-03</t>
        </is>
      </c>
      <c r="C648" t="inlineStr">
        <is>
          <t>Swee Heng Hardware &amp; Electrical</t>
        </is>
      </c>
      <c r="D648" t="inlineStr">
        <is>
          <t>Hardware</t>
        </is>
      </c>
      <c r="E648" s="2" t="n">
        <v>45627</v>
      </c>
      <c r="F648" s="2" t="n">
        <v>46721</v>
      </c>
      <c r="G648" s="3" t="n">
        <v>3910</v>
      </c>
      <c r="H648">
        <f>VLOOKUP(B648,Units!$A$2:$G$1646,2,FALSE)</f>
        <v/>
      </c>
      <c r="I648">
        <f>VLOOKUP(B648,Units!$A$2:$G$1646,5,FALSE)</f>
        <v/>
      </c>
      <c r="J648" s="3">
        <f>G648/I648</f>
        <v/>
      </c>
      <c r="K648" s="3">
        <f>G648*12</f>
        <v/>
      </c>
      <c r="L648" s="3" t="n">
        <v>11730</v>
      </c>
    </row>
    <row r="649">
      <c r="A649" t="inlineStr">
        <is>
          <t>TA-2024-00771</t>
        </is>
      </c>
      <c r="B649" t="inlineStr">
        <is>
          <t>U-RH441-02-02</t>
        </is>
      </c>
      <c r="C649" t="inlineStr">
        <is>
          <t>Kian Huat Childcare Pte Ltd</t>
        </is>
      </c>
      <c r="D649" t="inlineStr">
        <is>
          <t>Childcare Centre</t>
        </is>
      </c>
      <c r="E649" s="2" t="n">
        <v>45627</v>
      </c>
      <c r="F649" s="2" t="n">
        <v>46721</v>
      </c>
      <c r="G649" s="3" t="n">
        <v>2980</v>
      </c>
      <c r="H649">
        <f>VLOOKUP(B649,Units!$A$2:$G$1646,2,FALSE)</f>
        <v/>
      </c>
      <c r="I649">
        <f>VLOOKUP(B649,Units!$A$2:$G$1646,5,FALSE)</f>
        <v/>
      </c>
      <c r="J649" s="3">
        <f>G649/I649</f>
        <v/>
      </c>
      <c r="K649" s="3">
        <f>G649*12</f>
        <v/>
      </c>
      <c r="L649" s="3" t="n">
        <v>8940</v>
      </c>
    </row>
    <row r="650">
      <c r="A650" t="inlineStr">
        <is>
          <t>TA-2024-00772</t>
        </is>
      </c>
      <c r="B650" t="inlineStr">
        <is>
          <t>U-RH450-01-04</t>
        </is>
      </c>
      <c r="C650" t="inlineStr">
        <is>
          <t>Bloom Flowers &amp; Gifts Pte Ltd</t>
        </is>
      </c>
      <c r="D650" t="inlineStr">
        <is>
          <t>Florist</t>
        </is>
      </c>
      <c r="E650" s="2" t="n">
        <v>45627</v>
      </c>
      <c r="F650" s="2" t="n">
        <v>46721</v>
      </c>
      <c r="G650" s="3" t="n">
        <v>4410</v>
      </c>
      <c r="H650">
        <f>VLOOKUP(B650,Units!$A$2:$G$1646,2,FALSE)</f>
        <v/>
      </c>
      <c r="I650">
        <f>VLOOKUP(B650,Units!$A$2:$G$1646,5,FALSE)</f>
        <v/>
      </c>
      <c r="J650" s="3">
        <f>G650/I650</f>
        <v/>
      </c>
      <c r="K650" s="3">
        <f>G650*12</f>
        <v/>
      </c>
      <c r="L650" s="3" t="n">
        <v>13230</v>
      </c>
    </row>
    <row r="651">
      <c r="A651" t="inlineStr">
        <is>
          <t>TA-2024-00773</t>
        </is>
      </c>
      <c r="B651" t="inlineStr">
        <is>
          <t>U-RH455-01-04</t>
        </is>
      </c>
      <c r="C651" t="inlineStr">
        <is>
          <t>Mei Ling Hardware</t>
        </is>
      </c>
      <c r="D651" t="inlineStr">
        <is>
          <t>Hardware</t>
        </is>
      </c>
      <c r="E651" s="2" t="n">
        <v>45627</v>
      </c>
      <c r="F651" s="2" t="n">
        <v>46721</v>
      </c>
      <c r="G651" s="3" t="n">
        <v>3390</v>
      </c>
      <c r="H651">
        <f>VLOOKUP(B651,Units!$A$2:$G$1646,2,FALSE)</f>
        <v/>
      </c>
      <c r="I651">
        <f>VLOOKUP(B651,Units!$A$2:$G$1646,5,FALSE)</f>
        <v/>
      </c>
      <c r="J651" s="3">
        <f>G651/I651</f>
        <v/>
      </c>
      <c r="K651" s="3">
        <f>G651*12</f>
        <v/>
      </c>
      <c r="L651" s="3" t="n">
        <v>10170</v>
      </c>
    </row>
    <row r="652">
      <c r="A652" t="inlineStr">
        <is>
          <t>TA-2024-00775</t>
        </is>
      </c>
      <c r="B652" t="inlineStr">
        <is>
          <t>U-RH456-01-04</t>
        </is>
      </c>
      <c r="C652" t="inlineStr">
        <is>
          <t>Sin Hock Medical Supplies</t>
        </is>
      </c>
      <c r="D652" t="inlineStr">
        <is>
          <t>Pharmacy</t>
        </is>
      </c>
      <c r="E652" s="2" t="n">
        <v>45627</v>
      </c>
      <c r="F652" s="2" t="n">
        <v>46721</v>
      </c>
      <c r="G652" s="3" t="n">
        <v>1940</v>
      </c>
      <c r="H652">
        <f>VLOOKUP(B652,Units!$A$2:$G$1646,2,FALSE)</f>
        <v/>
      </c>
      <c r="I652">
        <f>VLOOKUP(B652,Units!$A$2:$G$1646,5,FALSE)</f>
        <v/>
      </c>
      <c r="J652" s="3">
        <f>G652/I652</f>
        <v/>
      </c>
      <c r="K652" s="3">
        <f>G652*12</f>
        <v/>
      </c>
      <c r="L652" s="3" t="n">
        <v>5820</v>
      </c>
    </row>
    <row r="653">
      <c r="A653" t="inlineStr">
        <is>
          <t>TA-2024-00776</t>
        </is>
      </c>
      <c r="B653" t="inlineStr">
        <is>
          <t>U-RH456-01-08</t>
        </is>
      </c>
      <c r="C653" t="inlineStr">
        <is>
          <t>Starlight Boba Bar Pte Ltd</t>
        </is>
      </c>
      <c r="D653" t="inlineStr">
        <is>
          <t>Bubble Tea</t>
        </is>
      </c>
      <c r="E653" s="2" t="n">
        <v>45627</v>
      </c>
      <c r="F653" s="2" t="n">
        <v>46721</v>
      </c>
      <c r="G653" s="3" t="n">
        <v>1140</v>
      </c>
      <c r="H653">
        <f>VLOOKUP(B653,Units!$A$2:$G$1646,2,FALSE)</f>
        <v/>
      </c>
      <c r="I653">
        <f>VLOOKUP(B653,Units!$A$2:$G$1646,5,FALSE)</f>
        <v/>
      </c>
      <c r="J653" s="3">
        <f>G653/I653</f>
        <v/>
      </c>
      <c r="K653" s="3">
        <f>G653*12</f>
        <v/>
      </c>
      <c r="L653" s="3" t="n">
        <v>3420</v>
      </c>
    </row>
    <row r="654">
      <c r="A654" t="inlineStr">
        <is>
          <t>TA-2024-00778</t>
        </is>
      </c>
      <c r="B654" t="inlineStr">
        <is>
          <t>U-RH460-01-06</t>
        </is>
      </c>
      <c r="C654" t="inlineStr">
        <is>
          <t>Kopi Corner Florist Pte Ltd</t>
        </is>
      </c>
      <c r="D654" t="inlineStr">
        <is>
          <t>Florist</t>
        </is>
      </c>
      <c r="E654" s="2" t="n">
        <v>45627</v>
      </c>
      <c r="F654" s="2" t="n">
        <v>46721</v>
      </c>
      <c r="G654" s="3" t="n">
        <v>4130</v>
      </c>
      <c r="H654">
        <f>VLOOKUP(B654,Units!$A$2:$G$1646,2,FALSE)</f>
        <v/>
      </c>
      <c r="I654">
        <f>VLOOKUP(B654,Units!$A$2:$G$1646,5,FALSE)</f>
        <v/>
      </c>
      <c r="J654" s="3">
        <f>G654/I654</f>
        <v/>
      </c>
      <c r="K654" s="3">
        <f>G654*12</f>
        <v/>
      </c>
      <c r="L654" s="3" t="n">
        <v>12390</v>
      </c>
    </row>
    <row r="655">
      <c r="A655" t="inlineStr">
        <is>
          <t>TA-2024-00779</t>
        </is>
      </c>
      <c r="B655" t="inlineStr">
        <is>
          <t>U-ST501-01-05</t>
        </is>
      </c>
      <c r="C655" t="inlineStr">
        <is>
          <t>Fresh Valley Fruit Trading</t>
        </is>
      </c>
      <c r="D655" t="inlineStr">
        <is>
          <t>Fruit Shop</t>
        </is>
      </c>
      <c r="E655" s="2" t="n">
        <v>45627</v>
      </c>
      <c r="F655" s="2" t="n">
        <v>46721</v>
      </c>
      <c r="G655" s="3" t="n">
        <v>3880</v>
      </c>
      <c r="H655">
        <f>VLOOKUP(B655,Units!$A$2:$G$1646,2,FALSE)</f>
        <v/>
      </c>
      <c r="I655">
        <f>VLOOKUP(B655,Units!$A$2:$G$1646,5,FALSE)</f>
        <v/>
      </c>
      <c r="J655" s="3">
        <f>G655/I655</f>
        <v/>
      </c>
      <c r="K655" s="3">
        <f>G655*12</f>
        <v/>
      </c>
      <c r="L655" s="3" t="n">
        <v>11640</v>
      </c>
    </row>
    <row r="656">
      <c r="A656" t="inlineStr">
        <is>
          <t>TA-2024-00780</t>
        </is>
      </c>
      <c r="B656" t="inlineStr">
        <is>
          <t>U-ST506-01-07</t>
        </is>
      </c>
      <c r="C656" t="inlineStr">
        <is>
          <t>Value Optical</t>
        </is>
      </c>
      <c r="D656" t="inlineStr">
        <is>
          <t>Optical</t>
        </is>
      </c>
      <c r="E656" s="2" t="n">
        <v>45627</v>
      </c>
      <c r="F656" s="2" t="n">
        <v>46721</v>
      </c>
      <c r="G656" s="3" t="n">
        <v>1950</v>
      </c>
      <c r="H656">
        <f>VLOOKUP(B656,Units!$A$2:$G$1646,2,FALSE)</f>
        <v/>
      </c>
      <c r="I656">
        <f>VLOOKUP(B656,Units!$A$2:$G$1646,5,FALSE)</f>
        <v/>
      </c>
      <c r="J656" s="3">
        <f>G656/I656</f>
        <v/>
      </c>
      <c r="K656" s="3">
        <f>G656*12</f>
        <v/>
      </c>
      <c r="L656" s="3" t="n">
        <v>5850</v>
      </c>
    </row>
    <row r="657">
      <c r="A657" t="inlineStr">
        <is>
          <t>TA-2024-00781</t>
        </is>
      </c>
      <c r="B657" t="inlineStr">
        <is>
          <t>U-ST512-01-27</t>
        </is>
      </c>
      <c r="C657" t="inlineStr">
        <is>
          <t>Kian Huat Learning Centre</t>
        </is>
      </c>
      <c r="D657" t="inlineStr">
        <is>
          <t>Tuition Centre</t>
        </is>
      </c>
      <c r="E657" s="2" t="n">
        <v>45627</v>
      </c>
      <c r="F657" s="2" t="n">
        <v>46721</v>
      </c>
      <c r="G657" s="3" t="n">
        <v>2240</v>
      </c>
      <c r="H657">
        <f>VLOOKUP(B657,Units!$A$2:$G$1646,2,FALSE)</f>
        <v/>
      </c>
      <c r="I657">
        <f>VLOOKUP(B657,Units!$A$2:$G$1646,5,FALSE)</f>
        <v/>
      </c>
      <c r="J657" s="3">
        <f>G657/I657</f>
        <v/>
      </c>
      <c r="K657" s="3">
        <f>G657*12</f>
        <v/>
      </c>
      <c r="L657" s="3" t="n">
        <v>6720</v>
      </c>
    </row>
    <row r="658">
      <c r="A658" t="inlineStr">
        <is>
          <t>TA-2024-00782</t>
        </is>
      </c>
      <c r="B658" t="inlineStr">
        <is>
          <t>U-ST513-01-07</t>
        </is>
      </c>
      <c r="C658" t="inlineStr">
        <is>
          <t>Murugan Telecom</t>
        </is>
      </c>
      <c r="D658" t="inlineStr">
        <is>
          <t>Mobile Phone &amp; Accessories</t>
        </is>
      </c>
      <c r="E658" s="2" t="n">
        <v>45627</v>
      </c>
      <c r="F658" s="2" t="n">
        <v>46721</v>
      </c>
      <c r="G658" s="3" t="n">
        <v>3860</v>
      </c>
      <c r="H658">
        <f>VLOOKUP(B658,Units!$A$2:$G$1646,2,FALSE)</f>
        <v/>
      </c>
      <c r="I658">
        <f>VLOOKUP(B658,Units!$A$2:$G$1646,5,FALSE)</f>
        <v/>
      </c>
      <c r="J658" s="3">
        <f>G658/I658</f>
        <v/>
      </c>
      <c r="K658" s="3">
        <f>G658*12</f>
        <v/>
      </c>
      <c r="L658" s="3" t="n">
        <v>11580</v>
      </c>
    </row>
    <row r="659">
      <c r="A659" t="inlineStr">
        <is>
          <t>TA-2024-00784</t>
        </is>
      </c>
      <c r="B659" t="inlineStr">
        <is>
          <t>U-ST518-01-08</t>
        </is>
      </c>
      <c r="C659" t="inlineStr">
        <is>
          <t>Chop Wah TCM Clinic</t>
        </is>
      </c>
      <c r="D659" t="inlineStr">
        <is>
          <t>TCM Clinic</t>
        </is>
      </c>
      <c r="E659" s="2" t="n">
        <v>45627</v>
      </c>
      <c r="F659" s="2" t="n">
        <v>46721</v>
      </c>
      <c r="G659" s="3" t="n">
        <v>1710</v>
      </c>
      <c r="H659">
        <f>VLOOKUP(B659,Units!$A$2:$G$1646,2,FALSE)</f>
        <v/>
      </c>
      <c r="I659">
        <f>VLOOKUP(B659,Units!$A$2:$G$1646,5,FALSE)</f>
        <v/>
      </c>
      <c r="J659" s="3">
        <f>G659/I659</f>
        <v/>
      </c>
      <c r="K659" s="3">
        <f>G659*12</f>
        <v/>
      </c>
      <c r="L659" s="3" t="n">
        <v>5130</v>
      </c>
    </row>
    <row r="660">
      <c r="A660" t="inlineStr">
        <is>
          <t>TA-2024-00786</t>
        </is>
      </c>
      <c r="B660" t="inlineStr">
        <is>
          <t>U-ST528-01-11</t>
        </is>
      </c>
      <c r="C660" t="inlineStr">
        <is>
          <t>Starlight Optical Pte Ltd</t>
        </is>
      </c>
      <c r="D660" t="inlineStr">
        <is>
          <t>Optical</t>
        </is>
      </c>
      <c r="E660" s="2" t="n">
        <v>45627</v>
      </c>
      <c r="F660" s="2" t="n">
        <v>46721</v>
      </c>
      <c r="G660" s="3" t="n">
        <v>3580</v>
      </c>
      <c r="H660">
        <f>VLOOKUP(B660,Units!$A$2:$G$1646,2,FALSE)</f>
        <v/>
      </c>
      <c r="I660">
        <f>VLOOKUP(B660,Units!$A$2:$G$1646,5,FALSE)</f>
        <v/>
      </c>
      <c r="J660" s="3">
        <f>G660/I660</f>
        <v/>
      </c>
      <c r="K660" s="3">
        <f>G660*12</f>
        <v/>
      </c>
      <c r="L660" s="3" t="n">
        <v>10740</v>
      </c>
    </row>
    <row r="661">
      <c r="A661" t="inlineStr">
        <is>
          <t>TA-2024-00787</t>
        </is>
      </c>
      <c r="B661" t="inlineStr">
        <is>
          <t>U-ST534-01-05</t>
        </is>
      </c>
      <c r="C661" t="inlineStr">
        <is>
          <t>Fortune Kueh Corner</t>
        </is>
      </c>
      <c r="D661" t="inlineStr">
        <is>
          <t>Snack Kiosk</t>
        </is>
      </c>
      <c r="E661" s="2" t="n">
        <v>45627</v>
      </c>
      <c r="F661" s="2" t="n">
        <v>46721</v>
      </c>
      <c r="G661" s="3" t="n">
        <v>900</v>
      </c>
      <c r="H661">
        <f>VLOOKUP(B661,Units!$A$2:$G$1646,2,FALSE)</f>
        <v/>
      </c>
      <c r="I661">
        <f>VLOOKUP(B661,Units!$A$2:$G$1646,5,FALSE)</f>
        <v/>
      </c>
      <c r="J661" s="3">
        <f>G661/I661</f>
        <v/>
      </c>
      <c r="K661" s="3">
        <f>G661*12</f>
        <v/>
      </c>
      <c r="L661" s="3" t="n">
        <v>2700</v>
      </c>
    </row>
    <row r="662">
      <c r="A662" t="inlineStr">
        <is>
          <t>TA-2024-00789</t>
        </is>
      </c>
      <c r="B662" t="inlineStr">
        <is>
          <t>U-ST535-01-06</t>
        </is>
      </c>
      <c r="C662" t="inlineStr">
        <is>
          <t>PrimeValue Mart Pte Ltd</t>
        </is>
      </c>
      <c r="D662" t="inlineStr">
        <is>
          <t>Minimart</t>
        </is>
      </c>
      <c r="E662" s="2" t="n">
        <v>45627</v>
      </c>
      <c r="F662" s="2" t="n">
        <v>46721</v>
      </c>
      <c r="G662" s="3" t="n">
        <v>2240</v>
      </c>
      <c r="H662">
        <f>VLOOKUP(B662,Units!$A$2:$G$1646,2,FALSE)</f>
        <v/>
      </c>
      <c r="I662">
        <f>VLOOKUP(B662,Units!$A$2:$G$1646,5,FALSE)</f>
        <v/>
      </c>
      <c r="J662" s="3">
        <f>G662/I662</f>
        <v/>
      </c>
      <c r="K662" s="3">
        <f>G662*12</f>
        <v/>
      </c>
      <c r="L662" s="3" t="n">
        <v>6720</v>
      </c>
    </row>
    <row r="663">
      <c r="A663" t="inlineStr">
        <is>
          <t>TA-2024-00791</t>
        </is>
      </c>
      <c r="B663" t="inlineStr">
        <is>
          <t>U-ST545-01-05</t>
        </is>
      </c>
      <c r="C663" t="inlineStr">
        <is>
          <t>Starlight Dental Care</t>
        </is>
      </c>
      <c r="D663" t="inlineStr">
        <is>
          <t>Dental Clinic</t>
        </is>
      </c>
      <c r="E663" s="2" t="n">
        <v>45627</v>
      </c>
      <c r="F663" s="2" t="n">
        <v>46721</v>
      </c>
      <c r="G663" s="3" t="n">
        <v>2190</v>
      </c>
      <c r="H663">
        <f>VLOOKUP(B663,Units!$A$2:$G$1646,2,FALSE)</f>
        <v/>
      </c>
      <c r="I663">
        <f>VLOOKUP(B663,Units!$A$2:$G$1646,5,FALSE)</f>
        <v/>
      </c>
      <c r="J663" s="3">
        <f>G663/I663</f>
        <v/>
      </c>
      <c r="K663" s="3">
        <f>G663*12</f>
        <v/>
      </c>
      <c r="L663" s="3" t="n">
        <v>6570</v>
      </c>
    </row>
    <row r="664">
      <c r="A664" t="inlineStr">
        <is>
          <t>TA-2024-00793</t>
        </is>
      </c>
      <c r="B664" t="inlineStr">
        <is>
          <t>U-ST556-01-03</t>
        </is>
      </c>
      <c r="C664" t="inlineStr">
        <is>
          <t>Hup Seng Tea House Pte Ltd</t>
        </is>
      </c>
      <c r="D664" t="inlineStr">
        <is>
          <t>Bubble Tea</t>
        </is>
      </c>
      <c r="E664" s="2" t="n">
        <v>45627</v>
      </c>
      <c r="F664" s="2" t="n">
        <v>46721</v>
      </c>
      <c r="G664" s="3" t="n">
        <v>900</v>
      </c>
      <c r="H664">
        <f>VLOOKUP(B664,Units!$A$2:$G$1646,2,FALSE)</f>
        <v/>
      </c>
      <c r="I664">
        <f>VLOOKUP(B664,Units!$A$2:$G$1646,5,FALSE)</f>
        <v/>
      </c>
      <c r="J664" s="3">
        <f>G664/I664</f>
        <v/>
      </c>
      <c r="K664" s="3">
        <f>G664*12</f>
        <v/>
      </c>
      <c r="L664" s="3" t="n">
        <v>2700</v>
      </c>
    </row>
    <row r="665">
      <c r="A665" t="inlineStr">
        <is>
          <t>TA-2024-00794</t>
        </is>
      </c>
      <c r="B665" t="inlineStr">
        <is>
          <t>U-ST583-01-04</t>
        </is>
      </c>
      <c r="C665" t="inlineStr">
        <is>
          <t>Cahaya Store Pte Ltd</t>
        </is>
      </c>
      <c r="D665" t="inlineStr">
        <is>
          <t>Provision Shop</t>
        </is>
      </c>
      <c r="E665" s="2" t="n">
        <v>45627</v>
      </c>
      <c r="F665" s="2" t="n">
        <v>46721</v>
      </c>
      <c r="G665" s="3" t="n">
        <v>3120</v>
      </c>
      <c r="H665">
        <f>VLOOKUP(B665,Units!$A$2:$G$1646,2,FALSE)</f>
        <v/>
      </c>
      <c r="I665">
        <f>VLOOKUP(B665,Units!$A$2:$G$1646,5,FALSE)</f>
        <v/>
      </c>
      <c r="J665" s="3">
        <f>G665/I665</f>
        <v/>
      </c>
      <c r="K665" s="3">
        <f>G665*12</f>
        <v/>
      </c>
      <c r="L665" s="3" t="n">
        <v>9360</v>
      </c>
    </row>
    <row r="666">
      <c r="A666" t="inlineStr">
        <is>
          <t>TA-2025-00002</t>
        </is>
      </c>
      <c r="B666" t="inlineStr">
        <is>
          <t>U-BV204-01-01</t>
        </is>
      </c>
      <c r="C666" t="inlineStr">
        <is>
          <t>Prima Eating House Pte Ltd</t>
        </is>
      </c>
      <c r="D666" t="inlineStr">
        <is>
          <t>Coffeeshop</t>
        </is>
      </c>
      <c r="E666" s="2" t="n">
        <v>45658</v>
      </c>
      <c r="F666" s="2" t="n">
        <v>46752</v>
      </c>
      <c r="G666" s="3" t="n">
        <v>14510</v>
      </c>
      <c r="H666">
        <f>VLOOKUP(B666,Units!$A$2:$G$1646,2,FALSE)</f>
        <v/>
      </c>
      <c r="I666">
        <f>VLOOKUP(B666,Units!$A$2:$G$1646,5,FALSE)</f>
        <v/>
      </c>
      <c r="J666" s="3">
        <f>G666/I666</f>
        <v/>
      </c>
      <c r="K666" s="3">
        <f>G666*12</f>
        <v/>
      </c>
      <c r="L666" s="3" t="n">
        <v>43530</v>
      </c>
    </row>
    <row r="667">
      <c r="A667" t="inlineStr">
        <is>
          <t>TA-2025-00003</t>
        </is>
      </c>
      <c r="B667" t="inlineStr">
        <is>
          <t>U-BV212-01-05</t>
        </is>
      </c>
      <c r="C667" t="inlineStr">
        <is>
          <t>Wisdom Telecom Pte Ltd</t>
        </is>
      </c>
      <c r="D667" t="inlineStr">
        <is>
          <t>Mobile Phone &amp; Accessories</t>
        </is>
      </c>
      <c r="E667" s="2" t="n">
        <v>45658</v>
      </c>
      <c r="F667" s="2" t="n">
        <v>46752</v>
      </c>
      <c r="G667" s="3" t="n">
        <v>4680</v>
      </c>
      <c r="H667">
        <f>VLOOKUP(B667,Units!$A$2:$G$1646,2,FALSE)</f>
        <v/>
      </c>
      <c r="I667">
        <f>VLOOKUP(B667,Units!$A$2:$G$1646,5,FALSE)</f>
        <v/>
      </c>
      <c r="J667" s="3">
        <f>G667/I667</f>
        <v/>
      </c>
      <c r="K667" s="3">
        <f>G667*12</f>
        <v/>
      </c>
      <c r="L667" s="3" t="n">
        <v>14040</v>
      </c>
    </row>
    <row r="668">
      <c r="A668" t="inlineStr">
        <is>
          <t>TA-2025-00005</t>
        </is>
      </c>
      <c r="B668" t="inlineStr">
        <is>
          <t>U-BV214-01-04</t>
        </is>
      </c>
      <c r="C668" t="inlineStr">
        <is>
          <t>Bright Path Education Hub Pte Ltd</t>
        </is>
      </c>
      <c r="D668" t="inlineStr">
        <is>
          <t>Tuition Centre</t>
        </is>
      </c>
      <c r="E668" s="2" t="n">
        <v>45658</v>
      </c>
      <c r="F668" s="2" t="n">
        <v>46752</v>
      </c>
      <c r="G668" s="3" t="n">
        <v>6190</v>
      </c>
      <c r="H668">
        <f>VLOOKUP(B668,Units!$A$2:$G$1646,2,FALSE)</f>
        <v/>
      </c>
      <c r="I668">
        <f>VLOOKUP(B668,Units!$A$2:$G$1646,5,FALSE)</f>
        <v/>
      </c>
      <c r="J668" s="3">
        <f>G668/I668</f>
        <v/>
      </c>
      <c r="K668" s="3">
        <f>G668*12</f>
        <v/>
      </c>
      <c r="L668" s="3" t="n">
        <v>18570</v>
      </c>
    </row>
    <row r="669">
      <c r="A669" t="inlineStr">
        <is>
          <t>TA-2025-00006</t>
        </is>
      </c>
      <c r="B669" t="inlineStr">
        <is>
          <t>U-BV237-01-06</t>
        </is>
      </c>
      <c r="C669" t="inlineStr">
        <is>
          <t>Joo Chiat Eating Place Pte Ltd</t>
        </is>
      </c>
      <c r="D669" t="inlineStr">
        <is>
          <t>Restaurant</t>
        </is>
      </c>
      <c r="E669" s="2" t="n">
        <v>45658</v>
      </c>
      <c r="F669" s="2" t="n">
        <v>46752</v>
      </c>
      <c r="G669" s="3" t="n">
        <v>3970</v>
      </c>
      <c r="H669">
        <f>VLOOKUP(B669,Units!$A$2:$G$1646,2,FALSE)</f>
        <v/>
      </c>
      <c r="I669">
        <f>VLOOKUP(B669,Units!$A$2:$G$1646,5,FALSE)</f>
        <v/>
      </c>
      <c r="J669" s="3">
        <f>G669/I669</f>
        <v/>
      </c>
      <c r="K669" s="3">
        <f>G669*12</f>
        <v/>
      </c>
      <c r="L669" s="3" t="n">
        <v>11910</v>
      </c>
    </row>
    <row r="670">
      <c r="A670" t="inlineStr">
        <is>
          <t>TA-2025-00008</t>
        </is>
      </c>
      <c r="B670" t="inlineStr">
        <is>
          <t>U-BV266-01-07</t>
        </is>
      </c>
      <c r="C670" t="inlineStr">
        <is>
          <t>Ah Seng Bubble Tea</t>
        </is>
      </c>
      <c r="D670" t="inlineStr">
        <is>
          <t>Bubble Tea</t>
        </is>
      </c>
      <c r="E670" s="2" t="n">
        <v>45658</v>
      </c>
      <c r="F670" s="2" t="n">
        <v>46752</v>
      </c>
      <c r="G670" s="3" t="n">
        <v>990</v>
      </c>
      <c r="H670">
        <f>VLOOKUP(B670,Units!$A$2:$G$1646,2,FALSE)</f>
        <v/>
      </c>
      <c r="I670">
        <f>VLOOKUP(B670,Units!$A$2:$G$1646,5,FALSE)</f>
        <v/>
      </c>
      <c r="J670" s="3">
        <f>G670/I670</f>
        <v/>
      </c>
      <c r="K670" s="3">
        <f>G670*12</f>
        <v/>
      </c>
      <c r="L670" s="3" t="n">
        <v>2970</v>
      </c>
    </row>
    <row r="671">
      <c r="A671" t="inlineStr">
        <is>
          <t>TA-2025-00009</t>
        </is>
      </c>
      <c r="B671" t="inlineStr">
        <is>
          <t>U-BV273-01-01</t>
        </is>
      </c>
      <c r="C671" t="inlineStr">
        <is>
          <t>Wellcare Cake House</t>
        </is>
      </c>
      <c r="D671" t="inlineStr">
        <is>
          <t>Bakery &amp; Confectionery</t>
        </is>
      </c>
      <c r="E671" s="2" t="n">
        <v>45658</v>
      </c>
      <c r="F671" s="2" t="n">
        <v>46752</v>
      </c>
      <c r="G671" s="3" t="n">
        <v>4870</v>
      </c>
      <c r="H671">
        <f>VLOOKUP(B671,Units!$A$2:$G$1646,2,FALSE)</f>
        <v/>
      </c>
      <c r="I671">
        <f>VLOOKUP(B671,Units!$A$2:$G$1646,5,FALSE)</f>
        <v/>
      </c>
      <c r="J671" s="3">
        <f>G671/I671</f>
        <v/>
      </c>
      <c r="K671" s="3">
        <f>G671*12</f>
        <v/>
      </c>
      <c r="L671" s="3" t="n">
        <v>14610</v>
      </c>
    </row>
    <row r="672">
      <c r="A672" t="inlineStr">
        <is>
          <t>TA-2025-00011</t>
        </is>
      </c>
      <c r="B672" t="inlineStr">
        <is>
          <t>U-BV283-01-05</t>
        </is>
      </c>
      <c r="C672" t="inlineStr">
        <is>
          <t>Jade Garden Family Clinic</t>
        </is>
      </c>
      <c r="D672" t="inlineStr">
        <is>
          <t>GP Clinic</t>
        </is>
      </c>
      <c r="E672" s="2" t="n">
        <v>45658</v>
      </c>
      <c r="F672" s="2" t="n">
        <v>46752</v>
      </c>
      <c r="G672" s="3" t="n">
        <v>6670</v>
      </c>
      <c r="H672">
        <f>VLOOKUP(B672,Units!$A$2:$G$1646,2,FALSE)</f>
        <v/>
      </c>
      <c r="I672">
        <f>VLOOKUP(B672,Units!$A$2:$G$1646,5,FALSE)</f>
        <v/>
      </c>
      <c r="J672" s="3">
        <f>G672/I672</f>
        <v/>
      </c>
      <c r="K672" s="3">
        <f>G672*12</f>
        <v/>
      </c>
      <c r="L672" s="3" t="n">
        <v>20010</v>
      </c>
    </row>
    <row r="673">
      <c r="A673" t="inlineStr">
        <is>
          <t>TA-2025-00013</t>
        </is>
      </c>
      <c r="B673" t="inlineStr">
        <is>
          <t>U-CD109-01-14</t>
        </is>
      </c>
      <c r="C673" t="inlineStr">
        <is>
          <t>Tan Brothers Cake House</t>
        </is>
      </c>
      <c r="D673" t="inlineStr">
        <is>
          <t>Bakery &amp; Confectionery</t>
        </is>
      </c>
      <c r="E673" s="2" t="n">
        <v>45658</v>
      </c>
      <c r="F673" s="2" t="n">
        <v>46752</v>
      </c>
      <c r="G673" s="3" t="n">
        <v>4580</v>
      </c>
      <c r="H673">
        <f>VLOOKUP(B673,Units!$A$2:$G$1646,2,FALSE)</f>
        <v/>
      </c>
      <c r="I673">
        <f>VLOOKUP(B673,Units!$A$2:$G$1646,5,FALSE)</f>
        <v/>
      </c>
      <c r="J673" s="3">
        <f>G673/I673</f>
        <v/>
      </c>
      <c r="K673" s="3">
        <f>G673*12</f>
        <v/>
      </c>
      <c r="L673" s="3" t="n">
        <v>13740</v>
      </c>
    </row>
    <row r="674">
      <c r="A674" t="inlineStr">
        <is>
          <t>TA-2025-00015</t>
        </is>
      </c>
      <c r="B674" t="inlineStr">
        <is>
          <t>U-CD136-01-11</t>
        </is>
      </c>
      <c r="C674" t="inlineStr">
        <is>
          <t>Sri Ganesh Beauty &amp; Hair</t>
        </is>
      </c>
      <c r="D674" t="inlineStr">
        <is>
          <t>Hair Salon</t>
        </is>
      </c>
      <c r="E674" s="2" t="n">
        <v>45658</v>
      </c>
      <c r="F674" s="2" t="n">
        <v>46752</v>
      </c>
      <c r="G674" s="3" t="n">
        <v>4310</v>
      </c>
      <c r="H674">
        <f>VLOOKUP(B674,Units!$A$2:$G$1646,2,FALSE)</f>
        <v/>
      </c>
      <c r="I674">
        <f>VLOOKUP(B674,Units!$A$2:$G$1646,5,FALSE)</f>
        <v/>
      </c>
      <c r="J674" s="3">
        <f>G674/I674</f>
        <v/>
      </c>
      <c r="K674" s="3">
        <f>G674*12</f>
        <v/>
      </c>
      <c r="L674" s="3" t="n">
        <v>12930</v>
      </c>
    </row>
    <row r="675">
      <c r="A675" t="inlineStr">
        <is>
          <t>TA-2025-00017</t>
        </is>
      </c>
      <c r="B675" t="inlineStr">
        <is>
          <t>U-CD143-01-07</t>
        </is>
      </c>
      <c r="C675" t="inlineStr">
        <is>
          <t>Smart Kids Dry Cleaners</t>
        </is>
      </c>
      <c r="D675" t="inlineStr">
        <is>
          <t>Laundry</t>
        </is>
      </c>
      <c r="E675" s="2" t="n">
        <v>45658</v>
      </c>
      <c r="F675" s="2" t="n">
        <v>46752</v>
      </c>
      <c r="G675" s="3" t="n">
        <v>1910</v>
      </c>
      <c r="H675">
        <f>VLOOKUP(B675,Units!$A$2:$G$1646,2,FALSE)</f>
        <v/>
      </c>
      <c r="I675">
        <f>VLOOKUP(B675,Units!$A$2:$G$1646,5,FALSE)</f>
        <v/>
      </c>
      <c r="J675" s="3">
        <f>G675/I675</f>
        <v/>
      </c>
      <c r="K675" s="3">
        <f>G675*12</f>
        <v/>
      </c>
      <c r="L675" s="3" t="n">
        <v>5730</v>
      </c>
    </row>
    <row r="676">
      <c r="A676" t="inlineStr">
        <is>
          <t>TA-2025-00019</t>
        </is>
      </c>
      <c r="B676" t="inlineStr">
        <is>
          <t>U-CD152-01-02</t>
        </is>
      </c>
      <c r="C676" t="inlineStr">
        <is>
          <t>Everbright Dry Cleaners Pte Ltd</t>
        </is>
      </c>
      <c r="D676" t="inlineStr">
        <is>
          <t>Laundry</t>
        </is>
      </c>
      <c r="E676" s="2" t="n">
        <v>45658</v>
      </c>
      <c r="F676" s="2" t="n">
        <v>46752</v>
      </c>
      <c r="G676" s="3" t="n">
        <v>2220</v>
      </c>
      <c r="H676">
        <f>VLOOKUP(B676,Units!$A$2:$G$1646,2,FALSE)</f>
        <v/>
      </c>
      <c r="I676">
        <f>VLOOKUP(B676,Units!$A$2:$G$1646,5,FALSE)</f>
        <v/>
      </c>
      <c r="J676" s="3">
        <f>G676/I676</f>
        <v/>
      </c>
      <c r="K676" s="3">
        <f>G676*12</f>
        <v/>
      </c>
      <c r="L676" s="3" t="n">
        <v>6660</v>
      </c>
    </row>
    <row r="677">
      <c r="A677" t="inlineStr">
        <is>
          <t>TA-2025-00021</t>
        </is>
      </c>
      <c r="B677" t="inlineStr">
        <is>
          <t>U-CD170-01-08</t>
        </is>
      </c>
      <c r="C677" t="inlineStr">
        <is>
          <t>Amanah Stationery</t>
        </is>
      </c>
      <c r="D677" t="inlineStr">
        <is>
          <t>Stationery &amp; Books</t>
        </is>
      </c>
      <c r="E677" s="2" t="n">
        <v>45658</v>
      </c>
      <c r="F677" s="2" t="n">
        <v>46752</v>
      </c>
      <c r="G677" s="3" t="n">
        <v>2740</v>
      </c>
      <c r="H677">
        <f>VLOOKUP(B677,Units!$A$2:$G$1646,2,FALSE)</f>
        <v/>
      </c>
      <c r="I677">
        <f>VLOOKUP(B677,Units!$A$2:$G$1646,5,FALSE)</f>
        <v/>
      </c>
      <c r="J677" s="3">
        <f>G677/I677</f>
        <v/>
      </c>
      <c r="K677" s="3">
        <f>G677*12</f>
        <v/>
      </c>
      <c r="L677" s="3" t="n">
        <v>8220</v>
      </c>
    </row>
    <row r="678">
      <c r="A678" t="inlineStr">
        <is>
          <t>TA-2025-00023</t>
        </is>
      </c>
      <c r="B678" t="inlineStr">
        <is>
          <t>U-CD174-01-09</t>
        </is>
      </c>
      <c r="C678" t="inlineStr">
        <is>
          <t>Hometown Fruits</t>
        </is>
      </c>
      <c r="D678" t="inlineStr">
        <is>
          <t>Fruit Shop</t>
        </is>
      </c>
      <c r="E678" s="2" t="n">
        <v>45658</v>
      </c>
      <c r="F678" s="2" t="n">
        <v>46752</v>
      </c>
      <c r="G678" s="3" t="n">
        <v>5150</v>
      </c>
      <c r="H678">
        <f>VLOOKUP(B678,Units!$A$2:$G$1646,2,FALSE)</f>
        <v/>
      </c>
      <c r="I678">
        <f>VLOOKUP(B678,Units!$A$2:$G$1646,5,FALSE)</f>
        <v/>
      </c>
      <c r="J678" s="3">
        <f>G678/I678</f>
        <v/>
      </c>
      <c r="K678" s="3">
        <f>G678*12</f>
        <v/>
      </c>
      <c r="L678" s="3" t="n">
        <v>15450</v>
      </c>
    </row>
    <row r="679">
      <c r="A679" t="inlineStr">
        <is>
          <t>TA-2025-00024</t>
        </is>
      </c>
      <c r="B679" t="inlineStr">
        <is>
          <t>U-CD185-02-04</t>
        </is>
      </c>
      <c r="C679" t="inlineStr">
        <is>
          <t>Bloom Kindergarten Pte Ltd</t>
        </is>
      </c>
      <c r="D679" t="inlineStr">
        <is>
          <t>Childcare Centre</t>
        </is>
      </c>
      <c r="E679" s="2" t="n">
        <v>45658</v>
      </c>
      <c r="F679" s="2" t="n">
        <v>46752</v>
      </c>
      <c r="G679" s="3" t="n">
        <v>4110</v>
      </c>
      <c r="H679">
        <f>VLOOKUP(B679,Units!$A$2:$G$1646,2,FALSE)</f>
        <v/>
      </c>
      <c r="I679">
        <f>VLOOKUP(B679,Units!$A$2:$G$1646,5,FALSE)</f>
        <v/>
      </c>
      <c r="J679" s="3">
        <f>G679/I679</f>
        <v/>
      </c>
      <c r="K679" s="3">
        <f>G679*12</f>
        <v/>
      </c>
      <c r="L679" s="3" t="n">
        <v>12330</v>
      </c>
    </row>
    <row r="680">
      <c r="A680" t="inlineStr">
        <is>
          <t>TA-2025-00026</t>
        </is>
      </c>
      <c r="B680" t="inlineStr">
        <is>
          <t>U-CD189-01-04</t>
        </is>
      </c>
      <c r="C680" t="inlineStr">
        <is>
          <t>Brilliant Eye Centre Pte Ltd</t>
        </is>
      </c>
      <c r="D680" t="inlineStr">
        <is>
          <t>Optical</t>
        </is>
      </c>
      <c r="E680" s="2" t="n">
        <v>45658</v>
      </c>
      <c r="F680" s="2" t="n">
        <v>46752</v>
      </c>
      <c r="G680" s="3" t="n">
        <v>1980</v>
      </c>
      <c r="H680">
        <f>VLOOKUP(B680,Units!$A$2:$G$1646,2,FALSE)</f>
        <v/>
      </c>
      <c r="I680">
        <f>VLOOKUP(B680,Units!$A$2:$G$1646,5,FALSE)</f>
        <v/>
      </c>
      <c r="J680" s="3">
        <f>G680/I680</f>
        <v/>
      </c>
      <c r="K680" s="3">
        <f>G680*12</f>
        <v/>
      </c>
      <c r="L680" s="3" t="n">
        <v>5940</v>
      </c>
    </row>
    <row r="681">
      <c r="A681" t="inlineStr">
        <is>
          <t>TA-2025-00028</t>
        </is>
      </c>
      <c r="B681" t="inlineStr">
        <is>
          <t>U-KR305-01-13</t>
        </is>
      </c>
      <c r="C681" t="inlineStr">
        <is>
          <t>PrimeValue Mart Pte Ltd</t>
        </is>
      </c>
      <c r="D681" t="inlineStr">
        <is>
          <t>Minimart</t>
        </is>
      </c>
      <c r="E681" s="2" t="n">
        <v>45658</v>
      </c>
      <c r="F681" s="2" t="n">
        <v>46752</v>
      </c>
      <c r="G681" s="3" t="n">
        <v>4220</v>
      </c>
      <c r="H681">
        <f>VLOOKUP(B681,Units!$A$2:$G$1646,2,FALSE)</f>
        <v/>
      </c>
      <c r="I681">
        <f>VLOOKUP(B681,Units!$A$2:$G$1646,5,FALSE)</f>
        <v/>
      </c>
      <c r="J681" s="3">
        <f>G681/I681</f>
        <v/>
      </c>
      <c r="K681" s="3">
        <f>G681*12</f>
        <v/>
      </c>
      <c r="L681" s="3" t="n">
        <v>12660</v>
      </c>
    </row>
    <row r="682">
      <c r="A682" t="inlineStr">
        <is>
          <t>TA-2025-00030</t>
        </is>
      </c>
      <c r="B682" t="inlineStr">
        <is>
          <t>U-KR318-02-08</t>
        </is>
      </c>
      <c r="C682" t="inlineStr">
        <is>
          <t>Heng Ann Childcare</t>
        </is>
      </c>
      <c r="D682" t="inlineStr">
        <is>
          <t>Childcare Centre</t>
        </is>
      </c>
      <c r="E682" s="2" t="n">
        <v>45658</v>
      </c>
      <c r="F682" s="2" t="n">
        <v>46752</v>
      </c>
      <c r="G682" s="3" t="n">
        <v>2470</v>
      </c>
      <c r="H682">
        <f>VLOOKUP(B682,Units!$A$2:$G$1646,2,FALSE)</f>
        <v/>
      </c>
      <c r="I682">
        <f>VLOOKUP(B682,Units!$A$2:$G$1646,5,FALSE)</f>
        <v/>
      </c>
      <c r="J682" s="3">
        <f>G682/I682</f>
        <v/>
      </c>
      <c r="K682" s="3">
        <f>G682*12</f>
        <v/>
      </c>
      <c r="L682" s="3" t="n">
        <v>7410</v>
      </c>
    </row>
    <row r="683">
      <c r="A683" t="inlineStr">
        <is>
          <t>TA-2025-00032</t>
        </is>
      </c>
      <c r="B683" t="inlineStr">
        <is>
          <t>U-KR323-01-01</t>
        </is>
      </c>
      <c r="C683" t="inlineStr">
        <is>
          <t>Amanah Supermarket Pte Ltd</t>
        </is>
      </c>
      <c r="D683" t="inlineStr">
        <is>
          <t>Minimart</t>
        </is>
      </c>
      <c r="E683" s="2" t="n">
        <v>45658</v>
      </c>
      <c r="F683" s="2" t="n">
        <v>46752</v>
      </c>
      <c r="G683" s="3" t="n">
        <v>3590</v>
      </c>
      <c r="H683">
        <f>VLOOKUP(B683,Units!$A$2:$G$1646,2,FALSE)</f>
        <v/>
      </c>
      <c r="I683">
        <f>VLOOKUP(B683,Units!$A$2:$G$1646,5,FALSE)</f>
        <v/>
      </c>
      <c r="J683" s="3">
        <f>G683/I683</f>
        <v/>
      </c>
      <c r="K683" s="3">
        <f>G683*12</f>
        <v/>
      </c>
      <c r="L683" s="3" t="n">
        <v>10770</v>
      </c>
    </row>
    <row r="684">
      <c r="A684" t="inlineStr">
        <is>
          <t>TA-2025-00033</t>
        </is>
      </c>
      <c r="B684" t="inlineStr">
        <is>
          <t>U-KR330-01-01</t>
        </is>
      </c>
      <c r="C684" t="inlineStr">
        <is>
          <t>Rainbow Remittance Pte Ltd</t>
        </is>
      </c>
      <c r="D684" t="inlineStr">
        <is>
          <t>Remittance &amp; Money Changer</t>
        </is>
      </c>
      <c r="E684" s="2" t="n">
        <v>45658</v>
      </c>
      <c r="F684" s="2" t="n">
        <v>46752</v>
      </c>
      <c r="G684" s="3" t="n">
        <v>1030</v>
      </c>
      <c r="H684">
        <f>VLOOKUP(B684,Units!$A$2:$G$1646,2,FALSE)</f>
        <v/>
      </c>
      <c r="I684">
        <f>VLOOKUP(B684,Units!$A$2:$G$1646,5,FALSE)</f>
        <v/>
      </c>
      <c r="J684" s="3">
        <f>G684/I684</f>
        <v/>
      </c>
      <c r="K684" s="3">
        <f>G684*12</f>
        <v/>
      </c>
      <c r="L684" s="3" t="n">
        <v>3090</v>
      </c>
    </row>
    <row r="685">
      <c r="A685" t="inlineStr">
        <is>
          <t>TA-2025-00034</t>
        </is>
      </c>
      <c r="B685" t="inlineStr">
        <is>
          <t>U-KR341-01-04</t>
        </is>
      </c>
      <c r="C685" t="inlineStr">
        <is>
          <t>Tian Fu Hardware</t>
        </is>
      </c>
      <c r="D685" t="inlineStr">
        <is>
          <t>Hardware</t>
        </is>
      </c>
      <c r="E685" s="2" t="n">
        <v>45658</v>
      </c>
      <c r="F685" s="2" t="n">
        <v>46752</v>
      </c>
      <c r="G685" s="3" t="n">
        <v>5510</v>
      </c>
      <c r="H685">
        <f>VLOOKUP(B685,Units!$A$2:$G$1646,2,FALSE)</f>
        <v/>
      </c>
      <c r="I685">
        <f>VLOOKUP(B685,Units!$A$2:$G$1646,5,FALSE)</f>
        <v/>
      </c>
      <c r="J685" s="3">
        <f>G685/I685</f>
        <v/>
      </c>
      <c r="K685" s="3">
        <f>G685*12</f>
        <v/>
      </c>
      <c r="L685" s="3" t="n">
        <v>16530</v>
      </c>
    </row>
    <row r="686">
      <c r="A686" t="inlineStr">
        <is>
          <t>TA-2025-00036</t>
        </is>
      </c>
      <c r="B686" t="inlineStr">
        <is>
          <t>U-KR341-01-06</t>
        </is>
      </c>
      <c r="C686" t="inlineStr">
        <is>
          <t>Unity Family Clinic</t>
        </is>
      </c>
      <c r="D686" t="inlineStr">
        <is>
          <t>GP Clinic</t>
        </is>
      </c>
      <c r="E686" s="2" t="n">
        <v>45658</v>
      </c>
      <c r="F686" s="2" t="n">
        <v>46752</v>
      </c>
      <c r="G686" s="3" t="n">
        <v>3470</v>
      </c>
      <c r="H686">
        <f>VLOOKUP(B686,Units!$A$2:$G$1646,2,FALSE)</f>
        <v/>
      </c>
      <c r="I686">
        <f>VLOOKUP(B686,Units!$A$2:$G$1646,5,FALSE)</f>
        <v/>
      </c>
      <c r="J686" s="3">
        <f>G686/I686</f>
        <v/>
      </c>
      <c r="K686" s="3">
        <f>G686*12</f>
        <v/>
      </c>
      <c r="L686" s="3" t="n">
        <v>10410</v>
      </c>
    </row>
    <row r="687">
      <c r="A687" t="inlineStr">
        <is>
          <t>TA-2025-00038</t>
        </is>
      </c>
      <c r="B687" t="inlineStr">
        <is>
          <t>U-KR353-01-06</t>
        </is>
      </c>
      <c r="C687" t="inlineStr">
        <is>
          <t>PrimeValue Mart Pte Ltd</t>
        </is>
      </c>
      <c r="D687" t="inlineStr">
        <is>
          <t>Minimart</t>
        </is>
      </c>
      <c r="E687" s="2" t="n">
        <v>45658</v>
      </c>
      <c r="F687" s="2" t="n">
        <v>46752</v>
      </c>
      <c r="G687" s="3" t="n">
        <v>2800</v>
      </c>
      <c r="H687">
        <f>VLOOKUP(B687,Units!$A$2:$G$1646,2,FALSE)</f>
        <v/>
      </c>
      <c r="I687">
        <f>VLOOKUP(B687,Units!$A$2:$G$1646,5,FALSE)</f>
        <v/>
      </c>
      <c r="J687" s="3">
        <f>G687/I687</f>
        <v/>
      </c>
      <c r="K687" s="3">
        <f>G687*12</f>
        <v/>
      </c>
      <c r="L687" s="3" t="n">
        <v>8400</v>
      </c>
    </row>
    <row r="688">
      <c r="A688" t="inlineStr">
        <is>
          <t>TA-2025-00039</t>
        </is>
      </c>
      <c r="B688" t="inlineStr">
        <is>
          <t>U-KR353-01-11</t>
        </is>
      </c>
      <c r="C688" t="inlineStr">
        <is>
          <t>Pinnacle Snacks Pte Ltd</t>
        </is>
      </c>
      <c r="D688" t="inlineStr">
        <is>
          <t>Snack Kiosk</t>
        </is>
      </c>
      <c r="E688" s="2" t="n">
        <v>45658</v>
      </c>
      <c r="F688" s="2" t="n">
        <v>46752</v>
      </c>
      <c r="G688" s="3" t="n">
        <v>1460</v>
      </c>
      <c r="H688">
        <f>VLOOKUP(B688,Units!$A$2:$G$1646,2,FALSE)</f>
        <v/>
      </c>
      <c r="I688">
        <f>VLOOKUP(B688,Units!$A$2:$G$1646,5,FALSE)</f>
        <v/>
      </c>
      <c r="J688" s="3">
        <f>G688/I688</f>
        <v/>
      </c>
      <c r="K688" s="3">
        <f>G688*12</f>
        <v/>
      </c>
      <c r="L688" s="3" t="n">
        <v>4380</v>
      </c>
    </row>
    <row r="689">
      <c r="A689" t="inlineStr">
        <is>
          <t>TA-2025-00041</t>
        </is>
      </c>
      <c r="B689" t="inlineStr">
        <is>
          <t>U-KR371-01-06</t>
        </is>
      </c>
      <c r="C689" t="inlineStr">
        <is>
          <t>Cahaya Minimart Pte Ltd</t>
        </is>
      </c>
      <c r="D689" t="inlineStr">
        <is>
          <t>Minimart</t>
        </is>
      </c>
      <c r="E689" s="2" t="n">
        <v>45658</v>
      </c>
      <c r="F689" s="2" t="n">
        <v>46752</v>
      </c>
      <c r="G689" s="3" t="n">
        <v>4920</v>
      </c>
      <c r="H689">
        <f>VLOOKUP(B689,Units!$A$2:$G$1646,2,FALSE)</f>
        <v/>
      </c>
      <c r="I689">
        <f>VLOOKUP(B689,Units!$A$2:$G$1646,5,FALSE)</f>
        <v/>
      </c>
      <c r="J689" s="3">
        <f>G689/I689</f>
        <v/>
      </c>
      <c r="K689" s="3">
        <f>G689*12</f>
        <v/>
      </c>
      <c r="L689" s="3" t="n">
        <v>14760</v>
      </c>
    </row>
    <row r="690">
      <c r="A690" t="inlineStr">
        <is>
          <t>TA-2025-00043</t>
        </is>
      </c>
      <c r="B690" t="inlineStr">
        <is>
          <t>U-KR372-01-03</t>
        </is>
      </c>
      <c r="C690" t="inlineStr">
        <is>
          <t>Chin Lee TCM Clinic</t>
        </is>
      </c>
      <c r="D690" t="inlineStr">
        <is>
          <t>TCM Clinic</t>
        </is>
      </c>
      <c r="E690" s="2" t="n">
        <v>45658</v>
      </c>
      <c r="F690" s="2" t="n">
        <v>46752</v>
      </c>
      <c r="G690" s="3" t="n">
        <v>3810</v>
      </c>
      <c r="H690">
        <f>VLOOKUP(B690,Units!$A$2:$G$1646,2,FALSE)</f>
        <v/>
      </c>
      <c r="I690">
        <f>VLOOKUP(B690,Units!$A$2:$G$1646,5,FALSE)</f>
        <v/>
      </c>
      <c r="J690" s="3">
        <f>G690/I690</f>
        <v/>
      </c>
      <c r="K690" s="3">
        <f>G690*12</f>
        <v/>
      </c>
      <c r="L690" s="3" t="n">
        <v>11430</v>
      </c>
    </row>
    <row r="691">
      <c r="A691" t="inlineStr">
        <is>
          <t>TA-2025-00045</t>
        </is>
      </c>
      <c r="B691" t="inlineStr">
        <is>
          <t>U-KR379-01-01</t>
        </is>
      </c>
      <c r="C691" t="inlineStr">
        <is>
          <t>Harmony Telecom Pte Ltd</t>
        </is>
      </c>
      <c r="D691" t="inlineStr">
        <is>
          <t>Mobile Phone &amp; Accessories</t>
        </is>
      </c>
      <c r="E691" s="2" t="n">
        <v>45658</v>
      </c>
      <c r="F691" s="2" t="n">
        <v>46752</v>
      </c>
      <c r="G691" s="3" t="n">
        <v>1080</v>
      </c>
      <c r="H691">
        <f>VLOOKUP(B691,Units!$A$2:$G$1646,2,FALSE)</f>
        <v/>
      </c>
      <c r="I691">
        <f>VLOOKUP(B691,Units!$A$2:$G$1646,5,FALSE)</f>
        <v/>
      </c>
      <c r="J691" s="3">
        <f>G691/I691</f>
        <v/>
      </c>
      <c r="K691" s="3">
        <f>G691*12</f>
        <v/>
      </c>
      <c r="L691" s="3" t="n">
        <v>3240</v>
      </c>
    </row>
    <row r="692">
      <c r="A692" t="inlineStr">
        <is>
          <t>TA-2025-00046</t>
        </is>
      </c>
      <c r="B692" t="inlineStr">
        <is>
          <t>U-PI627-01-29</t>
        </is>
      </c>
      <c r="C692" t="inlineStr">
        <is>
          <t>Silver Moon Education Hub</t>
        </is>
      </c>
      <c r="D692" t="inlineStr">
        <is>
          <t>Tuition Centre</t>
        </is>
      </c>
      <c r="E692" s="2" t="n">
        <v>45658</v>
      </c>
      <c r="F692" s="2" t="n">
        <v>46752</v>
      </c>
      <c r="G692" s="3" t="n">
        <v>4210</v>
      </c>
      <c r="H692">
        <f>VLOOKUP(B692,Units!$A$2:$G$1646,2,FALSE)</f>
        <v/>
      </c>
      <c r="I692">
        <f>VLOOKUP(B692,Units!$A$2:$G$1646,5,FALSE)</f>
        <v/>
      </c>
      <c r="J692" s="3">
        <f>G692/I692</f>
        <v/>
      </c>
      <c r="K692" s="3">
        <f>G692*12</f>
        <v/>
      </c>
      <c r="L692" s="3" t="n">
        <v>12630</v>
      </c>
    </row>
    <row r="693">
      <c r="A693" t="inlineStr">
        <is>
          <t>TA-2025-00047</t>
        </is>
      </c>
      <c r="B693" t="inlineStr">
        <is>
          <t>U-PI627-01-33</t>
        </is>
      </c>
      <c r="C693" t="inlineStr">
        <is>
          <t>Cosy Minimart Pte Ltd</t>
        </is>
      </c>
      <c r="D693" t="inlineStr">
        <is>
          <t>Minimart</t>
        </is>
      </c>
      <c r="E693" s="2" t="n">
        <v>45658</v>
      </c>
      <c r="F693" s="2" t="n">
        <v>46752</v>
      </c>
      <c r="G693" s="3" t="n">
        <v>2880</v>
      </c>
      <c r="H693">
        <f>VLOOKUP(B693,Units!$A$2:$G$1646,2,FALSE)</f>
        <v/>
      </c>
      <c r="I693">
        <f>VLOOKUP(B693,Units!$A$2:$G$1646,5,FALSE)</f>
        <v/>
      </c>
      <c r="J693" s="3">
        <f>G693/I693</f>
        <v/>
      </c>
      <c r="K693" s="3">
        <f>G693*12</f>
        <v/>
      </c>
      <c r="L693" s="3" t="n">
        <v>8640</v>
      </c>
    </row>
    <row r="694">
      <c r="A694" t="inlineStr">
        <is>
          <t>TA-2025-00049</t>
        </is>
      </c>
      <c r="B694" t="inlineStr">
        <is>
          <t>U-PI648-01-08</t>
        </is>
      </c>
      <c r="C694" t="inlineStr">
        <is>
          <t>Hometown Education Hub Pte Ltd</t>
        </is>
      </c>
      <c r="D694" t="inlineStr">
        <is>
          <t>Tuition Centre</t>
        </is>
      </c>
      <c r="E694" s="2" t="n">
        <v>45658</v>
      </c>
      <c r="F694" s="2" t="n">
        <v>46752</v>
      </c>
      <c r="G694" s="3" t="n">
        <v>3910</v>
      </c>
      <c r="H694">
        <f>VLOOKUP(B694,Units!$A$2:$G$1646,2,FALSE)</f>
        <v/>
      </c>
      <c r="I694">
        <f>VLOOKUP(B694,Units!$A$2:$G$1646,5,FALSE)</f>
        <v/>
      </c>
      <c r="J694" s="3">
        <f>G694/I694</f>
        <v/>
      </c>
      <c r="K694" s="3">
        <f>G694*12</f>
        <v/>
      </c>
      <c r="L694" s="3" t="n">
        <v>11730</v>
      </c>
    </row>
    <row r="695">
      <c r="A695" t="inlineStr">
        <is>
          <t>TA-2025-00051</t>
        </is>
      </c>
      <c r="B695" t="inlineStr">
        <is>
          <t>U-PI651-01-06</t>
        </is>
      </c>
      <c r="C695" t="inlineStr">
        <is>
          <t>Tan Brothers Hair Salon</t>
        </is>
      </c>
      <c r="D695" t="inlineStr">
        <is>
          <t>Hair Salon</t>
        </is>
      </c>
      <c r="E695" s="2" t="n">
        <v>45658</v>
      </c>
      <c r="F695" s="2" t="n">
        <v>46752</v>
      </c>
      <c r="G695" s="3" t="n">
        <v>4370</v>
      </c>
      <c r="H695">
        <f>VLOOKUP(B695,Units!$A$2:$G$1646,2,FALSE)</f>
        <v/>
      </c>
      <c r="I695">
        <f>VLOOKUP(B695,Units!$A$2:$G$1646,5,FALSE)</f>
        <v/>
      </c>
      <c r="J695" s="3">
        <f>G695/I695</f>
        <v/>
      </c>
      <c r="K695" s="3">
        <f>G695*12</f>
        <v/>
      </c>
      <c r="L695" s="3" t="n">
        <v>13110</v>
      </c>
    </row>
    <row r="696">
      <c r="A696" t="inlineStr">
        <is>
          <t>TA-2025-00053</t>
        </is>
      </c>
      <c r="B696" t="inlineStr">
        <is>
          <t>U-PI668-01-10</t>
        </is>
      </c>
      <c r="C696" t="inlineStr">
        <is>
          <t>Joo Chiat Minimart Pte Ltd</t>
        </is>
      </c>
      <c r="D696" t="inlineStr">
        <is>
          <t>Minimart</t>
        </is>
      </c>
      <c r="E696" s="2" t="n">
        <v>45658</v>
      </c>
      <c r="F696" s="2" t="n">
        <v>46752</v>
      </c>
      <c r="G696" s="3" t="n">
        <v>3790</v>
      </c>
      <c r="H696">
        <f>VLOOKUP(B696,Units!$A$2:$G$1646,2,FALSE)</f>
        <v/>
      </c>
      <c r="I696">
        <f>VLOOKUP(B696,Units!$A$2:$G$1646,5,FALSE)</f>
        <v/>
      </c>
      <c r="J696" s="3">
        <f>G696/I696</f>
        <v/>
      </c>
      <c r="K696" s="3">
        <f>G696*12</f>
        <v/>
      </c>
      <c r="L696" s="3" t="n">
        <v>11370</v>
      </c>
    </row>
    <row r="697">
      <c r="A697" t="inlineStr">
        <is>
          <t>TA-2025-00054</t>
        </is>
      </c>
      <c r="B697" t="inlineStr">
        <is>
          <t>U-PI668-01-11</t>
        </is>
      </c>
      <c r="C697" t="inlineStr">
        <is>
          <t>Hassan Medical Supplies</t>
        </is>
      </c>
      <c r="D697" t="inlineStr">
        <is>
          <t>Pharmacy</t>
        </is>
      </c>
      <c r="E697" s="2" t="n">
        <v>45658</v>
      </c>
      <c r="F697" s="2" t="n">
        <v>46752</v>
      </c>
      <c r="G697" s="3" t="n">
        <v>4540</v>
      </c>
      <c r="H697">
        <f>VLOOKUP(B697,Units!$A$2:$G$1646,2,FALSE)</f>
        <v/>
      </c>
      <c r="I697">
        <f>VLOOKUP(B697,Units!$A$2:$G$1646,5,FALSE)</f>
        <v/>
      </c>
      <c r="J697" s="3">
        <f>G697/I697</f>
        <v/>
      </c>
      <c r="K697" s="3">
        <f>G697*12</f>
        <v/>
      </c>
      <c r="L697" s="3" t="n">
        <v>13620</v>
      </c>
    </row>
    <row r="698">
      <c r="A698" t="inlineStr">
        <is>
          <t>TA-2025-00055</t>
        </is>
      </c>
      <c r="B698" t="inlineStr">
        <is>
          <t>U-PI678-01-04</t>
        </is>
      </c>
      <c r="C698" t="inlineStr">
        <is>
          <t>Murugan Mart</t>
        </is>
      </c>
      <c r="D698" t="inlineStr">
        <is>
          <t>Minimart</t>
        </is>
      </c>
      <c r="E698" s="2" t="n">
        <v>45658</v>
      </c>
      <c r="F698" s="2" t="n">
        <v>46752</v>
      </c>
      <c r="G698" s="3" t="n">
        <v>2740</v>
      </c>
      <c r="H698">
        <f>VLOOKUP(B698,Units!$A$2:$G$1646,2,FALSE)</f>
        <v/>
      </c>
      <c r="I698">
        <f>VLOOKUP(B698,Units!$A$2:$G$1646,5,FALSE)</f>
        <v/>
      </c>
      <c r="J698" s="3">
        <f>G698/I698</f>
        <v/>
      </c>
      <c r="K698" s="3">
        <f>G698*12</f>
        <v/>
      </c>
      <c r="L698" s="3" t="n">
        <v>8220</v>
      </c>
    </row>
    <row r="699">
      <c r="A699" t="inlineStr">
        <is>
          <t>TA-2025-00056</t>
        </is>
      </c>
      <c r="B699" t="inlineStr">
        <is>
          <t>U-PI679-01-07</t>
        </is>
      </c>
      <c r="C699" t="inlineStr">
        <is>
          <t>Wong's Minimart Pte Ltd</t>
        </is>
      </c>
      <c r="D699" t="inlineStr">
        <is>
          <t>Minimart</t>
        </is>
      </c>
      <c r="E699" s="2" t="n">
        <v>45658</v>
      </c>
      <c r="F699" s="2" t="n">
        <v>46752</v>
      </c>
      <c r="G699" s="3" t="n">
        <v>2100</v>
      </c>
      <c r="H699">
        <f>VLOOKUP(B699,Units!$A$2:$G$1646,2,FALSE)</f>
        <v/>
      </c>
      <c r="I699">
        <f>VLOOKUP(B699,Units!$A$2:$G$1646,5,FALSE)</f>
        <v/>
      </c>
      <c r="J699" s="3">
        <f>G699/I699</f>
        <v/>
      </c>
      <c r="K699" s="3">
        <f>G699*12</f>
        <v/>
      </c>
      <c r="L699" s="3" t="n">
        <v>6300</v>
      </c>
    </row>
    <row r="700">
      <c r="A700" t="inlineStr">
        <is>
          <t>TA-2025-00057</t>
        </is>
      </c>
      <c r="B700" t="inlineStr">
        <is>
          <t>U-RH407-01-07</t>
        </is>
      </c>
      <c r="C700" t="inlineStr">
        <is>
          <t>PrimeValue Mart Pte Ltd</t>
        </is>
      </c>
      <c r="D700" t="inlineStr">
        <is>
          <t>Minimart</t>
        </is>
      </c>
      <c r="E700" s="2" t="n">
        <v>45658</v>
      </c>
      <c r="F700" s="2" t="n">
        <v>46752</v>
      </c>
      <c r="G700" s="3" t="n">
        <v>2150</v>
      </c>
      <c r="H700">
        <f>VLOOKUP(B700,Units!$A$2:$G$1646,2,FALSE)</f>
        <v/>
      </c>
      <c r="I700">
        <f>VLOOKUP(B700,Units!$A$2:$G$1646,5,FALSE)</f>
        <v/>
      </c>
      <c r="J700" s="3">
        <f>G700/I700</f>
        <v/>
      </c>
      <c r="K700" s="3">
        <f>G700*12</f>
        <v/>
      </c>
      <c r="L700" s="3" t="n">
        <v>6450</v>
      </c>
    </row>
    <row r="701">
      <c r="A701" t="inlineStr">
        <is>
          <t>TA-2025-00058</t>
        </is>
      </c>
      <c r="B701" t="inlineStr">
        <is>
          <t>U-RH428-01-04</t>
        </is>
      </c>
      <c r="C701" t="inlineStr">
        <is>
          <t>Harmony Fruit Trading</t>
        </is>
      </c>
      <c r="D701" t="inlineStr">
        <is>
          <t>Fruit Shop</t>
        </is>
      </c>
      <c r="E701" s="2" t="n">
        <v>45658</v>
      </c>
      <c r="F701" s="2" t="n">
        <v>46752</v>
      </c>
      <c r="G701" s="3" t="n">
        <v>1470</v>
      </c>
      <c r="H701">
        <f>VLOOKUP(B701,Units!$A$2:$G$1646,2,FALSE)</f>
        <v/>
      </c>
      <c r="I701">
        <f>VLOOKUP(B701,Units!$A$2:$G$1646,5,FALSE)</f>
        <v/>
      </c>
      <c r="J701" s="3">
        <f>G701/I701</f>
        <v/>
      </c>
      <c r="K701" s="3">
        <f>G701*12</f>
        <v/>
      </c>
      <c r="L701" s="3" t="n">
        <v>4410</v>
      </c>
    </row>
    <row r="702">
      <c r="A702" t="inlineStr">
        <is>
          <t>TA-2025-00059</t>
        </is>
      </c>
      <c r="B702" t="inlineStr">
        <is>
          <t>U-RH455-01-33</t>
        </is>
      </c>
      <c r="C702" t="inlineStr">
        <is>
          <t>Harmony Fruits Pte Ltd</t>
        </is>
      </c>
      <c r="D702" t="inlineStr">
        <is>
          <t>Fruit Shop</t>
        </is>
      </c>
      <c r="E702" s="2" t="n">
        <v>45658</v>
      </c>
      <c r="F702" s="2" t="n">
        <v>46752</v>
      </c>
      <c r="G702" s="3" t="n">
        <v>2460</v>
      </c>
      <c r="H702">
        <f>VLOOKUP(B702,Units!$A$2:$G$1646,2,FALSE)</f>
        <v/>
      </c>
      <c r="I702">
        <f>VLOOKUP(B702,Units!$A$2:$G$1646,5,FALSE)</f>
        <v/>
      </c>
      <c r="J702" s="3">
        <f>G702/I702</f>
        <v/>
      </c>
      <c r="K702" s="3">
        <f>G702*12</f>
        <v/>
      </c>
      <c r="L702" s="3" t="n">
        <v>7380</v>
      </c>
    </row>
    <row r="703">
      <c r="A703" t="inlineStr">
        <is>
          <t>TA-2025-00060</t>
        </is>
      </c>
      <c r="B703" t="inlineStr">
        <is>
          <t>U-RH455-02-30</t>
        </is>
      </c>
      <c r="C703" t="inlineStr">
        <is>
          <t>Evergreen Family Clinic Pte Ltd</t>
        </is>
      </c>
      <c r="D703" t="inlineStr">
        <is>
          <t>GP Clinic</t>
        </is>
      </c>
      <c r="E703" s="2" t="n">
        <v>45658</v>
      </c>
      <c r="F703" s="2" t="n">
        <v>46752</v>
      </c>
      <c r="G703" s="3" t="n">
        <v>2610</v>
      </c>
      <c r="H703">
        <f>VLOOKUP(B703,Units!$A$2:$G$1646,2,FALSE)</f>
        <v/>
      </c>
      <c r="I703">
        <f>VLOOKUP(B703,Units!$A$2:$G$1646,5,FALSE)</f>
        <v/>
      </c>
      <c r="J703" s="3">
        <f>G703/I703</f>
        <v/>
      </c>
      <c r="K703" s="3">
        <f>G703*12</f>
        <v/>
      </c>
      <c r="L703" s="3" t="n">
        <v>7830</v>
      </c>
    </row>
    <row r="704">
      <c r="A704" t="inlineStr">
        <is>
          <t>TA-2025-00061</t>
        </is>
      </c>
      <c r="B704" t="inlineStr">
        <is>
          <t>U-RH463-01-07</t>
        </is>
      </c>
      <c r="C704" t="inlineStr">
        <is>
          <t>Daily Fresh Tuition Centre</t>
        </is>
      </c>
      <c r="D704" t="inlineStr">
        <is>
          <t>Tuition Centre</t>
        </is>
      </c>
      <c r="E704" s="2" t="n">
        <v>45658</v>
      </c>
      <c r="F704" s="2" t="n">
        <v>46752</v>
      </c>
      <c r="G704" s="3" t="n">
        <v>2920</v>
      </c>
      <c r="H704">
        <f>VLOOKUP(B704,Units!$A$2:$G$1646,2,FALSE)</f>
        <v/>
      </c>
      <c r="I704">
        <f>VLOOKUP(B704,Units!$A$2:$G$1646,5,FALSE)</f>
        <v/>
      </c>
      <c r="J704" s="3">
        <f>G704/I704</f>
        <v/>
      </c>
      <c r="K704" s="3">
        <f>G704*12</f>
        <v/>
      </c>
      <c r="L704" s="3" t="n">
        <v>8760</v>
      </c>
    </row>
    <row r="705">
      <c r="A705" t="inlineStr">
        <is>
          <t>TA-2025-00063</t>
        </is>
      </c>
      <c r="B705" t="inlineStr">
        <is>
          <t>U-RH463-01-09</t>
        </is>
      </c>
      <c r="C705" t="inlineStr">
        <is>
          <t>Fresh Valley Minimart Pte Ltd</t>
        </is>
      </c>
      <c r="D705" t="inlineStr">
        <is>
          <t>Minimart</t>
        </is>
      </c>
      <c r="E705" s="2" t="n">
        <v>45658</v>
      </c>
      <c r="F705" s="2" t="n">
        <v>46752</v>
      </c>
      <c r="G705" s="3" t="n">
        <v>1680</v>
      </c>
      <c r="H705">
        <f>VLOOKUP(B705,Units!$A$2:$G$1646,2,FALSE)</f>
        <v/>
      </c>
      <c r="I705">
        <f>VLOOKUP(B705,Units!$A$2:$G$1646,5,FALSE)</f>
        <v/>
      </c>
      <c r="J705" s="3">
        <f>G705/I705</f>
        <v/>
      </c>
      <c r="K705" s="3">
        <f>G705*12</f>
        <v/>
      </c>
      <c r="L705" s="3" t="n">
        <v>5040</v>
      </c>
    </row>
    <row r="706">
      <c r="A706" t="inlineStr">
        <is>
          <t>TA-2025-00064</t>
        </is>
      </c>
      <c r="B706" t="inlineStr">
        <is>
          <t>U-RH471-01-05</t>
        </is>
      </c>
      <c r="C706" t="inlineStr">
        <is>
          <t>Sejahtera Provision Shop</t>
        </is>
      </c>
      <c r="D706" t="inlineStr">
        <is>
          <t>Provision Shop</t>
        </is>
      </c>
      <c r="E706" s="2" t="n">
        <v>45658</v>
      </c>
      <c r="F706" s="2" t="n">
        <v>46752</v>
      </c>
      <c r="G706" s="3" t="n">
        <v>2780</v>
      </c>
      <c r="H706">
        <f>VLOOKUP(B706,Units!$A$2:$G$1646,2,FALSE)</f>
        <v/>
      </c>
      <c r="I706">
        <f>VLOOKUP(B706,Units!$A$2:$G$1646,5,FALSE)</f>
        <v/>
      </c>
      <c r="J706" s="3">
        <f>G706/I706</f>
        <v/>
      </c>
      <c r="K706" s="3">
        <f>G706*12</f>
        <v/>
      </c>
      <c r="L706" s="3" t="n">
        <v>8340</v>
      </c>
    </row>
    <row r="707">
      <c r="A707" t="inlineStr">
        <is>
          <t>TA-2025-00066</t>
        </is>
      </c>
      <c r="B707" t="inlineStr">
        <is>
          <t>U-RH486-01-06</t>
        </is>
      </c>
      <c r="C707" t="inlineStr">
        <is>
          <t>Lim's Aquarium &amp; Pets</t>
        </is>
      </c>
      <c r="D707" t="inlineStr">
        <is>
          <t>Pet Shop</t>
        </is>
      </c>
      <c r="E707" s="2" t="n">
        <v>45658</v>
      </c>
      <c r="F707" s="2" t="n">
        <v>46752</v>
      </c>
      <c r="G707" s="3" t="n">
        <v>3890</v>
      </c>
      <c r="H707">
        <f>VLOOKUP(B707,Units!$A$2:$G$1646,2,FALSE)</f>
        <v/>
      </c>
      <c r="I707">
        <f>VLOOKUP(B707,Units!$A$2:$G$1646,5,FALSE)</f>
        <v/>
      </c>
      <c r="J707" s="3">
        <f>G707/I707</f>
        <v/>
      </c>
      <c r="K707" s="3">
        <f>G707*12</f>
        <v/>
      </c>
      <c r="L707" s="3" t="n">
        <v>11670</v>
      </c>
    </row>
    <row r="708">
      <c r="A708" t="inlineStr">
        <is>
          <t>TA-2025-00068</t>
        </is>
      </c>
      <c r="B708" t="inlineStr">
        <is>
          <t>U-RH491-01-10</t>
        </is>
      </c>
      <c r="C708" t="inlineStr">
        <is>
          <t>Nanyang Medical Supplies Pte Ltd</t>
        </is>
      </c>
      <c r="D708" t="inlineStr">
        <is>
          <t>Pharmacy</t>
        </is>
      </c>
      <c r="E708" s="2" t="n">
        <v>45658</v>
      </c>
      <c r="F708" s="2" t="n">
        <v>46752</v>
      </c>
      <c r="G708" s="3" t="n">
        <v>3620</v>
      </c>
      <c r="H708">
        <f>VLOOKUP(B708,Units!$A$2:$G$1646,2,FALSE)</f>
        <v/>
      </c>
      <c r="I708">
        <f>VLOOKUP(B708,Units!$A$2:$G$1646,5,FALSE)</f>
        <v/>
      </c>
      <c r="J708" s="3">
        <f>G708/I708</f>
        <v/>
      </c>
      <c r="K708" s="3">
        <f>G708*12</f>
        <v/>
      </c>
      <c r="L708" s="3" t="n">
        <v>10860</v>
      </c>
    </row>
    <row r="709">
      <c r="A709" t="inlineStr">
        <is>
          <t>TA-2025-00069</t>
        </is>
      </c>
      <c r="B709" t="inlineStr">
        <is>
          <t>U-ST512-01-28</t>
        </is>
      </c>
      <c r="C709" t="inlineStr">
        <is>
          <t>Lucky Star Flowers &amp; Gifts</t>
        </is>
      </c>
      <c r="D709" t="inlineStr">
        <is>
          <t>Florist</t>
        </is>
      </c>
      <c r="E709" s="2" t="n">
        <v>45658</v>
      </c>
      <c r="F709" s="2" t="n">
        <v>46752</v>
      </c>
      <c r="G709" s="3" t="n">
        <v>900</v>
      </c>
      <c r="H709">
        <f>VLOOKUP(B709,Units!$A$2:$G$1646,2,FALSE)</f>
        <v/>
      </c>
      <c r="I709">
        <f>VLOOKUP(B709,Units!$A$2:$G$1646,5,FALSE)</f>
        <v/>
      </c>
      <c r="J709" s="3">
        <f>G709/I709</f>
        <v/>
      </c>
      <c r="K709" s="3">
        <f>G709*12</f>
        <v/>
      </c>
      <c r="L709" s="3" t="n">
        <v>2700</v>
      </c>
    </row>
    <row r="710">
      <c r="A710" t="inlineStr">
        <is>
          <t>TA-2025-00070</t>
        </is>
      </c>
      <c r="B710" t="inlineStr">
        <is>
          <t>U-ST513-01-02</t>
        </is>
      </c>
      <c r="C710" t="inlineStr">
        <is>
          <t>Rainbow Hardware</t>
        </is>
      </c>
      <c r="D710" t="inlineStr">
        <is>
          <t>Hardware</t>
        </is>
      </c>
      <c r="E710" s="2" t="n">
        <v>45658</v>
      </c>
      <c r="F710" s="2" t="n">
        <v>46752</v>
      </c>
      <c r="G710" s="3" t="n">
        <v>2520</v>
      </c>
      <c r="H710">
        <f>VLOOKUP(B710,Units!$A$2:$G$1646,2,FALSE)</f>
        <v/>
      </c>
      <c r="I710">
        <f>VLOOKUP(B710,Units!$A$2:$G$1646,5,FALSE)</f>
        <v/>
      </c>
      <c r="J710" s="3">
        <f>G710/I710</f>
        <v/>
      </c>
      <c r="K710" s="3">
        <f>G710*12</f>
        <v/>
      </c>
      <c r="L710" s="3" t="n">
        <v>7560</v>
      </c>
    </row>
    <row r="711">
      <c r="A711" t="inlineStr">
        <is>
          <t>TA-2025-00072</t>
        </is>
      </c>
      <c r="B711" t="inlineStr">
        <is>
          <t>U-ST528-01-02</t>
        </is>
      </c>
      <c r="C711" t="inlineStr">
        <is>
          <t>Ong &amp; Sons Telecom Pte Ltd</t>
        </is>
      </c>
      <c r="D711" t="inlineStr">
        <is>
          <t>Mobile Phone &amp; Accessories</t>
        </is>
      </c>
      <c r="E711" s="2" t="n">
        <v>45658</v>
      </c>
      <c r="F711" s="2" t="n">
        <v>46752</v>
      </c>
      <c r="G711" s="3" t="n">
        <v>3080</v>
      </c>
      <c r="H711">
        <f>VLOOKUP(B711,Units!$A$2:$G$1646,2,FALSE)</f>
        <v/>
      </c>
      <c r="I711">
        <f>VLOOKUP(B711,Units!$A$2:$G$1646,5,FALSE)</f>
        <v/>
      </c>
      <c r="J711" s="3">
        <f>G711/I711</f>
        <v/>
      </c>
      <c r="K711" s="3">
        <f>G711*12</f>
        <v/>
      </c>
      <c r="L711" s="3" t="n">
        <v>9240</v>
      </c>
    </row>
    <row r="712">
      <c r="A712" t="inlineStr">
        <is>
          <t>TA-2025-00074</t>
        </is>
      </c>
      <c r="B712" t="inlineStr">
        <is>
          <t>U-ST545-01-09</t>
        </is>
      </c>
      <c r="C712" t="inlineStr">
        <is>
          <t>Rainbow Laundry</t>
        </is>
      </c>
      <c r="D712" t="inlineStr">
        <is>
          <t>Laundry</t>
        </is>
      </c>
      <c r="E712" s="2" t="n">
        <v>45658</v>
      </c>
      <c r="F712" s="2" t="n">
        <v>46752</v>
      </c>
      <c r="G712" s="3" t="n">
        <v>3210</v>
      </c>
      <c r="H712">
        <f>VLOOKUP(B712,Units!$A$2:$G$1646,2,FALSE)</f>
        <v/>
      </c>
      <c r="I712">
        <f>VLOOKUP(B712,Units!$A$2:$G$1646,5,FALSE)</f>
        <v/>
      </c>
      <c r="J712" s="3">
        <f>G712/I712</f>
        <v/>
      </c>
      <c r="K712" s="3">
        <f>G712*12</f>
        <v/>
      </c>
      <c r="L712" s="3" t="n">
        <v>9630</v>
      </c>
    </row>
    <row r="713">
      <c r="A713" t="inlineStr">
        <is>
          <t>TA-2025-00075</t>
        </is>
      </c>
      <c r="B713" t="inlineStr">
        <is>
          <t>U-ST556-01-06</t>
        </is>
      </c>
      <c r="C713" t="inlineStr">
        <is>
          <t>Ah Seng Hardware &amp; Electrical Pte Ltd</t>
        </is>
      </c>
      <c r="D713" t="inlineStr">
        <is>
          <t>Hardware</t>
        </is>
      </c>
      <c r="E713" s="2" t="n">
        <v>45658</v>
      </c>
      <c r="F713" s="2" t="n">
        <v>46752</v>
      </c>
      <c r="G713" s="3" t="n">
        <v>2720</v>
      </c>
      <c r="H713">
        <f>VLOOKUP(B713,Units!$A$2:$G$1646,2,FALSE)</f>
        <v/>
      </c>
      <c r="I713">
        <f>VLOOKUP(B713,Units!$A$2:$G$1646,5,FALSE)</f>
        <v/>
      </c>
      <c r="J713" s="3">
        <f>G713/I713</f>
        <v/>
      </c>
      <c r="K713" s="3">
        <f>G713*12</f>
        <v/>
      </c>
      <c r="L713" s="3" t="n">
        <v>8160</v>
      </c>
    </row>
    <row r="714">
      <c r="A714" t="inlineStr">
        <is>
          <t>TA-2025-00076</t>
        </is>
      </c>
      <c r="B714" t="inlineStr">
        <is>
          <t>U-ST596-02-08</t>
        </is>
      </c>
      <c r="C714" t="inlineStr">
        <is>
          <t>Fresh Valley Tuition Centre</t>
        </is>
      </c>
      <c r="D714" t="inlineStr">
        <is>
          <t>Tuition Centre</t>
        </is>
      </c>
      <c r="E714" s="2" t="n">
        <v>45658</v>
      </c>
      <c r="F714" s="2" t="n">
        <v>46752</v>
      </c>
      <c r="G714" s="3" t="n">
        <v>2630</v>
      </c>
      <c r="H714">
        <f>VLOOKUP(B714,Units!$A$2:$G$1646,2,FALSE)</f>
        <v/>
      </c>
      <c r="I714">
        <f>VLOOKUP(B714,Units!$A$2:$G$1646,5,FALSE)</f>
        <v/>
      </c>
      <c r="J714" s="3">
        <f>G714/I714</f>
        <v/>
      </c>
      <c r="K714" s="3">
        <f>G714*12</f>
        <v/>
      </c>
      <c r="L714" s="3" t="n">
        <v>7890</v>
      </c>
    </row>
    <row r="715">
      <c r="A715" t="inlineStr">
        <is>
          <t>TA-2025-00078</t>
        </is>
      </c>
      <c r="B715" t="inlineStr">
        <is>
          <t>U-BV204-01-02</t>
        </is>
      </c>
      <c r="C715" t="inlineStr">
        <is>
          <t>Suria Cake House</t>
        </is>
      </c>
      <c r="D715" t="inlineStr">
        <is>
          <t>Bakery &amp; Confectionery</t>
        </is>
      </c>
      <c r="E715" s="2" t="n">
        <v>45689</v>
      </c>
      <c r="F715" s="2" t="n">
        <v>46783</v>
      </c>
      <c r="G715" s="3" t="n">
        <v>6170</v>
      </c>
      <c r="H715">
        <f>VLOOKUP(B715,Units!$A$2:$G$1646,2,FALSE)</f>
        <v/>
      </c>
      <c r="I715">
        <f>VLOOKUP(B715,Units!$A$2:$G$1646,5,FALSE)</f>
        <v/>
      </c>
      <c r="J715" s="3">
        <f>G715/I715</f>
        <v/>
      </c>
      <c r="K715" s="3">
        <f>G715*12</f>
        <v/>
      </c>
      <c r="L715" s="3" t="n">
        <v>18510</v>
      </c>
    </row>
    <row r="716">
      <c r="A716" t="inlineStr">
        <is>
          <t>TA-2025-00079</t>
        </is>
      </c>
      <c r="B716" t="inlineStr">
        <is>
          <t>U-BV205-01-09</t>
        </is>
      </c>
      <c r="C716" t="inlineStr">
        <is>
          <t>Tan Brothers Education Hub Pte Ltd</t>
        </is>
      </c>
      <c r="D716" t="inlineStr">
        <is>
          <t>Tuition Centre</t>
        </is>
      </c>
      <c r="E716" s="2" t="n">
        <v>45689</v>
      </c>
      <c r="F716" s="2" t="n">
        <v>46783</v>
      </c>
      <c r="G716" s="3" t="n">
        <v>3360</v>
      </c>
      <c r="H716">
        <f>VLOOKUP(B716,Units!$A$2:$G$1646,2,FALSE)</f>
        <v/>
      </c>
      <c r="I716">
        <f>VLOOKUP(B716,Units!$A$2:$G$1646,5,FALSE)</f>
        <v/>
      </c>
      <c r="J716" s="3">
        <f>G716/I716</f>
        <v/>
      </c>
      <c r="K716" s="3">
        <f>G716*12</f>
        <v/>
      </c>
      <c r="L716" s="3" t="n">
        <v>10080</v>
      </c>
    </row>
    <row r="717">
      <c r="A717" t="inlineStr">
        <is>
          <t>TA-2025-00080</t>
        </is>
      </c>
      <c r="B717" t="inlineStr">
        <is>
          <t>U-BV215-01-01</t>
        </is>
      </c>
      <c r="C717" t="inlineStr">
        <is>
          <t>Murugan Trading</t>
        </is>
      </c>
      <c r="D717" t="inlineStr">
        <is>
          <t>Provision Shop</t>
        </is>
      </c>
      <c r="E717" s="2" t="n">
        <v>45689</v>
      </c>
      <c r="F717" s="2" t="n">
        <v>46783</v>
      </c>
      <c r="G717" s="3" t="n">
        <v>4320</v>
      </c>
      <c r="H717">
        <f>VLOOKUP(B717,Units!$A$2:$G$1646,2,FALSE)</f>
        <v/>
      </c>
      <c r="I717">
        <f>VLOOKUP(B717,Units!$A$2:$G$1646,5,FALSE)</f>
        <v/>
      </c>
      <c r="J717" s="3">
        <f>G717/I717</f>
        <v/>
      </c>
      <c r="K717" s="3">
        <f>G717*12</f>
        <v/>
      </c>
      <c r="L717" s="3" t="n">
        <v>12960</v>
      </c>
    </row>
    <row r="718">
      <c r="A718" t="inlineStr">
        <is>
          <t>TA-2025-00082</t>
        </is>
      </c>
      <c r="B718" t="inlineStr">
        <is>
          <t>U-BV215-01-12</t>
        </is>
      </c>
      <c r="C718" t="inlineStr">
        <is>
          <t>Happy Paws Learning Centre</t>
        </is>
      </c>
      <c r="D718" t="inlineStr">
        <is>
          <t>Tuition Centre</t>
        </is>
      </c>
      <c r="E718" s="2" t="n">
        <v>45689</v>
      </c>
      <c r="F718" s="2" t="n">
        <v>46783</v>
      </c>
      <c r="G718" s="3" t="n">
        <v>2950</v>
      </c>
      <c r="H718">
        <f>VLOOKUP(B718,Units!$A$2:$G$1646,2,FALSE)</f>
        <v/>
      </c>
      <c r="I718">
        <f>VLOOKUP(B718,Units!$A$2:$G$1646,5,FALSE)</f>
        <v/>
      </c>
      <c r="J718" s="3">
        <f>G718/I718</f>
        <v/>
      </c>
      <c r="K718" s="3">
        <f>G718*12</f>
        <v/>
      </c>
      <c r="L718" s="3" t="n">
        <v>8850</v>
      </c>
    </row>
    <row r="719">
      <c r="A719" t="inlineStr">
        <is>
          <t>TA-2025-00084</t>
        </is>
      </c>
      <c r="B719" t="inlineStr">
        <is>
          <t>U-BV219-02-05</t>
        </is>
      </c>
      <c r="C719" t="inlineStr">
        <is>
          <t>Swee Heng Learning Centre</t>
        </is>
      </c>
      <c r="D719" t="inlineStr">
        <is>
          <t>Tuition Centre</t>
        </is>
      </c>
      <c r="E719" s="2" t="n">
        <v>45689</v>
      </c>
      <c r="F719" s="2" t="n">
        <v>46783</v>
      </c>
      <c r="G719" s="3" t="n">
        <v>4370</v>
      </c>
      <c r="H719">
        <f>VLOOKUP(B719,Units!$A$2:$G$1646,2,FALSE)</f>
        <v/>
      </c>
      <c r="I719">
        <f>VLOOKUP(B719,Units!$A$2:$G$1646,5,FALSE)</f>
        <v/>
      </c>
      <c r="J719" s="3">
        <f>G719/I719</f>
        <v/>
      </c>
      <c r="K719" s="3">
        <f>G719*12</f>
        <v/>
      </c>
      <c r="L719" s="3" t="n">
        <v>13110</v>
      </c>
    </row>
    <row r="720">
      <c r="A720" t="inlineStr">
        <is>
          <t>TA-2025-00085</t>
        </is>
      </c>
      <c r="B720" t="inlineStr">
        <is>
          <t>U-BV277-01-05</t>
        </is>
      </c>
      <c r="C720" t="inlineStr">
        <is>
          <t>Wong's Dental Care Pte Ltd</t>
        </is>
      </c>
      <c r="D720" t="inlineStr">
        <is>
          <t>Dental Clinic</t>
        </is>
      </c>
      <c r="E720" s="2" t="n">
        <v>45689</v>
      </c>
      <c r="F720" s="2" t="n">
        <v>46783</v>
      </c>
      <c r="G720" s="3" t="n">
        <v>5650</v>
      </c>
      <c r="H720">
        <f>VLOOKUP(B720,Units!$A$2:$G$1646,2,FALSE)</f>
        <v/>
      </c>
      <c r="I720">
        <f>VLOOKUP(B720,Units!$A$2:$G$1646,5,FALSE)</f>
        <v/>
      </c>
      <c r="J720" s="3">
        <f>G720/I720</f>
        <v/>
      </c>
      <c r="K720" s="3">
        <f>G720*12</f>
        <v/>
      </c>
      <c r="L720" s="3" t="n">
        <v>16950</v>
      </c>
    </row>
    <row r="721">
      <c r="A721" t="inlineStr">
        <is>
          <t>TA-2025-00086</t>
        </is>
      </c>
      <c r="B721" t="inlineStr">
        <is>
          <t>U-BV284-01-03</t>
        </is>
      </c>
      <c r="C721" t="inlineStr">
        <is>
          <t>Hassan Dry Cleaners</t>
        </is>
      </c>
      <c r="D721" t="inlineStr">
        <is>
          <t>Laundry</t>
        </is>
      </c>
      <c r="E721" s="2" t="n">
        <v>45689</v>
      </c>
      <c r="F721" s="2" t="n">
        <v>46783</v>
      </c>
      <c r="G721" s="3" t="n">
        <v>3610</v>
      </c>
      <c r="H721">
        <f>VLOOKUP(B721,Units!$A$2:$G$1646,2,FALSE)</f>
        <v/>
      </c>
      <c r="I721">
        <f>VLOOKUP(B721,Units!$A$2:$G$1646,5,FALSE)</f>
        <v/>
      </c>
      <c r="J721" s="3">
        <f>G721/I721</f>
        <v/>
      </c>
      <c r="K721" s="3">
        <f>G721*12</f>
        <v/>
      </c>
      <c r="L721" s="3" t="n">
        <v>10830</v>
      </c>
    </row>
    <row r="722">
      <c r="A722" t="inlineStr">
        <is>
          <t>TA-2025-00088</t>
        </is>
      </c>
      <c r="B722" t="inlineStr">
        <is>
          <t>U-BV296-01-09</t>
        </is>
      </c>
      <c r="C722" t="inlineStr">
        <is>
          <t>Wong's Mobile</t>
        </is>
      </c>
      <c r="D722" t="inlineStr">
        <is>
          <t>Mobile Phone &amp; Accessories</t>
        </is>
      </c>
      <c r="E722" s="2" t="n">
        <v>45689</v>
      </c>
      <c r="F722" s="2" t="n">
        <v>46783</v>
      </c>
      <c r="G722" s="3" t="n">
        <v>1290</v>
      </c>
      <c r="H722">
        <f>VLOOKUP(B722,Units!$A$2:$G$1646,2,FALSE)</f>
        <v/>
      </c>
      <c r="I722">
        <f>VLOOKUP(B722,Units!$A$2:$G$1646,5,FALSE)</f>
        <v/>
      </c>
      <c r="J722" s="3">
        <f>G722/I722</f>
        <v/>
      </c>
      <c r="K722" s="3">
        <f>G722*12</f>
        <v/>
      </c>
      <c r="L722" s="3" t="n">
        <v>3870</v>
      </c>
    </row>
    <row r="723">
      <c r="A723" t="inlineStr">
        <is>
          <t>TA-2025-00089</t>
        </is>
      </c>
      <c r="B723" t="inlineStr">
        <is>
          <t>U-CD109-01-13</t>
        </is>
      </c>
      <c r="C723" t="inlineStr">
        <is>
          <t>Lakshmi Minimart</t>
        </is>
      </c>
      <c r="D723" t="inlineStr">
        <is>
          <t>Minimart</t>
        </is>
      </c>
      <c r="E723" s="2" t="n">
        <v>45689</v>
      </c>
      <c r="F723" s="2" t="n">
        <v>46783</v>
      </c>
      <c r="G723" s="3" t="n">
        <v>4080</v>
      </c>
      <c r="H723">
        <f>VLOOKUP(B723,Units!$A$2:$G$1646,2,FALSE)</f>
        <v/>
      </c>
      <c r="I723">
        <f>VLOOKUP(B723,Units!$A$2:$G$1646,5,FALSE)</f>
        <v/>
      </c>
      <c r="J723" s="3">
        <f>G723/I723</f>
        <v/>
      </c>
      <c r="K723" s="3">
        <f>G723*12</f>
        <v/>
      </c>
      <c r="L723" s="3" t="n">
        <v>12240</v>
      </c>
    </row>
    <row r="724">
      <c r="A724" t="inlineStr">
        <is>
          <t>TA-2025-00091</t>
        </is>
      </c>
      <c r="B724" t="inlineStr">
        <is>
          <t>U-CD119-02-03</t>
        </is>
      </c>
      <c r="C724" t="inlineStr">
        <is>
          <t>Cahaya Medical Clinic</t>
        </is>
      </c>
      <c r="D724" t="inlineStr">
        <is>
          <t>GP Clinic</t>
        </is>
      </c>
      <c r="E724" s="2" t="n">
        <v>45689</v>
      </c>
      <c r="F724" s="2" t="n">
        <v>46783</v>
      </c>
      <c r="G724" s="3" t="n">
        <v>2010</v>
      </c>
      <c r="H724">
        <f>VLOOKUP(B724,Units!$A$2:$G$1646,2,FALSE)</f>
        <v/>
      </c>
      <c r="I724">
        <f>VLOOKUP(B724,Units!$A$2:$G$1646,5,FALSE)</f>
        <v/>
      </c>
      <c r="J724" s="3">
        <f>G724/I724</f>
        <v/>
      </c>
      <c r="K724" s="3">
        <f>G724*12</f>
        <v/>
      </c>
      <c r="L724" s="3" t="n">
        <v>6030</v>
      </c>
    </row>
    <row r="725">
      <c r="A725" t="inlineStr">
        <is>
          <t>TA-2025-00092</t>
        </is>
      </c>
      <c r="B725" t="inlineStr">
        <is>
          <t>U-CD136-02-01</t>
        </is>
      </c>
      <c r="C725" t="inlineStr">
        <is>
          <t>Daily Fresh Medical Hall Pte Ltd</t>
        </is>
      </c>
      <c r="D725" t="inlineStr">
        <is>
          <t>TCM Clinic</t>
        </is>
      </c>
      <c r="E725" s="2" t="n">
        <v>45689</v>
      </c>
      <c r="F725" s="2" t="n">
        <v>46783</v>
      </c>
      <c r="G725" s="3" t="n">
        <v>3810</v>
      </c>
      <c r="H725">
        <f>VLOOKUP(B725,Units!$A$2:$G$1646,2,FALSE)</f>
        <v/>
      </c>
      <c r="I725">
        <f>VLOOKUP(B725,Units!$A$2:$G$1646,5,FALSE)</f>
        <v/>
      </c>
      <c r="J725" s="3">
        <f>G725/I725</f>
        <v/>
      </c>
      <c r="K725" s="3">
        <f>G725*12</f>
        <v/>
      </c>
      <c r="L725" s="3" t="n">
        <v>11430</v>
      </c>
    </row>
    <row r="726">
      <c r="A726" t="inlineStr">
        <is>
          <t>TA-2025-00094</t>
        </is>
      </c>
      <c r="B726" t="inlineStr">
        <is>
          <t>U-CD190-01-09</t>
        </is>
      </c>
      <c r="C726" t="inlineStr">
        <is>
          <t>Wellcare Tuition Centre</t>
        </is>
      </c>
      <c r="D726" t="inlineStr">
        <is>
          <t>Tuition Centre</t>
        </is>
      </c>
      <c r="E726" s="2" t="n">
        <v>45689</v>
      </c>
      <c r="F726" s="2" t="n">
        <v>46783</v>
      </c>
      <c r="G726" s="3" t="n">
        <v>2950</v>
      </c>
      <c r="H726">
        <f>VLOOKUP(B726,Units!$A$2:$G$1646,2,FALSE)</f>
        <v/>
      </c>
      <c r="I726">
        <f>VLOOKUP(B726,Units!$A$2:$G$1646,5,FALSE)</f>
        <v/>
      </c>
      <c r="J726" s="3">
        <f>G726/I726</f>
        <v/>
      </c>
      <c r="K726" s="3">
        <f>G726*12</f>
        <v/>
      </c>
      <c r="L726" s="3" t="n">
        <v>8850</v>
      </c>
    </row>
    <row r="727">
      <c r="A727" t="inlineStr">
        <is>
          <t>TA-2025-00096</t>
        </is>
      </c>
      <c r="B727" t="inlineStr">
        <is>
          <t>U-KR305-01-10</t>
        </is>
      </c>
      <c r="C727" t="inlineStr">
        <is>
          <t>Barakah Kueh Corner</t>
        </is>
      </c>
      <c r="D727" t="inlineStr">
        <is>
          <t>Snack Kiosk</t>
        </is>
      </c>
      <c r="E727" s="2" t="n">
        <v>45689</v>
      </c>
      <c r="F727" s="2" t="n">
        <v>46783</v>
      </c>
      <c r="G727" s="3" t="n">
        <v>1440</v>
      </c>
      <c r="H727">
        <f>VLOOKUP(B727,Units!$A$2:$G$1646,2,FALSE)</f>
        <v/>
      </c>
      <c r="I727">
        <f>VLOOKUP(B727,Units!$A$2:$G$1646,5,FALSE)</f>
        <v/>
      </c>
      <c r="J727" s="3">
        <f>G727/I727</f>
        <v/>
      </c>
      <c r="K727" s="3">
        <f>G727*12</f>
        <v/>
      </c>
      <c r="L727" s="3" t="n">
        <v>4320</v>
      </c>
    </row>
    <row r="728">
      <c r="A728" t="inlineStr">
        <is>
          <t>TA-2025-00097</t>
        </is>
      </c>
      <c r="B728" t="inlineStr">
        <is>
          <t>U-KR305-02-19</t>
        </is>
      </c>
      <c r="C728" t="inlineStr">
        <is>
          <t>Pinnacle Clinic &amp; Surgery</t>
        </is>
      </c>
      <c r="D728" t="inlineStr">
        <is>
          <t>GP Clinic</t>
        </is>
      </c>
      <c r="E728" s="2" t="n">
        <v>45689</v>
      </c>
      <c r="F728" s="2" t="n">
        <v>46783</v>
      </c>
      <c r="G728" s="3" t="n">
        <v>1350</v>
      </c>
      <c r="H728">
        <f>VLOOKUP(B728,Units!$A$2:$G$1646,2,FALSE)</f>
        <v/>
      </c>
      <c r="I728">
        <f>VLOOKUP(B728,Units!$A$2:$G$1646,5,FALSE)</f>
        <v/>
      </c>
      <c r="J728" s="3">
        <f>G728/I728</f>
        <v/>
      </c>
      <c r="K728" s="3">
        <f>G728*12</f>
        <v/>
      </c>
      <c r="L728" s="3" t="n">
        <v>4050</v>
      </c>
    </row>
    <row r="729">
      <c r="A729" t="inlineStr">
        <is>
          <t>TA-2025-00099</t>
        </is>
      </c>
      <c r="B729" t="inlineStr">
        <is>
          <t>U-KR310-01-07</t>
        </is>
      </c>
      <c r="C729" t="inlineStr">
        <is>
          <t>PrimeValue Mart Pte Ltd</t>
        </is>
      </c>
      <c r="D729" t="inlineStr">
        <is>
          <t>Minimart</t>
        </is>
      </c>
      <c r="E729" s="2" t="n">
        <v>45689</v>
      </c>
      <c r="F729" s="2" t="n">
        <v>46783</v>
      </c>
      <c r="G729" s="3" t="n">
        <v>2620</v>
      </c>
      <c r="H729">
        <f>VLOOKUP(B729,Units!$A$2:$G$1646,2,FALSE)</f>
        <v/>
      </c>
      <c r="I729">
        <f>VLOOKUP(B729,Units!$A$2:$G$1646,5,FALSE)</f>
        <v/>
      </c>
      <c r="J729" s="3">
        <f>G729/I729</f>
        <v/>
      </c>
      <c r="K729" s="3">
        <f>G729*12</f>
        <v/>
      </c>
      <c r="L729" s="3" t="n">
        <v>7860</v>
      </c>
    </row>
    <row r="730">
      <c r="A730" t="inlineStr">
        <is>
          <t>TA-2025-00100</t>
        </is>
      </c>
      <c r="B730" t="inlineStr">
        <is>
          <t>U-KR330-01-02</t>
        </is>
      </c>
      <c r="C730" t="inlineStr">
        <is>
          <t>Wellcare Family Clinic Pte Ltd</t>
        </is>
      </c>
      <c r="D730" t="inlineStr">
        <is>
          <t>GP Clinic</t>
        </is>
      </c>
      <c r="E730" s="2" t="n">
        <v>45689</v>
      </c>
      <c r="F730" s="2" t="n">
        <v>46783</v>
      </c>
      <c r="G730" s="3" t="n">
        <v>4490</v>
      </c>
      <c r="H730">
        <f>VLOOKUP(B730,Units!$A$2:$G$1646,2,FALSE)</f>
        <v/>
      </c>
      <c r="I730">
        <f>VLOOKUP(B730,Units!$A$2:$G$1646,5,FALSE)</f>
        <v/>
      </c>
      <c r="J730" s="3">
        <f>G730/I730</f>
        <v/>
      </c>
      <c r="K730" s="3">
        <f>G730*12</f>
        <v/>
      </c>
      <c r="L730" s="3" t="n">
        <v>13470</v>
      </c>
    </row>
    <row r="731">
      <c r="A731" t="inlineStr">
        <is>
          <t>TA-2025-00102</t>
        </is>
      </c>
      <c r="B731" t="inlineStr">
        <is>
          <t>U-KR341-01-11</t>
        </is>
      </c>
      <c r="C731" t="inlineStr">
        <is>
          <t>Kim Hiap Mobile Pte Ltd</t>
        </is>
      </c>
      <c r="D731" t="inlineStr">
        <is>
          <t>Mobile Phone &amp; Accessories</t>
        </is>
      </c>
      <c r="E731" s="2" t="n">
        <v>45689</v>
      </c>
      <c r="F731" s="2" t="n">
        <v>46783</v>
      </c>
      <c r="G731" s="3" t="n">
        <v>1480</v>
      </c>
      <c r="H731">
        <f>VLOOKUP(B731,Units!$A$2:$G$1646,2,FALSE)</f>
        <v/>
      </c>
      <c r="I731">
        <f>VLOOKUP(B731,Units!$A$2:$G$1646,5,FALSE)</f>
        <v/>
      </c>
      <c r="J731" s="3">
        <f>G731/I731</f>
        <v/>
      </c>
      <c r="K731" s="3">
        <f>G731*12</f>
        <v/>
      </c>
      <c r="L731" s="3" t="n">
        <v>4440</v>
      </c>
    </row>
    <row r="732">
      <c r="A732" t="inlineStr">
        <is>
          <t>TA-2025-00104</t>
        </is>
      </c>
      <c r="B732" t="inlineStr">
        <is>
          <t>U-KR358-01-06</t>
        </is>
      </c>
      <c r="C732" t="inlineStr">
        <is>
          <t>Nanyang Supermarket Pte Ltd</t>
        </is>
      </c>
      <c r="D732" t="inlineStr">
        <is>
          <t>Minimart</t>
        </is>
      </c>
      <c r="E732" s="2" t="n">
        <v>45689</v>
      </c>
      <c r="F732" s="2" t="n">
        <v>46783</v>
      </c>
      <c r="G732" s="3" t="n">
        <v>2290</v>
      </c>
      <c r="H732">
        <f>VLOOKUP(B732,Units!$A$2:$G$1646,2,FALSE)</f>
        <v/>
      </c>
      <c r="I732">
        <f>VLOOKUP(B732,Units!$A$2:$G$1646,5,FALSE)</f>
        <v/>
      </c>
      <c r="J732" s="3">
        <f>G732/I732</f>
        <v/>
      </c>
      <c r="K732" s="3">
        <f>G732*12</f>
        <v/>
      </c>
      <c r="L732" s="3" t="n">
        <v>6870</v>
      </c>
    </row>
    <row r="733">
      <c r="A733" t="inlineStr">
        <is>
          <t>TA-2025-00106</t>
        </is>
      </c>
      <c r="B733" t="inlineStr">
        <is>
          <t>U-KR368-01-10</t>
        </is>
      </c>
      <c r="C733" t="inlineStr">
        <is>
          <t>Smart Kids Bookstore</t>
        </is>
      </c>
      <c r="D733" t="inlineStr">
        <is>
          <t>Stationery &amp; Books</t>
        </is>
      </c>
      <c r="E733" s="2" t="n">
        <v>45689</v>
      </c>
      <c r="F733" s="2" t="n">
        <v>46783</v>
      </c>
      <c r="G733" s="3" t="n">
        <v>3680</v>
      </c>
      <c r="H733">
        <f>VLOOKUP(B733,Units!$A$2:$G$1646,2,FALSE)</f>
        <v/>
      </c>
      <c r="I733">
        <f>VLOOKUP(B733,Units!$A$2:$G$1646,5,FALSE)</f>
        <v/>
      </c>
      <c r="J733" s="3">
        <f>G733/I733</f>
        <v/>
      </c>
      <c r="K733" s="3">
        <f>G733*12</f>
        <v/>
      </c>
      <c r="L733" s="3" t="n">
        <v>11040</v>
      </c>
    </row>
    <row r="734">
      <c r="A734" t="inlineStr">
        <is>
          <t>TA-2025-00107</t>
        </is>
      </c>
      <c r="B734" t="inlineStr">
        <is>
          <t>U-PI625-01-05</t>
        </is>
      </c>
      <c r="C734" t="inlineStr">
        <is>
          <t>Kampung Minimart Pte Ltd</t>
        </is>
      </c>
      <c r="D734" t="inlineStr">
        <is>
          <t>Minimart</t>
        </is>
      </c>
      <c r="E734" s="2" t="n">
        <v>45689</v>
      </c>
      <c r="F734" s="2" t="n">
        <v>46783</v>
      </c>
      <c r="G734" s="3" t="n">
        <v>4110</v>
      </c>
      <c r="H734">
        <f>VLOOKUP(B734,Units!$A$2:$G$1646,2,FALSE)</f>
        <v/>
      </c>
      <c r="I734">
        <f>VLOOKUP(B734,Units!$A$2:$G$1646,5,FALSE)</f>
        <v/>
      </c>
      <c r="J734" s="3">
        <f>G734/I734</f>
        <v/>
      </c>
      <c r="K734" s="3">
        <f>G734*12</f>
        <v/>
      </c>
      <c r="L734" s="3" t="n">
        <v>12330</v>
      </c>
    </row>
    <row r="735">
      <c r="A735" t="inlineStr">
        <is>
          <t>TA-2025-00108</t>
        </is>
      </c>
      <c r="B735" t="inlineStr">
        <is>
          <t>U-PI644-01-14</t>
        </is>
      </c>
      <c r="C735" t="inlineStr">
        <is>
          <t>Swee Heng Medical Clinic</t>
        </is>
      </c>
      <c r="D735" t="inlineStr">
        <is>
          <t>GP Clinic</t>
        </is>
      </c>
      <c r="E735" s="2" t="n">
        <v>45689</v>
      </c>
      <c r="F735" s="2" t="n">
        <v>46783</v>
      </c>
      <c r="G735" s="3" t="n">
        <v>2750</v>
      </c>
      <c r="H735">
        <f>VLOOKUP(B735,Units!$A$2:$G$1646,2,FALSE)</f>
        <v/>
      </c>
      <c r="I735">
        <f>VLOOKUP(B735,Units!$A$2:$G$1646,5,FALSE)</f>
        <v/>
      </c>
      <c r="J735" s="3">
        <f>G735/I735</f>
        <v/>
      </c>
      <c r="K735" s="3">
        <f>G735*12</f>
        <v/>
      </c>
      <c r="L735" s="3" t="n">
        <v>8250</v>
      </c>
    </row>
    <row r="736">
      <c r="A736" t="inlineStr">
        <is>
          <t>TA-2025-00110</t>
        </is>
      </c>
      <c r="B736" t="inlineStr">
        <is>
          <t>U-PI646-01-02</t>
        </is>
      </c>
      <c r="C736" t="inlineStr">
        <is>
          <t>Wisdom Learning Centre Pte Ltd</t>
        </is>
      </c>
      <c r="D736" t="inlineStr">
        <is>
          <t>Tuition Centre</t>
        </is>
      </c>
      <c r="E736" s="2" t="n">
        <v>45689</v>
      </c>
      <c r="F736" s="2" t="n">
        <v>46783</v>
      </c>
      <c r="G736" s="3" t="n">
        <v>3830</v>
      </c>
      <c r="H736">
        <f>VLOOKUP(B736,Units!$A$2:$G$1646,2,FALSE)</f>
        <v/>
      </c>
      <c r="I736">
        <f>VLOOKUP(B736,Units!$A$2:$G$1646,5,FALSE)</f>
        <v/>
      </c>
      <c r="J736" s="3">
        <f>G736/I736</f>
        <v/>
      </c>
      <c r="K736" s="3">
        <f>G736*12</f>
        <v/>
      </c>
      <c r="L736" s="3" t="n">
        <v>11490</v>
      </c>
    </row>
    <row r="737">
      <c r="A737" t="inlineStr">
        <is>
          <t>TA-2025-00112</t>
        </is>
      </c>
      <c r="B737" t="inlineStr">
        <is>
          <t>U-PI648-01-10</t>
        </is>
      </c>
      <c r="C737" t="inlineStr">
        <is>
          <t>Heng Ann Medical Clinic</t>
        </is>
      </c>
      <c r="D737" t="inlineStr">
        <is>
          <t>GP Clinic</t>
        </is>
      </c>
      <c r="E737" s="2" t="n">
        <v>45689</v>
      </c>
      <c r="F737" s="2" t="n">
        <v>46783</v>
      </c>
      <c r="G737" s="3" t="n">
        <v>3810</v>
      </c>
      <c r="H737">
        <f>VLOOKUP(B737,Units!$A$2:$G$1646,2,FALSE)</f>
        <v/>
      </c>
      <c r="I737">
        <f>VLOOKUP(B737,Units!$A$2:$G$1646,5,FALSE)</f>
        <v/>
      </c>
      <c r="J737" s="3">
        <f>G737/I737</f>
        <v/>
      </c>
      <c r="K737" s="3">
        <f>G737*12</f>
        <v/>
      </c>
      <c r="L737" s="3" t="n">
        <v>11430</v>
      </c>
    </row>
    <row r="738">
      <c r="A738" t="inlineStr">
        <is>
          <t>TA-2025-00114</t>
        </is>
      </c>
      <c r="B738" t="inlineStr">
        <is>
          <t>U-PI675-02-12</t>
        </is>
      </c>
      <c r="C738" t="inlineStr">
        <is>
          <t>Harmony Clinic &amp; Surgery Pte Ltd</t>
        </is>
      </c>
      <c r="D738" t="inlineStr">
        <is>
          <t>GP Clinic</t>
        </is>
      </c>
      <c r="E738" s="2" t="n">
        <v>45689</v>
      </c>
      <c r="F738" s="2" t="n">
        <v>46783</v>
      </c>
      <c r="G738" s="3" t="n">
        <v>3390</v>
      </c>
      <c r="H738">
        <f>VLOOKUP(B738,Units!$A$2:$G$1646,2,FALSE)</f>
        <v/>
      </c>
      <c r="I738">
        <f>VLOOKUP(B738,Units!$A$2:$G$1646,5,FALSE)</f>
        <v/>
      </c>
      <c r="J738" s="3">
        <f>G738/I738</f>
        <v/>
      </c>
      <c r="K738" s="3">
        <f>G738*12</f>
        <v/>
      </c>
      <c r="L738" s="3" t="n">
        <v>10170</v>
      </c>
    </row>
    <row r="739">
      <c r="A739" t="inlineStr">
        <is>
          <t>TA-2025-00115</t>
        </is>
      </c>
      <c r="B739" t="inlineStr">
        <is>
          <t>U-PI696-01-07</t>
        </is>
      </c>
      <c r="C739" t="inlineStr">
        <is>
          <t>Seri Murni Snacks</t>
        </is>
      </c>
      <c r="D739" t="inlineStr">
        <is>
          <t>Snack Kiosk</t>
        </is>
      </c>
      <c r="E739" s="2" t="n">
        <v>45689</v>
      </c>
      <c r="F739" s="2" t="n">
        <v>46783</v>
      </c>
      <c r="G739" s="3" t="n">
        <v>1250</v>
      </c>
      <c r="H739">
        <f>VLOOKUP(B739,Units!$A$2:$G$1646,2,FALSE)</f>
        <v/>
      </c>
      <c r="I739">
        <f>VLOOKUP(B739,Units!$A$2:$G$1646,5,FALSE)</f>
        <v/>
      </c>
      <c r="J739" s="3">
        <f>G739/I739</f>
        <v/>
      </c>
      <c r="K739" s="3">
        <f>G739*12</f>
        <v/>
      </c>
      <c r="L739" s="3" t="n">
        <v>3750</v>
      </c>
    </row>
    <row r="740">
      <c r="A740" t="inlineStr">
        <is>
          <t>TA-2025-00116</t>
        </is>
      </c>
      <c r="B740" t="inlineStr">
        <is>
          <t>U-RH420-01-02</t>
        </is>
      </c>
      <c r="C740" t="inlineStr">
        <is>
          <t>Blue Pearl Store</t>
        </is>
      </c>
      <c r="D740" t="inlineStr">
        <is>
          <t>Provision Shop</t>
        </is>
      </c>
      <c r="E740" s="2" t="n">
        <v>45689</v>
      </c>
      <c r="F740" s="2" t="n">
        <v>46783</v>
      </c>
      <c r="G740" s="3" t="n">
        <v>3050</v>
      </c>
      <c r="H740">
        <f>VLOOKUP(B740,Units!$A$2:$G$1646,2,FALSE)</f>
        <v/>
      </c>
      <c r="I740">
        <f>VLOOKUP(B740,Units!$A$2:$G$1646,5,FALSE)</f>
        <v/>
      </c>
      <c r="J740" s="3">
        <f>G740/I740</f>
        <v/>
      </c>
      <c r="K740" s="3">
        <f>G740*12</f>
        <v/>
      </c>
      <c r="L740" s="3" t="n">
        <v>9150</v>
      </c>
    </row>
    <row r="741">
      <c r="A741" t="inlineStr">
        <is>
          <t>TA-2025-00117</t>
        </is>
      </c>
      <c r="B741" t="inlineStr">
        <is>
          <t>U-RH420-01-03</t>
        </is>
      </c>
      <c r="C741" t="inlineStr">
        <is>
          <t>Daily Fresh Clinic &amp; Surgery</t>
        </is>
      </c>
      <c r="D741" t="inlineStr">
        <is>
          <t>GP Clinic</t>
        </is>
      </c>
      <c r="E741" s="2" t="n">
        <v>45689</v>
      </c>
      <c r="F741" s="2" t="n">
        <v>46783</v>
      </c>
      <c r="G741" s="3" t="n">
        <v>1860</v>
      </c>
      <c r="H741">
        <f>VLOOKUP(B741,Units!$A$2:$G$1646,2,FALSE)</f>
        <v/>
      </c>
      <c r="I741">
        <f>VLOOKUP(B741,Units!$A$2:$G$1646,5,FALSE)</f>
        <v/>
      </c>
      <c r="J741" s="3">
        <f>G741/I741</f>
        <v/>
      </c>
      <c r="K741" s="3">
        <f>G741*12</f>
        <v/>
      </c>
      <c r="L741" s="3" t="n">
        <v>5580</v>
      </c>
    </row>
    <row r="742">
      <c r="A742" t="inlineStr">
        <is>
          <t>TA-2025-00118</t>
        </is>
      </c>
      <c r="B742" t="inlineStr">
        <is>
          <t>U-RH455-01-20</t>
        </is>
      </c>
      <c r="C742" t="inlineStr">
        <is>
          <t>Lucky Star Hair Studio</t>
        </is>
      </c>
      <c r="D742" t="inlineStr">
        <is>
          <t>Hair Salon</t>
        </is>
      </c>
      <c r="E742" s="2" t="n">
        <v>45689</v>
      </c>
      <c r="F742" s="2" t="n">
        <v>46783</v>
      </c>
      <c r="G742" s="3" t="n">
        <v>3450</v>
      </c>
      <c r="H742">
        <f>VLOOKUP(B742,Units!$A$2:$G$1646,2,FALSE)</f>
        <v/>
      </c>
      <c r="I742">
        <f>VLOOKUP(B742,Units!$A$2:$G$1646,5,FALSE)</f>
        <v/>
      </c>
      <c r="J742" s="3">
        <f>G742/I742</f>
        <v/>
      </c>
      <c r="K742" s="3">
        <f>G742*12</f>
        <v/>
      </c>
      <c r="L742" s="3" t="n">
        <v>10350</v>
      </c>
    </row>
    <row r="743">
      <c r="A743" t="inlineStr">
        <is>
          <t>TA-2025-00120</t>
        </is>
      </c>
      <c r="B743" t="inlineStr">
        <is>
          <t>U-RH455-01-28</t>
        </is>
      </c>
      <c r="C743" t="inlineStr">
        <is>
          <t>Hock Lee Medical Supplies</t>
        </is>
      </c>
      <c r="D743" t="inlineStr">
        <is>
          <t>Pharmacy</t>
        </is>
      </c>
      <c r="E743" s="2" t="n">
        <v>45689</v>
      </c>
      <c r="F743" s="2" t="n">
        <v>46783</v>
      </c>
      <c r="G743" s="3" t="n">
        <v>3990</v>
      </c>
      <c r="H743">
        <f>VLOOKUP(B743,Units!$A$2:$G$1646,2,FALSE)</f>
        <v/>
      </c>
      <c r="I743">
        <f>VLOOKUP(B743,Units!$A$2:$G$1646,5,FALSE)</f>
        <v/>
      </c>
      <c r="J743" s="3">
        <f>G743/I743</f>
        <v/>
      </c>
      <c r="K743" s="3">
        <f>G743*12</f>
        <v/>
      </c>
      <c r="L743" s="3" t="n">
        <v>11970</v>
      </c>
    </row>
    <row r="744">
      <c r="A744" t="inlineStr">
        <is>
          <t>TA-2025-00122</t>
        </is>
      </c>
      <c r="B744" t="inlineStr">
        <is>
          <t>U-RH476-01-05</t>
        </is>
      </c>
      <c r="C744" t="inlineStr">
        <is>
          <t>Mei Ling Accounting Services Pte Ltd</t>
        </is>
      </c>
      <c r="D744" t="inlineStr">
        <is>
          <t>Professional Services Office</t>
        </is>
      </c>
      <c r="E744" s="2" t="n">
        <v>45689</v>
      </c>
      <c r="F744" s="2" t="n">
        <v>46783</v>
      </c>
      <c r="G744" s="3" t="n">
        <v>1640</v>
      </c>
      <c r="H744">
        <f>VLOOKUP(B744,Units!$A$2:$G$1646,2,FALSE)</f>
        <v/>
      </c>
      <c r="I744">
        <f>VLOOKUP(B744,Units!$A$2:$G$1646,5,FALSE)</f>
        <v/>
      </c>
      <c r="J744" s="3">
        <f>G744/I744</f>
        <v/>
      </c>
      <c r="K744" s="3">
        <f>G744*12</f>
        <v/>
      </c>
      <c r="L744" s="3" t="n">
        <v>4920</v>
      </c>
    </row>
    <row r="745">
      <c r="A745" t="inlineStr">
        <is>
          <t>TA-2025-00123</t>
        </is>
      </c>
      <c r="B745" t="inlineStr">
        <is>
          <t>U-ST512-01-01</t>
        </is>
      </c>
      <c r="C745" t="inlineStr">
        <is>
          <t>Lakshmi Pharmacy</t>
        </is>
      </c>
      <c r="D745" t="inlineStr">
        <is>
          <t>Pharmacy</t>
        </is>
      </c>
      <c r="E745" s="2" t="n">
        <v>45689</v>
      </c>
      <c r="F745" s="2" t="n">
        <v>46783</v>
      </c>
      <c r="G745" s="3" t="n">
        <v>3950</v>
      </c>
      <c r="H745">
        <f>VLOOKUP(B745,Units!$A$2:$G$1646,2,FALSE)</f>
        <v/>
      </c>
      <c r="I745">
        <f>VLOOKUP(B745,Units!$A$2:$G$1646,5,FALSE)</f>
        <v/>
      </c>
      <c r="J745" s="3">
        <f>G745/I745</f>
        <v/>
      </c>
      <c r="K745" s="3">
        <f>G745*12</f>
        <v/>
      </c>
      <c r="L745" s="3" t="n">
        <v>11850</v>
      </c>
    </row>
    <row r="746">
      <c r="A746" t="inlineStr">
        <is>
          <t>TA-2025-00124</t>
        </is>
      </c>
      <c r="B746" t="inlineStr">
        <is>
          <t>U-ST512-01-09</t>
        </is>
      </c>
      <c r="C746" t="inlineStr">
        <is>
          <t>Rainbow Minimart</t>
        </is>
      </c>
      <c r="D746" t="inlineStr">
        <is>
          <t>Minimart</t>
        </is>
      </c>
      <c r="E746" s="2" t="n">
        <v>45689</v>
      </c>
      <c r="F746" s="2" t="n">
        <v>46783</v>
      </c>
      <c r="G746" s="3" t="n">
        <v>2830</v>
      </c>
      <c r="H746">
        <f>VLOOKUP(B746,Units!$A$2:$G$1646,2,FALSE)</f>
        <v/>
      </c>
      <c r="I746">
        <f>VLOOKUP(B746,Units!$A$2:$G$1646,5,FALSE)</f>
        <v/>
      </c>
      <c r="J746" s="3">
        <f>G746/I746</f>
        <v/>
      </c>
      <c r="K746" s="3">
        <f>G746*12</f>
        <v/>
      </c>
      <c r="L746" s="3" t="n">
        <v>8490</v>
      </c>
    </row>
    <row r="747">
      <c r="A747" t="inlineStr">
        <is>
          <t>TA-2025-00125</t>
        </is>
      </c>
      <c r="B747" t="inlineStr">
        <is>
          <t>U-ST512-01-14</t>
        </is>
      </c>
      <c r="C747" t="inlineStr">
        <is>
          <t>Sejahtera Hardware Pte Ltd</t>
        </is>
      </c>
      <c r="D747" t="inlineStr">
        <is>
          <t>Hardware</t>
        </is>
      </c>
      <c r="E747" s="2" t="n">
        <v>45689</v>
      </c>
      <c r="F747" s="2" t="n">
        <v>46783</v>
      </c>
      <c r="G747" s="3" t="n">
        <v>3280</v>
      </c>
      <c r="H747">
        <f>VLOOKUP(B747,Units!$A$2:$G$1646,2,FALSE)</f>
        <v/>
      </c>
      <c r="I747">
        <f>VLOOKUP(B747,Units!$A$2:$G$1646,5,FALSE)</f>
        <v/>
      </c>
      <c r="J747" s="3">
        <f>G747/I747</f>
        <v/>
      </c>
      <c r="K747" s="3">
        <f>G747*12</f>
        <v/>
      </c>
      <c r="L747" s="3" t="n">
        <v>9840</v>
      </c>
    </row>
    <row r="748">
      <c r="A748" t="inlineStr">
        <is>
          <t>TA-2025-00127</t>
        </is>
      </c>
      <c r="B748" t="inlineStr">
        <is>
          <t>U-ST518-01-07</t>
        </is>
      </c>
      <c r="C748" t="inlineStr">
        <is>
          <t>Pinnacle Kitchen</t>
        </is>
      </c>
      <c r="D748" t="inlineStr">
        <is>
          <t>Restaurant</t>
        </is>
      </c>
      <c r="E748" s="2" t="n">
        <v>45689</v>
      </c>
      <c r="F748" s="2" t="n">
        <v>46783</v>
      </c>
      <c r="G748" s="3" t="n">
        <v>3530</v>
      </c>
      <c r="H748">
        <f>VLOOKUP(B748,Units!$A$2:$G$1646,2,FALSE)</f>
        <v/>
      </c>
      <c r="I748">
        <f>VLOOKUP(B748,Units!$A$2:$G$1646,5,FALSE)</f>
        <v/>
      </c>
      <c r="J748" s="3">
        <f>G748/I748</f>
        <v/>
      </c>
      <c r="K748" s="3">
        <f>G748*12</f>
        <v/>
      </c>
      <c r="L748" s="3" t="n">
        <v>10590</v>
      </c>
    </row>
    <row r="749">
      <c r="A749" t="inlineStr">
        <is>
          <t>TA-2025-00129</t>
        </is>
      </c>
      <c r="B749" t="inlineStr">
        <is>
          <t>U-ST522-01-06</t>
        </is>
      </c>
      <c r="C749" t="inlineStr">
        <is>
          <t>Rainbow Clinic &amp; Surgery</t>
        </is>
      </c>
      <c r="D749" t="inlineStr">
        <is>
          <t>GP Clinic</t>
        </is>
      </c>
      <c r="E749" s="2" t="n">
        <v>45689</v>
      </c>
      <c r="F749" s="2" t="n">
        <v>46783</v>
      </c>
      <c r="G749" s="3" t="n">
        <v>2780</v>
      </c>
      <c r="H749">
        <f>VLOOKUP(B749,Units!$A$2:$G$1646,2,FALSE)</f>
        <v/>
      </c>
      <c r="I749">
        <f>VLOOKUP(B749,Units!$A$2:$G$1646,5,FALSE)</f>
        <v/>
      </c>
      <c r="J749" s="3">
        <f>G749/I749</f>
        <v/>
      </c>
      <c r="K749" s="3">
        <f>G749*12</f>
        <v/>
      </c>
      <c r="L749" s="3" t="n">
        <v>8340</v>
      </c>
    </row>
    <row r="750">
      <c r="A750" t="inlineStr">
        <is>
          <t>TA-2025-00131</t>
        </is>
      </c>
      <c r="B750" t="inlineStr">
        <is>
          <t>U-ST528-01-06</t>
        </is>
      </c>
      <c r="C750" t="inlineStr">
        <is>
          <t>Lim's Medical Supplies Pte Ltd</t>
        </is>
      </c>
      <c r="D750" t="inlineStr">
        <is>
          <t>Pharmacy</t>
        </is>
      </c>
      <c r="E750" s="2" t="n">
        <v>45689</v>
      </c>
      <c r="F750" s="2" t="n">
        <v>46783</v>
      </c>
      <c r="G750" s="3" t="n">
        <v>1710</v>
      </c>
      <c r="H750">
        <f>VLOOKUP(B750,Units!$A$2:$G$1646,2,FALSE)</f>
        <v/>
      </c>
      <c r="I750">
        <f>VLOOKUP(B750,Units!$A$2:$G$1646,5,FALSE)</f>
        <v/>
      </c>
      <c r="J750" s="3">
        <f>G750/I750</f>
        <v/>
      </c>
      <c r="K750" s="3">
        <f>G750*12</f>
        <v/>
      </c>
      <c r="L750" s="3" t="n">
        <v>5130</v>
      </c>
    </row>
    <row r="751">
      <c r="A751" t="inlineStr">
        <is>
          <t>TA-2025-00132</t>
        </is>
      </c>
      <c r="B751" t="inlineStr">
        <is>
          <t>U-ST545-01-11</t>
        </is>
      </c>
      <c r="C751" t="inlineStr">
        <is>
          <t>Golden Leaf TCM Clinic</t>
        </is>
      </c>
      <c r="D751" t="inlineStr">
        <is>
          <t>TCM Clinic</t>
        </is>
      </c>
      <c r="E751" s="2" t="n">
        <v>45689</v>
      </c>
      <c r="F751" s="2" t="n">
        <v>46783</v>
      </c>
      <c r="G751" s="3" t="n">
        <v>2640</v>
      </c>
      <c r="H751">
        <f>VLOOKUP(B751,Units!$A$2:$G$1646,2,FALSE)</f>
        <v/>
      </c>
      <c r="I751">
        <f>VLOOKUP(B751,Units!$A$2:$G$1646,5,FALSE)</f>
        <v/>
      </c>
      <c r="J751" s="3">
        <f>G751/I751</f>
        <v/>
      </c>
      <c r="K751" s="3">
        <f>G751*12</f>
        <v/>
      </c>
      <c r="L751" s="3" t="n">
        <v>7920</v>
      </c>
    </row>
    <row r="752">
      <c r="A752" t="inlineStr">
        <is>
          <t>TA-2025-00133</t>
        </is>
      </c>
      <c r="B752" t="inlineStr">
        <is>
          <t>U-ST564-01-02</t>
        </is>
      </c>
      <c r="C752" t="inlineStr">
        <is>
          <t>Lucky Star Family Clinic Pte Ltd</t>
        </is>
      </c>
      <c r="D752" t="inlineStr">
        <is>
          <t>GP Clinic</t>
        </is>
      </c>
      <c r="E752" s="2" t="n">
        <v>45689</v>
      </c>
      <c r="F752" s="2" t="n">
        <v>46783</v>
      </c>
      <c r="G752" s="3" t="n">
        <v>2990</v>
      </c>
      <c r="H752">
        <f>VLOOKUP(B752,Units!$A$2:$G$1646,2,FALSE)</f>
        <v/>
      </c>
      <c r="I752">
        <f>VLOOKUP(B752,Units!$A$2:$G$1646,5,FALSE)</f>
        <v/>
      </c>
      <c r="J752" s="3">
        <f>G752/I752</f>
        <v/>
      </c>
      <c r="K752" s="3">
        <f>G752*12</f>
        <v/>
      </c>
      <c r="L752" s="3" t="n">
        <v>8970</v>
      </c>
    </row>
    <row r="753">
      <c r="A753" t="inlineStr">
        <is>
          <t>TA-2025-00134</t>
        </is>
      </c>
      <c r="B753" t="inlineStr">
        <is>
          <t>U-ST583-01-06</t>
        </is>
      </c>
      <c r="C753" t="inlineStr">
        <is>
          <t>Sejahtera Locksmith</t>
        </is>
      </c>
      <c r="D753" t="inlineStr">
        <is>
          <t>Key Cutting &amp; Shoe Repair</t>
        </is>
      </c>
      <c r="E753" s="2" t="n">
        <v>45689</v>
      </c>
      <c r="F753" s="2" t="n">
        <v>46783</v>
      </c>
      <c r="G753" s="3" t="n">
        <v>1060</v>
      </c>
      <c r="H753">
        <f>VLOOKUP(B753,Units!$A$2:$G$1646,2,FALSE)</f>
        <v/>
      </c>
      <c r="I753">
        <f>VLOOKUP(B753,Units!$A$2:$G$1646,5,FALSE)</f>
        <v/>
      </c>
      <c r="J753" s="3">
        <f>G753/I753</f>
        <v/>
      </c>
      <c r="K753" s="3">
        <f>G753*12</f>
        <v/>
      </c>
      <c r="L753" s="3" t="n">
        <v>3180</v>
      </c>
    </row>
    <row r="754">
      <c r="A754" t="inlineStr">
        <is>
          <t>TA-2025-00135</t>
        </is>
      </c>
      <c r="B754" t="inlineStr">
        <is>
          <t>U-ST589-01-08</t>
        </is>
      </c>
      <c r="C754" t="inlineStr">
        <is>
          <t>Kian Huat Medical Hall</t>
        </is>
      </c>
      <c r="D754" t="inlineStr">
        <is>
          <t>TCM Clinic</t>
        </is>
      </c>
      <c r="E754" s="2" t="n">
        <v>45689</v>
      </c>
      <c r="F754" s="2" t="n">
        <v>46783</v>
      </c>
      <c r="G754" s="3" t="n">
        <v>3590</v>
      </c>
      <c r="H754">
        <f>VLOOKUP(B754,Units!$A$2:$G$1646,2,FALSE)</f>
        <v/>
      </c>
      <c r="I754">
        <f>VLOOKUP(B754,Units!$A$2:$G$1646,5,FALSE)</f>
        <v/>
      </c>
      <c r="J754" s="3">
        <f>G754/I754</f>
        <v/>
      </c>
      <c r="K754" s="3">
        <f>G754*12</f>
        <v/>
      </c>
      <c r="L754" s="3" t="n">
        <v>10770</v>
      </c>
    </row>
    <row r="755">
      <c r="A755" t="inlineStr">
        <is>
          <t>TA-2025-00136</t>
        </is>
      </c>
      <c r="B755" t="inlineStr">
        <is>
          <t>U-BV212-02-09</t>
        </is>
      </c>
      <c r="C755" t="inlineStr">
        <is>
          <t>Bloom Clinic &amp; Surgery Pte Ltd</t>
        </is>
      </c>
      <c r="D755" t="inlineStr">
        <is>
          <t>GP Clinic</t>
        </is>
      </c>
      <c r="E755" s="2" t="n">
        <v>45717</v>
      </c>
      <c r="F755" s="2" t="n">
        <v>46812</v>
      </c>
      <c r="G755" s="3" t="n">
        <v>2270</v>
      </c>
      <c r="H755">
        <f>VLOOKUP(B755,Units!$A$2:$G$1646,2,FALSE)</f>
        <v/>
      </c>
      <c r="I755">
        <f>VLOOKUP(B755,Units!$A$2:$G$1646,5,FALSE)</f>
        <v/>
      </c>
      <c r="J755" s="3">
        <f>G755/I755</f>
        <v/>
      </c>
      <c r="K755" s="3">
        <f>G755*12</f>
        <v/>
      </c>
      <c r="L755" s="3" t="n">
        <v>6810</v>
      </c>
    </row>
    <row r="756">
      <c r="A756" t="inlineStr">
        <is>
          <t>TA-2025-00138</t>
        </is>
      </c>
      <c r="B756" t="inlineStr">
        <is>
          <t>U-BV233-01-09</t>
        </is>
      </c>
      <c r="C756" t="inlineStr">
        <is>
          <t>Tian Fu Fruit Trading Pte Ltd</t>
        </is>
      </c>
      <c r="D756" t="inlineStr">
        <is>
          <t>Fruit Shop</t>
        </is>
      </c>
      <c r="E756" s="2" t="n">
        <v>45717</v>
      </c>
      <c r="F756" s="2" t="n">
        <v>46812</v>
      </c>
      <c r="G756" s="3" t="n">
        <v>5680</v>
      </c>
      <c r="H756">
        <f>VLOOKUP(B756,Units!$A$2:$G$1646,2,FALSE)</f>
        <v/>
      </c>
      <c r="I756">
        <f>VLOOKUP(B756,Units!$A$2:$G$1646,5,FALSE)</f>
        <v/>
      </c>
      <c r="J756" s="3">
        <f>G756/I756</f>
        <v/>
      </c>
      <c r="K756" s="3">
        <f>G756*12</f>
        <v/>
      </c>
      <c r="L756" s="3" t="n">
        <v>17040</v>
      </c>
    </row>
    <row r="757">
      <c r="A757" t="inlineStr">
        <is>
          <t>TA-2025-00139</t>
        </is>
      </c>
      <c r="B757" t="inlineStr">
        <is>
          <t>U-BV271-01-03</t>
        </is>
      </c>
      <c r="C757" t="inlineStr">
        <is>
          <t>Chop Wah Cake House Pte Ltd</t>
        </is>
      </c>
      <c r="D757" t="inlineStr">
        <is>
          <t>Bakery &amp; Confectionery</t>
        </is>
      </c>
      <c r="E757" s="2" t="n">
        <v>45717</v>
      </c>
      <c r="F757" s="2" t="n">
        <v>46812</v>
      </c>
      <c r="G757" s="3" t="n">
        <v>3360</v>
      </c>
      <c r="H757">
        <f>VLOOKUP(B757,Units!$A$2:$G$1646,2,FALSE)</f>
        <v/>
      </c>
      <c r="I757">
        <f>VLOOKUP(B757,Units!$A$2:$G$1646,5,FALSE)</f>
        <v/>
      </c>
      <c r="J757" s="3">
        <f>G757/I757</f>
        <v/>
      </c>
      <c r="K757" s="3">
        <f>G757*12</f>
        <v/>
      </c>
      <c r="L757" s="3" t="n">
        <v>10080</v>
      </c>
    </row>
    <row r="758">
      <c r="A758" t="inlineStr">
        <is>
          <t>TA-2025-00141</t>
        </is>
      </c>
      <c r="B758" t="inlineStr">
        <is>
          <t>U-BV271-01-06</t>
        </is>
      </c>
      <c r="C758" t="inlineStr">
        <is>
          <t>Evergreen Accounting Services</t>
        </is>
      </c>
      <c r="D758" t="inlineStr">
        <is>
          <t>Professional Services Office</t>
        </is>
      </c>
      <c r="E758" s="2" t="n">
        <v>45717</v>
      </c>
      <c r="F758" s="2" t="n">
        <v>46812</v>
      </c>
      <c r="G758" s="3" t="n">
        <v>4150</v>
      </c>
      <c r="H758">
        <f>VLOOKUP(B758,Units!$A$2:$G$1646,2,FALSE)</f>
        <v/>
      </c>
      <c r="I758">
        <f>VLOOKUP(B758,Units!$A$2:$G$1646,5,FALSE)</f>
        <v/>
      </c>
      <c r="J758" s="3">
        <f>G758/I758</f>
        <v/>
      </c>
      <c r="K758" s="3">
        <f>G758*12</f>
        <v/>
      </c>
      <c r="L758" s="3" t="n">
        <v>12450</v>
      </c>
    </row>
    <row r="759">
      <c r="A759" t="inlineStr">
        <is>
          <t>TA-2025-00142</t>
        </is>
      </c>
      <c r="B759" t="inlineStr">
        <is>
          <t>U-BV284-01-04</t>
        </is>
      </c>
      <c r="C759" t="inlineStr">
        <is>
          <t>Lucky Star Pharmacy</t>
        </is>
      </c>
      <c r="D759" t="inlineStr">
        <is>
          <t>Pharmacy</t>
        </is>
      </c>
      <c r="E759" s="2" t="n">
        <v>45717</v>
      </c>
      <c r="F759" s="2" t="n">
        <v>46812</v>
      </c>
      <c r="G759" s="3" t="n">
        <v>3140</v>
      </c>
      <c r="H759">
        <f>VLOOKUP(B759,Units!$A$2:$G$1646,2,FALSE)</f>
        <v/>
      </c>
      <c r="I759">
        <f>VLOOKUP(B759,Units!$A$2:$G$1646,5,FALSE)</f>
        <v/>
      </c>
      <c r="J759" s="3">
        <f>G759/I759</f>
        <v/>
      </c>
      <c r="K759" s="3">
        <f>G759*12</f>
        <v/>
      </c>
      <c r="L759" s="3" t="n">
        <v>9420</v>
      </c>
    </row>
    <row r="760">
      <c r="A760" t="inlineStr">
        <is>
          <t>TA-2025-00144</t>
        </is>
      </c>
      <c r="B760" t="inlineStr">
        <is>
          <t>U-BV288-01-08</t>
        </is>
      </c>
      <c r="C760" t="inlineStr">
        <is>
          <t>Cahaya Cake House Pte Ltd</t>
        </is>
      </c>
      <c r="D760" t="inlineStr">
        <is>
          <t>Bakery &amp; Confectionery</t>
        </is>
      </c>
      <c r="E760" s="2" t="n">
        <v>45717</v>
      </c>
      <c r="F760" s="2" t="n">
        <v>46812</v>
      </c>
      <c r="G760" s="3" t="n">
        <v>5870</v>
      </c>
      <c r="H760">
        <f>VLOOKUP(B760,Units!$A$2:$G$1646,2,FALSE)</f>
        <v/>
      </c>
      <c r="I760">
        <f>VLOOKUP(B760,Units!$A$2:$G$1646,5,FALSE)</f>
        <v/>
      </c>
      <c r="J760" s="3">
        <f>G760/I760</f>
        <v/>
      </c>
      <c r="K760" s="3">
        <f>G760*12</f>
        <v/>
      </c>
      <c r="L760" s="3" t="n">
        <v>17610</v>
      </c>
    </row>
    <row r="761">
      <c r="A761" t="inlineStr">
        <is>
          <t>TA-2025-00145</t>
        </is>
      </c>
      <c r="B761" t="inlineStr">
        <is>
          <t>U-BV296-02-02</t>
        </is>
      </c>
      <c r="C761" t="inlineStr">
        <is>
          <t>Ananda Clinic &amp; Surgery Pte Ltd</t>
        </is>
      </c>
      <c r="D761" t="inlineStr">
        <is>
          <t>GP Clinic</t>
        </is>
      </c>
      <c r="E761" s="2" t="n">
        <v>45717</v>
      </c>
      <c r="F761" s="2" t="n">
        <v>46812</v>
      </c>
      <c r="G761" s="3" t="n">
        <v>4760</v>
      </c>
      <c r="H761">
        <f>VLOOKUP(B761,Units!$A$2:$G$1646,2,FALSE)</f>
        <v/>
      </c>
      <c r="I761">
        <f>VLOOKUP(B761,Units!$A$2:$G$1646,5,FALSE)</f>
        <v/>
      </c>
      <c r="J761" s="3">
        <f>G761/I761</f>
        <v/>
      </c>
      <c r="K761" s="3">
        <f>G761*12</f>
        <v/>
      </c>
      <c r="L761" s="3" t="n">
        <v>14280</v>
      </c>
    </row>
    <row r="762">
      <c r="A762" t="inlineStr">
        <is>
          <t>TA-2025-00147</t>
        </is>
      </c>
      <c r="B762" t="inlineStr">
        <is>
          <t>U-BV297-01-07</t>
        </is>
      </c>
      <c r="C762" t="inlineStr">
        <is>
          <t>Kian Huat Trading Pte Ltd</t>
        </is>
      </c>
      <c r="D762" t="inlineStr">
        <is>
          <t>Provision Shop</t>
        </is>
      </c>
      <c r="E762" s="2" t="n">
        <v>45717</v>
      </c>
      <c r="F762" s="2" t="n">
        <v>46812</v>
      </c>
      <c r="G762" s="3" t="n">
        <v>5130</v>
      </c>
      <c r="H762">
        <f>VLOOKUP(B762,Units!$A$2:$G$1646,2,FALSE)</f>
        <v/>
      </c>
      <c r="I762">
        <f>VLOOKUP(B762,Units!$A$2:$G$1646,5,FALSE)</f>
        <v/>
      </c>
      <c r="J762" s="3">
        <f>G762/I762</f>
        <v/>
      </c>
      <c r="K762" s="3">
        <f>G762*12</f>
        <v/>
      </c>
      <c r="L762" s="3" t="n">
        <v>15390</v>
      </c>
    </row>
    <row r="763">
      <c r="A763" t="inlineStr">
        <is>
          <t>TA-2025-00148</t>
        </is>
      </c>
      <c r="B763" t="inlineStr">
        <is>
          <t>U-CD108-01-02</t>
        </is>
      </c>
      <c r="C763" t="inlineStr">
        <is>
          <t>Lakshmi Minimart Pte Ltd</t>
        </is>
      </c>
      <c r="D763" t="inlineStr">
        <is>
          <t>Minimart</t>
        </is>
      </c>
      <c r="E763" s="2" t="n">
        <v>45717</v>
      </c>
      <c r="F763" s="2" t="n">
        <v>46812</v>
      </c>
      <c r="G763" s="3" t="n">
        <v>2510</v>
      </c>
      <c r="H763">
        <f>VLOOKUP(B763,Units!$A$2:$G$1646,2,FALSE)</f>
        <v/>
      </c>
      <c r="I763">
        <f>VLOOKUP(B763,Units!$A$2:$G$1646,5,FALSE)</f>
        <v/>
      </c>
      <c r="J763" s="3">
        <f>G763/I763</f>
        <v/>
      </c>
      <c r="K763" s="3">
        <f>G763*12</f>
        <v/>
      </c>
      <c r="L763" s="3" t="n">
        <v>7530</v>
      </c>
    </row>
    <row r="764">
      <c r="A764" t="inlineStr">
        <is>
          <t>TA-2025-00149</t>
        </is>
      </c>
      <c r="B764" t="inlineStr">
        <is>
          <t>U-CD118-01-06</t>
        </is>
      </c>
      <c r="C764" t="inlineStr">
        <is>
          <t>Brilliant Medical Hall</t>
        </is>
      </c>
      <c r="D764" t="inlineStr">
        <is>
          <t>TCM Clinic</t>
        </is>
      </c>
      <c r="E764" s="2" t="n">
        <v>45717</v>
      </c>
      <c r="F764" s="2" t="n">
        <v>46812</v>
      </c>
      <c r="G764" s="3" t="n">
        <v>4410</v>
      </c>
      <c r="H764">
        <f>VLOOKUP(B764,Units!$A$2:$G$1646,2,FALSE)</f>
        <v/>
      </c>
      <c r="I764">
        <f>VLOOKUP(B764,Units!$A$2:$G$1646,5,FALSE)</f>
        <v/>
      </c>
      <c r="J764" s="3">
        <f>G764/I764</f>
        <v/>
      </c>
      <c r="K764" s="3">
        <f>G764*12</f>
        <v/>
      </c>
      <c r="L764" s="3" t="n">
        <v>13230</v>
      </c>
    </row>
    <row r="765">
      <c r="A765" t="inlineStr">
        <is>
          <t>TA-2025-00151</t>
        </is>
      </c>
      <c r="B765" t="inlineStr">
        <is>
          <t>U-CD133-01-04</t>
        </is>
      </c>
      <c r="C765" t="inlineStr">
        <is>
          <t>Thye Hin Family Clinic</t>
        </is>
      </c>
      <c r="D765" t="inlineStr">
        <is>
          <t>GP Clinic</t>
        </is>
      </c>
      <c r="E765" s="2" t="n">
        <v>45717</v>
      </c>
      <c r="F765" s="2" t="n">
        <v>46812</v>
      </c>
      <c r="G765" s="3" t="n">
        <v>4200</v>
      </c>
      <c r="H765">
        <f>VLOOKUP(B765,Units!$A$2:$G$1646,2,FALSE)</f>
        <v/>
      </c>
      <c r="I765">
        <f>VLOOKUP(B765,Units!$A$2:$G$1646,5,FALSE)</f>
        <v/>
      </c>
      <c r="J765" s="3">
        <f>G765/I765</f>
        <v/>
      </c>
      <c r="K765" s="3">
        <f>G765*12</f>
        <v/>
      </c>
      <c r="L765" s="3" t="n">
        <v>12600</v>
      </c>
    </row>
    <row r="766">
      <c r="A766" t="inlineStr">
        <is>
          <t>TA-2025-00153</t>
        </is>
      </c>
      <c r="B766" t="inlineStr">
        <is>
          <t>U-CD133-01-05</t>
        </is>
      </c>
      <c r="C766" t="inlineStr">
        <is>
          <t>Value Mart</t>
        </is>
      </c>
      <c r="D766" t="inlineStr">
        <is>
          <t>Minimart</t>
        </is>
      </c>
      <c r="E766" s="2" t="n">
        <v>45717</v>
      </c>
      <c r="F766" s="2" t="n">
        <v>46812</v>
      </c>
      <c r="G766" s="3" t="n">
        <v>3040</v>
      </c>
      <c r="H766">
        <f>VLOOKUP(B766,Units!$A$2:$G$1646,2,FALSE)</f>
        <v/>
      </c>
      <c r="I766">
        <f>VLOOKUP(B766,Units!$A$2:$G$1646,5,FALSE)</f>
        <v/>
      </c>
      <c r="J766" s="3">
        <f>G766/I766</f>
        <v/>
      </c>
      <c r="K766" s="3">
        <f>G766*12</f>
        <v/>
      </c>
      <c r="L766" s="3" t="n">
        <v>9120</v>
      </c>
    </row>
    <row r="767">
      <c r="A767" t="inlineStr">
        <is>
          <t>TA-2025-00155</t>
        </is>
      </c>
      <c r="B767" t="inlineStr">
        <is>
          <t>U-CD174-01-10</t>
        </is>
      </c>
      <c r="C767" t="inlineStr">
        <is>
          <t>Ever Joy Mobile Pte Ltd</t>
        </is>
      </c>
      <c r="D767" t="inlineStr">
        <is>
          <t>Mobile Phone &amp; Accessories</t>
        </is>
      </c>
      <c r="E767" s="2" t="n">
        <v>45717</v>
      </c>
      <c r="F767" s="2" t="n">
        <v>46812</v>
      </c>
      <c r="G767" s="3" t="n">
        <v>5970</v>
      </c>
      <c r="H767">
        <f>VLOOKUP(B767,Units!$A$2:$G$1646,2,FALSE)</f>
        <v/>
      </c>
      <c r="I767">
        <f>VLOOKUP(B767,Units!$A$2:$G$1646,5,FALSE)</f>
        <v/>
      </c>
      <c r="J767" s="3">
        <f>G767/I767</f>
        <v/>
      </c>
      <c r="K767" s="3">
        <f>G767*12</f>
        <v/>
      </c>
      <c r="L767" s="3" t="n">
        <v>17910</v>
      </c>
    </row>
    <row r="768">
      <c r="A768" t="inlineStr">
        <is>
          <t>TA-2025-00157</t>
        </is>
      </c>
      <c r="B768" t="inlineStr">
        <is>
          <t>U-CD181-01-01</t>
        </is>
      </c>
      <c r="C768" t="inlineStr">
        <is>
          <t>Fresh Valley Remittance</t>
        </is>
      </c>
      <c r="D768" t="inlineStr">
        <is>
          <t>Remittance &amp; Money Changer</t>
        </is>
      </c>
      <c r="E768" s="2" t="n">
        <v>45717</v>
      </c>
      <c r="F768" s="2" t="n">
        <v>46812</v>
      </c>
      <c r="G768" s="3" t="n">
        <v>4190</v>
      </c>
      <c r="H768">
        <f>VLOOKUP(B768,Units!$A$2:$G$1646,2,FALSE)</f>
        <v/>
      </c>
      <c r="I768">
        <f>VLOOKUP(B768,Units!$A$2:$G$1646,5,FALSE)</f>
        <v/>
      </c>
      <c r="J768" s="3">
        <f>G768/I768</f>
        <v/>
      </c>
      <c r="K768" s="3">
        <f>G768*12</f>
        <v/>
      </c>
      <c r="L768" s="3" t="n">
        <v>12570</v>
      </c>
    </row>
    <row r="769">
      <c r="A769" t="inlineStr">
        <is>
          <t>TA-2025-00159</t>
        </is>
      </c>
      <c r="B769" t="inlineStr">
        <is>
          <t>U-KR310-01-09</t>
        </is>
      </c>
      <c r="C769" t="inlineStr">
        <is>
          <t>Chop Wah Education Hub</t>
        </is>
      </c>
      <c r="D769" t="inlineStr">
        <is>
          <t>Tuition Centre</t>
        </is>
      </c>
      <c r="E769" s="2" t="n">
        <v>45717</v>
      </c>
      <c r="F769" s="2" t="n">
        <v>46812</v>
      </c>
      <c r="G769" s="3" t="n">
        <v>4640</v>
      </c>
      <c r="H769">
        <f>VLOOKUP(B769,Units!$A$2:$G$1646,2,FALSE)</f>
        <v/>
      </c>
      <c r="I769">
        <f>VLOOKUP(B769,Units!$A$2:$G$1646,5,FALSE)</f>
        <v/>
      </c>
      <c r="J769" s="3">
        <f>G769/I769</f>
        <v/>
      </c>
      <c r="K769" s="3">
        <f>G769*12</f>
        <v/>
      </c>
      <c r="L769" s="3" t="n">
        <v>13920</v>
      </c>
    </row>
    <row r="770">
      <c r="A770" t="inlineStr">
        <is>
          <t>TA-2025-00160</t>
        </is>
      </c>
      <c r="B770" t="inlineStr">
        <is>
          <t>U-KR335-01-10</t>
        </is>
      </c>
      <c r="C770" t="inlineStr">
        <is>
          <t>Kumar Hair Salon Pte Ltd</t>
        </is>
      </c>
      <c r="D770" t="inlineStr">
        <is>
          <t>Hair Salon</t>
        </is>
      </c>
      <c r="E770" s="2" t="n">
        <v>45717</v>
      </c>
      <c r="F770" s="2" t="n">
        <v>46812</v>
      </c>
      <c r="G770" s="3" t="n">
        <v>3410</v>
      </c>
      <c r="H770">
        <f>VLOOKUP(B770,Units!$A$2:$G$1646,2,FALSE)</f>
        <v/>
      </c>
      <c r="I770">
        <f>VLOOKUP(B770,Units!$A$2:$G$1646,5,FALSE)</f>
        <v/>
      </c>
      <c r="J770" s="3">
        <f>G770/I770</f>
        <v/>
      </c>
      <c r="K770" s="3">
        <f>G770*12</f>
        <v/>
      </c>
      <c r="L770" s="3" t="n">
        <v>10230</v>
      </c>
    </row>
    <row r="771">
      <c r="A771" t="inlineStr">
        <is>
          <t>TA-2025-00161</t>
        </is>
      </c>
      <c r="B771" t="inlineStr">
        <is>
          <t>U-KR345-01-09</t>
        </is>
      </c>
      <c r="C771" t="inlineStr">
        <is>
          <t>Nur Beauty &amp; Hair</t>
        </is>
      </c>
      <c r="D771" t="inlineStr">
        <is>
          <t>Hair Salon</t>
        </is>
      </c>
      <c r="E771" s="2" t="n">
        <v>45717</v>
      </c>
      <c r="F771" s="2" t="n">
        <v>46812</v>
      </c>
      <c r="G771" s="3" t="n">
        <v>4180</v>
      </c>
      <c r="H771">
        <f>VLOOKUP(B771,Units!$A$2:$G$1646,2,FALSE)</f>
        <v/>
      </c>
      <c r="I771">
        <f>VLOOKUP(B771,Units!$A$2:$G$1646,5,FALSE)</f>
        <v/>
      </c>
      <c r="J771" s="3">
        <f>G771/I771</f>
        <v/>
      </c>
      <c r="K771" s="3">
        <f>G771*12</f>
        <v/>
      </c>
      <c r="L771" s="3" t="n">
        <v>12540</v>
      </c>
    </row>
    <row r="772">
      <c r="A772" t="inlineStr">
        <is>
          <t>TA-2025-00162</t>
        </is>
      </c>
      <c r="B772" t="inlineStr">
        <is>
          <t>U-KR371-01-04</t>
        </is>
      </c>
      <c r="C772" t="inlineStr">
        <is>
          <t>Chop Wah Mobile</t>
        </is>
      </c>
      <c r="D772" t="inlineStr">
        <is>
          <t>Mobile Phone &amp; Accessories</t>
        </is>
      </c>
      <c r="E772" s="2" t="n">
        <v>45717</v>
      </c>
      <c r="F772" s="2" t="n">
        <v>46812</v>
      </c>
      <c r="G772" s="3" t="n">
        <v>900</v>
      </c>
      <c r="H772">
        <f>VLOOKUP(B772,Units!$A$2:$G$1646,2,FALSE)</f>
        <v/>
      </c>
      <c r="I772">
        <f>VLOOKUP(B772,Units!$A$2:$G$1646,5,FALSE)</f>
        <v/>
      </c>
      <c r="J772" s="3">
        <f>G772/I772</f>
        <v/>
      </c>
      <c r="K772" s="3">
        <f>G772*12</f>
        <v/>
      </c>
      <c r="L772" s="3" t="n">
        <v>2700</v>
      </c>
    </row>
    <row r="773">
      <c r="A773" t="inlineStr">
        <is>
          <t>TA-2025-00163</t>
        </is>
      </c>
      <c r="B773" t="inlineStr">
        <is>
          <t>U-KR372-01-11</t>
        </is>
      </c>
      <c r="C773" t="inlineStr">
        <is>
          <t>Soon Hin Minimart Pte Ltd</t>
        </is>
      </c>
      <c r="D773" t="inlineStr">
        <is>
          <t>Minimart</t>
        </is>
      </c>
      <c r="E773" s="2" t="n">
        <v>45717</v>
      </c>
      <c r="F773" s="2" t="n">
        <v>46812</v>
      </c>
      <c r="G773" s="3" t="n">
        <v>2560</v>
      </c>
      <c r="H773">
        <f>VLOOKUP(B773,Units!$A$2:$G$1646,2,FALSE)</f>
        <v/>
      </c>
      <c r="I773">
        <f>VLOOKUP(B773,Units!$A$2:$G$1646,5,FALSE)</f>
        <v/>
      </c>
      <c r="J773" s="3">
        <f>G773/I773</f>
        <v/>
      </c>
      <c r="K773" s="3">
        <f>G773*12</f>
        <v/>
      </c>
      <c r="L773" s="3" t="n">
        <v>7680</v>
      </c>
    </row>
    <row r="774">
      <c r="A774" t="inlineStr">
        <is>
          <t>TA-2025-00164</t>
        </is>
      </c>
      <c r="B774" t="inlineStr">
        <is>
          <t>U-KR379-01-05</t>
        </is>
      </c>
      <c r="C774" t="inlineStr">
        <is>
          <t>Wong's Bubble Tea</t>
        </is>
      </c>
      <c r="D774" t="inlineStr">
        <is>
          <t>Bubble Tea</t>
        </is>
      </c>
      <c r="E774" s="2" t="n">
        <v>45717</v>
      </c>
      <c r="F774" s="2" t="n">
        <v>46812</v>
      </c>
      <c r="G774" s="3" t="n">
        <v>5540</v>
      </c>
      <c r="H774">
        <f>VLOOKUP(B774,Units!$A$2:$G$1646,2,FALSE)</f>
        <v/>
      </c>
      <c r="I774">
        <f>VLOOKUP(B774,Units!$A$2:$G$1646,5,FALSE)</f>
        <v/>
      </c>
      <c r="J774" s="3">
        <f>G774/I774</f>
        <v/>
      </c>
      <c r="K774" s="3">
        <f>G774*12</f>
        <v/>
      </c>
      <c r="L774" s="3" t="n">
        <v>16620</v>
      </c>
    </row>
    <row r="775">
      <c r="A775" t="inlineStr">
        <is>
          <t>TA-2025-00166</t>
        </is>
      </c>
      <c r="B775" t="inlineStr">
        <is>
          <t>U-PI601-01-01</t>
        </is>
      </c>
      <c r="C775" t="inlineStr">
        <is>
          <t>Lakshmi Kopitiam Pte Ltd</t>
        </is>
      </c>
      <c r="D775" t="inlineStr">
        <is>
          <t>Coffeeshop</t>
        </is>
      </c>
      <c r="E775" s="2" t="n">
        <v>45717</v>
      </c>
      <c r="F775" s="2" t="n">
        <v>46812</v>
      </c>
      <c r="G775" s="3" t="n">
        <v>9260</v>
      </c>
      <c r="H775">
        <f>VLOOKUP(B775,Units!$A$2:$G$1646,2,FALSE)</f>
        <v/>
      </c>
      <c r="I775">
        <f>VLOOKUP(B775,Units!$A$2:$G$1646,5,FALSE)</f>
        <v/>
      </c>
      <c r="J775" s="3">
        <f>G775/I775</f>
        <v/>
      </c>
      <c r="K775" s="3">
        <f>G775*12</f>
        <v/>
      </c>
      <c r="L775" s="3" t="n">
        <v>27780</v>
      </c>
    </row>
    <row r="776">
      <c r="A776" t="inlineStr">
        <is>
          <t>TA-2025-00167</t>
        </is>
      </c>
      <c r="B776" t="inlineStr">
        <is>
          <t>U-PI606-01-02</t>
        </is>
      </c>
      <c r="C776" t="inlineStr">
        <is>
          <t>Kopi Corner Tuition Centre</t>
        </is>
      </c>
      <c r="D776" t="inlineStr">
        <is>
          <t>Tuition Centre</t>
        </is>
      </c>
      <c r="E776" s="2" t="n">
        <v>45717</v>
      </c>
      <c r="F776" s="2" t="n">
        <v>46812</v>
      </c>
      <c r="G776" s="3" t="n">
        <v>2160</v>
      </c>
      <c r="H776">
        <f>VLOOKUP(B776,Units!$A$2:$G$1646,2,FALSE)</f>
        <v/>
      </c>
      <c r="I776">
        <f>VLOOKUP(B776,Units!$A$2:$G$1646,5,FALSE)</f>
        <v/>
      </c>
      <c r="J776" s="3">
        <f>G776/I776</f>
        <v/>
      </c>
      <c r="K776" s="3">
        <f>G776*12</f>
        <v/>
      </c>
      <c r="L776" s="3" t="n">
        <v>6480</v>
      </c>
    </row>
    <row r="777">
      <c r="A777" t="inlineStr">
        <is>
          <t>TA-2025-00168</t>
        </is>
      </c>
      <c r="B777" t="inlineStr">
        <is>
          <t>U-PI627-02-28</t>
        </is>
      </c>
      <c r="C777" t="inlineStr">
        <is>
          <t>Soon Hin Tuition Centre Pte Ltd</t>
        </is>
      </c>
      <c r="D777" t="inlineStr">
        <is>
          <t>Tuition Centre</t>
        </is>
      </c>
      <c r="E777" s="2" t="n">
        <v>45717</v>
      </c>
      <c r="F777" s="2" t="n">
        <v>46812</v>
      </c>
      <c r="G777" s="3" t="n">
        <v>2020</v>
      </c>
      <c r="H777">
        <f>VLOOKUP(B777,Units!$A$2:$G$1646,2,FALSE)</f>
        <v/>
      </c>
      <c r="I777">
        <f>VLOOKUP(B777,Units!$A$2:$G$1646,5,FALSE)</f>
        <v/>
      </c>
      <c r="J777" s="3">
        <f>G777/I777</f>
        <v/>
      </c>
      <c r="K777" s="3">
        <f>G777*12</f>
        <v/>
      </c>
      <c r="L777" s="3" t="n">
        <v>6060</v>
      </c>
    </row>
    <row r="778">
      <c r="A778" t="inlineStr">
        <is>
          <t>TA-2025-00170</t>
        </is>
      </c>
      <c r="B778" t="inlineStr">
        <is>
          <t>U-PI642-01-09</t>
        </is>
      </c>
      <c r="C778" t="inlineStr">
        <is>
          <t>Jade Garden Fruits</t>
        </is>
      </c>
      <c r="D778" t="inlineStr">
        <is>
          <t>Fruit Shop</t>
        </is>
      </c>
      <c r="E778" s="2" t="n">
        <v>45717</v>
      </c>
      <c r="F778" s="2" t="n">
        <v>46812</v>
      </c>
      <c r="G778" s="3" t="n">
        <v>1090</v>
      </c>
      <c r="H778">
        <f>VLOOKUP(B778,Units!$A$2:$G$1646,2,FALSE)</f>
        <v/>
      </c>
      <c r="I778">
        <f>VLOOKUP(B778,Units!$A$2:$G$1646,5,FALSE)</f>
        <v/>
      </c>
      <c r="J778" s="3">
        <f>G778/I778</f>
        <v/>
      </c>
      <c r="K778" s="3">
        <f>G778*12</f>
        <v/>
      </c>
      <c r="L778" s="3" t="n">
        <v>3270</v>
      </c>
    </row>
    <row r="779">
      <c r="A779" t="inlineStr">
        <is>
          <t>TA-2025-00171</t>
        </is>
      </c>
      <c r="B779" t="inlineStr">
        <is>
          <t>U-PI644-02-06</t>
        </is>
      </c>
      <c r="C779" t="inlineStr">
        <is>
          <t>Ong &amp; Sons Tuition Centre Pte Ltd</t>
        </is>
      </c>
      <c r="D779" t="inlineStr">
        <is>
          <t>Tuition Centre</t>
        </is>
      </c>
      <c r="E779" s="2" t="n">
        <v>45717</v>
      </c>
      <c r="F779" s="2" t="n">
        <v>46812</v>
      </c>
      <c r="G779" s="3" t="n">
        <v>4040</v>
      </c>
      <c r="H779">
        <f>VLOOKUP(B779,Units!$A$2:$G$1646,2,FALSE)</f>
        <v/>
      </c>
      <c r="I779">
        <f>VLOOKUP(B779,Units!$A$2:$G$1646,5,FALSE)</f>
        <v/>
      </c>
      <c r="J779" s="3">
        <f>G779/I779</f>
        <v/>
      </c>
      <c r="K779" s="3">
        <f>G779*12</f>
        <v/>
      </c>
      <c r="L779" s="3" t="n">
        <v>12120</v>
      </c>
    </row>
    <row r="780">
      <c r="A780" t="inlineStr">
        <is>
          <t>TA-2025-00172</t>
        </is>
      </c>
      <c r="B780" t="inlineStr">
        <is>
          <t>U-PI670-01-05</t>
        </is>
      </c>
      <c r="C780" t="inlineStr">
        <is>
          <t>Soon Hin Dental Surgery Pte Ltd</t>
        </is>
      </c>
      <c r="D780" t="inlineStr">
        <is>
          <t>Dental Clinic</t>
        </is>
      </c>
      <c r="E780" s="2" t="n">
        <v>45717</v>
      </c>
      <c r="F780" s="2" t="n">
        <v>46812</v>
      </c>
      <c r="G780" s="3" t="n">
        <v>3520</v>
      </c>
      <c r="H780">
        <f>VLOOKUP(B780,Units!$A$2:$G$1646,2,FALSE)</f>
        <v/>
      </c>
      <c r="I780">
        <f>VLOOKUP(B780,Units!$A$2:$G$1646,5,FALSE)</f>
        <v/>
      </c>
      <c r="J780" s="3">
        <f>G780/I780</f>
        <v/>
      </c>
      <c r="K780" s="3">
        <f>G780*12</f>
        <v/>
      </c>
      <c r="L780" s="3" t="n">
        <v>10560</v>
      </c>
    </row>
    <row r="781">
      <c r="A781" t="inlineStr">
        <is>
          <t>TA-2025-00173</t>
        </is>
      </c>
      <c r="B781" t="inlineStr">
        <is>
          <t>U-PI675-02-07</t>
        </is>
      </c>
      <c r="C781" t="inlineStr">
        <is>
          <t>Ong &amp; Sons Learning Centre Pte Ltd</t>
        </is>
      </c>
      <c r="D781" t="inlineStr">
        <is>
          <t>Tuition Centre</t>
        </is>
      </c>
      <c r="E781" s="2" t="n">
        <v>45717</v>
      </c>
      <c r="F781" s="2" t="n">
        <v>46812</v>
      </c>
      <c r="G781" s="3" t="n">
        <v>2980</v>
      </c>
      <c r="H781">
        <f>VLOOKUP(B781,Units!$A$2:$G$1646,2,FALSE)</f>
        <v/>
      </c>
      <c r="I781">
        <f>VLOOKUP(B781,Units!$A$2:$G$1646,5,FALSE)</f>
        <v/>
      </c>
      <c r="J781" s="3">
        <f>G781/I781</f>
        <v/>
      </c>
      <c r="K781" s="3">
        <f>G781*12</f>
        <v/>
      </c>
      <c r="L781" s="3" t="n">
        <v>8940</v>
      </c>
    </row>
    <row r="782">
      <c r="A782" t="inlineStr">
        <is>
          <t>TA-2025-00174</t>
        </is>
      </c>
      <c r="B782" t="inlineStr">
        <is>
          <t>U-PI696-01-10</t>
        </is>
      </c>
      <c r="C782" t="inlineStr">
        <is>
          <t>Thye Hin Mobile</t>
        </is>
      </c>
      <c r="D782" t="inlineStr">
        <is>
          <t>Mobile Phone &amp; Accessories</t>
        </is>
      </c>
      <c r="E782" s="2" t="n">
        <v>45717</v>
      </c>
      <c r="F782" s="2" t="n">
        <v>46812</v>
      </c>
      <c r="G782" s="3" t="n">
        <v>900</v>
      </c>
      <c r="H782">
        <f>VLOOKUP(B782,Units!$A$2:$G$1646,2,FALSE)</f>
        <v/>
      </c>
      <c r="I782">
        <f>VLOOKUP(B782,Units!$A$2:$G$1646,5,FALSE)</f>
        <v/>
      </c>
      <c r="J782" s="3">
        <f>G782/I782</f>
        <v/>
      </c>
      <c r="K782" s="3">
        <f>G782*12</f>
        <v/>
      </c>
      <c r="L782" s="3" t="n">
        <v>2700</v>
      </c>
    </row>
    <row r="783">
      <c r="A783" t="inlineStr">
        <is>
          <t>TA-2025-00176</t>
        </is>
      </c>
      <c r="B783" t="inlineStr">
        <is>
          <t>U-RH407-01-05</t>
        </is>
      </c>
      <c r="C783" t="inlineStr">
        <is>
          <t>Kampung Clinic &amp; Surgery</t>
        </is>
      </c>
      <c r="D783" t="inlineStr">
        <is>
          <t>GP Clinic</t>
        </is>
      </c>
      <c r="E783" s="2" t="n">
        <v>45717</v>
      </c>
      <c r="F783" s="2" t="n">
        <v>46812</v>
      </c>
      <c r="G783" s="3" t="n">
        <v>4060</v>
      </c>
      <c r="H783">
        <f>VLOOKUP(B783,Units!$A$2:$G$1646,2,FALSE)</f>
        <v/>
      </c>
      <c r="I783">
        <f>VLOOKUP(B783,Units!$A$2:$G$1646,5,FALSE)</f>
        <v/>
      </c>
      <c r="J783" s="3">
        <f>G783/I783</f>
        <v/>
      </c>
      <c r="K783" s="3">
        <f>G783*12</f>
        <v/>
      </c>
      <c r="L783" s="3" t="n">
        <v>12180</v>
      </c>
    </row>
    <row r="784">
      <c r="A784" t="inlineStr">
        <is>
          <t>TA-2025-00177</t>
        </is>
      </c>
      <c r="B784" t="inlineStr">
        <is>
          <t>U-RH437-01-06</t>
        </is>
      </c>
      <c r="C784" t="inlineStr">
        <is>
          <t>Swee Heng Money Changer Pte Ltd</t>
        </is>
      </c>
      <c r="D784" t="inlineStr">
        <is>
          <t>Remittance &amp; Money Changer</t>
        </is>
      </c>
      <c r="E784" s="2" t="n">
        <v>45717</v>
      </c>
      <c r="F784" s="2" t="n">
        <v>46812</v>
      </c>
      <c r="G784" s="3" t="n">
        <v>2490</v>
      </c>
      <c r="H784">
        <f>VLOOKUP(B784,Units!$A$2:$G$1646,2,FALSE)</f>
        <v/>
      </c>
      <c r="I784">
        <f>VLOOKUP(B784,Units!$A$2:$G$1646,5,FALSE)</f>
        <v/>
      </c>
      <c r="J784" s="3">
        <f>G784/I784</f>
        <v/>
      </c>
      <c r="K784" s="3">
        <f>G784*12</f>
        <v/>
      </c>
      <c r="L784" s="3" t="n">
        <v>7470</v>
      </c>
    </row>
    <row r="785">
      <c r="A785" t="inlineStr">
        <is>
          <t>TA-2025-00179</t>
        </is>
      </c>
      <c r="B785" t="inlineStr">
        <is>
          <t>U-RH441-01-01</t>
        </is>
      </c>
      <c r="C785" t="inlineStr">
        <is>
          <t>Hup Seng Accounting Services Pte Ltd</t>
        </is>
      </c>
      <c r="D785" t="inlineStr">
        <is>
          <t>Professional Services Office</t>
        </is>
      </c>
      <c r="E785" s="2" t="n">
        <v>45717</v>
      </c>
      <c r="F785" s="2" t="n">
        <v>46812</v>
      </c>
      <c r="G785" s="3" t="n">
        <v>1300</v>
      </c>
      <c r="H785">
        <f>VLOOKUP(B785,Units!$A$2:$G$1646,2,FALSE)</f>
        <v/>
      </c>
      <c r="I785">
        <f>VLOOKUP(B785,Units!$A$2:$G$1646,5,FALSE)</f>
        <v/>
      </c>
      <c r="J785" s="3">
        <f>G785/I785</f>
        <v/>
      </c>
      <c r="K785" s="3">
        <f>G785*12</f>
        <v/>
      </c>
      <c r="L785" s="3" t="n">
        <v>3900</v>
      </c>
    </row>
    <row r="786">
      <c r="A786" t="inlineStr">
        <is>
          <t>TA-2025-00181</t>
        </is>
      </c>
      <c r="B786" t="inlineStr">
        <is>
          <t>U-RH491-01-11</t>
        </is>
      </c>
      <c r="C786" t="inlineStr">
        <is>
          <t>Rainbow Learning Centre</t>
        </is>
      </c>
      <c r="D786" t="inlineStr">
        <is>
          <t>Tuition Centre</t>
        </is>
      </c>
      <c r="E786" s="2" t="n">
        <v>45717</v>
      </c>
      <c r="F786" s="2" t="n">
        <v>46812</v>
      </c>
      <c r="G786" s="3" t="n">
        <v>3870</v>
      </c>
      <c r="H786">
        <f>VLOOKUP(B786,Units!$A$2:$G$1646,2,FALSE)</f>
        <v/>
      </c>
      <c r="I786">
        <f>VLOOKUP(B786,Units!$A$2:$G$1646,5,FALSE)</f>
        <v/>
      </c>
      <c r="J786" s="3">
        <f>G786/I786</f>
        <v/>
      </c>
      <c r="K786" s="3">
        <f>G786*12</f>
        <v/>
      </c>
      <c r="L786" s="3" t="n">
        <v>11610</v>
      </c>
    </row>
    <row r="787">
      <c r="A787" t="inlineStr">
        <is>
          <t>TA-2025-00182</t>
        </is>
      </c>
      <c r="B787" t="inlineStr">
        <is>
          <t>U-ST506-02-03</t>
        </is>
      </c>
      <c r="C787" t="inlineStr">
        <is>
          <t>Old Town Dental Surgery Pte Ltd</t>
        </is>
      </c>
      <c r="D787" t="inlineStr">
        <is>
          <t>Dental Clinic</t>
        </is>
      </c>
      <c r="E787" s="2" t="n">
        <v>45717</v>
      </c>
      <c r="F787" s="2" t="n">
        <v>46812</v>
      </c>
      <c r="G787" s="3" t="n">
        <v>1880</v>
      </c>
      <c r="H787">
        <f>VLOOKUP(B787,Units!$A$2:$G$1646,2,FALSE)</f>
        <v/>
      </c>
      <c r="I787">
        <f>VLOOKUP(B787,Units!$A$2:$G$1646,5,FALSE)</f>
        <v/>
      </c>
      <c r="J787" s="3">
        <f>G787/I787</f>
        <v/>
      </c>
      <c r="K787" s="3">
        <f>G787*12</f>
        <v/>
      </c>
      <c r="L787" s="3" t="n">
        <v>5640</v>
      </c>
    </row>
    <row r="788">
      <c r="A788" t="inlineStr">
        <is>
          <t>TA-2025-00184</t>
        </is>
      </c>
      <c r="B788" t="inlineStr">
        <is>
          <t>U-ST512-01-19</t>
        </is>
      </c>
      <c r="C788" t="inlineStr">
        <is>
          <t>Barakah Supermarket</t>
        </is>
      </c>
      <c r="D788" t="inlineStr">
        <is>
          <t>Minimart</t>
        </is>
      </c>
      <c r="E788" s="2" t="n">
        <v>45717</v>
      </c>
      <c r="F788" s="2" t="n">
        <v>46812</v>
      </c>
      <c r="G788" s="3" t="n">
        <v>2530</v>
      </c>
      <c r="H788">
        <f>VLOOKUP(B788,Units!$A$2:$G$1646,2,FALSE)</f>
        <v/>
      </c>
      <c r="I788">
        <f>VLOOKUP(B788,Units!$A$2:$G$1646,5,FALSE)</f>
        <v/>
      </c>
      <c r="J788" s="3">
        <f>G788/I788</f>
        <v/>
      </c>
      <c r="K788" s="3">
        <f>G788*12</f>
        <v/>
      </c>
      <c r="L788" s="3" t="n">
        <v>7590</v>
      </c>
    </row>
    <row r="789">
      <c r="A789" t="inlineStr">
        <is>
          <t>TA-2025-00185</t>
        </is>
      </c>
      <c r="B789" t="inlineStr">
        <is>
          <t>U-ST512-01-22</t>
        </is>
      </c>
      <c r="C789" t="inlineStr">
        <is>
          <t>Lucky Star TCM Clinic Pte Ltd</t>
        </is>
      </c>
      <c r="D789" t="inlineStr">
        <is>
          <t>TCM Clinic</t>
        </is>
      </c>
      <c r="E789" s="2" t="n">
        <v>45717</v>
      </c>
      <c r="F789" s="2" t="n">
        <v>46812</v>
      </c>
      <c r="G789" s="3" t="n">
        <v>2360</v>
      </c>
      <c r="H789">
        <f>VLOOKUP(B789,Units!$A$2:$G$1646,2,FALSE)</f>
        <v/>
      </c>
      <c r="I789">
        <f>VLOOKUP(B789,Units!$A$2:$G$1646,5,FALSE)</f>
        <v/>
      </c>
      <c r="J789" s="3">
        <f>G789/I789</f>
        <v/>
      </c>
      <c r="K789" s="3">
        <f>G789*12</f>
        <v/>
      </c>
      <c r="L789" s="3" t="n">
        <v>7080</v>
      </c>
    </row>
    <row r="790">
      <c r="A790" t="inlineStr">
        <is>
          <t>TA-2025-00186</t>
        </is>
      </c>
      <c r="B790" t="inlineStr">
        <is>
          <t>U-ST512-01-30</t>
        </is>
      </c>
      <c r="C790" t="inlineStr">
        <is>
          <t>Hometown Eating Place Pte Ltd</t>
        </is>
      </c>
      <c r="D790" t="inlineStr">
        <is>
          <t>Restaurant</t>
        </is>
      </c>
      <c r="E790" s="2" t="n">
        <v>45717</v>
      </c>
      <c r="F790" s="2" t="n">
        <v>46812</v>
      </c>
      <c r="G790" s="3" t="n">
        <v>2510</v>
      </c>
      <c r="H790">
        <f>VLOOKUP(B790,Units!$A$2:$G$1646,2,FALSE)</f>
        <v/>
      </c>
      <c r="I790">
        <f>VLOOKUP(B790,Units!$A$2:$G$1646,5,FALSE)</f>
        <v/>
      </c>
      <c r="J790" s="3">
        <f>G790/I790</f>
        <v/>
      </c>
      <c r="K790" s="3">
        <f>G790*12</f>
        <v/>
      </c>
      <c r="L790" s="3" t="n">
        <v>7530</v>
      </c>
    </row>
    <row r="791">
      <c r="A791" t="inlineStr">
        <is>
          <t>TA-2025-00187</t>
        </is>
      </c>
      <c r="B791" t="inlineStr">
        <is>
          <t>U-ST535-01-02</t>
        </is>
      </c>
      <c r="C791" t="inlineStr">
        <is>
          <t>Cosy Medical Supplies</t>
        </is>
      </c>
      <c r="D791" t="inlineStr">
        <is>
          <t>Pharmacy</t>
        </is>
      </c>
      <c r="E791" s="2" t="n">
        <v>45717</v>
      </c>
      <c r="F791" s="2" t="n">
        <v>46812</v>
      </c>
      <c r="G791" s="3" t="n">
        <v>4140</v>
      </c>
      <c r="H791">
        <f>VLOOKUP(B791,Units!$A$2:$G$1646,2,FALSE)</f>
        <v/>
      </c>
      <c r="I791">
        <f>VLOOKUP(B791,Units!$A$2:$G$1646,5,FALSE)</f>
        <v/>
      </c>
      <c r="J791" s="3">
        <f>G791/I791</f>
        <v/>
      </c>
      <c r="K791" s="3">
        <f>G791*12</f>
        <v/>
      </c>
      <c r="L791" s="3" t="n">
        <v>12420</v>
      </c>
    </row>
    <row r="792">
      <c r="A792" t="inlineStr">
        <is>
          <t>TA-2025-00188</t>
        </is>
      </c>
      <c r="B792" t="inlineStr">
        <is>
          <t>U-ST545-01-02</t>
        </is>
      </c>
      <c r="C792" t="inlineStr">
        <is>
          <t>Bright Path Minimart</t>
        </is>
      </c>
      <c r="D792" t="inlineStr">
        <is>
          <t>Minimart</t>
        </is>
      </c>
      <c r="E792" s="2" t="n">
        <v>45717</v>
      </c>
      <c r="F792" s="2" t="n">
        <v>46812</v>
      </c>
      <c r="G792" s="3" t="n">
        <v>2720</v>
      </c>
      <c r="H792">
        <f>VLOOKUP(B792,Units!$A$2:$G$1646,2,FALSE)</f>
        <v/>
      </c>
      <c r="I792">
        <f>VLOOKUP(B792,Units!$A$2:$G$1646,5,FALSE)</f>
        <v/>
      </c>
      <c r="J792" s="3">
        <f>G792/I792</f>
        <v/>
      </c>
      <c r="K792" s="3">
        <f>G792*12</f>
        <v/>
      </c>
      <c r="L792" s="3" t="n">
        <v>8160</v>
      </c>
    </row>
    <row r="793">
      <c r="A793" t="inlineStr">
        <is>
          <t>TA-2025-00190</t>
        </is>
      </c>
      <c r="B793" t="inlineStr">
        <is>
          <t>U-ST583-01-02</t>
        </is>
      </c>
      <c r="C793" t="inlineStr">
        <is>
          <t>Soon Hin Learning Centre</t>
        </is>
      </c>
      <c r="D793" t="inlineStr">
        <is>
          <t>Tuition Centre</t>
        </is>
      </c>
      <c r="E793" s="2" t="n">
        <v>45717</v>
      </c>
      <c r="F793" s="2" t="n">
        <v>46812</v>
      </c>
      <c r="G793" s="3" t="n">
        <v>4360</v>
      </c>
      <c r="H793">
        <f>VLOOKUP(B793,Units!$A$2:$G$1646,2,FALSE)</f>
        <v/>
      </c>
      <c r="I793">
        <f>VLOOKUP(B793,Units!$A$2:$G$1646,5,FALSE)</f>
        <v/>
      </c>
      <c r="J793" s="3">
        <f>G793/I793</f>
        <v/>
      </c>
      <c r="K793" s="3">
        <f>G793*12</f>
        <v/>
      </c>
      <c r="L793" s="3" t="n">
        <v>13080</v>
      </c>
    </row>
    <row r="794">
      <c r="A794" t="inlineStr">
        <is>
          <t>TA-2025-00191</t>
        </is>
      </c>
      <c r="B794" t="inlineStr">
        <is>
          <t>U-ST590-01-10</t>
        </is>
      </c>
      <c r="C794" t="inlineStr">
        <is>
          <t>Little Sprouts Flowers &amp; Gifts Pte Ltd</t>
        </is>
      </c>
      <c r="D794" t="inlineStr">
        <is>
          <t>Florist</t>
        </is>
      </c>
      <c r="E794" s="2" t="n">
        <v>45717</v>
      </c>
      <c r="F794" s="2" t="n">
        <v>46812</v>
      </c>
      <c r="G794" s="3" t="n">
        <v>900</v>
      </c>
      <c r="H794">
        <f>VLOOKUP(B794,Units!$A$2:$G$1646,2,FALSE)</f>
        <v/>
      </c>
      <c r="I794">
        <f>VLOOKUP(B794,Units!$A$2:$G$1646,5,FALSE)</f>
        <v/>
      </c>
      <c r="J794" s="3">
        <f>G794/I794</f>
        <v/>
      </c>
      <c r="K794" s="3">
        <f>G794*12</f>
        <v/>
      </c>
      <c r="L794" s="3" t="n">
        <v>2700</v>
      </c>
    </row>
    <row r="795">
      <c r="A795" t="inlineStr">
        <is>
          <t>TA-2025-00192</t>
        </is>
      </c>
      <c r="B795" t="inlineStr">
        <is>
          <t>U-BV230-01-04</t>
        </is>
      </c>
      <c r="C795" t="inlineStr">
        <is>
          <t>Old Town Provision Shop</t>
        </is>
      </c>
      <c r="D795" t="inlineStr">
        <is>
          <t>Provision Shop</t>
        </is>
      </c>
      <c r="E795" s="2" t="n">
        <v>45748</v>
      </c>
      <c r="F795" s="2" t="n">
        <v>46843</v>
      </c>
      <c r="G795" s="3" t="n">
        <v>4000</v>
      </c>
      <c r="H795">
        <f>VLOOKUP(B795,Units!$A$2:$G$1646,2,FALSE)</f>
        <v/>
      </c>
      <c r="I795">
        <f>VLOOKUP(B795,Units!$A$2:$G$1646,5,FALSE)</f>
        <v/>
      </c>
      <c r="J795" s="3">
        <f>G795/I795</f>
        <v/>
      </c>
      <c r="K795" s="3">
        <f>G795*12</f>
        <v/>
      </c>
      <c r="L795" s="3" t="n">
        <v>12000</v>
      </c>
    </row>
    <row r="796">
      <c r="A796" t="inlineStr">
        <is>
          <t>TA-2025-00194</t>
        </is>
      </c>
      <c r="B796" t="inlineStr">
        <is>
          <t>U-BV230-01-05</t>
        </is>
      </c>
      <c r="C796" t="inlineStr">
        <is>
          <t>Wong's Snacks</t>
        </is>
      </c>
      <c r="D796" t="inlineStr">
        <is>
          <t>Snack Kiosk</t>
        </is>
      </c>
      <c r="E796" s="2" t="n">
        <v>45748</v>
      </c>
      <c r="F796" s="2" t="n">
        <v>46843</v>
      </c>
      <c r="G796" s="3" t="n">
        <v>1480</v>
      </c>
      <c r="H796">
        <f>VLOOKUP(B796,Units!$A$2:$G$1646,2,FALSE)</f>
        <v/>
      </c>
      <c r="I796">
        <f>VLOOKUP(B796,Units!$A$2:$G$1646,5,FALSE)</f>
        <v/>
      </c>
      <c r="J796" s="3">
        <f>G796/I796</f>
        <v/>
      </c>
      <c r="K796" s="3">
        <f>G796*12</f>
        <v/>
      </c>
      <c r="L796" s="3" t="n">
        <v>4440</v>
      </c>
    </row>
    <row r="797">
      <c r="A797" t="inlineStr">
        <is>
          <t>TA-2025-00195</t>
        </is>
      </c>
      <c r="B797" t="inlineStr">
        <is>
          <t>U-BV231-01-08</t>
        </is>
      </c>
      <c r="C797" t="inlineStr">
        <is>
          <t>Amanah Store Pte Ltd</t>
        </is>
      </c>
      <c r="D797" t="inlineStr">
        <is>
          <t>Provision Shop</t>
        </is>
      </c>
      <c r="E797" s="2" t="n">
        <v>45748</v>
      </c>
      <c r="F797" s="2" t="n">
        <v>46843</v>
      </c>
      <c r="G797" s="3" t="n">
        <v>3450</v>
      </c>
      <c r="H797">
        <f>VLOOKUP(B797,Units!$A$2:$G$1646,2,FALSE)</f>
        <v/>
      </c>
      <c r="I797">
        <f>VLOOKUP(B797,Units!$A$2:$G$1646,5,FALSE)</f>
        <v/>
      </c>
      <c r="J797" s="3">
        <f>G797/I797</f>
        <v/>
      </c>
      <c r="K797" s="3">
        <f>G797*12</f>
        <v/>
      </c>
      <c r="L797" s="3" t="n">
        <v>10350</v>
      </c>
    </row>
    <row r="798">
      <c r="A798" t="inlineStr">
        <is>
          <t>TA-2025-00197</t>
        </is>
      </c>
      <c r="B798" t="inlineStr">
        <is>
          <t>U-BV266-01-06</t>
        </is>
      </c>
      <c r="C798" t="inlineStr">
        <is>
          <t>Hock Lee Trading Pte Ltd</t>
        </is>
      </c>
      <c r="D798" t="inlineStr">
        <is>
          <t>Provision Shop</t>
        </is>
      </c>
      <c r="E798" s="2" t="n">
        <v>45748</v>
      </c>
      <c r="F798" s="2" t="n">
        <v>46843</v>
      </c>
      <c r="G798" s="3" t="n">
        <v>4160</v>
      </c>
      <c r="H798">
        <f>VLOOKUP(B798,Units!$A$2:$G$1646,2,FALSE)</f>
        <v/>
      </c>
      <c r="I798">
        <f>VLOOKUP(B798,Units!$A$2:$G$1646,5,FALSE)</f>
        <v/>
      </c>
      <c r="J798" s="3">
        <f>G798/I798</f>
        <v/>
      </c>
      <c r="K798" s="3">
        <f>G798*12</f>
        <v/>
      </c>
      <c r="L798" s="3" t="n">
        <v>12480</v>
      </c>
    </row>
    <row r="799">
      <c r="A799" t="inlineStr">
        <is>
          <t>TA-2025-00199</t>
        </is>
      </c>
      <c r="B799" t="inlineStr">
        <is>
          <t>U-BV273-02-03</t>
        </is>
      </c>
      <c r="C799" t="inlineStr">
        <is>
          <t>Hup Seng Tuition Centre</t>
        </is>
      </c>
      <c r="D799" t="inlineStr">
        <is>
          <t>Tuition Centre</t>
        </is>
      </c>
      <c r="E799" s="2" t="n">
        <v>45748</v>
      </c>
      <c r="F799" s="2" t="n">
        <v>46843</v>
      </c>
      <c r="G799" s="3" t="n">
        <v>2920</v>
      </c>
      <c r="H799">
        <f>VLOOKUP(B799,Units!$A$2:$G$1646,2,FALSE)</f>
        <v/>
      </c>
      <c r="I799">
        <f>VLOOKUP(B799,Units!$A$2:$G$1646,5,FALSE)</f>
        <v/>
      </c>
      <c r="J799" s="3">
        <f>G799/I799</f>
        <v/>
      </c>
      <c r="K799" s="3">
        <f>G799*12</f>
        <v/>
      </c>
      <c r="L799" s="3" t="n">
        <v>8760</v>
      </c>
    </row>
    <row r="800">
      <c r="A800" t="inlineStr">
        <is>
          <t>TA-2025-00201</t>
        </is>
      </c>
      <c r="B800" t="inlineStr">
        <is>
          <t>U-CD118-01-18</t>
        </is>
      </c>
      <c r="C800" t="inlineStr">
        <is>
          <t>Peng Kee Dry Cleaners Pte Ltd</t>
        </is>
      </c>
      <c r="D800" t="inlineStr">
        <is>
          <t>Laundry</t>
        </is>
      </c>
      <c r="E800" s="2" t="n">
        <v>45748</v>
      </c>
      <c r="F800" s="2" t="n">
        <v>46843</v>
      </c>
      <c r="G800" s="3" t="n">
        <v>4260</v>
      </c>
      <c r="H800">
        <f>VLOOKUP(B800,Units!$A$2:$G$1646,2,FALSE)</f>
        <v/>
      </c>
      <c r="I800">
        <f>VLOOKUP(B800,Units!$A$2:$G$1646,5,FALSE)</f>
        <v/>
      </c>
      <c r="J800" s="3">
        <f>G800/I800</f>
        <v/>
      </c>
      <c r="K800" s="3">
        <f>G800*12</f>
        <v/>
      </c>
      <c r="L800" s="3" t="n">
        <v>12780</v>
      </c>
    </row>
    <row r="801">
      <c r="A801" t="inlineStr">
        <is>
          <t>TA-2025-00202</t>
        </is>
      </c>
      <c r="B801" t="inlineStr">
        <is>
          <t>U-CD135-01-04</t>
        </is>
      </c>
      <c r="C801" t="inlineStr">
        <is>
          <t>Teck Guan Mobile Pte Ltd</t>
        </is>
      </c>
      <c r="D801" t="inlineStr">
        <is>
          <t>Mobile Phone &amp; Accessories</t>
        </is>
      </c>
      <c r="E801" s="2" t="n">
        <v>45748</v>
      </c>
      <c r="F801" s="2" t="n">
        <v>46843</v>
      </c>
      <c r="G801" s="3" t="n">
        <v>900</v>
      </c>
      <c r="H801">
        <f>VLOOKUP(B801,Units!$A$2:$G$1646,2,FALSE)</f>
        <v/>
      </c>
      <c r="I801">
        <f>VLOOKUP(B801,Units!$A$2:$G$1646,5,FALSE)</f>
        <v/>
      </c>
      <c r="J801" s="3">
        <f>G801/I801</f>
        <v/>
      </c>
      <c r="K801" s="3">
        <f>G801*12</f>
        <v/>
      </c>
      <c r="L801" s="3" t="n">
        <v>2700</v>
      </c>
    </row>
    <row r="802">
      <c r="A802" t="inlineStr">
        <is>
          <t>TA-2025-00203</t>
        </is>
      </c>
      <c r="B802" t="inlineStr">
        <is>
          <t>U-CD136-01-02</t>
        </is>
      </c>
      <c r="C802" t="inlineStr">
        <is>
          <t>Lakshmi Supermarket Pte Ltd</t>
        </is>
      </c>
      <c r="D802" t="inlineStr">
        <is>
          <t>Minimart</t>
        </is>
      </c>
      <c r="E802" s="2" t="n">
        <v>45748</v>
      </c>
      <c r="F802" s="2" t="n">
        <v>46843</v>
      </c>
      <c r="G802" s="3" t="n">
        <v>3820</v>
      </c>
      <c r="H802">
        <f>VLOOKUP(B802,Units!$A$2:$G$1646,2,FALSE)</f>
        <v/>
      </c>
      <c r="I802">
        <f>VLOOKUP(B802,Units!$A$2:$G$1646,5,FALSE)</f>
        <v/>
      </c>
      <c r="J802" s="3">
        <f>G802/I802</f>
        <v/>
      </c>
      <c r="K802" s="3">
        <f>G802*12</f>
        <v/>
      </c>
      <c r="L802" s="3" t="n">
        <v>11460</v>
      </c>
    </row>
    <row r="803">
      <c r="A803" t="inlineStr">
        <is>
          <t>TA-2025-00205</t>
        </is>
      </c>
      <c r="B803" t="inlineStr">
        <is>
          <t>U-CD190-01-02</t>
        </is>
      </c>
      <c r="C803" t="inlineStr">
        <is>
          <t>Bayu Fruits Pte Ltd</t>
        </is>
      </c>
      <c r="D803" t="inlineStr">
        <is>
          <t>Fruit Shop</t>
        </is>
      </c>
      <c r="E803" s="2" t="n">
        <v>45748</v>
      </c>
      <c r="F803" s="2" t="n">
        <v>46843</v>
      </c>
      <c r="G803" s="3" t="n">
        <v>3470</v>
      </c>
      <c r="H803">
        <f>VLOOKUP(B803,Units!$A$2:$G$1646,2,FALSE)</f>
        <v/>
      </c>
      <c r="I803">
        <f>VLOOKUP(B803,Units!$A$2:$G$1646,5,FALSE)</f>
        <v/>
      </c>
      <c r="J803" s="3">
        <f>G803/I803</f>
        <v/>
      </c>
      <c r="K803" s="3">
        <f>G803*12</f>
        <v/>
      </c>
      <c r="L803" s="3" t="n">
        <v>10410</v>
      </c>
    </row>
    <row r="804">
      <c r="A804" t="inlineStr">
        <is>
          <t>TA-2025-00206</t>
        </is>
      </c>
      <c r="B804" t="inlineStr">
        <is>
          <t>U-CD190-01-05</t>
        </is>
      </c>
      <c r="C804" t="inlineStr">
        <is>
          <t>Blue Pearl Mart</t>
        </is>
      </c>
      <c r="D804" t="inlineStr">
        <is>
          <t>Minimart</t>
        </is>
      </c>
      <c r="E804" s="2" t="n">
        <v>45748</v>
      </c>
      <c r="F804" s="2" t="n">
        <v>46843</v>
      </c>
      <c r="G804" s="3" t="n">
        <v>5660</v>
      </c>
      <c r="H804">
        <f>VLOOKUP(B804,Units!$A$2:$G$1646,2,FALSE)</f>
        <v/>
      </c>
      <c r="I804">
        <f>VLOOKUP(B804,Units!$A$2:$G$1646,5,FALSE)</f>
        <v/>
      </c>
      <c r="J804" s="3">
        <f>G804/I804</f>
        <v/>
      </c>
      <c r="K804" s="3">
        <f>G804*12</f>
        <v/>
      </c>
      <c r="L804" s="3" t="n">
        <v>16980</v>
      </c>
    </row>
    <row r="805">
      <c r="A805" t="inlineStr">
        <is>
          <t>TA-2025-00207</t>
        </is>
      </c>
      <c r="B805" t="inlineStr">
        <is>
          <t>U-KR318-01-13</t>
        </is>
      </c>
      <c r="C805" t="inlineStr">
        <is>
          <t>Blue Pearl Fruit Trading Pte Ltd</t>
        </is>
      </c>
      <c r="D805" t="inlineStr">
        <is>
          <t>Fruit Shop</t>
        </is>
      </c>
      <c r="E805" s="2" t="n">
        <v>45748</v>
      </c>
      <c r="F805" s="2" t="n">
        <v>46843</v>
      </c>
      <c r="G805" s="3" t="n">
        <v>3690</v>
      </c>
      <c r="H805">
        <f>VLOOKUP(B805,Units!$A$2:$G$1646,2,FALSE)</f>
        <v/>
      </c>
      <c r="I805">
        <f>VLOOKUP(B805,Units!$A$2:$G$1646,5,FALSE)</f>
        <v/>
      </c>
      <c r="J805" s="3">
        <f>G805/I805</f>
        <v/>
      </c>
      <c r="K805" s="3">
        <f>G805*12</f>
        <v/>
      </c>
      <c r="L805" s="3" t="n">
        <v>11070</v>
      </c>
    </row>
    <row r="806">
      <c r="A806" t="inlineStr">
        <is>
          <t>TA-2025-00208</t>
        </is>
      </c>
      <c r="B806" t="inlineStr">
        <is>
          <t>U-KR327-01-02</t>
        </is>
      </c>
      <c r="C806" t="inlineStr">
        <is>
          <t>Peng Kee Mart</t>
        </is>
      </c>
      <c r="D806" t="inlineStr">
        <is>
          <t>Minimart</t>
        </is>
      </c>
      <c r="E806" s="2" t="n">
        <v>45748</v>
      </c>
      <c r="F806" s="2" t="n">
        <v>46843</v>
      </c>
      <c r="G806" s="3" t="n">
        <v>5390</v>
      </c>
      <c r="H806">
        <f>VLOOKUP(B806,Units!$A$2:$G$1646,2,FALSE)</f>
        <v/>
      </c>
      <c r="I806">
        <f>VLOOKUP(B806,Units!$A$2:$G$1646,5,FALSE)</f>
        <v/>
      </c>
      <c r="J806" s="3">
        <f>G806/I806</f>
        <v/>
      </c>
      <c r="K806" s="3">
        <f>G806*12</f>
        <v/>
      </c>
      <c r="L806" s="3" t="n">
        <v>16170</v>
      </c>
    </row>
    <row r="807">
      <c r="A807" t="inlineStr">
        <is>
          <t>TA-2025-00209</t>
        </is>
      </c>
      <c r="B807" t="inlineStr">
        <is>
          <t>U-KR329-01-04</t>
        </is>
      </c>
      <c r="C807" t="inlineStr">
        <is>
          <t>Soon Hin Agency</t>
        </is>
      </c>
      <c r="D807" t="inlineStr">
        <is>
          <t>Professional Services Office</t>
        </is>
      </c>
      <c r="E807" s="2" t="n">
        <v>45748</v>
      </c>
      <c r="F807" s="2" t="n">
        <v>46843</v>
      </c>
      <c r="G807" s="3" t="n">
        <v>2230</v>
      </c>
      <c r="H807">
        <f>VLOOKUP(B807,Units!$A$2:$G$1646,2,FALSE)</f>
        <v/>
      </c>
      <c r="I807">
        <f>VLOOKUP(B807,Units!$A$2:$G$1646,5,FALSE)</f>
        <v/>
      </c>
      <c r="J807" s="3">
        <f>G807/I807</f>
        <v/>
      </c>
      <c r="K807" s="3">
        <f>G807*12</f>
        <v/>
      </c>
      <c r="L807" s="3" t="n">
        <v>6690</v>
      </c>
    </row>
    <row r="808">
      <c r="A808" t="inlineStr">
        <is>
          <t>TA-2025-00210</t>
        </is>
      </c>
      <c r="B808" t="inlineStr">
        <is>
          <t>U-KR335-01-06</t>
        </is>
      </c>
      <c r="C808" t="inlineStr">
        <is>
          <t>Orchid Beauty &amp; Hair Pte Ltd</t>
        </is>
      </c>
      <c r="D808" t="inlineStr">
        <is>
          <t>Hair Salon</t>
        </is>
      </c>
      <c r="E808" s="2" t="n">
        <v>45748</v>
      </c>
      <c r="F808" s="2" t="n">
        <v>46843</v>
      </c>
      <c r="G808" s="3" t="n">
        <v>1970</v>
      </c>
      <c r="H808">
        <f>VLOOKUP(B808,Units!$A$2:$G$1646,2,FALSE)</f>
        <v/>
      </c>
      <c r="I808">
        <f>VLOOKUP(B808,Units!$A$2:$G$1646,5,FALSE)</f>
        <v/>
      </c>
      <c r="J808" s="3">
        <f>G808/I808</f>
        <v/>
      </c>
      <c r="K808" s="3">
        <f>G808*12</f>
        <v/>
      </c>
      <c r="L808" s="3" t="n">
        <v>5910</v>
      </c>
    </row>
    <row r="809">
      <c r="A809" t="inlineStr">
        <is>
          <t>TA-2025-00212</t>
        </is>
      </c>
      <c r="B809" t="inlineStr">
        <is>
          <t>U-KR349-01-05</t>
        </is>
      </c>
      <c r="C809" t="inlineStr">
        <is>
          <t>Heng Ann Beauty &amp; Hair</t>
        </is>
      </c>
      <c r="D809" t="inlineStr">
        <is>
          <t>Hair Salon</t>
        </is>
      </c>
      <c r="E809" s="2" t="n">
        <v>45748</v>
      </c>
      <c r="F809" s="2" t="n">
        <v>46843</v>
      </c>
      <c r="G809" s="3" t="n">
        <v>5420</v>
      </c>
      <c r="H809">
        <f>VLOOKUP(B809,Units!$A$2:$G$1646,2,FALSE)</f>
        <v/>
      </c>
      <c r="I809">
        <f>VLOOKUP(B809,Units!$A$2:$G$1646,5,FALSE)</f>
        <v/>
      </c>
      <c r="J809" s="3">
        <f>G809/I809</f>
        <v/>
      </c>
      <c r="K809" s="3">
        <f>G809*12</f>
        <v/>
      </c>
      <c r="L809" s="3" t="n">
        <v>16260</v>
      </c>
    </row>
    <row r="810">
      <c r="A810" t="inlineStr">
        <is>
          <t>TA-2025-00213</t>
        </is>
      </c>
      <c r="B810" t="inlineStr">
        <is>
          <t>U-KR353-01-07</t>
        </is>
      </c>
      <c r="C810" t="inlineStr">
        <is>
          <t>Old Town Pharmacy</t>
        </is>
      </c>
      <c r="D810" t="inlineStr">
        <is>
          <t>Pharmacy</t>
        </is>
      </c>
      <c r="E810" s="2" t="n">
        <v>45748</v>
      </c>
      <c r="F810" s="2" t="n">
        <v>46843</v>
      </c>
      <c r="G810" s="3" t="n">
        <v>3020</v>
      </c>
      <c r="H810">
        <f>VLOOKUP(B810,Units!$A$2:$G$1646,2,FALSE)</f>
        <v/>
      </c>
      <c r="I810">
        <f>VLOOKUP(B810,Units!$A$2:$G$1646,5,FALSE)</f>
        <v/>
      </c>
      <c r="J810" s="3">
        <f>G810/I810</f>
        <v/>
      </c>
      <c r="K810" s="3">
        <f>G810*12</f>
        <v/>
      </c>
      <c r="L810" s="3" t="n">
        <v>9060</v>
      </c>
    </row>
    <row r="811">
      <c r="A811" t="inlineStr">
        <is>
          <t>TA-2025-00214</t>
        </is>
      </c>
      <c r="B811" t="inlineStr">
        <is>
          <t>U-KR353-01-09</t>
        </is>
      </c>
      <c r="C811" t="inlineStr">
        <is>
          <t>Unity Eye Centre</t>
        </is>
      </c>
      <c r="D811" t="inlineStr">
        <is>
          <t>Optical</t>
        </is>
      </c>
      <c r="E811" s="2" t="n">
        <v>45748</v>
      </c>
      <c r="F811" s="2" t="n">
        <v>46843</v>
      </c>
      <c r="G811" s="3" t="n">
        <v>3210</v>
      </c>
      <c r="H811">
        <f>VLOOKUP(B811,Units!$A$2:$G$1646,2,FALSE)</f>
        <v/>
      </c>
      <c r="I811">
        <f>VLOOKUP(B811,Units!$A$2:$G$1646,5,FALSE)</f>
        <v/>
      </c>
      <c r="J811" s="3">
        <f>G811/I811</f>
        <v/>
      </c>
      <c r="K811" s="3">
        <f>G811*12</f>
        <v/>
      </c>
      <c r="L811" s="3" t="n">
        <v>9630</v>
      </c>
    </row>
    <row r="812">
      <c r="A812" t="inlineStr">
        <is>
          <t>TA-2025-00216</t>
        </is>
      </c>
      <c r="B812" t="inlineStr">
        <is>
          <t>U-KR356-01-06</t>
        </is>
      </c>
      <c r="C812" t="inlineStr">
        <is>
          <t>Peng Kee Mobile Pte Ltd</t>
        </is>
      </c>
      <c r="D812" t="inlineStr">
        <is>
          <t>Mobile Phone &amp; Accessories</t>
        </is>
      </c>
      <c r="E812" s="2" t="n">
        <v>45748</v>
      </c>
      <c r="F812" s="2" t="n">
        <v>46843</v>
      </c>
      <c r="G812" s="3" t="n">
        <v>4400</v>
      </c>
      <c r="H812">
        <f>VLOOKUP(B812,Units!$A$2:$G$1646,2,FALSE)</f>
        <v/>
      </c>
      <c r="I812">
        <f>VLOOKUP(B812,Units!$A$2:$G$1646,5,FALSE)</f>
        <v/>
      </c>
      <c r="J812" s="3">
        <f>G812/I812</f>
        <v/>
      </c>
      <c r="K812" s="3">
        <f>G812*12</f>
        <v/>
      </c>
      <c r="L812" s="3" t="n">
        <v>13200</v>
      </c>
    </row>
    <row r="813">
      <c r="A813" t="inlineStr">
        <is>
          <t>TA-2025-00217</t>
        </is>
      </c>
      <c r="B813" t="inlineStr">
        <is>
          <t>U-KR359-01-01</t>
        </is>
      </c>
      <c r="C813" t="inlineStr">
        <is>
          <t>Hock Lee Store</t>
        </is>
      </c>
      <c r="D813" t="inlineStr">
        <is>
          <t>Provision Shop</t>
        </is>
      </c>
      <c r="E813" s="2" t="n">
        <v>45748</v>
      </c>
      <c r="F813" s="2" t="n">
        <v>46843</v>
      </c>
      <c r="G813" s="3" t="n">
        <v>3820</v>
      </c>
      <c r="H813">
        <f>VLOOKUP(B813,Units!$A$2:$G$1646,2,FALSE)</f>
        <v/>
      </c>
      <c r="I813">
        <f>VLOOKUP(B813,Units!$A$2:$G$1646,5,FALSE)</f>
        <v/>
      </c>
      <c r="J813" s="3">
        <f>G813/I813</f>
        <v/>
      </c>
      <c r="K813" s="3">
        <f>G813*12</f>
        <v/>
      </c>
      <c r="L813" s="3" t="n">
        <v>11460</v>
      </c>
    </row>
    <row r="814">
      <c r="A814" t="inlineStr">
        <is>
          <t>TA-2025-00219</t>
        </is>
      </c>
      <c r="B814" t="inlineStr">
        <is>
          <t>U-KR362-01-09</t>
        </is>
      </c>
      <c r="C814" t="inlineStr">
        <is>
          <t>New Life Mart Pte Ltd</t>
        </is>
      </c>
      <c r="D814" t="inlineStr">
        <is>
          <t>Minimart</t>
        </is>
      </c>
      <c r="E814" s="2" t="n">
        <v>45748</v>
      </c>
      <c r="F814" s="2" t="n">
        <v>46843</v>
      </c>
      <c r="G814" s="3" t="n">
        <v>2850</v>
      </c>
      <c r="H814">
        <f>VLOOKUP(B814,Units!$A$2:$G$1646,2,FALSE)</f>
        <v/>
      </c>
      <c r="I814">
        <f>VLOOKUP(B814,Units!$A$2:$G$1646,5,FALSE)</f>
        <v/>
      </c>
      <c r="J814" s="3">
        <f>G814/I814</f>
        <v/>
      </c>
      <c r="K814" s="3">
        <f>G814*12</f>
        <v/>
      </c>
      <c r="L814" s="3" t="n">
        <v>8550</v>
      </c>
    </row>
    <row r="815">
      <c r="A815" t="inlineStr">
        <is>
          <t>TA-2025-00220</t>
        </is>
      </c>
      <c r="B815" t="inlineStr">
        <is>
          <t>U-KR369-01-04</t>
        </is>
      </c>
      <c r="C815" t="inlineStr">
        <is>
          <t>Sin Hock Fruits</t>
        </is>
      </c>
      <c r="D815" t="inlineStr">
        <is>
          <t>Fruit Shop</t>
        </is>
      </c>
      <c r="E815" s="2" t="n">
        <v>45748</v>
      </c>
      <c r="F815" s="2" t="n">
        <v>46843</v>
      </c>
      <c r="G815" s="3" t="n">
        <v>1650</v>
      </c>
      <c r="H815">
        <f>VLOOKUP(B815,Units!$A$2:$G$1646,2,FALSE)</f>
        <v/>
      </c>
      <c r="I815">
        <f>VLOOKUP(B815,Units!$A$2:$G$1646,5,FALSE)</f>
        <v/>
      </c>
      <c r="J815" s="3">
        <f>G815/I815</f>
        <v/>
      </c>
      <c r="K815" s="3">
        <f>G815*12</f>
        <v/>
      </c>
      <c r="L815" s="3" t="n">
        <v>4950</v>
      </c>
    </row>
    <row r="816">
      <c r="A816" t="inlineStr">
        <is>
          <t>TA-2025-00222</t>
        </is>
      </c>
      <c r="B816" t="inlineStr">
        <is>
          <t>U-KR369-01-05</t>
        </is>
      </c>
      <c r="C816" t="inlineStr">
        <is>
          <t>Tan Brothers Trading Pte Ltd</t>
        </is>
      </c>
      <c r="D816" t="inlineStr">
        <is>
          <t>Provision Shop</t>
        </is>
      </c>
      <c r="E816" s="2" t="n">
        <v>45748</v>
      </c>
      <c r="F816" s="2" t="n">
        <v>46843</v>
      </c>
      <c r="G816" s="3" t="n">
        <v>4730</v>
      </c>
      <c r="H816">
        <f>VLOOKUP(B816,Units!$A$2:$G$1646,2,FALSE)</f>
        <v/>
      </c>
      <c r="I816">
        <f>VLOOKUP(B816,Units!$A$2:$G$1646,5,FALSE)</f>
        <v/>
      </c>
      <c r="J816" s="3">
        <f>G816/I816</f>
        <v/>
      </c>
      <c r="K816" s="3">
        <f>G816*12</f>
        <v/>
      </c>
      <c r="L816" s="3" t="n">
        <v>14190</v>
      </c>
    </row>
    <row r="817">
      <c r="A817" t="inlineStr">
        <is>
          <t>TA-2025-00224</t>
        </is>
      </c>
      <c r="B817" t="inlineStr">
        <is>
          <t>U-PI625-01-09</t>
        </is>
      </c>
      <c r="C817" t="inlineStr">
        <is>
          <t>Golden Leaf Dry Cleaners</t>
        </is>
      </c>
      <c r="D817" t="inlineStr">
        <is>
          <t>Laundry</t>
        </is>
      </c>
      <c r="E817" s="2" t="n">
        <v>45748</v>
      </c>
      <c r="F817" s="2" t="n">
        <v>46843</v>
      </c>
      <c r="G817" s="3" t="n">
        <v>4730</v>
      </c>
      <c r="H817">
        <f>VLOOKUP(B817,Units!$A$2:$G$1646,2,FALSE)</f>
        <v/>
      </c>
      <c r="I817">
        <f>VLOOKUP(B817,Units!$A$2:$G$1646,5,FALSE)</f>
        <v/>
      </c>
      <c r="J817" s="3">
        <f>G817/I817</f>
        <v/>
      </c>
      <c r="K817" s="3">
        <f>G817*12</f>
        <v/>
      </c>
      <c r="L817" s="3" t="n">
        <v>14190</v>
      </c>
    </row>
    <row r="818">
      <c r="A818" t="inlineStr">
        <is>
          <t>TA-2025-00225</t>
        </is>
      </c>
      <c r="B818" t="inlineStr">
        <is>
          <t>U-PI627-01-14</t>
        </is>
      </c>
      <c r="C818" t="inlineStr">
        <is>
          <t>Brilliant Bubble Tea Pte Ltd</t>
        </is>
      </c>
      <c r="D818" t="inlineStr">
        <is>
          <t>Bubble Tea</t>
        </is>
      </c>
      <c r="E818" s="2" t="n">
        <v>45748</v>
      </c>
      <c r="F818" s="2" t="n">
        <v>46843</v>
      </c>
      <c r="G818" s="3" t="n">
        <v>940</v>
      </c>
      <c r="H818">
        <f>VLOOKUP(B818,Units!$A$2:$G$1646,2,FALSE)</f>
        <v/>
      </c>
      <c r="I818">
        <f>VLOOKUP(B818,Units!$A$2:$G$1646,5,FALSE)</f>
        <v/>
      </c>
      <c r="J818" s="3">
        <f>G818/I818</f>
        <v/>
      </c>
      <c r="K818" s="3">
        <f>G818*12</f>
        <v/>
      </c>
      <c r="L818" s="3" t="n">
        <v>2820</v>
      </c>
    </row>
    <row r="819">
      <c r="A819" t="inlineStr">
        <is>
          <t>TA-2025-00226</t>
        </is>
      </c>
      <c r="B819" t="inlineStr">
        <is>
          <t>U-PI627-01-27</t>
        </is>
      </c>
      <c r="C819" t="inlineStr">
        <is>
          <t>Gold Coin Eating Place Pte Ltd</t>
        </is>
      </c>
      <c r="D819" t="inlineStr">
        <is>
          <t>Restaurant</t>
        </is>
      </c>
      <c r="E819" s="2" t="n">
        <v>45748</v>
      </c>
      <c r="F819" s="2" t="n">
        <v>46843</v>
      </c>
      <c r="G819" s="3" t="n">
        <v>5200</v>
      </c>
      <c r="H819">
        <f>VLOOKUP(B819,Units!$A$2:$G$1646,2,FALSE)</f>
        <v/>
      </c>
      <c r="I819">
        <f>VLOOKUP(B819,Units!$A$2:$G$1646,5,FALSE)</f>
        <v/>
      </c>
      <c r="J819" s="3">
        <f>G819/I819</f>
        <v/>
      </c>
      <c r="K819" s="3">
        <f>G819*12</f>
        <v/>
      </c>
      <c r="L819" s="3" t="n">
        <v>15600</v>
      </c>
    </row>
    <row r="820">
      <c r="A820" t="inlineStr">
        <is>
          <t>TA-2025-00228</t>
        </is>
      </c>
      <c r="B820" t="inlineStr">
        <is>
          <t>U-PI646-01-05</t>
        </is>
      </c>
      <c r="C820" t="inlineStr">
        <is>
          <t>Lucky Star Mobile</t>
        </is>
      </c>
      <c r="D820" t="inlineStr">
        <is>
          <t>Mobile Phone &amp; Accessories</t>
        </is>
      </c>
      <c r="E820" s="2" t="n">
        <v>45748</v>
      </c>
      <c r="F820" s="2" t="n">
        <v>46843</v>
      </c>
      <c r="G820" s="3" t="n">
        <v>1010</v>
      </c>
      <c r="H820">
        <f>VLOOKUP(B820,Units!$A$2:$G$1646,2,FALSE)</f>
        <v/>
      </c>
      <c r="I820">
        <f>VLOOKUP(B820,Units!$A$2:$G$1646,5,FALSE)</f>
        <v/>
      </c>
      <c r="J820" s="3">
        <f>G820/I820</f>
        <v/>
      </c>
      <c r="K820" s="3">
        <f>G820*12</f>
        <v/>
      </c>
      <c r="L820" s="3" t="n">
        <v>3030</v>
      </c>
    </row>
    <row r="821">
      <c r="A821" t="inlineStr">
        <is>
          <t>TA-2025-00229</t>
        </is>
      </c>
      <c r="B821" t="inlineStr">
        <is>
          <t>U-PI667-02-07</t>
        </is>
      </c>
      <c r="C821" t="inlineStr">
        <is>
          <t>Tian Fu Medical Clinic Pte Ltd</t>
        </is>
      </c>
      <c r="D821" t="inlineStr">
        <is>
          <t>GP Clinic</t>
        </is>
      </c>
      <c r="E821" s="2" t="n">
        <v>45748</v>
      </c>
      <c r="F821" s="2" t="n">
        <v>46843</v>
      </c>
      <c r="G821" s="3" t="n">
        <v>2290</v>
      </c>
      <c r="H821">
        <f>VLOOKUP(B821,Units!$A$2:$G$1646,2,FALSE)</f>
        <v/>
      </c>
      <c r="I821">
        <f>VLOOKUP(B821,Units!$A$2:$G$1646,5,FALSE)</f>
        <v/>
      </c>
      <c r="J821" s="3">
        <f>G821/I821</f>
        <v/>
      </c>
      <c r="K821" s="3">
        <f>G821*12</f>
        <v/>
      </c>
      <c r="L821" s="3" t="n">
        <v>6870</v>
      </c>
    </row>
    <row r="822">
      <c r="A822" t="inlineStr">
        <is>
          <t>TA-2025-00230</t>
        </is>
      </c>
      <c r="B822" t="inlineStr">
        <is>
          <t>U-PI684-01-02</t>
        </is>
      </c>
      <c r="C822" t="inlineStr">
        <is>
          <t>Rainbow Medical Hall</t>
        </is>
      </c>
      <c r="D822" t="inlineStr">
        <is>
          <t>TCM Clinic</t>
        </is>
      </c>
      <c r="E822" s="2" t="n">
        <v>45748</v>
      </c>
      <c r="F822" s="2" t="n">
        <v>46843</v>
      </c>
      <c r="G822" s="3" t="n">
        <v>3130</v>
      </c>
      <c r="H822">
        <f>VLOOKUP(B822,Units!$A$2:$G$1646,2,FALSE)</f>
        <v/>
      </c>
      <c r="I822">
        <f>VLOOKUP(B822,Units!$A$2:$G$1646,5,FALSE)</f>
        <v/>
      </c>
      <c r="J822" s="3">
        <f>G822/I822</f>
        <v/>
      </c>
      <c r="K822" s="3">
        <f>G822*12</f>
        <v/>
      </c>
      <c r="L822" s="3" t="n">
        <v>9390</v>
      </c>
    </row>
    <row r="823">
      <c r="A823" t="inlineStr">
        <is>
          <t>TA-2025-00231</t>
        </is>
      </c>
      <c r="B823" t="inlineStr">
        <is>
          <t>U-PI684-01-08</t>
        </is>
      </c>
      <c r="C823" t="inlineStr">
        <is>
          <t>Smart Kids Dental Surgery Pte Ltd</t>
        </is>
      </c>
      <c r="D823" t="inlineStr">
        <is>
          <t>Dental Clinic</t>
        </is>
      </c>
      <c r="E823" s="2" t="n">
        <v>45748</v>
      </c>
      <c r="F823" s="2" t="n">
        <v>46843</v>
      </c>
      <c r="G823" s="3" t="n">
        <v>2090</v>
      </c>
      <c r="H823">
        <f>VLOOKUP(B823,Units!$A$2:$G$1646,2,FALSE)</f>
        <v/>
      </c>
      <c r="I823">
        <f>VLOOKUP(B823,Units!$A$2:$G$1646,5,FALSE)</f>
        <v/>
      </c>
      <c r="J823" s="3">
        <f>G823/I823</f>
        <v/>
      </c>
      <c r="K823" s="3">
        <f>G823*12</f>
        <v/>
      </c>
      <c r="L823" s="3" t="n">
        <v>6270</v>
      </c>
    </row>
    <row r="824">
      <c r="A824" t="inlineStr">
        <is>
          <t>TA-2025-00232</t>
        </is>
      </c>
      <c r="B824" t="inlineStr">
        <is>
          <t>U-PI684-01-09</t>
        </is>
      </c>
      <c r="C824" t="inlineStr">
        <is>
          <t>Wong's Mart Pte Ltd</t>
        </is>
      </c>
      <c r="D824" t="inlineStr">
        <is>
          <t>Minimart</t>
        </is>
      </c>
      <c r="E824" s="2" t="n">
        <v>45748</v>
      </c>
      <c r="F824" s="2" t="n">
        <v>46843</v>
      </c>
      <c r="G824" s="3" t="n">
        <v>3300</v>
      </c>
      <c r="H824">
        <f>VLOOKUP(B824,Units!$A$2:$G$1646,2,FALSE)</f>
        <v/>
      </c>
      <c r="I824">
        <f>VLOOKUP(B824,Units!$A$2:$G$1646,5,FALSE)</f>
        <v/>
      </c>
      <c r="J824" s="3">
        <f>G824/I824</f>
        <v/>
      </c>
      <c r="K824" s="3">
        <f>G824*12</f>
        <v/>
      </c>
      <c r="L824" s="3" t="n">
        <v>9900</v>
      </c>
    </row>
    <row r="825">
      <c r="A825" t="inlineStr">
        <is>
          <t>TA-2025-00234</t>
        </is>
      </c>
      <c r="B825" t="inlineStr">
        <is>
          <t>U-RH425-01-04</t>
        </is>
      </c>
      <c r="C825" t="inlineStr">
        <is>
          <t>Prima Bubble Tea</t>
        </is>
      </c>
      <c r="D825" t="inlineStr">
        <is>
          <t>Bubble Tea</t>
        </is>
      </c>
      <c r="E825" s="2" t="n">
        <v>45748</v>
      </c>
      <c r="F825" s="2" t="n">
        <v>46843</v>
      </c>
      <c r="G825" s="3" t="n">
        <v>2800</v>
      </c>
      <c r="H825">
        <f>VLOOKUP(B825,Units!$A$2:$G$1646,2,FALSE)</f>
        <v/>
      </c>
      <c r="I825">
        <f>VLOOKUP(B825,Units!$A$2:$G$1646,5,FALSE)</f>
        <v/>
      </c>
      <c r="J825" s="3">
        <f>G825/I825</f>
        <v/>
      </c>
      <c r="K825" s="3">
        <f>G825*12</f>
        <v/>
      </c>
      <c r="L825" s="3" t="n">
        <v>8400</v>
      </c>
    </row>
    <row r="826">
      <c r="A826" t="inlineStr">
        <is>
          <t>TA-2025-00236</t>
        </is>
      </c>
      <c r="B826" t="inlineStr">
        <is>
          <t>U-RH437-01-02</t>
        </is>
      </c>
      <c r="C826" t="inlineStr">
        <is>
          <t>Al-Ameen Kueh Corner</t>
        </is>
      </c>
      <c r="D826" t="inlineStr">
        <is>
          <t>Snack Kiosk</t>
        </is>
      </c>
      <c r="E826" s="2" t="n">
        <v>45748</v>
      </c>
      <c r="F826" s="2" t="n">
        <v>46843</v>
      </c>
      <c r="G826" s="3" t="n">
        <v>900</v>
      </c>
      <c r="H826">
        <f>VLOOKUP(B826,Units!$A$2:$G$1646,2,FALSE)</f>
        <v/>
      </c>
      <c r="I826">
        <f>VLOOKUP(B826,Units!$A$2:$G$1646,5,FALSE)</f>
        <v/>
      </c>
      <c r="J826" s="3">
        <f>G826/I826</f>
        <v/>
      </c>
      <c r="K826" s="3">
        <f>G826*12</f>
        <v/>
      </c>
      <c r="L826" s="3" t="n">
        <v>2700</v>
      </c>
    </row>
    <row r="827">
      <c r="A827" t="inlineStr">
        <is>
          <t>TA-2025-00238</t>
        </is>
      </c>
      <c r="B827" t="inlineStr">
        <is>
          <t>U-RH438-01-03</t>
        </is>
      </c>
      <c r="C827" t="inlineStr">
        <is>
          <t>Bright Path Store Pte Ltd</t>
        </is>
      </c>
      <c r="D827" t="inlineStr">
        <is>
          <t>Provision Shop</t>
        </is>
      </c>
      <c r="E827" s="2" t="n">
        <v>45748</v>
      </c>
      <c r="F827" s="2" t="n">
        <v>46843</v>
      </c>
      <c r="G827" s="3" t="n">
        <v>3350</v>
      </c>
      <c r="H827">
        <f>VLOOKUP(B827,Units!$A$2:$G$1646,2,FALSE)</f>
        <v/>
      </c>
      <c r="I827">
        <f>VLOOKUP(B827,Units!$A$2:$G$1646,5,FALSE)</f>
        <v/>
      </c>
      <c r="J827" s="3">
        <f>G827/I827</f>
        <v/>
      </c>
      <c r="K827" s="3">
        <f>G827*12</f>
        <v/>
      </c>
      <c r="L827" s="3" t="n">
        <v>10050</v>
      </c>
    </row>
    <row r="828">
      <c r="A828" t="inlineStr">
        <is>
          <t>TA-2025-00239</t>
        </is>
      </c>
      <c r="B828" t="inlineStr">
        <is>
          <t>U-RH466-02-02</t>
        </is>
      </c>
      <c r="C828" t="inlineStr">
        <is>
          <t>Golden Leaf Medical Hall Pte Ltd</t>
        </is>
      </c>
      <c r="D828" t="inlineStr">
        <is>
          <t>TCM Clinic</t>
        </is>
      </c>
      <c r="E828" s="2" t="n">
        <v>45748</v>
      </c>
      <c r="F828" s="2" t="n">
        <v>46843</v>
      </c>
      <c r="G828" s="3" t="n">
        <v>2480</v>
      </c>
      <c r="H828">
        <f>VLOOKUP(B828,Units!$A$2:$G$1646,2,FALSE)</f>
        <v/>
      </c>
      <c r="I828">
        <f>VLOOKUP(B828,Units!$A$2:$G$1646,5,FALSE)</f>
        <v/>
      </c>
      <c r="J828" s="3">
        <f>G828/I828</f>
        <v/>
      </c>
      <c r="K828" s="3">
        <f>G828*12</f>
        <v/>
      </c>
      <c r="L828" s="3" t="n">
        <v>7440</v>
      </c>
    </row>
    <row r="829">
      <c r="A829" t="inlineStr">
        <is>
          <t>TA-2025-00241</t>
        </is>
      </c>
      <c r="B829" t="inlineStr">
        <is>
          <t>U-RH473-01-03</t>
        </is>
      </c>
      <c r="C829" t="inlineStr">
        <is>
          <t>Evergreen Provision Shop</t>
        </is>
      </c>
      <c r="D829" t="inlineStr">
        <is>
          <t>Provision Shop</t>
        </is>
      </c>
      <c r="E829" s="2" t="n">
        <v>45748</v>
      </c>
      <c r="F829" s="2" t="n">
        <v>46843</v>
      </c>
      <c r="G829" s="3" t="n">
        <v>3340</v>
      </c>
      <c r="H829">
        <f>VLOOKUP(B829,Units!$A$2:$G$1646,2,FALSE)</f>
        <v/>
      </c>
      <c r="I829">
        <f>VLOOKUP(B829,Units!$A$2:$G$1646,5,FALSE)</f>
        <v/>
      </c>
      <c r="J829" s="3">
        <f>G829/I829</f>
        <v/>
      </c>
      <c r="K829" s="3">
        <f>G829*12</f>
        <v/>
      </c>
      <c r="L829" s="3" t="n">
        <v>10020</v>
      </c>
    </row>
    <row r="830">
      <c r="A830" t="inlineStr">
        <is>
          <t>TA-2025-00242</t>
        </is>
      </c>
      <c r="B830" t="inlineStr">
        <is>
          <t>U-RH485-02-06</t>
        </is>
      </c>
      <c r="C830" t="inlineStr">
        <is>
          <t>Green Leaf Childcare Pte Ltd</t>
        </is>
      </c>
      <c r="D830" t="inlineStr">
        <is>
          <t>Childcare Centre</t>
        </is>
      </c>
      <c r="E830" s="2" t="n">
        <v>45748</v>
      </c>
      <c r="F830" s="2" t="n">
        <v>46843</v>
      </c>
      <c r="G830" s="3" t="n">
        <v>1340</v>
      </c>
      <c r="H830">
        <f>VLOOKUP(B830,Units!$A$2:$G$1646,2,FALSE)</f>
        <v/>
      </c>
      <c r="I830">
        <f>VLOOKUP(B830,Units!$A$2:$G$1646,5,FALSE)</f>
        <v/>
      </c>
      <c r="J830" s="3">
        <f>G830/I830</f>
        <v/>
      </c>
      <c r="K830" s="3">
        <f>G830*12</f>
        <v/>
      </c>
      <c r="L830" s="3" t="n">
        <v>4020</v>
      </c>
    </row>
    <row r="831">
      <c r="A831" t="inlineStr">
        <is>
          <t>TA-2025-00243</t>
        </is>
      </c>
      <c r="B831" t="inlineStr">
        <is>
          <t>U-ST501-01-10</t>
        </is>
      </c>
      <c r="C831" t="inlineStr">
        <is>
          <t>Silver Moon Hair Salon</t>
        </is>
      </c>
      <c r="D831" t="inlineStr">
        <is>
          <t>Hair Salon</t>
        </is>
      </c>
      <c r="E831" s="2" t="n">
        <v>45748</v>
      </c>
      <c r="F831" s="2" t="n">
        <v>46843</v>
      </c>
      <c r="G831" s="3" t="n">
        <v>2890</v>
      </c>
      <c r="H831">
        <f>VLOOKUP(B831,Units!$A$2:$G$1646,2,FALSE)</f>
        <v/>
      </c>
      <c r="I831">
        <f>VLOOKUP(B831,Units!$A$2:$G$1646,5,FALSE)</f>
        <v/>
      </c>
      <c r="J831" s="3">
        <f>G831/I831</f>
        <v/>
      </c>
      <c r="K831" s="3">
        <f>G831*12</f>
        <v/>
      </c>
      <c r="L831" s="3" t="n">
        <v>8670</v>
      </c>
    </row>
    <row r="832">
      <c r="A832" t="inlineStr">
        <is>
          <t>TA-2025-00245</t>
        </is>
      </c>
      <c r="B832" t="inlineStr">
        <is>
          <t>U-ST512-01-06</t>
        </is>
      </c>
      <c r="C832" t="inlineStr">
        <is>
          <t>Hup Seng Cake House Pte Ltd</t>
        </is>
      </c>
      <c r="D832" t="inlineStr">
        <is>
          <t>Bakery &amp; Confectionery</t>
        </is>
      </c>
      <c r="E832" s="2" t="n">
        <v>45748</v>
      </c>
      <c r="F832" s="2" t="n">
        <v>46843</v>
      </c>
      <c r="G832" s="3" t="n">
        <v>2540</v>
      </c>
      <c r="H832">
        <f>VLOOKUP(B832,Units!$A$2:$G$1646,2,FALSE)</f>
        <v/>
      </c>
      <c r="I832">
        <f>VLOOKUP(B832,Units!$A$2:$G$1646,5,FALSE)</f>
        <v/>
      </c>
      <c r="J832" s="3">
        <f>G832/I832</f>
        <v/>
      </c>
      <c r="K832" s="3">
        <f>G832*12</f>
        <v/>
      </c>
      <c r="L832" s="3" t="n">
        <v>7620</v>
      </c>
    </row>
    <row r="833">
      <c r="A833" t="inlineStr">
        <is>
          <t>TA-2025-00246</t>
        </is>
      </c>
      <c r="B833" t="inlineStr">
        <is>
          <t>U-ST528-01-05</t>
        </is>
      </c>
      <c r="C833" t="inlineStr">
        <is>
          <t>Kopi Corner Supermarket</t>
        </is>
      </c>
      <c r="D833" t="inlineStr">
        <is>
          <t>Minimart</t>
        </is>
      </c>
      <c r="E833" s="2" t="n">
        <v>45748</v>
      </c>
      <c r="F833" s="2" t="n">
        <v>46843</v>
      </c>
      <c r="G833" s="3" t="n">
        <v>3720</v>
      </c>
      <c r="H833">
        <f>VLOOKUP(B833,Units!$A$2:$G$1646,2,FALSE)</f>
        <v/>
      </c>
      <c r="I833">
        <f>VLOOKUP(B833,Units!$A$2:$G$1646,5,FALSE)</f>
        <v/>
      </c>
      <c r="J833" s="3">
        <f>G833/I833</f>
        <v/>
      </c>
      <c r="K833" s="3">
        <f>G833*12</f>
        <v/>
      </c>
      <c r="L833" s="3" t="n">
        <v>11160</v>
      </c>
    </row>
    <row r="834">
      <c r="A834" t="inlineStr">
        <is>
          <t>TA-2025-00247</t>
        </is>
      </c>
      <c r="B834" t="inlineStr">
        <is>
          <t>U-ST556-01-05</t>
        </is>
      </c>
      <c r="C834" t="inlineStr">
        <is>
          <t>Evergreen Medical Clinic Pte Ltd</t>
        </is>
      </c>
      <c r="D834" t="inlineStr">
        <is>
          <t>GP Clinic</t>
        </is>
      </c>
      <c r="E834" s="2" t="n">
        <v>45748</v>
      </c>
      <c r="F834" s="2" t="n">
        <v>46843</v>
      </c>
      <c r="G834" s="3" t="n">
        <v>2140</v>
      </c>
      <c r="H834">
        <f>VLOOKUP(B834,Units!$A$2:$G$1646,2,FALSE)</f>
        <v/>
      </c>
      <c r="I834">
        <f>VLOOKUP(B834,Units!$A$2:$G$1646,5,FALSE)</f>
        <v/>
      </c>
      <c r="J834" s="3">
        <f>G834/I834</f>
        <v/>
      </c>
      <c r="K834" s="3">
        <f>G834*12</f>
        <v/>
      </c>
      <c r="L834" s="3" t="n">
        <v>6420</v>
      </c>
    </row>
    <row r="835">
      <c r="A835" t="inlineStr">
        <is>
          <t>TA-2025-00249</t>
        </is>
      </c>
      <c r="B835" t="inlineStr">
        <is>
          <t>U-ST579-01-05</t>
        </is>
      </c>
      <c r="C835" t="inlineStr">
        <is>
          <t>Cosy Trading Pte Ltd</t>
        </is>
      </c>
      <c r="D835" t="inlineStr">
        <is>
          <t>Provision Shop</t>
        </is>
      </c>
      <c r="E835" s="2" t="n">
        <v>45748</v>
      </c>
      <c r="F835" s="2" t="n">
        <v>46843</v>
      </c>
      <c r="G835" s="3" t="n">
        <v>1780</v>
      </c>
      <c r="H835">
        <f>VLOOKUP(B835,Units!$A$2:$G$1646,2,FALSE)</f>
        <v/>
      </c>
      <c r="I835">
        <f>VLOOKUP(B835,Units!$A$2:$G$1646,5,FALSE)</f>
        <v/>
      </c>
      <c r="J835" s="3">
        <f>G835/I835</f>
        <v/>
      </c>
      <c r="K835" s="3">
        <f>G835*12</f>
        <v/>
      </c>
      <c r="L835" s="3" t="n">
        <v>5340</v>
      </c>
    </row>
    <row r="836">
      <c r="A836" t="inlineStr">
        <is>
          <t>TA-2025-00251</t>
        </is>
      </c>
      <c r="B836" t="inlineStr">
        <is>
          <t>U-ST589-01-03</t>
        </is>
      </c>
      <c r="C836" t="inlineStr">
        <is>
          <t>Rainbow Mart</t>
        </is>
      </c>
      <c r="D836" t="inlineStr">
        <is>
          <t>Minimart</t>
        </is>
      </c>
      <c r="E836" s="2" t="n">
        <v>45748</v>
      </c>
      <c r="F836" s="2" t="n">
        <v>46843</v>
      </c>
      <c r="G836" s="3" t="n">
        <v>3390</v>
      </c>
      <c r="H836">
        <f>VLOOKUP(B836,Units!$A$2:$G$1646,2,FALSE)</f>
        <v/>
      </c>
      <c r="I836">
        <f>VLOOKUP(B836,Units!$A$2:$G$1646,5,FALSE)</f>
        <v/>
      </c>
      <c r="J836" s="3">
        <f>G836/I836</f>
        <v/>
      </c>
      <c r="K836" s="3">
        <f>G836*12</f>
        <v/>
      </c>
      <c r="L836" s="3" t="n">
        <v>10170</v>
      </c>
    </row>
    <row r="837">
      <c r="A837" t="inlineStr">
        <is>
          <t>TA-2025-00252</t>
        </is>
      </c>
      <c r="B837" t="inlineStr">
        <is>
          <t>U-ST593-01-04</t>
        </is>
      </c>
      <c r="C837" t="inlineStr">
        <is>
          <t>New Life Supermarket Pte Ltd</t>
        </is>
      </c>
      <c r="D837" t="inlineStr">
        <is>
          <t>Minimart</t>
        </is>
      </c>
      <c r="E837" s="2" t="n">
        <v>45748</v>
      </c>
      <c r="F837" s="2" t="n">
        <v>46843</v>
      </c>
      <c r="G837" s="3" t="n">
        <v>2240</v>
      </c>
      <c r="H837">
        <f>VLOOKUP(B837,Units!$A$2:$G$1646,2,FALSE)</f>
        <v/>
      </c>
      <c r="I837">
        <f>VLOOKUP(B837,Units!$A$2:$G$1646,5,FALSE)</f>
        <v/>
      </c>
      <c r="J837" s="3">
        <f>G837/I837</f>
        <v/>
      </c>
      <c r="K837" s="3">
        <f>G837*12</f>
        <v/>
      </c>
      <c r="L837" s="3" t="n">
        <v>6720</v>
      </c>
    </row>
    <row r="838">
      <c r="A838" t="inlineStr">
        <is>
          <t>TA-2025-00253</t>
        </is>
      </c>
      <c r="B838" t="inlineStr">
        <is>
          <t>U-ST593-01-05</t>
        </is>
      </c>
      <c r="C838" t="inlineStr">
        <is>
          <t>Hassan Tea House Pte Ltd</t>
        </is>
      </c>
      <c r="D838" t="inlineStr">
        <is>
          <t>Bubble Tea</t>
        </is>
      </c>
      <c r="E838" s="2" t="n">
        <v>45748</v>
      </c>
      <c r="F838" s="2" t="n">
        <v>46843</v>
      </c>
      <c r="G838" s="3" t="n">
        <v>1020</v>
      </c>
      <c r="H838">
        <f>VLOOKUP(B838,Units!$A$2:$G$1646,2,FALSE)</f>
        <v/>
      </c>
      <c r="I838">
        <f>VLOOKUP(B838,Units!$A$2:$G$1646,5,FALSE)</f>
        <v/>
      </c>
      <c r="J838" s="3">
        <f>G838/I838</f>
        <v/>
      </c>
      <c r="K838" s="3">
        <f>G838*12</f>
        <v/>
      </c>
      <c r="L838" s="3" t="n">
        <v>3060</v>
      </c>
    </row>
    <row r="839">
      <c r="A839" t="inlineStr">
        <is>
          <t>TA-2025-00254</t>
        </is>
      </c>
      <c r="B839" t="inlineStr">
        <is>
          <t>U-BV212-01-03</t>
        </is>
      </c>
      <c r="C839" t="inlineStr">
        <is>
          <t>Hometown Tea House</t>
        </is>
      </c>
      <c r="D839" t="inlineStr">
        <is>
          <t>Bubble Tea</t>
        </is>
      </c>
      <c r="E839" s="2" t="n">
        <v>45778</v>
      </c>
      <c r="F839" s="2" t="n">
        <v>46873</v>
      </c>
      <c r="G839" s="3" t="n">
        <v>1760</v>
      </c>
      <c r="H839">
        <f>VLOOKUP(B839,Units!$A$2:$G$1646,2,FALSE)</f>
        <v/>
      </c>
      <c r="I839">
        <f>VLOOKUP(B839,Units!$A$2:$G$1646,5,FALSE)</f>
        <v/>
      </c>
      <c r="J839" s="3">
        <f>G839/I839</f>
        <v/>
      </c>
      <c r="K839" s="3">
        <f>G839*12</f>
        <v/>
      </c>
      <c r="L839" s="3" t="n">
        <v>5280</v>
      </c>
    </row>
    <row r="840">
      <c r="A840" t="inlineStr">
        <is>
          <t>TA-2025-00255</t>
        </is>
      </c>
      <c r="B840" t="inlineStr">
        <is>
          <t>U-BV212-01-10</t>
        </is>
      </c>
      <c r="C840" t="inlineStr">
        <is>
          <t>Hup Seng Learning Centre</t>
        </is>
      </c>
      <c r="D840" t="inlineStr">
        <is>
          <t>Tuition Centre</t>
        </is>
      </c>
      <c r="E840" s="2" t="n">
        <v>45778</v>
      </c>
      <c r="F840" s="2" t="n">
        <v>46873</v>
      </c>
      <c r="G840" s="3" t="n">
        <v>4280</v>
      </c>
      <c r="H840">
        <f>VLOOKUP(B840,Units!$A$2:$G$1646,2,FALSE)</f>
        <v/>
      </c>
      <c r="I840">
        <f>VLOOKUP(B840,Units!$A$2:$G$1646,5,FALSE)</f>
        <v/>
      </c>
      <c r="J840" s="3">
        <f>G840/I840</f>
        <v/>
      </c>
      <c r="K840" s="3">
        <f>G840*12</f>
        <v/>
      </c>
      <c r="L840" s="3" t="n">
        <v>12840</v>
      </c>
    </row>
    <row r="841">
      <c r="A841" t="inlineStr">
        <is>
          <t>TA-2025-00257</t>
        </is>
      </c>
      <c r="B841" t="inlineStr">
        <is>
          <t>U-BV214-01-25</t>
        </is>
      </c>
      <c r="C841" t="inlineStr">
        <is>
          <t>Thye Hin Florist Pte Ltd</t>
        </is>
      </c>
      <c r="D841" t="inlineStr">
        <is>
          <t>Florist</t>
        </is>
      </c>
      <c r="E841" s="2" t="n">
        <v>45778</v>
      </c>
      <c r="F841" s="2" t="n">
        <v>46873</v>
      </c>
      <c r="G841" s="3" t="n">
        <v>2690</v>
      </c>
      <c r="H841">
        <f>VLOOKUP(B841,Units!$A$2:$G$1646,2,FALSE)</f>
        <v/>
      </c>
      <c r="I841">
        <f>VLOOKUP(B841,Units!$A$2:$G$1646,5,FALSE)</f>
        <v/>
      </c>
      <c r="J841" s="3">
        <f>G841/I841</f>
        <v/>
      </c>
      <c r="K841" s="3">
        <f>G841*12</f>
        <v/>
      </c>
      <c r="L841" s="3" t="n">
        <v>8070</v>
      </c>
    </row>
    <row r="842">
      <c r="A842" t="inlineStr">
        <is>
          <t>TA-2025-00259</t>
        </is>
      </c>
      <c r="B842" t="inlineStr">
        <is>
          <t>U-BV214-01-28</t>
        </is>
      </c>
      <c r="C842" t="inlineStr">
        <is>
          <t>Nur Florist</t>
        </is>
      </c>
      <c r="D842" t="inlineStr">
        <is>
          <t>Florist</t>
        </is>
      </c>
      <c r="E842" s="2" t="n">
        <v>45778</v>
      </c>
      <c r="F842" s="2" t="n">
        <v>46873</v>
      </c>
      <c r="G842" s="3" t="n">
        <v>4120</v>
      </c>
      <c r="H842">
        <f>VLOOKUP(B842,Units!$A$2:$G$1646,2,FALSE)</f>
        <v/>
      </c>
      <c r="I842">
        <f>VLOOKUP(B842,Units!$A$2:$G$1646,5,FALSE)</f>
        <v/>
      </c>
      <c r="J842" s="3">
        <f>G842/I842</f>
        <v/>
      </c>
      <c r="K842" s="3">
        <f>G842*12</f>
        <v/>
      </c>
      <c r="L842" s="3" t="n">
        <v>12360</v>
      </c>
    </row>
    <row r="843">
      <c r="A843" t="inlineStr">
        <is>
          <t>TA-2025-00261</t>
        </is>
      </c>
      <c r="B843" t="inlineStr">
        <is>
          <t>U-BV214-01-30</t>
        </is>
      </c>
      <c r="C843" t="inlineStr">
        <is>
          <t>Soon Hin Fruit Trading</t>
        </is>
      </c>
      <c r="D843" t="inlineStr">
        <is>
          <t>Fruit Shop</t>
        </is>
      </c>
      <c r="E843" s="2" t="n">
        <v>45778</v>
      </c>
      <c r="F843" s="2" t="n">
        <v>46873</v>
      </c>
      <c r="G843" s="3" t="n">
        <v>6640</v>
      </c>
      <c r="H843">
        <f>VLOOKUP(B843,Units!$A$2:$G$1646,2,FALSE)</f>
        <v/>
      </c>
      <c r="I843">
        <f>VLOOKUP(B843,Units!$A$2:$G$1646,5,FALSE)</f>
        <v/>
      </c>
      <c r="J843" s="3">
        <f>G843/I843</f>
        <v/>
      </c>
      <c r="K843" s="3">
        <f>G843*12</f>
        <v/>
      </c>
      <c r="L843" s="3" t="n">
        <v>19920</v>
      </c>
    </row>
    <row r="844">
      <c r="A844" t="inlineStr">
        <is>
          <t>TA-2025-00263</t>
        </is>
      </c>
      <c r="B844" t="inlineStr">
        <is>
          <t>U-BV229-01-10</t>
        </is>
      </c>
      <c r="C844" t="inlineStr">
        <is>
          <t>Barakah Trading</t>
        </is>
      </c>
      <c r="D844" t="inlineStr">
        <is>
          <t>Provision Shop</t>
        </is>
      </c>
      <c r="E844" s="2" t="n">
        <v>45778</v>
      </c>
      <c r="F844" s="2" t="n">
        <v>46873</v>
      </c>
      <c r="G844" s="3" t="n">
        <v>3230</v>
      </c>
      <c r="H844">
        <f>VLOOKUP(B844,Units!$A$2:$G$1646,2,FALSE)</f>
        <v/>
      </c>
      <c r="I844">
        <f>VLOOKUP(B844,Units!$A$2:$G$1646,5,FALSE)</f>
        <v/>
      </c>
      <c r="J844" s="3">
        <f>G844/I844</f>
        <v/>
      </c>
      <c r="K844" s="3">
        <f>G844*12</f>
        <v/>
      </c>
      <c r="L844" s="3" t="n">
        <v>9690</v>
      </c>
    </row>
    <row r="845">
      <c r="A845" t="inlineStr">
        <is>
          <t>TA-2025-00265</t>
        </is>
      </c>
      <c r="B845" t="inlineStr">
        <is>
          <t>U-BV231-01-04</t>
        </is>
      </c>
      <c r="C845" t="inlineStr">
        <is>
          <t>Teck Guan Eye Centre</t>
        </is>
      </c>
      <c r="D845" t="inlineStr">
        <is>
          <t>Optical</t>
        </is>
      </c>
      <c r="E845" s="2" t="n">
        <v>45778</v>
      </c>
      <c r="F845" s="2" t="n">
        <v>46873</v>
      </c>
      <c r="G845" s="3" t="n">
        <v>2450</v>
      </c>
      <c r="H845">
        <f>VLOOKUP(B845,Units!$A$2:$G$1646,2,FALSE)</f>
        <v/>
      </c>
      <c r="I845">
        <f>VLOOKUP(B845,Units!$A$2:$G$1646,5,FALSE)</f>
        <v/>
      </c>
      <c r="J845" s="3">
        <f>G845/I845</f>
        <v/>
      </c>
      <c r="K845" s="3">
        <f>G845*12</f>
        <v/>
      </c>
      <c r="L845" s="3" t="n">
        <v>7350</v>
      </c>
    </row>
    <row r="846">
      <c r="A846" t="inlineStr">
        <is>
          <t>TA-2025-00266</t>
        </is>
      </c>
      <c r="B846" t="inlineStr">
        <is>
          <t>U-BV279-01-01</t>
        </is>
      </c>
      <c r="C846" t="inlineStr">
        <is>
          <t>Suria Mart</t>
        </is>
      </c>
      <c r="D846" t="inlineStr">
        <is>
          <t>Minimart</t>
        </is>
      </c>
      <c r="E846" s="2" t="n">
        <v>45778</v>
      </c>
      <c r="F846" s="2" t="n">
        <v>46873</v>
      </c>
      <c r="G846" s="3" t="n">
        <v>5680</v>
      </c>
      <c r="H846">
        <f>VLOOKUP(B846,Units!$A$2:$G$1646,2,FALSE)</f>
        <v/>
      </c>
      <c r="I846">
        <f>VLOOKUP(B846,Units!$A$2:$G$1646,5,FALSE)</f>
        <v/>
      </c>
      <c r="J846" s="3">
        <f>G846/I846</f>
        <v/>
      </c>
      <c r="K846" s="3">
        <f>G846*12</f>
        <v/>
      </c>
      <c r="L846" s="3" t="n">
        <v>17040</v>
      </c>
    </row>
    <row r="847">
      <c r="A847" t="inlineStr">
        <is>
          <t>TA-2025-00268</t>
        </is>
      </c>
      <c r="B847" t="inlineStr">
        <is>
          <t>U-BV284-01-02</t>
        </is>
      </c>
      <c r="C847" t="inlineStr">
        <is>
          <t>Value Hardware &amp; Electrical Pte Ltd</t>
        </is>
      </c>
      <c r="D847" t="inlineStr">
        <is>
          <t>Hardware</t>
        </is>
      </c>
      <c r="E847" s="2" t="n">
        <v>45778</v>
      </c>
      <c r="F847" s="2" t="n">
        <v>46873</v>
      </c>
      <c r="G847" s="3" t="n">
        <v>5070</v>
      </c>
      <c r="H847">
        <f>VLOOKUP(B847,Units!$A$2:$G$1646,2,FALSE)</f>
        <v/>
      </c>
      <c r="I847">
        <f>VLOOKUP(B847,Units!$A$2:$G$1646,5,FALSE)</f>
        <v/>
      </c>
      <c r="J847" s="3">
        <f>G847/I847</f>
        <v/>
      </c>
      <c r="K847" s="3">
        <f>G847*12</f>
        <v/>
      </c>
      <c r="L847" s="3" t="n">
        <v>15210</v>
      </c>
    </row>
    <row r="848">
      <c r="A848" t="inlineStr">
        <is>
          <t>TA-2025-00269</t>
        </is>
      </c>
      <c r="B848" t="inlineStr">
        <is>
          <t>U-CD109-01-05</t>
        </is>
      </c>
      <c r="C848" t="inlineStr">
        <is>
          <t>Cosy Education Hub</t>
        </is>
      </c>
      <c r="D848" t="inlineStr">
        <is>
          <t>Tuition Centre</t>
        </is>
      </c>
      <c r="E848" s="2" t="n">
        <v>45778</v>
      </c>
      <c r="F848" s="2" t="n">
        <v>46873</v>
      </c>
      <c r="G848" s="3" t="n">
        <v>4890</v>
      </c>
      <c r="H848">
        <f>VLOOKUP(B848,Units!$A$2:$G$1646,2,FALSE)</f>
        <v/>
      </c>
      <c r="I848">
        <f>VLOOKUP(B848,Units!$A$2:$G$1646,5,FALSE)</f>
        <v/>
      </c>
      <c r="J848" s="3">
        <f>G848/I848</f>
        <v/>
      </c>
      <c r="K848" s="3">
        <f>G848*12</f>
        <v/>
      </c>
      <c r="L848" s="3" t="n">
        <v>14670</v>
      </c>
    </row>
    <row r="849">
      <c r="A849" t="inlineStr">
        <is>
          <t>TA-2025-00270</t>
        </is>
      </c>
      <c r="B849" t="inlineStr">
        <is>
          <t>U-CD118-01-34</t>
        </is>
      </c>
      <c r="C849" t="inlineStr">
        <is>
          <t>Unity Mart Pte Ltd</t>
        </is>
      </c>
      <c r="D849" t="inlineStr">
        <is>
          <t>Minimart</t>
        </is>
      </c>
      <c r="E849" s="2" t="n">
        <v>45778</v>
      </c>
      <c r="F849" s="2" t="n">
        <v>46873</v>
      </c>
      <c r="G849" s="3" t="n">
        <v>2590</v>
      </c>
      <c r="H849">
        <f>VLOOKUP(B849,Units!$A$2:$G$1646,2,FALSE)</f>
        <v/>
      </c>
      <c r="I849">
        <f>VLOOKUP(B849,Units!$A$2:$G$1646,5,FALSE)</f>
        <v/>
      </c>
      <c r="J849" s="3">
        <f>G849/I849</f>
        <v/>
      </c>
      <c r="K849" s="3">
        <f>G849*12</f>
        <v/>
      </c>
      <c r="L849" s="3" t="n">
        <v>7770</v>
      </c>
    </row>
    <row r="850">
      <c r="A850" t="inlineStr">
        <is>
          <t>TA-2025-00272</t>
        </is>
      </c>
      <c r="B850" t="inlineStr">
        <is>
          <t>U-CD120-01-10</t>
        </is>
      </c>
      <c r="C850" t="inlineStr">
        <is>
          <t>Nanyang Dental Surgery Pte Ltd</t>
        </is>
      </c>
      <c r="D850" t="inlineStr">
        <is>
          <t>Dental Clinic</t>
        </is>
      </c>
      <c r="E850" s="2" t="n">
        <v>45778</v>
      </c>
      <c r="F850" s="2" t="n">
        <v>46873</v>
      </c>
      <c r="G850" s="3" t="n">
        <v>6710</v>
      </c>
      <c r="H850">
        <f>VLOOKUP(B850,Units!$A$2:$G$1646,2,FALSE)</f>
        <v/>
      </c>
      <c r="I850">
        <f>VLOOKUP(B850,Units!$A$2:$G$1646,5,FALSE)</f>
        <v/>
      </c>
      <c r="J850" s="3">
        <f>G850/I850</f>
        <v/>
      </c>
      <c r="K850" s="3">
        <f>G850*12</f>
        <v/>
      </c>
      <c r="L850" s="3" t="n">
        <v>20130</v>
      </c>
    </row>
    <row r="851">
      <c r="A851" t="inlineStr">
        <is>
          <t>TA-2025-00274</t>
        </is>
      </c>
      <c r="B851" t="inlineStr">
        <is>
          <t>U-CD131-01-09</t>
        </is>
      </c>
      <c r="C851" t="inlineStr">
        <is>
          <t>Treasure Store Pte Ltd</t>
        </is>
      </c>
      <c r="D851" t="inlineStr">
        <is>
          <t>Provision Shop</t>
        </is>
      </c>
      <c r="E851" s="2" t="n">
        <v>45778</v>
      </c>
      <c r="F851" s="2" t="n">
        <v>46873</v>
      </c>
      <c r="G851" s="3" t="n">
        <v>2400</v>
      </c>
      <c r="H851">
        <f>VLOOKUP(B851,Units!$A$2:$G$1646,2,FALSE)</f>
        <v/>
      </c>
      <c r="I851">
        <f>VLOOKUP(B851,Units!$A$2:$G$1646,5,FALSE)</f>
        <v/>
      </c>
      <c r="J851" s="3">
        <f>G851/I851</f>
        <v/>
      </c>
      <c r="K851" s="3">
        <f>G851*12</f>
        <v/>
      </c>
      <c r="L851" s="3" t="n">
        <v>7200</v>
      </c>
    </row>
    <row r="852">
      <c r="A852" t="inlineStr">
        <is>
          <t>TA-2025-00276</t>
        </is>
      </c>
      <c r="B852" t="inlineStr">
        <is>
          <t>U-CD133-01-09</t>
        </is>
      </c>
      <c r="C852" t="inlineStr">
        <is>
          <t>Kopi Corner Hardware &amp; Electrical</t>
        </is>
      </c>
      <c r="D852" t="inlineStr">
        <is>
          <t>Hardware</t>
        </is>
      </c>
      <c r="E852" s="2" t="n">
        <v>45778</v>
      </c>
      <c r="F852" s="2" t="n">
        <v>46873</v>
      </c>
      <c r="G852" s="3" t="n">
        <v>3070</v>
      </c>
      <c r="H852">
        <f>VLOOKUP(B852,Units!$A$2:$G$1646,2,FALSE)</f>
        <v/>
      </c>
      <c r="I852">
        <f>VLOOKUP(B852,Units!$A$2:$G$1646,5,FALSE)</f>
        <v/>
      </c>
      <c r="J852" s="3">
        <f>G852/I852</f>
        <v/>
      </c>
      <c r="K852" s="3">
        <f>G852*12</f>
        <v/>
      </c>
      <c r="L852" s="3" t="n">
        <v>9210</v>
      </c>
    </row>
    <row r="853">
      <c r="A853" t="inlineStr">
        <is>
          <t>TA-2025-00278</t>
        </is>
      </c>
      <c r="B853" t="inlineStr">
        <is>
          <t>U-CD174-01-04</t>
        </is>
      </c>
      <c r="C853" t="inlineStr">
        <is>
          <t>Kian Huat Dental Surgery Pte Ltd</t>
        </is>
      </c>
      <c r="D853" t="inlineStr">
        <is>
          <t>Dental Clinic</t>
        </is>
      </c>
      <c r="E853" s="2" t="n">
        <v>45778</v>
      </c>
      <c r="F853" s="2" t="n">
        <v>46873</v>
      </c>
      <c r="G853" s="3" t="n">
        <v>2880</v>
      </c>
      <c r="H853">
        <f>VLOOKUP(B853,Units!$A$2:$G$1646,2,FALSE)</f>
        <v/>
      </c>
      <c r="I853">
        <f>VLOOKUP(B853,Units!$A$2:$G$1646,5,FALSE)</f>
        <v/>
      </c>
      <c r="J853" s="3">
        <f>G853/I853</f>
        <v/>
      </c>
      <c r="K853" s="3">
        <f>G853*12</f>
        <v/>
      </c>
      <c r="L853" s="3" t="n">
        <v>8640</v>
      </c>
    </row>
    <row r="854">
      <c r="A854" t="inlineStr">
        <is>
          <t>TA-2025-00280</t>
        </is>
      </c>
      <c r="B854" t="inlineStr">
        <is>
          <t>U-CD190-01-08</t>
        </is>
      </c>
      <c r="C854" t="inlineStr">
        <is>
          <t>PrimeValue Mart Pte Ltd</t>
        </is>
      </c>
      <c r="D854" t="inlineStr">
        <is>
          <t>Minimart</t>
        </is>
      </c>
      <c r="E854" s="2" t="n">
        <v>45778</v>
      </c>
      <c r="F854" s="2" t="n">
        <v>46873</v>
      </c>
      <c r="G854" s="3" t="n">
        <v>3550</v>
      </c>
      <c r="H854">
        <f>VLOOKUP(B854,Units!$A$2:$G$1646,2,FALSE)</f>
        <v/>
      </c>
      <c r="I854">
        <f>VLOOKUP(B854,Units!$A$2:$G$1646,5,FALSE)</f>
        <v/>
      </c>
      <c r="J854" s="3">
        <f>G854/I854</f>
        <v/>
      </c>
      <c r="K854" s="3">
        <f>G854*12</f>
        <v/>
      </c>
      <c r="L854" s="3" t="n">
        <v>10650</v>
      </c>
    </row>
    <row r="855">
      <c r="A855" t="inlineStr">
        <is>
          <t>TA-2025-00281</t>
        </is>
      </c>
      <c r="B855" t="inlineStr">
        <is>
          <t>U-KR305-01-17</t>
        </is>
      </c>
      <c r="C855" t="inlineStr">
        <is>
          <t>Sunflower Supermarket Pte Ltd</t>
        </is>
      </c>
      <c r="D855" t="inlineStr">
        <is>
          <t>Minimart</t>
        </is>
      </c>
      <c r="E855" s="2" t="n">
        <v>45778</v>
      </c>
      <c r="F855" s="2" t="n">
        <v>46873</v>
      </c>
      <c r="G855" s="3" t="n">
        <v>2300</v>
      </c>
      <c r="H855">
        <f>VLOOKUP(B855,Units!$A$2:$G$1646,2,FALSE)</f>
        <v/>
      </c>
      <c r="I855">
        <f>VLOOKUP(B855,Units!$A$2:$G$1646,5,FALSE)</f>
        <v/>
      </c>
      <c r="J855" s="3">
        <f>G855/I855</f>
        <v/>
      </c>
      <c r="K855" s="3">
        <f>G855*12</f>
        <v/>
      </c>
      <c r="L855" s="3" t="n">
        <v>6900</v>
      </c>
    </row>
    <row r="856">
      <c r="A856" t="inlineStr">
        <is>
          <t>TA-2025-00282</t>
        </is>
      </c>
      <c r="B856" t="inlineStr">
        <is>
          <t>U-KR330-01-08</t>
        </is>
      </c>
      <c r="C856" t="inlineStr">
        <is>
          <t>Cahaya Tuition Centre</t>
        </is>
      </c>
      <c r="D856" t="inlineStr">
        <is>
          <t>Tuition Centre</t>
        </is>
      </c>
      <c r="E856" s="2" t="n">
        <v>45778</v>
      </c>
      <c r="F856" s="2" t="n">
        <v>46873</v>
      </c>
      <c r="G856" s="3" t="n">
        <v>4210</v>
      </c>
      <c r="H856">
        <f>VLOOKUP(B856,Units!$A$2:$G$1646,2,FALSE)</f>
        <v/>
      </c>
      <c r="I856">
        <f>VLOOKUP(B856,Units!$A$2:$G$1646,5,FALSE)</f>
        <v/>
      </c>
      <c r="J856" s="3">
        <f>G856/I856</f>
        <v/>
      </c>
      <c r="K856" s="3">
        <f>G856*12</f>
        <v/>
      </c>
      <c r="L856" s="3" t="n">
        <v>12630</v>
      </c>
    </row>
    <row r="857">
      <c r="A857" t="inlineStr">
        <is>
          <t>TA-2025-00283</t>
        </is>
      </c>
      <c r="B857" t="inlineStr">
        <is>
          <t>U-KR335-01-02</t>
        </is>
      </c>
      <c r="C857" t="inlineStr">
        <is>
          <t>Ananda Education Hub</t>
        </is>
      </c>
      <c r="D857" t="inlineStr">
        <is>
          <t>Tuition Centre</t>
        </is>
      </c>
      <c r="E857" s="2" t="n">
        <v>45778</v>
      </c>
      <c r="F857" s="2" t="n">
        <v>46873</v>
      </c>
      <c r="G857" s="3" t="n">
        <v>4030</v>
      </c>
      <c r="H857">
        <f>VLOOKUP(B857,Units!$A$2:$G$1646,2,FALSE)</f>
        <v/>
      </c>
      <c r="I857">
        <f>VLOOKUP(B857,Units!$A$2:$G$1646,5,FALSE)</f>
        <v/>
      </c>
      <c r="J857" s="3">
        <f>G857/I857</f>
        <v/>
      </c>
      <c r="K857" s="3">
        <f>G857*12</f>
        <v/>
      </c>
      <c r="L857" s="3" t="n">
        <v>12090</v>
      </c>
    </row>
    <row r="858">
      <c r="A858" t="inlineStr">
        <is>
          <t>TA-2025-00284</t>
        </is>
      </c>
      <c r="B858" t="inlineStr">
        <is>
          <t>U-KR335-01-04</t>
        </is>
      </c>
      <c r="C858" t="inlineStr">
        <is>
          <t>Mutiara Dental Surgery Pte Ltd</t>
        </is>
      </c>
      <c r="D858" t="inlineStr">
        <is>
          <t>Dental Clinic</t>
        </is>
      </c>
      <c r="E858" s="2" t="n">
        <v>45778</v>
      </c>
      <c r="F858" s="2" t="n">
        <v>46873</v>
      </c>
      <c r="G858" s="3" t="n">
        <v>4150</v>
      </c>
      <c r="H858">
        <f>VLOOKUP(B858,Units!$A$2:$G$1646,2,FALSE)</f>
        <v/>
      </c>
      <c r="I858">
        <f>VLOOKUP(B858,Units!$A$2:$G$1646,5,FALSE)</f>
        <v/>
      </c>
      <c r="J858" s="3">
        <f>G858/I858</f>
        <v/>
      </c>
      <c r="K858" s="3">
        <f>G858*12</f>
        <v/>
      </c>
      <c r="L858" s="3" t="n">
        <v>12450</v>
      </c>
    </row>
    <row r="859">
      <c r="A859" t="inlineStr">
        <is>
          <t>TA-2025-00286</t>
        </is>
      </c>
      <c r="B859" t="inlineStr">
        <is>
          <t>U-KR349-01-03</t>
        </is>
      </c>
      <c r="C859" t="inlineStr">
        <is>
          <t>Amanah Education Hub Pte Ltd</t>
        </is>
      </c>
      <c r="D859" t="inlineStr">
        <is>
          <t>Tuition Centre</t>
        </is>
      </c>
      <c r="E859" s="2" t="n">
        <v>45778</v>
      </c>
      <c r="F859" s="2" t="n">
        <v>46873</v>
      </c>
      <c r="G859" s="3" t="n">
        <v>3820</v>
      </c>
      <c r="H859">
        <f>VLOOKUP(B859,Units!$A$2:$G$1646,2,FALSE)</f>
        <v/>
      </c>
      <c r="I859">
        <f>VLOOKUP(B859,Units!$A$2:$G$1646,5,FALSE)</f>
        <v/>
      </c>
      <c r="J859" s="3">
        <f>G859/I859</f>
        <v/>
      </c>
      <c r="K859" s="3">
        <f>G859*12</f>
        <v/>
      </c>
      <c r="L859" s="3" t="n">
        <v>11460</v>
      </c>
    </row>
    <row r="860">
      <c r="A860" t="inlineStr">
        <is>
          <t>TA-2025-00288</t>
        </is>
      </c>
      <c r="B860" t="inlineStr">
        <is>
          <t>U-KR353-01-02</t>
        </is>
      </c>
      <c r="C860" t="inlineStr">
        <is>
          <t>Kampung Hardware &amp; Electrical Pte Ltd</t>
        </is>
      </c>
      <c r="D860" t="inlineStr">
        <is>
          <t>Hardware</t>
        </is>
      </c>
      <c r="E860" s="2" t="n">
        <v>45778</v>
      </c>
      <c r="F860" s="2" t="n">
        <v>46873</v>
      </c>
      <c r="G860" s="3" t="n">
        <v>2760</v>
      </c>
      <c r="H860">
        <f>VLOOKUP(B860,Units!$A$2:$G$1646,2,FALSE)</f>
        <v/>
      </c>
      <c r="I860">
        <f>VLOOKUP(B860,Units!$A$2:$G$1646,5,FALSE)</f>
        <v/>
      </c>
      <c r="J860" s="3">
        <f>G860/I860</f>
        <v/>
      </c>
      <c r="K860" s="3">
        <f>G860*12</f>
        <v/>
      </c>
      <c r="L860" s="3" t="n">
        <v>8280</v>
      </c>
    </row>
    <row r="861">
      <c r="A861" t="inlineStr">
        <is>
          <t>TA-2025-00289</t>
        </is>
      </c>
      <c r="B861" t="inlineStr">
        <is>
          <t>U-KR353-01-08</t>
        </is>
      </c>
      <c r="C861" t="inlineStr">
        <is>
          <t>Treasure Laundry</t>
        </is>
      </c>
      <c r="D861" t="inlineStr">
        <is>
          <t>Laundry</t>
        </is>
      </c>
      <c r="E861" s="2" t="n">
        <v>45778</v>
      </c>
      <c r="F861" s="2" t="n">
        <v>46873</v>
      </c>
      <c r="G861" s="3" t="n">
        <v>4660</v>
      </c>
      <c r="H861">
        <f>VLOOKUP(B861,Units!$A$2:$G$1646,2,FALSE)</f>
        <v/>
      </c>
      <c r="I861">
        <f>VLOOKUP(B861,Units!$A$2:$G$1646,5,FALSE)</f>
        <v/>
      </c>
      <c r="J861" s="3">
        <f>G861/I861</f>
        <v/>
      </c>
      <c r="K861" s="3">
        <f>G861*12</f>
        <v/>
      </c>
      <c r="L861" s="3" t="n">
        <v>13980</v>
      </c>
    </row>
    <row r="862">
      <c r="A862" t="inlineStr">
        <is>
          <t>TA-2025-00290</t>
        </is>
      </c>
      <c r="B862" t="inlineStr">
        <is>
          <t>U-PI601-01-04</t>
        </is>
      </c>
      <c r="C862" t="inlineStr">
        <is>
          <t>Jade Garden Hardware &amp; Electrical</t>
        </is>
      </c>
      <c r="D862" t="inlineStr">
        <is>
          <t>Hardware</t>
        </is>
      </c>
      <c r="E862" s="2" t="n">
        <v>45778</v>
      </c>
      <c r="F862" s="2" t="n">
        <v>46873</v>
      </c>
      <c r="G862" s="3" t="n">
        <v>2110</v>
      </c>
      <c r="H862">
        <f>VLOOKUP(B862,Units!$A$2:$G$1646,2,FALSE)</f>
        <v/>
      </c>
      <c r="I862">
        <f>VLOOKUP(B862,Units!$A$2:$G$1646,5,FALSE)</f>
        <v/>
      </c>
      <c r="J862" s="3">
        <f>G862/I862</f>
        <v/>
      </c>
      <c r="K862" s="3">
        <f>G862*12</f>
        <v/>
      </c>
      <c r="L862" s="3" t="n">
        <v>6330</v>
      </c>
    </row>
    <row r="863">
      <c r="A863" t="inlineStr">
        <is>
          <t>TA-2025-00292</t>
        </is>
      </c>
      <c r="B863" t="inlineStr">
        <is>
          <t>U-PI609-01-06</t>
        </is>
      </c>
      <c r="C863" t="inlineStr">
        <is>
          <t>Swee Heng Kueh Corner</t>
        </is>
      </c>
      <c r="D863" t="inlineStr">
        <is>
          <t>Snack Kiosk</t>
        </is>
      </c>
      <c r="E863" s="2" t="n">
        <v>45778</v>
      </c>
      <c r="F863" s="2" t="n">
        <v>46873</v>
      </c>
      <c r="G863" s="3" t="n">
        <v>1460</v>
      </c>
      <c r="H863">
        <f>VLOOKUP(B863,Units!$A$2:$G$1646,2,FALSE)</f>
        <v/>
      </c>
      <c r="I863">
        <f>VLOOKUP(B863,Units!$A$2:$G$1646,5,FALSE)</f>
        <v/>
      </c>
      <c r="J863" s="3">
        <f>G863/I863</f>
        <v/>
      </c>
      <c r="K863" s="3">
        <f>G863*12</f>
        <v/>
      </c>
      <c r="L863" s="3" t="n">
        <v>4380</v>
      </c>
    </row>
    <row r="864">
      <c r="A864" t="inlineStr">
        <is>
          <t>TA-2025-00294</t>
        </is>
      </c>
      <c r="B864" t="inlineStr">
        <is>
          <t>U-PI627-01-02</t>
        </is>
      </c>
      <c r="C864" t="inlineStr">
        <is>
          <t>Prima Mobile Pte Ltd</t>
        </is>
      </c>
      <c r="D864" t="inlineStr">
        <is>
          <t>Mobile Phone &amp; Accessories</t>
        </is>
      </c>
      <c r="E864" s="2" t="n">
        <v>45778</v>
      </c>
      <c r="F864" s="2" t="n">
        <v>46873</v>
      </c>
      <c r="G864" s="3" t="n">
        <v>900</v>
      </c>
      <c r="H864">
        <f>VLOOKUP(B864,Units!$A$2:$G$1646,2,FALSE)</f>
        <v/>
      </c>
      <c r="I864">
        <f>VLOOKUP(B864,Units!$A$2:$G$1646,5,FALSE)</f>
        <v/>
      </c>
      <c r="J864" s="3">
        <f>G864/I864</f>
        <v/>
      </c>
      <c r="K864" s="3">
        <f>G864*12</f>
        <v/>
      </c>
      <c r="L864" s="3" t="n">
        <v>2700</v>
      </c>
    </row>
    <row r="865">
      <c r="A865" t="inlineStr">
        <is>
          <t>TA-2025-00296</t>
        </is>
      </c>
      <c r="B865" t="inlineStr">
        <is>
          <t>U-PI648-01-09</t>
        </is>
      </c>
      <c r="C865" t="inlineStr">
        <is>
          <t>Suria Hair Studio</t>
        </is>
      </c>
      <c r="D865" t="inlineStr">
        <is>
          <t>Hair Salon</t>
        </is>
      </c>
      <c r="E865" s="2" t="n">
        <v>45778</v>
      </c>
      <c r="F865" s="2" t="n">
        <v>46873</v>
      </c>
      <c r="G865" s="3" t="n">
        <v>5000</v>
      </c>
      <c r="H865">
        <f>VLOOKUP(B865,Units!$A$2:$G$1646,2,FALSE)</f>
        <v/>
      </c>
      <c r="I865">
        <f>VLOOKUP(B865,Units!$A$2:$G$1646,5,FALSE)</f>
        <v/>
      </c>
      <c r="J865" s="3">
        <f>G865/I865</f>
        <v/>
      </c>
      <c r="K865" s="3">
        <f>G865*12</f>
        <v/>
      </c>
      <c r="L865" s="3" t="n">
        <v>15000</v>
      </c>
    </row>
    <row r="866">
      <c r="A866" t="inlineStr">
        <is>
          <t>TA-2025-00298</t>
        </is>
      </c>
      <c r="B866" t="inlineStr">
        <is>
          <t>U-PI670-01-01</t>
        </is>
      </c>
      <c r="C866" t="inlineStr">
        <is>
          <t>Joo Chiat Kitchen Pte Ltd</t>
        </is>
      </c>
      <c r="D866" t="inlineStr">
        <is>
          <t>Restaurant</t>
        </is>
      </c>
      <c r="E866" s="2" t="n">
        <v>45778</v>
      </c>
      <c r="F866" s="2" t="n">
        <v>46873</v>
      </c>
      <c r="G866" s="3" t="n">
        <v>3950</v>
      </c>
      <c r="H866">
        <f>VLOOKUP(B866,Units!$A$2:$G$1646,2,FALSE)</f>
        <v/>
      </c>
      <c r="I866">
        <f>VLOOKUP(B866,Units!$A$2:$G$1646,5,FALSE)</f>
        <v/>
      </c>
      <c r="J866" s="3">
        <f>G866/I866</f>
        <v/>
      </c>
      <c r="K866" s="3">
        <f>G866*12</f>
        <v/>
      </c>
      <c r="L866" s="3" t="n">
        <v>11850</v>
      </c>
    </row>
    <row r="867">
      <c r="A867" t="inlineStr">
        <is>
          <t>TA-2025-00300</t>
        </is>
      </c>
      <c r="B867" t="inlineStr">
        <is>
          <t>U-PI675-01-13</t>
        </is>
      </c>
      <c r="C867" t="inlineStr">
        <is>
          <t>Joo Chiat Medical Clinic Pte Ltd</t>
        </is>
      </c>
      <c r="D867" t="inlineStr">
        <is>
          <t>GP Clinic</t>
        </is>
      </c>
      <c r="E867" s="2" t="n">
        <v>45778</v>
      </c>
      <c r="F867" s="2" t="n">
        <v>46873</v>
      </c>
      <c r="G867" s="3" t="n">
        <v>6170</v>
      </c>
      <c r="H867">
        <f>VLOOKUP(B867,Units!$A$2:$G$1646,2,FALSE)</f>
        <v/>
      </c>
      <c r="I867">
        <f>VLOOKUP(B867,Units!$A$2:$G$1646,5,FALSE)</f>
        <v/>
      </c>
      <c r="J867" s="3">
        <f>G867/I867</f>
        <v/>
      </c>
      <c r="K867" s="3">
        <f>G867*12</f>
        <v/>
      </c>
      <c r="L867" s="3" t="n">
        <v>18510</v>
      </c>
    </row>
    <row r="868">
      <c r="A868" t="inlineStr">
        <is>
          <t>TA-2025-00301</t>
        </is>
      </c>
      <c r="B868" t="inlineStr">
        <is>
          <t>U-PI678-01-06</t>
        </is>
      </c>
      <c r="C868" t="inlineStr">
        <is>
          <t>Silver Moon Hardware &amp; Electrical Pte Ltd</t>
        </is>
      </c>
      <c r="D868" t="inlineStr">
        <is>
          <t>Hardware</t>
        </is>
      </c>
      <c r="E868" s="2" t="n">
        <v>45778</v>
      </c>
      <c r="F868" s="2" t="n">
        <v>46873</v>
      </c>
      <c r="G868" s="3" t="n">
        <v>2830</v>
      </c>
      <c r="H868">
        <f>VLOOKUP(B868,Units!$A$2:$G$1646,2,FALSE)</f>
        <v/>
      </c>
      <c r="I868">
        <f>VLOOKUP(B868,Units!$A$2:$G$1646,5,FALSE)</f>
        <v/>
      </c>
      <c r="J868" s="3">
        <f>G868/I868</f>
        <v/>
      </c>
      <c r="K868" s="3">
        <f>G868*12</f>
        <v/>
      </c>
      <c r="L868" s="3" t="n">
        <v>8490</v>
      </c>
    </row>
    <row r="869">
      <c r="A869" t="inlineStr">
        <is>
          <t>TA-2025-00303</t>
        </is>
      </c>
      <c r="B869" t="inlineStr">
        <is>
          <t>U-RH450-01-03</t>
        </is>
      </c>
      <c r="C869" t="inlineStr">
        <is>
          <t>Teck Guan Clinic &amp; Surgery</t>
        </is>
      </c>
      <c r="D869" t="inlineStr">
        <is>
          <t>GP Clinic</t>
        </is>
      </c>
      <c r="E869" s="2" t="n">
        <v>45778</v>
      </c>
      <c r="F869" s="2" t="n">
        <v>46873</v>
      </c>
      <c r="G869" s="3" t="n">
        <v>3520</v>
      </c>
      <c r="H869">
        <f>VLOOKUP(B869,Units!$A$2:$G$1646,2,FALSE)</f>
        <v/>
      </c>
      <c r="I869">
        <f>VLOOKUP(B869,Units!$A$2:$G$1646,5,FALSE)</f>
        <v/>
      </c>
      <c r="J869" s="3">
        <f>G869/I869</f>
        <v/>
      </c>
      <c r="K869" s="3">
        <f>G869*12</f>
        <v/>
      </c>
      <c r="L869" s="3" t="n">
        <v>10560</v>
      </c>
    </row>
    <row r="870">
      <c r="A870" t="inlineStr">
        <is>
          <t>TA-2025-00305</t>
        </is>
      </c>
      <c r="B870" t="inlineStr">
        <is>
          <t>U-RH456-01-09</t>
        </is>
      </c>
      <c r="C870" t="inlineStr">
        <is>
          <t>Wisdom Education Hub Pte Ltd</t>
        </is>
      </c>
      <c r="D870" t="inlineStr">
        <is>
          <t>Tuition Centre</t>
        </is>
      </c>
      <c r="E870" s="2" t="n">
        <v>45778</v>
      </c>
      <c r="F870" s="2" t="n">
        <v>46873</v>
      </c>
      <c r="G870" s="3" t="n">
        <v>2320</v>
      </c>
      <c r="H870">
        <f>VLOOKUP(B870,Units!$A$2:$G$1646,2,FALSE)</f>
        <v/>
      </c>
      <c r="I870">
        <f>VLOOKUP(B870,Units!$A$2:$G$1646,5,FALSE)</f>
        <v/>
      </c>
      <c r="J870" s="3">
        <f>G870/I870</f>
        <v/>
      </c>
      <c r="K870" s="3">
        <f>G870*12</f>
        <v/>
      </c>
      <c r="L870" s="3" t="n">
        <v>6960</v>
      </c>
    </row>
    <row r="871">
      <c r="A871" t="inlineStr">
        <is>
          <t>TA-2025-00306</t>
        </is>
      </c>
      <c r="B871" t="inlineStr">
        <is>
          <t>U-RH460-01-11</t>
        </is>
      </c>
      <c r="C871" t="inlineStr">
        <is>
          <t>New Life Medical Supplies Pte Ltd</t>
        </is>
      </c>
      <c r="D871" t="inlineStr">
        <is>
          <t>Pharmacy</t>
        </is>
      </c>
      <c r="E871" s="2" t="n">
        <v>45778</v>
      </c>
      <c r="F871" s="2" t="n">
        <v>46873</v>
      </c>
      <c r="G871" s="3" t="n">
        <v>4640</v>
      </c>
      <c r="H871">
        <f>VLOOKUP(B871,Units!$A$2:$G$1646,2,FALSE)</f>
        <v/>
      </c>
      <c r="I871">
        <f>VLOOKUP(B871,Units!$A$2:$G$1646,5,FALSE)</f>
        <v/>
      </c>
      <c r="J871" s="3">
        <f>G871/I871</f>
        <v/>
      </c>
      <c r="K871" s="3">
        <f>G871*12</f>
        <v/>
      </c>
      <c r="L871" s="3" t="n">
        <v>13920</v>
      </c>
    </row>
    <row r="872">
      <c r="A872" t="inlineStr">
        <is>
          <t>TA-2025-00307</t>
        </is>
      </c>
      <c r="B872" t="inlineStr">
        <is>
          <t>U-RH473-01-04</t>
        </is>
      </c>
      <c r="C872" t="inlineStr">
        <is>
          <t>Bayu Dental Care</t>
        </is>
      </c>
      <c r="D872" t="inlineStr">
        <is>
          <t>Dental Clinic</t>
        </is>
      </c>
      <c r="E872" s="2" t="n">
        <v>45778</v>
      </c>
      <c r="F872" s="2" t="n">
        <v>46873</v>
      </c>
      <c r="G872" s="3" t="n">
        <v>2920</v>
      </c>
      <c r="H872">
        <f>VLOOKUP(B872,Units!$A$2:$G$1646,2,FALSE)</f>
        <v/>
      </c>
      <c r="I872">
        <f>VLOOKUP(B872,Units!$A$2:$G$1646,5,FALSE)</f>
        <v/>
      </c>
      <c r="J872" s="3">
        <f>G872/I872</f>
        <v/>
      </c>
      <c r="K872" s="3">
        <f>G872*12</f>
        <v/>
      </c>
      <c r="L872" s="3" t="n">
        <v>8760</v>
      </c>
    </row>
    <row r="873">
      <c r="A873" t="inlineStr">
        <is>
          <t>TA-2025-00309</t>
        </is>
      </c>
      <c r="B873" t="inlineStr">
        <is>
          <t>U-RH484-01-09</t>
        </is>
      </c>
      <c r="C873" t="inlineStr">
        <is>
          <t>Siva TCM Clinic Pte Ltd</t>
        </is>
      </c>
      <c r="D873" t="inlineStr">
        <is>
          <t>TCM Clinic</t>
        </is>
      </c>
      <c r="E873" s="2" t="n">
        <v>45778</v>
      </c>
      <c r="F873" s="2" t="n">
        <v>46873</v>
      </c>
      <c r="G873" s="3" t="n">
        <v>2420</v>
      </c>
      <c r="H873">
        <f>VLOOKUP(B873,Units!$A$2:$G$1646,2,FALSE)</f>
        <v/>
      </c>
      <c r="I873">
        <f>VLOOKUP(B873,Units!$A$2:$G$1646,5,FALSE)</f>
        <v/>
      </c>
      <c r="J873" s="3">
        <f>G873/I873</f>
        <v/>
      </c>
      <c r="K873" s="3">
        <f>G873*12</f>
        <v/>
      </c>
      <c r="L873" s="3" t="n">
        <v>7260</v>
      </c>
    </row>
    <row r="874">
      <c r="A874" t="inlineStr">
        <is>
          <t>TA-2025-00311</t>
        </is>
      </c>
      <c r="B874" t="inlineStr">
        <is>
          <t>U-RH485-01-09</t>
        </is>
      </c>
      <c r="C874" t="inlineStr">
        <is>
          <t>Soon Hin Provision Shop</t>
        </is>
      </c>
      <c r="D874" t="inlineStr">
        <is>
          <t>Provision Shop</t>
        </is>
      </c>
      <c r="E874" s="2" t="n">
        <v>45778</v>
      </c>
      <c r="F874" s="2" t="n">
        <v>46873</v>
      </c>
      <c r="G874" s="3" t="n">
        <v>3520</v>
      </c>
      <c r="H874">
        <f>VLOOKUP(B874,Units!$A$2:$G$1646,2,FALSE)</f>
        <v/>
      </c>
      <c r="I874">
        <f>VLOOKUP(B874,Units!$A$2:$G$1646,5,FALSE)</f>
        <v/>
      </c>
      <c r="J874" s="3">
        <f>G874/I874</f>
        <v/>
      </c>
      <c r="K874" s="3">
        <f>G874*12</f>
        <v/>
      </c>
      <c r="L874" s="3" t="n">
        <v>10560</v>
      </c>
    </row>
    <row r="875">
      <c r="A875" t="inlineStr">
        <is>
          <t>TA-2025-00313</t>
        </is>
      </c>
      <c r="B875" t="inlineStr">
        <is>
          <t>U-RH491-01-07</t>
        </is>
      </c>
      <c r="C875" t="inlineStr">
        <is>
          <t>Wisdom Flowers &amp; Gifts</t>
        </is>
      </c>
      <c r="D875" t="inlineStr">
        <is>
          <t>Florist</t>
        </is>
      </c>
      <c r="E875" s="2" t="n">
        <v>45778</v>
      </c>
      <c r="F875" s="2" t="n">
        <v>46873</v>
      </c>
      <c r="G875" s="3" t="n">
        <v>2420</v>
      </c>
      <c r="H875">
        <f>VLOOKUP(B875,Units!$A$2:$G$1646,2,FALSE)</f>
        <v/>
      </c>
      <c r="I875">
        <f>VLOOKUP(B875,Units!$A$2:$G$1646,5,FALSE)</f>
        <v/>
      </c>
      <c r="J875" s="3">
        <f>G875/I875</f>
        <v/>
      </c>
      <c r="K875" s="3">
        <f>G875*12</f>
        <v/>
      </c>
      <c r="L875" s="3" t="n">
        <v>7260</v>
      </c>
    </row>
    <row r="876">
      <c r="A876" t="inlineStr">
        <is>
          <t>TA-2025-00314</t>
        </is>
      </c>
      <c r="B876" t="inlineStr">
        <is>
          <t>U-ST512-01-15</t>
        </is>
      </c>
      <c r="C876" t="inlineStr">
        <is>
          <t>Raja Hair Studio</t>
        </is>
      </c>
      <c r="D876" t="inlineStr">
        <is>
          <t>Hair Salon</t>
        </is>
      </c>
      <c r="E876" s="2" t="n">
        <v>45778</v>
      </c>
      <c r="F876" s="2" t="n">
        <v>46873</v>
      </c>
      <c r="G876" s="3" t="n">
        <v>2180</v>
      </c>
      <c r="H876">
        <f>VLOOKUP(B876,Units!$A$2:$G$1646,2,FALSE)</f>
        <v/>
      </c>
      <c r="I876">
        <f>VLOOKUP(B876,Units!$A$2:$G$1646,5,FALSE)</f>
        <v/>
      </c>
      <c r="J876" s="3">
        <f>G876/I876</f>
        <v/>
      </c>
      <c r="K876" s="3">
        <f>G876*12</f>
        <v/>
      </c>
      <c r="L876" s="3" t="n">
        <v>6540</v>
      </c>
    </row>
    <row r="877">
      <c r="A877" t="inlineStr">
        <is>
          <t>TA-2025-00316</t>
        </is>
      </c>
      <c r="B877" t="inlineStr">
        <is>
          <t>U-ST534-01-07</t>
        </is>
      </c>
      <c r="C877" t="inlineStr">
        <is>
          <t>Wisdom Mobile</t>
        </is>
      </c>
      <c r="D877" t="inlineStr">
        <is>
          <t>Mobile Phone &amp; Accessories</t>
        </is>
      </c>
      <c r="E877" s="2" t="n">
        <v>45778</v>
      </c>
      <c r="F877" s="2" t="n">
        <v>46873</v>
      </c>
      <c r="G877" s="3" t="n">
        <v>2860</v>
      </c>
      <c r="H877">
        <f>VLOOKUP(B877,Units!$A$2:$G$1646,2,FALSE)</f>
        <v/>
      </c>
      <c r="I877">
        <f>VLOOKUP(B877,Units!$A$2:$G$1646,5,FALSE)</f>
        <v/>
      </c>
      <c r="J877" s="3">
        <f>G877/I877</f>
        <v/>
      </c>
      <c r="K877" s="3">
        <f>G877*12</f>
        <v/>
      </c>
      <c r="L877" s="3" t="n">
        <v>8580</v>
      </c>
    </row>
    <row r="878">
      <c r="A878" t="inlineStr">
        <is>
          <t>TA-2025-00317</t>
        </is>
      </c>
      <c r="B878" t="inlineStr">
        <is>
          <t>U-ST545-01-03</t>
        </is>
      </c>
      <c r="C878" t="inlineStr">
        <is>
          <t>Lucky Star Hardware</t>
        </is>
      </c>
      <c r="D878" t="inlineStr">
        <is>
          <t>Hardware</t>
        </is>
      </c>
      <c r="E878" s="2" t="n">
        <v>45778</v>
      </c>
      <c r="F878" s="2" t="n">
        <v>46873</v>
      </c>
      <c r="G878" s="3" t="n">
        <v>2100</v>
      </c>
      <c r="H878">
        <f>VLOOKUP(B878,Units!$A$2:$G$1646,2,FALSE)</f>
        <v/>
      </c>
      <c r="I878">
        <f>VLOOKUP(B878,Units!$A$2:$G$1646,5,FALSE)</f>
        <v/>
      </c>
      <c r="J878" s="3">
        <f>G878/I878</f>
        <v/>
      </c>
      <c r="K878" s="3">
        <f>G878*12</f>
        <v/>
      </c>
      <c r="L878" s="3" t="n">
        <v>6300</v>
      </c>
    </row>
    <row r="879">
      <c r="A879" t="inlineStr">
        <is>
          <t>TA-2025-00318</t>
        </is>
      </c>
      <c r="B879" t="inlineStr">
        <is>
          <t>U-ST566-01-02</t>
        </is>
      </c>
      <c r="C879" t="inlineStr">
        <is>
          <t>Rainbow Hair Studio Pte Ltd</t>
        </is>
      </c>
      <c r="D879" t="inlineStr">
        <is>
          <t>Hair Salon</t>
        </is>
      </c>
      <c r="E879" s="2" t="n">
        <v>45778</v>
      </c>
      <c r="F879" s="2" t="n">
        <v>46873</v>
      </c>
      <c r="G879" s="3" t="n">
        <v>4480</v>
      </c>
      <c r="H879">
        <f>VLOOKUP(B879,Units!$A$2:$G$1646,2,FALSE)</f>
        <v/>
      </c>
      <c r="I879">
        <f>VLOOKUP(B879,Units!$A$2:$G$1646,5,FALSE)</f>
        <v/>
      </c>
      <c r="J879" s="3">
        <f>G879/I879</f>
        <v/>
      </c>
      <c r="K879" s="3">
        <f>G879*12</f>
        <v/>
      </c>
      <c r="L879" s="3" t="n">
        <v>13440</v>
      </c>
    </row>
    <row r="880">
      <c r="A880" t="inlineStr">
        <is>
          <t>TA-2025-00319</t>
        </is>
      </c>
      <c r="B880" t="inlineStr">
        <is>
          <t>U-BV214-01-14</t>
        </is>
      </c>
      <c r="C880" t="inlineStr">
        <is>
          <t>Kampung Tuition Centre</t>
        </is>
      </c>
      <c r="D880" t="inlineStr">
        <is>
          <t>Tuition Centre</t>
        </is>
      </c>
      <c r="E880" s="2" t="n">
        <v>45809</v>
      </c>
      <c r="F880" s="2" t="n">
        <v>46904</v>
      </c>
      <c r="G880" s="3" t="n">
        <v>4710</v>
      </c>
      <c r="H880">
        <f>VLOOKUP(B880,Units!$A$2:$G$1646,2,FALSE)</f>
        <v/>
      </c>
      <c r="I880">
        <f>VLOOKUP(B880,Units!$A$2:$G$1646,5,FALSE)</f>
        <v/>
      </c>
      <c r="J880" s="3">
        <f>G880/I880</f>
        <v/>
      </c>
      <c r="K880" s="3">
        <f>G880*12</f>
        <v/>
      </c>
      <c r="L880" s="3" t="n">
        <v>14130</v>
      </c>
    </row>
    <row r="881">
      <c r="A881" t="inlineStr">
        <is>
          <t>TA-2025-00321</t>
        </is>
      </c>
      <c r="B881" t="inlineStr">
        <is>
          <t>U-BV215-01-10</t>
        </is>
      </c>
      <c r="C881" t="inlineStr">
        <is>
          <t>Treasure Learning Centre</t>
        </is>
      </c>
      <c r="D881" t="inlineStr">
        <is>
          <t>Tuition Centre</t>
        </is>
      </c>
      <c r="E881" s="2" t="n">
        <v>45809</v>
      </c>
      <c r="F881" s="2" t="n">
        <v>46904</v>
      </c>
      <c r="G881" s="3" t="n">
        <v>6520</v>
      </c>
      <c r="H881">
        <f>VLOOKUP(B881,Units!$A$2:$G$1646,2,FALSE)</f>
        <v/>
      </c>
      <c r="I881">
        <f>VLOOKUP(B881,Units!$A$2:$G$1646,5,FALSE)</f>
        <v/>
      </c>
      <c r="J881" s="3">
        <f>G881/I881</f>
        <v/>
      </c>
      <c r="K881" s="3">
        <f>G881*12</f>
        <v/>
      </c>
      <c r="L881" s="3" t="n">
        <v>19560</v>
      </c>
    </row>
    <row r="882">
      <c r="A882" t="inlineStr">
        <is>
          <t>TA-2025-00323</t>
        </is>
      </c>
      <c r="B882" t="inlineStr">
        <is>
          <t>U-BV229-01-03</t>
        </is>
      </c>
      <c r="C882" t="inlineStr">
        <is>
          <t>New Life Hardware</t>
        </is>
      </c>
      <c r="D882" t="inlineStr">
        <is>
          <t>Hardware</t>
        </is>
      </c>
      <c r="E882" s="2" t="n">
        <v>45809</v>
      </c>
      <c r="F882" s="2" t="n">
        <v>46904</v>
      </c>
      <c r="G882" s="3" t="n">
        <v>6150</v>
      </c>
      <c r="H882">
        <f>VLOOKUP(B882,Units!$A$2:$G$1646,2,FALSE)</f>
        <v/>
      </c>
      <c r="I882">
        <f>VLOOKUP(B882,Units!$A$2:$G$1646,5,FALSE)</f>
        <v/>
      </c>
      <c r="J882" s="3">
        <f>G882/I882</f>
        <v/>
      </c>
      <c r="K882" s="3">
        <f>G882*12</f>
        <v/>
      </c>
      <c r="L882" s="3" t="n">
        <v>18450</v>
      </c>
    </row>
    <row r="883">
      <c r="A883" t="inlineStr">
        <is>
          <t>TA-2025-00324</t>
        </is>
      </c>
      <c r="B883" t="inlineStr">
        <is>
          <t>U-BV229-01-11</t>
        </is>
      </c>
      <c r="C883" t="inlineStr">
        <is>
          <t>PrimeValue Mart Pte Ltd</t>
        </is>
      </c>
      <c r="D883" t="inlineStr">
        <is>
          <t>Minimart</t>
        </is>
      </c>
      <c r="E883" s="2" t="n">
        <v>45809</v>
      </c>
      <c r="F883" s="2" t="n">
        <v>46904</v>
      </c>
      <c r="G883" s="3" t="n">
        <v>3220</v>
      </c>
      <c r="H883">
        <f>VLOOKUP(B883,Units!$A$2:$G$1646,2,FALSE)</f>
        <v/>
      </c>
      <c r="I883">
        <f>VLOOKUP(B883,Units!$A$2:$G$1646,5,FALSE)</f>
        <v/>
      </c>
      <c r="J883" s="3">
        <f>G883/I883</f>
        <v/>
      </c>
      <c r="K883" s="3">
        <f>G883*12</f>
        <v/>
      </c>
      <c r="L883" s="3" t="n">
        <v>9660</v>
      </c>
    </row>
    <row r="884">
      <c r="A884" t="inlineStr">
        <is>
          <t>TA-2025-00325</t>
        </is>
      </c>
      <c r="B884" t="inlineStr">
        <is>
          <t>U-BV237-01-08</t>
        </is>
      </c>
      <c r="C884" t="inlineStr">
        <is>
          <t>Old Town Learning Centre</t>
        </is>
      </c>
      <c r="D884" t="inlineStr">
        <is>
          <t>Tuition Centre</t>
        </is>
      </c>
      <c r="E884" s="2" t="n">
        <v>45809</v>
      </c>
      <c r="F884" s="2" t="n">
        <v>46904</v>
      </c>
      <c r="G884" s="3" t="n">
        <v>3330</v>
      </c>
      <c r="H884">
        <f>VLOOKUP(B884,Units!$A$2:$G$1646,2,FALSE)</f>
        <v/>
      </c>
      <c r="I884">
        <f>VLOOKUP(B884,Units!$A$2:$G$1646,5,FALSE)</f>
        <v/>
      </c>
      <c r="J884" s="3">
        <f>G884/I884</f>
        <v/>
      </c>
      <c r="K884" s="3">
        <f>G884*12</f>
        <v/>
      </c>
      <c r="L884" s="3" t="n">
        <v>9990</v>
      </c>
    </row>
    <row r="885">
      <c r="A885" t="inlineStr">
        <is>
          <t>TA-2025-00326</t>
        </is>
      </c>
      <c r="B885" t="inlineStr">
        <is>
          <t>U-BV256-01-04</t>
        </is>
      </c>
      <c r="C885" t="inlineStr">
        <is>
          <t>Ananda Provision Shop Pte Ltd</t>
        </is>
      </c>
      <c r="D885" t="inlineStr">
        <is>
          <t>Provision Shop</t>
        </is>
      </c>
      <c r="E885" s="2" t="n">
        <v>45809</v>
      </c>
      <c r="F885" s="2" t="n">
        <v>46904</v>
      </c>
      <c r="G885" s="3" t="n">
        <v>2860</v>
      </c>
      <c r="H885">
        <f>VLOOKUP(B885,Units!$A$2:$G$1646,2,FALSE)</f>
        <v/>
      </c>
      <c r="I885">
        <f>VLOOKUP(B885,Units!$A$2:$G$1646,5,FALSE)</f>
        <v/>
      </c>
      <c r="J885" s="3">
        <f>G885/I885</f>
        <v/>
      </c>
      <c r="K885" s="3">
        <f>G885*12</f>
        <v/>
      </c>
      <c r="L885" s="3" t="n">
        <v>8580</v>
      </c>
    </row>
    <row r="886">
      <c r="A886" t="inlineStr">
        <is>
          <t>TA-2025-00328</t>
        </is>
      </c>
      <c r="B886" t="inlineStr">
        <is>
          <t>U-BV256-01-06</t>
        </is>
      </c>
      <c r="C886" t="inlineStr">
        <is>
          <t>Bloom Minimart</t>
        </is>
      </c>
      <c r="D886" t="inlineStr">
        <is>
          <t>Minimart</t>
        </is>
      </c>
      <c r="E886" s="2" t="n">
        <v>45809</v>
      </c>
      <c r="F886" s="2" t="n">
        <v>46904</v>
      </c>
      <c r="G886" s="3" t="n">
        <v>3450</v>
      </c>
      <c r="H886">
        <f>VLOOKUP(B886,Units!$A$2:$G$1646,2,FALSE)</f>
        <v/>
      </c>
      <c r="I886">
        <f>VLOOKUP(B886,Units!$A$2:$G$1646,5,FALSE)</f>
        <v/>
      </c>
      <c r="J886" s="3">
        <f>G886/I886</f>
        <v/>
      </c>
      <c r="K886" s="3">
        <f>G886*12</f>
        <v/>
      </c>
      <c r="L886" s="3" t="n">
        <v>10350</v>
      </c>
    </row>
    <row r="887">
      <c r="A887" t="inlineStr">
        <is>
          <t>TA-2025-00329</t>
        </is>
      </c>
      <c r="B887" t="inlineStr">
        <is>
          <t>U-BV273-01-08</t>
        </is>
      </c>
      <c r="C887" t="inlineStr">
        <is>
          <t>Nur Bakery Pte Ltd</t>
        </is>
      </c>
      <c r="D887" t="inlineStr">
        <is>
          <t>Bakery &amp; Confectionery</t>
        </is>
      </c>
      <c r="E887" s="2" t="n">
        <v>45809</v>
      </c>
      <c r="F887" s="2" t="n">
        <v>46904</v>
      </c>
      <c r="G887" s="3" t="n">
        <v>5290</v>
      </c>
      <c r="H887">
        <f>VLOOKUP(B887,Units!$A$2:$G$1646,2,FALSE)</f>
        <v/>
      </c>
      <c r="I887">
        <f>VLOOKUP(B887,Units!$A$2:$G$1646,5,FALSE)</f>
        <v/>
      </c>
      <c r="J887" s="3">
        <f>G887/I887</f>
        <v/>
      </c>
      <c r="K887" s="3">
        <f>G887*12</f>
        <v/>
      </c>
      <c r="L887" s="3" t="n">
        <v>15870</v>
      </c>
    </row>
    <row r="888">
      <c r="A888" t="inlineStr">
        <is>
          <t>TA-2025-00331</t>
        </is>
      </c>
      <c r="B888" t="inlineStr">
        <is>
          <t>U-BV283-01-04</t>
        </is>
      </c>
      <c r="C888" t="inlineStr">
        <is>
          <t>Little Sprouts Store</t>
        </is>
      </c>
      <c r="D888" t="inlineStr">
        <is>
          <t>Provision Shop</t>
        </is>
      </c>
      <c r="E888" s="2" t="n">
        <v>45809</v>
      </c>
      <c r="F888" s="2" t="n">
        <v>46904</v>
      </c>
      <c r="G888" s="3" t="n">
        <v>5170</v>
      </c>
      <c r="H888">
        <f>VLOOKUP(B888,Units!$A$2:$G$1646,2,FALSE)</f>
        <v/>
      </c>
      <c r="I888">
        <f>VLOOKUP(B888,Units!$A$2:$G$1646,5,FALSE)</f>
        <v/>
      </c>
      <c r="J888" s="3">
        <f>G888/I888</f>
        <v/>
      </c>
      <c r="K888" s="3">
        <f>G888*12</f>
        <v/>
      </c>
      <c r="L888" s="3" t="n">
        <v>15510</v>
      </c>
    </row>
    <row r="889">
      <c r="A889" t="inlineStr">
        <is>
          <t>TA-2025-00333</t>
        </is>
      </c>
      <c r="B889" t="inlineStr">
        <is>
          <t>U-BV283-01-08</t>
        </is>
      </c>
      <c r="C889" t="inlineStr">
        <is>
          <t>Hock Lee Mobile Pte Ltd</t>
        </is>
      </c>
      <c r="D889" t="inlineStr">
        <is>
          <t>Mobile Phone &amp; Accessories</t>
        </is>
      </c>
      <c r="E889" s="2" t="n">
        <v>45809</v>
      </c>
      <c r="F889" s="2" t="n">
        <v>46904</v>
      </c>
      <c r="G889" s="3" t="n">
        <v>5960</v>
      </c>
      <c r="H889">
        <f>VLOOKUP(B889,Units!$A$2:$G$1646,2,FALSE)</f>
        <v/>
      </c>
      <c r="I889">
        <f>VLOOKUP(B889,Units!$A$2:$G$1646,5,FALSE)</f>
        <v/>
      </c>
      <c r="J889" s="3">
        <f>G889/I889</f>
        <v/>
      </c>
      <c r="K889" s="3">
        <f>G889*12</f>
        <v/>
      </c>
      <c r="L889" s="3" t="n">
        <v>17880</v>
      </c>
    </row>
    <row r="890">
      <c r="A890" t="inlineStr">
        <is>
          <t>TA-2025-00334</t>
        </is>
      </c>
      <c r="B890" t="inlineStr">
        <is>
          <t>U-BV284-01-05</t>
        </is>
      </c>
      <c r="C890" t="inlineStr">
        <is>
          <t>PrimeValue Mart Pte Ltd</t>
        </is>
      </c>
      <c r="D890" t="inlineStr">
        <is>
          <t>Minimart</t>
        </is>
      </c>
      <c r="E890" s="2" t="n">
        <v>45809</v>
      </c>
      <c r="F890" s="2" t="n">
        <v>46904</v>
      </c>
      <c r="G890" s="3" t="n">
        <v>4150</v>
      </c>
      <c r="H890">
        <f>VLOOKUP(B890,Units!$A$2:$G$1646,2,FALSE)</f>
        <v/>
      </c>
      <c r="I890">
        <f>VLOOKUP(B890,Units!$A$2:$G$1646,5,FALSE)</f>
        <v/>
      </c>
      <c r="J890" s="3">
        <f>G890/I890</f>
        <v/>
      </c>
      <c r="K890" s="3">
        <f>G890*12</f>
        <v/>
      </c>
      <c r="L890" s="3" t="n">
        <v>12450</v>
      </c>
    </row>
    <row r="891">
      <c r="A891" t="inlineStr">
        <is>
          <t>TA-2025-00335</t>
        </is>
      </c>
      <c r="B891" t="inlineStr">
        <is>
          <t>U-CD109-01-07</t>
        </is>
      </c>
      <c r="C891" t="inlineStr">
        <is>
          <t>Kumar Mart</t>
        </is>
      </c>
      <c r="D891" t="inlineStr">
        <is>
          <t>Minimart</t>
        </is>
      </c>
      <c r="E891" s="2" t="n">
        <v>45809</v>
      </c>
      <c r="F891" s="2" t="n">
        <v>46904</v>
      </c>
      <c r="G891" s="3" t="n">
        <v>3750</v>
      </c>
      <c r="H891">
        <f>VLOOKUP(B891,Units!$A$2:$G$1646,2,FALSE)</f>
        <v/>
      </c>
      <c r="I891">
        <f>VLOOKUP(B891,Units!$A$2:$G$1646,5,FALSE)</f>
        <v/>
      </c>
      <c r="J891" s="3">
        <f>G891/I891</f>
        <v/>
      </c>
      <c r="K891" s="3">
        <f>G891*12</f>
        <v/>
      </c>
      <c r="L891" s="3" t="n">
        <v>11250</v>
      </c>
    </row>
    <row r="892">
      <c r="A892" t="inlineStr">
        <is>
          <t>TA-2025-00337</t>
        </is>
      </c>
      <c r="B892" t="inlineStr">
        <is>
          <t>U-CD109-01-09</t>
        </is>
      </c>
      <c r="C892" t="inlineStr">
        <is>
          <t>Fortune Dental Care</t>
        </is>
      </c>
      <c r="D892" t="inlineStr">
        <is>
          <t>Dental Clinic</t>
        </is>
      </c>
      <c r="E892" s="2" t="n">
        <v>45809</v>
      </c>
      <c r="F892" s="2" t="n">
        <v>46904</v>
      </c>
      <c r="G892" s="3" t="n">
        <v>2430</v>
      </c>
      <c r="H892">
        <f>VLOOKUP(B892,Units!$A$2:$G$1646,2,FALSE)</f>
        <v/>
      </c>
      <c r="I892">
        <f>VLOOKUP(B892,Units!$A$2:$G$1646,5,FALSE)</f>
        <v/>
      </c>
      <c r="J892" s="3">
        <f>G892/I892</f>
        <v/>
      </c>
      <c r="K892" s="3">
        <f>G892*12</f>
        <v/>
      </c>
      <c r="L892" s="3" t="n">
        <v>7290</v>
      </c>
    </row>
    <row r="893">
      <c r="A893" t="inlineStr">
        <is>
          <t>TA-2025-00338</t>
        </is>
      </c>
      <c r="B893" t="inlineStr">
        <is>
          <t>U-CD120-01-01</t>
        </is>
      </c>
      <c r="C893" t="inlineStr">
        <is>
          <t>Brilliant Supermarket</t>
        </is>
      </c>
      <c r="D893" t="inlineStr">
        <is>
          <t>Minimart</t>
        </is>
      </c>
      <c r="E893" s="2" t="n">
        <v>45809</v>
      </c>
      <c r="F893" s="2" t="n">
        <v>46904</v>
      </c>
      <c r="G893" s="3" t="n">
        <v>5400</v>
      </c>
      <c r="H893">
        <f>VLOOKUP(B893,Units!$A$2:$G$1646,2,FALSE)</f>
        <v/>
      </c>
      <c r="I893">
        <f>VLOOKUP(B893,Units!$A$2:$G$1646,5,FALSE)</f>
        <v/>
      </c>
      <c r="J893" s="3">
        <f>G893/I893</f>
        <v/>
      </c>
      <c r="K893" s="3">
        <f>G893*12</f>
        <v/>
      </c>
      <c r="L893" s="3" t="n">
        <v>16200</v>
      </c>
    </row>
    <row r="894">
      <c r="A894" t="inlineStr">
        <is>
          <t>TA-2025-00339</t>
        </is>
      </c>
      <c r="B894" t="inlineStr">
        <is>
          <t>U-CD131-01-04</t>
        </is>
      </c>
      <c r="C894" t="inlineStr">
        <is>
          <t>Value Family Clinic Pte Ltd</t>
        </is>
      </c>
      <c r="D894" t="inlineStr">
        <is>
          <t>GP Clinic</t>
        </is>
      </c>
      <c r="E894" s="2" t="n">
        <v>45809</v>
      </c>
      <c r="F894" s="2" t="n">
        <v>46904</v>
      </c>
      <c r="G894" s="3" t="n">
        <v>4050</v>
      </c>
      <c r="H894">
        <f>VLOOKUP(B894,Units!$A$2:$G$1646,2,FALSE)</f>
        <v/>
      </c>
      <c r="I894">
        <f>VLOOKUP(B894,Units!$A$2:$G$1646,5,FALSE)</f>
        <v/>
      </c>
      <c r="J894" s="3">
        <f>G894/I894</f>
        <v/>
      </c>
      <c r="K894" s="3">
        <f>G894*12</f>
        <v/>
      </c>
      <c r="L894" s="3" t="n">
        <v>12150</v>
      </c>
    </row>
    <row r="895">
      <c r="A895" t="inlineStr">
        <is>
          <t>TA-2025-00340</t>
        </is>
      </c>
      <c r="B895" t="inlineStr">
        <is>
          <t>U-CD152-01-06</t>
        </is>
      </c>
      <c r="C895" t="inlineStr">
        <is>
          <t>Mutiara Tea House</t>
        </is>
      </c>
      <c r="D895" t="inlineStr">
        <is>
          <t>Bubble Tea</t>
        </is>
      </c>
      <c r="E895" s="2" t="n">
        <v>45809</v>
      </c>
      <c r="F895" s="2" t="n">
        <v>46904</v>
      </c>
      <c r="G895" s="3" t="n">
        <v>4510</v>
      </c>
      <c r="H895">
        <f>VLOOKUP(B895,Units!$A$2:$G$1646,2,FALSE)</f>
        <v/>
      </c>
      <c r="I895">
        <f>VLOOKUP(B895,Units!$A$2:$G$1646,5,FALSE)</f>
        <v/>
      </c>
      <c r="J895" s="3">
        <f>G895/I895</f>
        <v/>
      </c>
      <c r="K895" s="3">
        <f>G895*12</f>
        <v/>
      </c>
      <c r="L895" s="3" t="n">
        <v>13530</v>
      </c>
    </row>
    <row r="896">
      <c r="A896" t="inlineStr">
        <is>
          <t>TA-2025-00342</t>
        </is>
      </c>
      <c r="B896" t="inlineStr">
        <is>
          <t>U-CD160-01-05</t>
        </is>
      </c>
      <c r="C896" t="inlineStr">
        <is>
          <t>PrimeValue Mart Pte Ltd</t>
        </is>
      </c>
      <c r="D896" t="inlineStr">
        <is>
          <t>Minimart</t>
        </is>
      </c>
      <c r="E896" s="2" t="n">
        <v>45809</v>
      </c>
      <c r="F896" s="2" t="n">
        <v>46904</v>
      </c>
      <c r="G896" s="3" t="n">
        <v>3050</v>
      </c>
      <c r="H896">
        <f>VLOOKUP(B896,Units!$A$2:$G$1646,2,FALSE)</f>
        <v/>
      </c>
      <c r="I896">
        <f>VLOOKUP(B896,Units!$A$2:$G$1646,5,FALSE)</f>
        <v/>
      </c>
      <c r="J896" s="3">
        <f>G896/I896</f>
        <v/>
      </c>
      <c r="K896" s="3">
        <f>G896*12</f>
        <v/>
      </c>
      <c r="L896" s="3" t="n">
        <v>9150</v>
      </c>
    </row>
    <row r="897">
      <c r="A897" t="inlineStr">
        <is>
          <t>TA-2025-00343</t>
        </is>
      </c>
      <c r="B897" t="inlineStr">
        <is>
          <t>U-CD160-01-08</t>
        </is>
      </c>
      <c r="C897" t="inlineStr">
        <is>
          <t>PrimeValue Mart Pte Ltd</t>
        </is>
      </c>
      <c r="D897" t="inlineStr">
        <is>
          <t>Minimart</t>
        </is>
      </c>
      <c r="E897" s="2" t="n">
        <v>45809</v>
      </c>
      <c r="F897" s="2" t="n">
        <v>46904</v>
      </c>
      <c r="G897" s="3" t="n">
        <v>3100</v>
      </c>
      <c r="H897">
        <f>VLOOKUP(B897,Units!$A$2:$G$1646,2,FALSE)</f>
        <v/>
      </c>
      <c r="I897">
        <f>VLOOKUP(B897,Units!$A$2:$G$1646,5,FALSE)</f>
        <v/>
      </c>
      <c r="J897" s="3">
        <f>G897/I897</f>
        <v/>
      </c>
      <c r="K897" s="3">
        <f>G897*12</f>
        <v/>
      </c>
      <c r="L897" s="3" t="n">
        <v>9300</v>
      </c>
    </row>
    <row r="898">
      <c r="A898" t="inlineStr">
        <is>
          <t>TA-2025-00344</t>
        </is>
      </c>
      <c r="B898" t="inlineStr">
        <is>
          <t>U-CD160-01-09</t>
        </is>
      </c>
      <c r="C898" t="inlineStr">
        <is>
          <t>Lucky Star Remittance</t>
        </is>
      </c>
      <c r="D898" t="inlineStr">
        <is>
          <t>Remittance &amp; Money Changer</t>
        </is>
      </c>
      <c r="E898" s="2" t="n">
        <v>45809</v>
      </c>
      <c r="F898" s="2" t="n">
        <v>46904</v>
      </c>
      <c r="G898" s="3" t="n">
        <v>1620</v>
      </c>
      <c r="H898">
        <f>VLOOKUP(B898,Units!$A$2:$G$1646,2,FALSE)</f>
        <v/>
      </c>
      <c r="I898">
        <f>VLOOKUP(B898,Units!$A$2:$G$1646,5,FALSE)</f>
        <v/>
      </c>
      <c r="J898" s="3">
        <f>G898/I898</f>
        <v/>
      </c>
      <c r="K898" s="3">
        <f>G898*12</f>
        <v/>
      </c>
      <c r="L898" s="3" t="n">
        <v>4860</v>
      </c>
    </row>
    <row r="899">
      <c r="A899" t="inlineStr">
        <is>
          <t>TA-2025-00346</t>
        </is>
      </c>
      <c r="B899" t="inlineStr">
        <is>
          <t>U-CD181-01-03</t>
        </is>
      </c>
      <c r="C899" t="inlineStr">
        <is>
          <t>Orchid Medical Hall</t>
        </is>
      </c>
      <c r="D899" t="inlineStr">
        <is>
          <t>TCM Clinic</t>
        </is>
      </c>
      <c r="E899" s="2" t="n">
        <v>45809</v>
      </c>
      <c r="F899" s="2" t="n">
        <v>46904</v>
      </c>
      <c r="G899" s="3" t="n">
        <v>4310</v>
      </c>
      <c r="H899">
        <f>VLOOKUP(B899,Units!$A$2:$G$1646,2,FALSE)</f>
        <v/>
      </c>
      <c r="I899">
        <f>VLOOKUP(B899,Units!$A$2:$G$1646,5,FALSE)</f>
        <v/>
      </c>
      <c r="J899" s="3">
        <f>G899/I899</f>
        <v/>
      </c>
      <c r="K899" s="3">
        <f>G899*12</f>
        <v/>
      </c>
      <c r="L899" s="3" t="n">
        <v>12930</v>
      </c>
    </row>
    <row r="900">
      <c r="A900" t="inlineStr">
        <is>
          <t>TA-2025-00347</t>
        </is>
      </c>
      <c r="B900" t="inlineStr">
        <is>
          <t>U-CD185-01-06</t>
        </is>
      </c>
      <c r="C900" t="inlineStr">
        <is>
          <t>Chop Wah Hardware</t>
        </is>
      </c>
      <c r="D900" t="inlineStr">
        <is>
          <t>Hardware</t>
        </is>
      </c>
      <c r="E900" s="2" t="n">
        <v>45809</v>
      </c>
      <c r="F900" s="2" t="n">
        <v>46904</v>
      </c>
      <c r="G900" s="3" t="n">
        <v>2360</v>
      </c>
      <c r="H900">
        <f>VLOOKUP(B900,Units!$A$2:$G$1646,2,FALSE)</f>
        <v/>
      </c>
      <c r="I900">
        <f>VLOOKUP(B900,Units!$A$2:$G$1646,5,FALSE)</f>
        <v/>
      </c>
      <c r="J900" s="3">
        <f>G900/I900</f>
        <v/>
      </c>
      <c r="K900" s="3">
        <f>G900*12</f>
        <v/>
      </c>
      <c r="L900" s="3" t="n">
        <v>7080</v>
      </c>
    </row>
    <row r="901">
      <c r="A901" t="inlineStr">
        <is>
          <t>TA-2025-00349</t>
        </is>
      </c>
      <c r="B901" t="inlineStr">
        <is>
          <t>U-KR305-01-14</t>
        </is>
      </c>
      <c r="C901" t="inlineStr">
        <is>
          <t>Smart Kids TCM Clinic Pte Ltd</t>
        </is>
      </c>
      <c r="D901" t="inlineStr">
        <is>
          <t>TCM Clinic</t>
        </is>
      </c>
      <c r="E901" s="2" t="n">
        <v>45809</v>
      </c>
      <c r="F901" s="2" t="n">
        <v>46904</v>
      </c>
      <c r="G901" s="3" t="n">
        <v>4300</v>
      </c>
      <c r="H901">
        <f>VLOOKUP(B901,Units!$A$2:$G$1646,2,FALSE)</f>
        <v/>
      </c>
      <c r="I901">
        <f>VLOOKUP(B901,Units!$A$2:$G$1646,5,FALSE)</f>
        <v/>
      </c>
      <c r="J901" s="3">
        <f>G901/I901</f>
        <v/>
      </c>
      <c r="K901" s="3">
        <f>G901*12</f>
        <v/>
      </c>
      <c r="L901" s="3" t="n">
        <v>12900</v>
      </c>
    </row>
    <row r="902">
      <c r="A902" t="inlineStr">
        <is>
          <t>TA-2025-00350</t>
        </is>
      </c>
      <c r="B902" t="inlineStr">
        <is>
          <t>U-KR333-01-12</t>
        </is>
      </c>
      <c r="C902" t="inlineStr">
        <is>
          <t>Tian Fu Minimart</t>
        </is>
      </c>
      <c r="D902" t="inlineStr">
        <is>
          <t>Minimart</t>
        </is>
      </c>
      <c r="E902" s="2" t="n">
        <v>45809</v>
      </c>
      <c r="F902" s="2" t="n">
        <v>46904</v>
      </c>
      <c r="G902" s="3" t="n">
        <v>4110</v>
      </c>
      <c r="H902">
        <f>VLOOKUP(B902,Units!$A$2:$G$1646,2,FALSE)</f>
        <v/>
      </c>
      <c r="I902">
        <f>VLOOKUP(B902,Units!$A$2:$G$1646,5,FALSE)</f>
        <v/>
      </c>
      <c r="J902" s="3">
        <f>G902/I902</f>
        <v/>
      </c>
      <c r="K902" s="3">
        <f>G902*12</f>
        <v/>
      </c>
      <c r="L902" s="3" t="n">
        <v>12330</v>
      </c>
    </row>
    <row r="903">
      <c r="A903" t="inlineStr">
        <is>
          <t>TA-2025-00352</t>
        </is>
      </c>
      <c r="B903" t="inlineStr">
        <is>
          <t>U-KR345-01-02</t>
        </is>
      </c>
      <c r="C903" t="inlineStr">
        <is>
          <t>Hock Lee Dental Surgery</t>
        </is>
      </c>
      <c r="D903" t="inlineStr">
        <is>
          <t>Dental Clinic</t>
        </is>
      </c>
      <c r="E903" s="2" t="n">
        <v>45809</v>
      </c>
      <c r="F903" s="2" t="n">
        <v>46904</v>
      </c>
      <c r="G903" s="3" t="n">
        <v>5540</v>
      </c>
      <c r="H903">
        <f>VLOOKUP(B903,Units!$A$2:$G$1646,2,FALSE)</f>
        <v/>
      </c>
      <c r="I903">
        <f>VLOOKUP(B903,Units!$A$2:$G$1646,5,FALSE)</f>
        <v/>
      </c>
      <c r="J903" s="3">
        <f>G903/I903</f>
        <v/>
      </c>
      <c r="K903" s="3">
        <f>G903*12</f>
        <v/>
      </c>
      <c r="L903" s="3" t="n">
        <v>16620</v>
      </c>
    </row>
    <row r="904">
      <c r="A904" t="inlineStr">
        <is>
          <t>TA-2025-00353</t>
        </is>
      </c>
      <c r="B904" t="inlineStr">
        <is>
          <t>U-KR345-01-05</t>
        </is>
      </c>
      <c r="C904" t="inlineStr">
        <is>
          <t>Joo Chiat TCM Clinic</t>
        </is>
      </c>
      <c r="D904" t="inlineStr">
        <is>
          <t>TCM Clinic</t>
        </is>
      </c>
      <c r="E904" s="2" t="n">
        <v>45809</v>
      </c>
      <c r="F904" s="2" t="n">
        <v>46904</v>
      </c>
      <c r="G904" s="3" t="n">
        <v>2860</v>
      </c>
      <c r="H904">
        <f>VLOOKUP(B904,Units!$A$2:$G$1646,2,FALSE)</f>
        <v/>
      </c>
      <c r="I904">
        <f>VLOOKUP(B904,Units!$A$2:$G$1646,5,FALSE)</f>
        <v/>
      </c>
      <c r="J904" s="3">
        <f>G904/I904</f>
        <v/>
      </c>
      <c r="K904" s="3">
        <f>G904*12</f>
        <v/>
      </c>
      <c r="L904" s="3" t="n">
        <v>8580</v>
      </c>
    </row>
    <row r="905">
      <c r="A905" t="inlineStr">
        <is>
          <t>TA-2025-00354</t>
        </is>
      </c>
      <c r="B905" t="inlineStr">
        <is>
          <t>U-KR356-01-11</t>
        </is>
      </c>
      <c r="C905" t="inlineStr">
        <is>
          <t>Orchid Supermarket</t>
        </is>
      </c>
      <c r="D905" t="inlineStr">
        <is>
          <t>Minimart</t>
        </is>
      </c>
      <c r="E905" s="2" t="n">
        <v>45809</v>
      </c>
      <c r="F905" s="2" t="n">
        <v>46904</v>
      </c>
      <c r="G905" s="3" t="n">
        <v>5380</v>
      </c>
      <c r="H905">
        <f>VLOOKUP(B905,Units!$A$2:$G$1646,2,FALSE)</f>
        <v/>
      </c>
      <c r="I905">
        <f>VLOOKUP(B905,Units!$A$2:$G$1646,5,FALSE)</f>
        <v/>
      </c>
      <c r="J905" s="3">
        <f>G905/I905</f>
        <v/>
      </c>
      <c r="K905" s="3">
        <f>G905*12</f>
        <v/>
      </c>
      <c r="L905" s="3" t="n">
        <v>16140</v>
      </c>
    </row>
    <row r="906">
      <c r="A906" t="inlineStr">
        <is>
          <t>TA-2025-00356</t>
        </is>
      </c>
      <c r="B906" t="inlineStr">
        <is>
          <t>U-KR356-02-01</t>
        </is>
      </c>
      <c r="C906" t="inlineStr">
        <is>
          <t>Prima Childcare Pte Ltd</t>
        </is>
      </c>
      <c r="D906" t="inlineStr">
        <is>
          <t>Childcare Centre</t>
        </is>
      </c>
      <c r="E906" s="2" t="n">
        <v>45809</v>
      </c>
      <c r="F906" s="2" t="n">
        <v>46904</v>
      </c>
      <c r="G906" s="3" t="n">
        <v>2120</v>
      </c>
      <c r="H906">
        <f>VLOOKUP(B906,Units!$A$2:$G$1646,2,FALSE)</f>
        <v/>
      </c>
      <c r="I906">
        <f>VLOOKUP(B906,Units!$A$2:$G$1646,5,FALSE)</f>
        <v/>
      </c>
      <c r="J906" s="3">
        <f>G906/I906</f>
        <v/>
      </c>
      <c r="K906" s="3">
        <f>G906*12</f>
        <v/>
      </c>
      <c r="L906" s="3" t="n">
        <v>6360</v>
      </c>
    </row>
    <row r="907">
      <c r="A907" t="inlineStr">
        <is>
          <t>TA-2025-00357</t>
        </is>
      </c>
      <c r="B907" t="inlineStr">
        <is>
          <t>U-KR358-01-01</t>
        </is>
      </c>
      <c r="C907" t="inlineStr">
        <is>
          <t>Tian Fu Hair Salon</t>
        </is>
      </c>
      <c r="D907" t="inlineStr">
        <is>
          <t>Hair Salon</t>
        </is>
      </c>
      <c r="E907" s="2" t="n">
        <v>45809</v>
      </c>
      <c r="F907" s="2" t="n">
        <v>46904</v>
      </c>
      <c r="G907" s="3" t="n">
        <v>3750</v>
      </c>
      <c r="H907">
        <f>VLOOKUP(B907,Units!$A$2:$G$1646,2,FALSE)</f>
        <v/>
      </c>
      <c r="I907">
        <f>VLOOKUP(B907,Units!$A$2:$G$1646,5,FALSE)</f>
        <v/>
      </c>
      <c r="J907" s="3">
        <f>G907/I907</f>
        <v/>
      </c>
      <c r="K907" s="3">
        <f>G907*12</f>
        <v/>
      </c>
      <c r="L907" s="3" t="n">
        <v>11250</v>
      </c>
    </row>
    <row r="908">
      <c r="A908" t="inlineStr">
        <is>
          <t>TA-2025-00359</t>
        </is>
      </c>
      <c r="B908" t="inlineStr">
        <is>
          <t>U-KR379-01-02</t>
        </is>
      </c>
      <c r="C908" t="inlineStr">
        <is>
          <t>Wisdom Beauty &amp; Hair</t>
        </is>
      </c>
      <c r="D908" t="inlineStr">
        <is>
          <t>Hair Salon</t>
        </is>
      </c>
      <c r="E908" s="2" t="n">
        <v>45809</v>
      </c>
      <c r="F908" s="2" t="n">
        <v>46904</v>
      </c>
      <c r="G908" s="3" t="n">
        <v>3920</v>
      </c>
      <c r="H908">
        <f>VLOOKUP(B908,Units!$A$2:$G$1646,2,FALSE)</f>
        <v/>
      </c>
      <c r="I908">
        <f>VLOOKUP(B908,Units!$A$2:$G$1646,5,FALSE)</f>
        <v/>
      </c>
      <c r="J908" s="3">
        <f>G908/I908</f>
        <v/>
      </c>
      <c r="K908" s="3">
        <f>G908*12</f>
        <v/>
      </c>
      <c r="L908" s="3" t="n">
        <v>11760</v>
      </c>
    </row>
    <row r="909">
      <c r="A909" t="inlineStr">
        <is>
          <t>TA-2025-00360</t>
        </is>
      </c>
      <c r="B909" t="inlineStr">
        <is>
          <t>U-PI626-01-12</t>
        </is>
      </c>
      <c r="C909" t="inlineStr">
        <is>
          <t>Kampung Provision Shop</t>
        </is>
      </c>
      <c r="D909" t="inlineStr">
        <is>
          <t>Provision Shop</t>
        </is>
      </c>
      <c r="E909" s="2" t="n">
        <v>45809</v>
      </c>
      <c r="F909" s="2" t="n">
        <v>46904</v>
      </c>
      <c r="G909" s="3" t="n">
        <v>4140</v>
      </c>
      <c r="H909">
        <f>VLOOKUP(B909,Units!$A$2:$G$1646,2,FALSE)</f>
        <v/>
      </c>
      <c r="I909">
        <f>VLOOKUP(B909,Units!$A$2:$G$1646,5,FALSE)</f>
        <v/>
      </c>
      <c r="J909" s="3">
        <f>G909/I909</f>
        <v/>
      </c>
      <c r="K909" s="3">
        <f>G909*12</f>
        <v/>
      </c>
      <c r="L909" s="3" t="n">
        <v>12420</v>
      </c>
    </row>
    <row r="910">
      <c r="A910" t="inlineStr">
        <is>
          <t>TA-2025-00361</t>
        </is>
      </c>
      <c r="B910" t="inlineStr">
        <is>
          <t>U-PI657-01-09</t>
        </is>
      </c>
      <c r="C910" t="inlineStr">
        <is>
          <t>Orchid Family Clinic Pte Ltd</t>
        </is>
      </c>
      <c r="D910" t="inlineStr">
        <is>
          <t>GP Clinic</t>
        </is>
      </c>
      <c r="E910" s="2" t="n">
        <v>45809</v>
      </c>
      <c r="F910" s="2" t="n">
        <v>46904</v>
      </c>
      <c r="G910" s="3" t="n">
        <v>1990</v>
      </c>
      <c r="H910">
        <f>VLOOKUP(B910,Units!$A$2:$G$1646,2,FALSE)</f>
        <v/>
      </c>
      <c r="I910">
        <f>VLOOKUP(B910,Units!$A$2:$G$1646,5,FALSE)</f>
        <v/>
      </c>
      <c r="J910" s="3">
        <f>G910/I910</f>
        <v/>
      </c>
      <c r="K910" s="3">
        <f>G910*12</f>
        <v/>
      </c>
      <c r="L910" s="3" t="n">
        <v>5970</v>
      </c>
    </row>
    <row r="911">
      <c r="A911" t="inlineStr">
        <is>
          <t>TA-2025-00362</t>
        </is>
      </c>
      <c r="B911" t="inlineStr">
        <is>
          <t>U-PI667-01-08</t>
        </is>
      </c>
      <c r="C911" t="inlineStr">
        <is>
          <t>Kumar Medical Clinic Pte Ltd</t>
        </is>
      </c>
      <c r="D911" t="inlineStr">
        <is>
          <t>GP Clinic</t>
        </is>
      </c>
      <c r="E911" s="2" t="n">
        <v>45809</v>
      </c>
      <c r="F911" s="2" t="n">
        <v>46904</v>
      </c>
      <c r="G911" s="3" t="n">
        <v>3140</v>
      </c>
      <c r="H911">
        <f>VLOOKUP(B911,Units!$A$2:$G$1646,2,FALSE)</f>
        <v/>
      </c>
      <c r="I911">
        <f>VLOOKUP(B911,Units!$A$2:$G$1646,5,FALSE)</f>
        <v/>
      </c>
      <c r="J911" s="3">
        <f>G911/I911</f>
        <v/>
      </c>
      <c r="K911" s="3">
        <f>G911*12</f>
        <v/>
      </c>
      <c r="L911" s="3" t="n">
        <v>9420</v>
      </c>
    </row>
    <row r="912">
      <c r="A912" t="inlineStr">
        <is>
          <t>TA-2025-00363</t>
        </is>
      </c>
      <c r="B912" t="inlineStr">
        <is>
          <t>U-PI667-01-10</t>
        </is>
      </c>
      <c r="C912" t="inlineStr">
        <is>
          <t>Bloom Beauty &amp; Hair Pte Ltd</t>
        </is>
      </c>
      <c r="D912" t="inlineStr">
        <is>
          <t>Hair Salon</t>
        </is>
      </c>
      <c r="E912" s="2" t="n">
        <v>45809</v>
      </c>
      <c r="F912" s="2" t="n">
        <v>46904</v>
      </c>
      <c r="G912" s="3" t="n">
        <v>3070</v>
      </c>
      <c r="H912">
        <f>VLOOKUP(B912,Units!$A$2:$G$1646,2,FALSE)</f>
        <v/>
      </c>
      <c r="I912">
        <f>VLOOKUP(B912,Units!$A$2:$G$1646,5,FALSE)</f>
        <v/>
      </c>
      <c r="J912" s="3">
        <f>G912/I912</f>
        <v/>
      </c>
      <c r="K912" s="3">
        <f>G912*12</f>
        <v/>
      </c>
      <c r="L912" s="3" t="n">
        <v>9210</v>
      </c>
    </row>
    <row r="913">
      <c r="A913" t="inlineStr">
        <is>
          <t>TA-2025-00364</t>
        </is>
      </c>
      <c r="B913" t="inlineStr">
        <is>
          <t>U-PI675-01-03</t>
        </is>
      </c>
      <c r="C913" t="inlineStr">
        <is>
          <t>Tan Brothers Fruits</t>
        </is>
      </c>
      <c r="D913" t="inlineStr">
        <is>
          <t>Fruit Shop</t>
        </is>
      </c>
      <c r="E913" s="2" t="n">
        <v>45809</v>
      </c>
      <c r="F913" s="2" t="n">
        <v>46904</v>
      </c>
      <c r="G913" s="3" t="n">
        <v>900</v>
      </c>
      <c r="H913">
        <f>VLOOKUP(B913,Units!$A$2:$G$1646,2,FALSE)</f>
        <v/>
      </c>
      <c r="I913">
        <f>VLOOKUP(B913,Units!$A$2:$G$1646,5,FALSE)</f>
        <v/>
      </c>
      <c r="J913" s="3">
        <f>G913/I913</f>
        <v/>
      </c>
      <c r="K913" s="3">
        <f>G913*12</f>
        <v/>
      </c>
      <c r="L913" s="3" t="n">
        <v>2700</v>
      </c>
    </row>
    <row r="914">
      <c r="A914" t="inlineStr">
        <is>
          <t>TA-2025-00366</t>
        </is>
      </c>
      <c r="B914" t="inlineStr">
        <is>
          <t>U-PI693-01-04</t>
        </is>
      </c>
      <c r="C914" t="inlineStr">
        <is>
          <t>Golden Leaf Hair Salon Pte Ltd</t>
        </is>
      </c>
      <c r="D914" t="inlineStr">
        <is>
          <t>Hair Salon</t>
        </is>
      </c>
      <c r="E914" s="2" t="n">
        <v>45809</v>
      </c>
      <c r="F914" s="2" t="n">
        <v>46904</v>
      </c>
      <c r="G914" s="3" t="n">
        <v>2180</v>
      </c>
      <c r="H914">
        <f>VLOOKUP(B914,Units!$A$2:$G$1646,2,FALSE)</f>
        <v/>
      </c>
      <c r="I914">
        <f>VLOOKUP(B914,Units!$A$2:$G$1646,5,FALSE)</f>
        <v/>
      </c>
      <c r="J914" s="3">
        <f>G914/I914</f>
        <v/>
      </c>
      <c r="K914" s="3">
        <f>G914*12</f>
        <v/>
      </c>
      <c r="L914" s="3" t="n">
        <v>6540</v>
      </c>
    </row>
    <row r="915">
      <c r="A915" t="inlineStr">
        <is>
          <t>TA-2025-00368</t>
        </is>
      </c>
      <c r="B915" t="inlineStr">
        <is>
          <t>U-PI693-01-11</t>
        </is>
      </c>
      <c r="C915" t="inlineStr">
        <is>
          <t>Murugan Telecom Pte Ltd</t>
        </is>
      </c>
      <c r="D915" t="inlineStr">
        <is>
          <t>Mobile Phone &amp; Accessories</t>
        </is>
      </c>
      <c r="E915" s="2" t="n">
        <v>45809</v>
      </c>
      <c r="F915" s="2" t="n">
        <v>46904</v>
      </c>
      <c r="G915" s="3" t="n">
        <v>1050</v>
      </c>
      <c r="H915">
        <f>VLOOKUP(B915,Units!$A$2:$G$1646,2,FALSE)</f>
        <v/>
      </c>
      <c r="I915">
        <f>VLOOKUP(B915,Units!$A$2:$G$1646,5,FALSE)</f>
        <v/>
      </c>
      <c r="J915" s="3">
        <f>G915/I915</f>
        <v/>
      </c>
      <c r="K915" s="3">
        <f>G915*12</f>
        <v/>
      </c>
      <c r="L915" s="3" t="n">
        <v>3150</v>
      </c>
    </row>
    <row r="916">
      <c r="A916" t="inlineStr">
        <is>
          <t>TA-2025-00369</t>
        </is>
      </c>
      <c r="B916" t="inlineStr">
        <is>
          <t>U-RH425-01-06</t>
        </is>
      </c>
      <c r="C916" t="inlineStr">
        <is>
          <t>Prima Tuition Centre Pte Ltd</t>
        </is>
      </c>
      <c r="D916" t="inlineStr">
        <is>
          <t>Tuition Centre</t>
        </is>
      </c>
      <c r="E916" s="2" t="n">
        <v>45809</v>
      </c>
      <c r="F916" s="2" t="n">
        <v>46904</v>
      </c>
      <c r="G916" s="3" t="n">
        <v>3140</v>
      </c>
      <c r="H916">
        <f>VLOOKUP(B916,Units!$A$2:$G$1646,2,FALSE)</f>
        <v/>
      </c>
      <c r="I916">
        <f>VLOOKUP(B916,Units!$A$2:$G$1646,5,FALSE)</f>
        <v/>
      </c>
      <c r="J916" s="3">
        <f>G916/I916</f>
        <v/>
      </c>
      <c r="K916" s="3">
        <f>G916*12</f>
        <v/>
      </c>
      <c r="L916" s="3" t="n">
        <v>9420</v>
      </c>
    </row>
    <row r="917">
      <c r="A917" t="inlineStr">
        <is>
          <t>TA-2025-00370</t>
        </is>
      </c>
      <c r="B917" t="inlineStr">
        <is>
          <t>U-RH455-01-31</t>
        </is>
      </c>
      <c r="C917" t="inlineStr">
        <is>
          <t>Tan Brothers Minimart</t>
        </is>
      </c>
      <c r="D917" t="inlineStr">
        <is>
          <t>Minimart</t>
        </is>
      </c>
      <c r="E917" s="2" t="n">
        <v>45809</v>
      </c>
      <c r="F917" s="2" t="n">
        <v>46904</v>
      </c>
      <c r="G917" s="3" t="n">
        <v>3530</v>
      </c>
      <c r="H917">
        <f>VLOOKUP(B917,Units!$A$2:$G$1646,2,FALSE)</f>
        <v/>
      </c>
      <c r="I917">
        <f>VLOOKUP(B917,Units!$A$2:$G$1646,5,FALSE)</f>
        <v/>
      </c>
      <c r="J917" s="3">
        <f>G917/I917</f>
        <v/>
      </c>
      <c r="K917" s="3">
        <f>G917*12</f>
        <v/>
      </c>
      <c r="L917" s="3" t="n">
        <v>10590</v>
      </c>
    </row>
    <row r="918">
      <c r="A918" t="inlineStr">
        <is>
          <t>TA-2025-00371</t>
        </is>
      </c>
      <c r="B918" t="inlineStr">
        <is>
          <t>U-RH485-01-02</t>
        </is>
      </c>
      <c r="C918" t="inlineStr">
        <is>
          <t>Sri Ganesh Hardware &amp; Electrical</t>
        </is>
      </c>
      <c r="D918" t="inlineStr">
        <is>
          <t>Hardware</t>
        </is>
      </c>
      <c r="E918" s="2" t="n">
        <v>45809</v>
      </c>
      <c r="F918" s="2" t="n">
        <v>46904</v>
      </c>
      <c r="G918" s="3" t="n">
        <v>3030</v>
      </c>
      <c r="H918">
        <f>VLOOKUP(B918,Units!$A$2:$G$1646,2,FALSE)</f>
        <v/>
      </c>
      <c r="I918">
        <f>VLOOKUP(B918,Units!$A$2:$G$1646,5,FALSE)</f>
        <v/>
      </c>
      <c r="J918" s="3">
        <f>G918/I918</f>
        <v/>
      </c>
      <c r="K918" s="3">
        <f>G918*12</f>
        <v/>
      </c>
      <c r="L918" s="3" t="n">
        <v>9090</v>
      </c>
    </row>
    <row r="919">
      <c r="A919" t="inlineStr">
        <is>
          <t>TA-2025-00373</t>
        </is>
      </c>
      <c r="B919" t="inlineStr">
        <is>
          <t>U-ST501-01-04</t>
        </is>
      </c>
      <c r="C919" t="inlineStr">
        <is>
          <t>Hometown Supermarket Pte Ltd</t>
        </is>
      </c>
      <c r="D919" t="inlineStr">
        <is>
          <t>Minimart</t>
        </is>
      </c>
      <c r="E919" s="2" t="n">
        <v>45809</v>
      </c>
      <c r="F919" s="2" t="n">
        <v>46904</v>
      </c>
      <c r="G919" s="3" t="n">
        <v>4590</v>
      </c>
      <c r="H919">
        <f>VLOOKUP(B919,Units!$A$2:$G$1646,2,FALSE)</f>
        <v/>
      </c>
      <c r="I919">
        <f>VLOOKUP(B919,Units!$A$2:$G$1646,5,FALSE)</f>
        <v/>
      </c>
      <c r="J919" s="3">
        <f>G919/I919</f>
        <v/>
      </c>
      <c r="K919" s="3">
        <f>G919*12</f>
        <v/>
      </c>
      <c r="L919" s="3" t="n">
        <v>13770</v>
      </c>
    </row>
    <row r="920">
      <c r="A920" t="inlineStr">
        <is>
          <t>TA-2025-00374</t>
        </is>
      </c>
      <c r="B920" t="inlineStr">
        <is>
          <t>U-ST501-02-02</t>
        </is>
      </c>
      <c r="C920" t="inlineStr">
        <is>
          <t>Wong's Tuition Centre</t>
        </is>
      </c>
      <c r="D920" t="inlineStr">
        <is>
          <t>Tuition Centre</t>
        </is>
      </c>
      <c r="E920" s="2" t="n">
        <v>45809</v>
      </c>
      <c r="F920" s="2" t="n">
        <v>46904</v>
      </c>
      <c r="G920" s="3" t="n">
        <v>1250</v>
      </c>
      <c r="H920">
        <f>VLOOKUP(B920,Units!$A$2:$G$1646,2,FALSE)</f>
        <v/>
      </c>
      <c r="I920">
        <f>VLOOKUP(B920,Units!$A$2:$G$1646,5,FALSE)</f>
        <v/>
      </c>
      <c r="J920" s="3">
        <f>G920/I920</f>
        <v/>
      </c>
      <c r="K920" s="3">
        <f>G920*12</f>
        <v/>
      </c>
      <c r="L920" s="3" t="n">
        <v>3750</v>
      </c>
    </row>
    <row r="921">
      <c r="A921" t="inlineStr">
        <is>
          <t>TA-2025-00375</t>
        </is>
      </c>
      <c r="B921" t="inlineStr">
        <is>
          <t>U-ST512-01-08</t>
        </is>
      </c>
      <c r="C921" t="inlineStr">
        <is>
          <t>Harmony Telecom</t>
        </is>
      </c>
      <c r="D921" t="inlineStr">
        <is>
          <t>Mobile Phone &amp; Accessories</t>
        </is>
      </c>
      <c r="E921" s="2" t="n">
        <v>45809</v>
      </c>
      <c r="F921" s="2" t="n">
        <v>46904</v>
      </c>
      <c r="G921" s="3" t="n">
        <v>900</v>
      </c>
      <c r="H921">
        <f>VLOOKUP(B921,Units!$A$2:$G$1646,2,FALSE)</f>
        <v/>
      </c>
      <c r="I921">
        <f>VLOOKUP(B921,Units!$A$2:$G$1646,5,FALSE)</f>
        <v/>
      </c>
      <c r="J921" s="3">
        <f>G921/I921</f>
        <v/>
      </c>
      <c r="K921" s="3">
        <f>G921*12</f>
        <v/>
      </c>
      <c r="L921" s="3" t="n">
        <v>2700</v>
      </c>
    </row>
    <row r="922">
      <c r="A922" t="inlineStr">
        <is>
          <t>TA-2025-00376</t>
        </is>
      </c>
      <c r="B922" t="inlineStr">
        <is>
          <t>U-ST512-01-21</t>
        </is>
      </c>
      <c r="C922" t="inlineStr">
        <is>
          <t>Pinnacle Telecom Pte Ltd</t>
        </is>
      </c>
      <c r="D922" t="inlineStr">
        <is>
          <t>Mobile Phone &amp; Accessories</t>
        </is>
      </c>
      <c r="E922" s="2" t="n">
        <v>45809</v>
      </c>
      <c r="F922" s="2" t="n">
        <v>46904</v>
      </c>
      <c r="G922" s="3" t="n">
        <v>1810</v>
      </c>
      <c r="H922">
        <f>VLOOKUP(B922,Units!$A$2:$G$1646,2,FALSE)</f>
        <v/>
      </c>
      <c r="I922">
        <f>VLOOKUP(B922,Units!$A$2:$G$1646,5,FALSE)</f>
        <v/>
      </c>
      <c r="J922" s="3">
        <f>G922/I922</f>
        <v/>
      </c>
      <c r="K922" s="3">
        <f>G922*12</f>
        <v/>
      </c>
      <c r="L922" s="3" t="n">
        <v>5430</v>
      </c>
    </row>
    <row r="923">
      <c r="A923" t="inlineStr">
        <is>
          <t>TA-2025-00378</t>
        </is>
      </c>
      <c r="B923" t="inlineStr">
        <is>
          <t>U-ST535-01-05</t>
        </is>
      </c>
      <c r="C923" t="inlineStr">
        <is>
          <t>Kopi Corner Hair Studio Pte Ltd</t>
        </is>
      </c>
      <c r="D923" t="inlineStr">
        <is>
          <t>Hair Salon</t>
        </is>
      </c>
      <c r="E923" s="2" t="n">
        <v>45809</v>
      </c>
      <c r="F923" s="2" t="n">
        <v>46904</v>
      </c>
      <c r="G923" s="3" t="n">
        <v>4600</v>
      </c>
      <c r="H923">
        <f>VLOOKUP(B923,Units!$A$2:$G$1646,2,FALSE)</f>
        <v/>
      </c>
      <c r="I923">
        <f>VLOOKUP(B923,Units!$A$2:$G$1646,5,FALSE)</f>
        <v/>
      </c>
      <c r="J923" s="3">
        <f>G923/I923</f>
        <v/>
      </c>
      <c r="K923" s="3">
        <f>G923*12</f>
        <v/>
      </c>
      <c r="L923" s="3" t="n">
        <v>13800</v>
      </c>
    </row>
    <row r="924">
      <c r="A924" t="inlineStr">
        <is>
          <t>TA-2025-00380</t>
        </is>
      </c>
      <c r="B924" t="inlineStr">
        <is>
          <t>U-ST537-01-01</t>
        </is>
      </c>
      <c r="C924" t="inlineStr">
        <is>
          <t>Cahaya Cake House</t>
        </is>
      </c>
      <c r="D924" t="inlineStr">
        <is>
          <t>Bakery &amp; Confectionery</t>
        </is>
      </c>
      <c r="E924" s="2" t="n">
        <v>45809</v>
      </c>
      <c r="F924" s="2" t="n">
        <v>46904</v>
      </c>
      <c r="G924" s="3" t="n">
        <v>4440</v>
      </c>
      <c r="H924">
        <f>VLOOKUP(B924,Units!$A$2:$G$1646,2,FALSE)</f>
        <v/>
      </c>
      <c r="I924">
        <f>VLOOKUP(B924,Units!$A$2:$G$1646,5,FALSE)</f>
        <v/>
      </c>
      <c r="J924" s="3">
        <f>G924/I924</f>
        <v/>
      </c>
      <c r="K924" s="3">
        <f>G924*12</f>
        <v/>
      </c>
      <c r="L924" s="3" t="n">
        <v>13320</v>
      </c>
    </row>
    <row r="925">
      <c r="A925" t="inlineStr">
        <is>
          <t>TA-2025-00382</t>
        </is>
      </c>
      <c r="B925" t="inlineStr">
        <is>
          <t>U-ST566-02-06</t>
        </is>
      </c>
      <c r="C925" t="inlineStr">
        <is>
          <t>Ananda Kindergarten</t>
        </is>
      </c>
      <c r="D925" t="inlineStr">
        <is>
          <t>Childcare Centre</t>
        </is>
      </c>
      <c r="E925" s="2" t="n">
        <v>45809</v>
      </c>
      <c r="F925" s="2" t="n">
        <v>46904</v>
      </c>
      <c r="G925" s="3" t="n">
        <v>1890</v>
      </c>
      <c r="H925">
        <f>VLOOKUP(B925,Units!$A$2:$G$1646,2,FALSE)</f>
        <v/>
      </c>
      <c r="I925">
        <f>VLOOKUP(B925,Units!$A$2:$G$1646,5,FALSE)</f>
        <v/>
      </c>
      <c r="J925" s="3">
        <f>G925/I925</f>
        <v/>
      </c>
      <c r="K925" s="3">
        <f>G925*12</f>
        <v/>
      </c>
      <c r="L925" s="3" t="n">
        <v>5670</v>
      </c>
    </row>
    <row r="926">
      <c r="A926" t="inlineStr">
        <is>
          <t>TA-2025-00384</t>
        </is>
      </c>
      <c r="B926" t="inlineStr">
        <is>
          <t>U-ST589-01-07</t>
        </is>
      </c>
      <c r="C926" t="inlineStr">
        <is>
          <t>Sejahtera Trading</t>
        </is>
      </c>
      <c r="D926" t="inlineStr">
        <is>
          <t>Provision Shop</t>
        </is>
      </c>
      <c r="E926" s="2" t="n">
        <v>45809</v>
      </c>
      <c r="F926" s="2" t="n">
        <v>46904</v>
      </c>
      <c r="G926" s="3" t="n">
        <v>3560</v>
      </c>
      <c r="H926">
        <f>VLOOKUP(B926,Units!$A$2:$G$1646,2,FALSE)</f>
        <v/>
      </c>
      <c r="I926">
        <f>VLOOKUP(B926,Units!$A$2:$G$1646,5,FALSE)</f>
        <v/>
      </c>
      <c r="J926" s="3">
        <f>G926/I926</f>
        <v/>
      </c>
      <c r="K926" s="3">
        <f>G926*12</f>
        <v/>
      </c>
      <c r="L926" s="3" t="n">
        <v>10680</v>
      </c>
    </row>
    <row r="927">
      <c r="A927" t="inlineStr">
        <is>
          <t>TA-2025-00385</t>
        </is>
      </c>
      <c r="B927" t="inlineStr">
        <is>
          <t>U-ST591-01-01</t>
        </is>
      </c>
      <c r="C927" t="inlineStr">
        <is>
          <t>Golden Leaf Consultancy Pte Ltd</t>
        </is>
      </c>
      <c r="D927" t="inlineStr">
        <is>
          <t>Professional Services Office</t>
        </is>
      </c>
      <c r="E927" s="2" t="n">
        <v>45809</v>
      </c>
      <c r="F927" s="2" t="n">
        <v>46904</v>
      </c>
      <c r="G927" s="3" t="n">
        <v>2020</v>
      </c>
      <c r="H927">
        <f>VLOOKUP(B927,Units!$A$2:$G$1646,2,FALSE)</f>
        <v/>
      </c>
      <c r="I927">
        <f>VLOOKUP(B927,Units!$A$2:$G$1646,5,FALSE)</f>
        <v/>
      </c>
      <c r="J927" s="3">
        <f>G927/I927</f>
        <v/>
      </c>
      <c r="K927" s="3">
        <f>G927*12</f>
        <v/>
      </c>
      <c r="L927" s="3" t="n">
        <v>6060</v>
      </c>
    </row>
    <row r="928">
      <c r="A928" t="inlineStr">
        <is>
          <t>TA-2025-00386</t>
        </is>
      </c>
      <c r="B928" t="inlineStr">
        <is>
          <t>U-ST591-01-03</t>
        </is>
      </c>
      <c r="C928" t="inlineStr">
        <is>
          <t>Value Store</t>
        </is>
      </c>
      <c r="D928" t="inlineStr">
        <is>
          <t>Provision Shop</t>
        </is>
      </c>
      <c r="E928" s="2" t="n">
        <v>45809</v>
      </c>
      <c r="F928" s="2" t="n">
        <v>46904</v>
      </c>
      <c r="G928" s="3" t="n">
        <v>3480</v>
      </c>
      <c r="H928">
        <f>VLOOKUP(B928,Units!$A$2:$G$1646,2,FALSE)</f>
        <v/>
      </c>
      <c r="I928">
        <f>VLOOKUP(B928,Units!$A$2:$G$1646,5,FALSE)</f>
        <v/>
      </c>
      <c r="J928" s="3">
        <f>G928/I928</f>
        <v/>
      </c>
      <c r="K928" s="3">
        <f>G928*12</f>
        <v/>
      </c>
      <c r="L928" s="3" t="n">
        <v>10440</v>
      </c>
    </row>
    <row r="929">
      <c r="A929" t="inlineStr">
        <is>
          <t>TA-2025-00388</t>
        </is>
      </c>
      <c r="B929" t="inlineStr">
        <is>
          <t>U-BV212-01-02</t>
        </is>
      </c>
      <c r="C929" t="inlineStr">
        <is>
          <t>PrimeValue Mart Pte Ltd</t>
        </is>
      </c>
      <c r="D929" t="inlineStr">
        <is>
          <t>Minimart</t>
        </is>
      </c>
      <c r="E929" s="2" t="n">
        <v>45839</v>
      </c>
      <c r="F929" s="2" t="n">
        <v>46934</v>
      </c>
      <c r="G929" s="3" t="n">
        <v>3260</v>
      </c>
      <c r="H929">
        <f>VLOOKUP(B929,Units!$A$2:$G$1646,2,FALSE)</f>
        <v/>
      </c>
      <c r="I929">
        <f>VLOOKUP(B929,Units!$A$2:$G$1646,5,FALSE)</f>
        <v/>
      </c>
      <c r="J929" s="3">
        <f>G929/I929</f>
        <v/>
      </c>
      <c r="K929" s="3">
        <f>G929*12</f>
        <v/>
      </c>
      <c r="L929" s="3" t="n">
        <v>9780</v>
      </c>
    </row>
    <row r="930">
      <c r="A930" t="inlineStr">
        <is>
          <t>TA-2025-00389</t>
        </is>
      </c>
      <c r="B930" t="inlineStr">
        <is>
          <t>U-BV214-01-13</t>
        </is>
      </c>
      <c r="C930" t="inlineStr">
        <is>
          <t>Treasure Dry Cleaners Pte Ltd</t>
        </is>
      </c>
      <c r="D930" t="inlineStr">
        <is>
          <t>Laundry</t>
        </is>
      </c>
      <c r="E930" s="2" t="n">
        <v>45839</v>
      </c>
      <c r="F930" s="2" t="n">
        <v>46934</v>
      </c>
      <c r="G930" s="3" t="n">
        <v>2690</v>
      </c>
      <c r="H930">
        <f>VLOOKUP(B930,Units!$A$2:$G$1646,2,FALSE)</f>
        <v/>
      </c>
      <c r="I930">
        <f>VLOOKUP(B930,Units!$A$2:$G$1646,5,FALSE)</f>
        <v/>
      </c>
      <c r="J930" s="3">
        <f>G930/I930</f>
        <v/>
      </c>
      <c r="K930" s="3">
        <f>G930*12</f>
        <v/>
      </c>
      <c r="L930" s="3" t="n">
        <v>8070</v>
      </c>
    </row>
    <row r="931">
      <c r="A931" t="inlineStr">
        <is>
          <t>TA-2025-00390</t>
        </is>
      </c>
      <c r="B931" t="inlineStr">
        <is>
          <t>U-BV214-01-27</t>
        </is>
      </c>
      <c r="C931" t="inlineStr">
        <is>
          <t>Raja Dental Surgery</t>
        </is>
      </c>
      <c r="D931" t="inlineStr">
        <is>
          <t>Dental Clinic</t>
        </is>
      </c>
      <c r="E931" s="2" t="n">
        <v>45839</v>
      </c>
      <c r="F931" s="2" t="n">
        <v>46934</v>
      </c>
      <c r="G931" s="3" t="n">
        <v>3560</v>
      </c>
      <c r="H931">
        <f>VLOOKUP(B931,Units!$A$2:$G$1646,2,FALSE)</f>
        <v/>
      </c>
      <c r="I931">
        <f>VLOOKUP(B931,Units!$A$2:$G$1646,5,FALSE)</f>
        <v/>
      </c>
      <c r="J931" s="3">
        <f>G931/I931</f>
        <v/>
      </c>
      <c r="K931" s="3">
        <f>G931*12</f>
        <v/>
      </c>
      <c r="L931" s="3" t="n">
        <v>10680</v>
      </c>
    </row>
    <row r="932">
      <c r="A932" t="inlineStr">
        <is>
          <t>TA-2025-00392</t>
        </is>
      </c>
      <c r="B932" t="inlineStr">
        <is>
          <t>U-BV227-01-04</t>
        </is>
      </c>
      <c r="C932" t="inlineStr">
        <is>
          <t>Smart Kids Laundry</t>
        </is>
      </c>
      <c r="D932" t="inlineStr">
        <is>
          <t>Laundry</t>
        </is>
      </c>
      <c r="E932" s="2" t="n">
        <v>45839</v>
      </c>
      <c r="F932" s="2" t="n">
        <v>46934</v>
      </c>
      <c r="G932" s="3" t="n">
        <v>3220</v>
      </c>
      <c r="H932">
        <f>VLOOKUP(B932,Units!$A$2:$G$1646,2,FALSE)</f>
        <v/>
      </c>
      <c r="I932">
        <f>VLOOKUP(B932,Units!$A$2:$G$1646,5,FALSE)</f>
        <v/>
      </c>
      <c r="J932" s="3">
        <f>G932/I932</f>
        <v/>
      </c>
      <c r="K932" s="3">
        <f>G932*12</f>
        <v/>
      </c>
      <c r="L932" s="3" t="n">
        <v>9660</v>
      </c>
    </row>
    <row r="933">
      <c r="A933" t="inlineStr">
        <is>
          <t>TA-2025-00393</t>
        </is>
      </c>
      <c r="B933" t="inlineStr">
        <is>
          <t>U-BV230-01-03</t>
        </is>
      </c>
      <c r="C933" t="inlineStr">
        <is>
          <t>Sin Hock TCM Clinic Pte Ltd</t>
        </is>
      </c>
      <c r="D933" t="inlineStr">
        <is>
          <t>TCM Clinic</t>
        </is>
      </c>
      <c r="E933" s="2" t="n">
        <v>45839</v>
      </c>
      <c r="F933" s="2" t="n">
        <v>46934</v>
      </c>
      <c r="G933" s="3" t="n">
        <v>1560</v>
      </c>
      <c r="H933">
        <f>VLOOKUP(B933,Units!$A$2:$G$1646,2,FALSE)</f>
        <v/>
      </c>
      <c r="I933">
        <f>VLOOKUP(B933,Units!$A$2:$G$1646,5,FALSE)</f>
        <v/>
      </c>
      <c r="J933" s="3">
        <f>G933/I933</f>
        <v/>
      </c>
      <c r="K933" s="3">
        <f>G933*12</f>
        <v/>
      </c>
      <c r="L933" s="3" t="n">
        <v>4680</v>
      </c>
    </row>
    <row r="934">
      <c r="A934" t="inlineStr">
        <is>
          <t>TA-2025-00394</t>
        </is>
      </c>
      <c r="B934" t="inlineStr">
        <is>
          <t>U-BV273-01-07</t>
        </is>
      </c>
      <c r="C934" t="inlineStr">
        <is>
          <t>Green Leaf Bookstore Pte Ltd</t>
        </is>
      </c>
      <c r="D934" t="inlineStr">
        <is>
          <t>Stationery &amp; Books</t>
        </is>
      </c>
      <c r="E934" s="2" t="n">
        <v>45839</v>
      </c>
      <c r="F934" s="2" t="n">
        <v>46934</v>
      </c>
      <c r="G934" s="3" t="n">
        <v>3460</v>
      </c>
      <c r="H934">
        <f>VLOOKUP(B934,Units!$A$2:$G$1646,2,FALSE)</f>
        <v/>
      </c>
      <c r="I934">
        <f>VLOOKUP(B934,Units!$A$2:$G$1646,5,FALSE)</f>
        <v/>
      </c>
      <c r="J934" s="3">
        <f>G934/I934</f>
        <v/>
      </c>
      <c r="K934" s="3">
        <f>G934*12</f>
        <v/>
      </c>
      <c r="L934" s="3" t="n">
        <v>10380</v>
      </c>
    </row>
    <row r="935">
      <c r="A935" t="inlineStr">
        <is>
          <t>TA-2025-00395</t>
        </is>
      </c>
      <c r="B935" t="inlineStr">
        <is>
          <t>U-BV277-01-07</t>
        </is>
      </c>
      <c r="C935" t="inlineStr">
        <is>
          <t>Little Sprouts Mart</t>
        </is>
      </c>
      <c r="D935" t="inlineStr">
        <is>
          <t>Minimart</t>
        </is>
      </c>
      <c r="E935" s="2" t="n">
        <v>45839</v>
      </c>
      <c r="F935" s="2" t="n">
        <v>46934</v>
      </c>
      <c r="G935" s="3" t="n">
        <v>2420</v>
      </c>
      <c r="H935">
        <f>VLOOKUP(B935,Units!$A$2:$G$1646,2,FALSE)</f>
        <v/>
      </c>
      <c r="I935">
        <f>VLOOKUP(B935,Units!$A$2:$G$1646,5,FALSE)</f>
        <v/>
      </c>
      <c r="J935" s="3">
        <f>G935/I935</f>
        <v/>
      </c>
      <c r="K935" s="3">
        <f>G935*12</f>
        <v/>
      </c>
      <c r="L935" s="3" t="n">
        <v>7260</v>
      </c>
    </row>
    <row r="936">
      <c r="A936" t="inlineStr">
        <is>
          <t>TA-2025-00397</t>
        </is>
      </c>
      <c r="B936" t="inlineStr">
        <is>
          <t>U-BV279-01-04</t>
        </is>
      </c>
      <c r="C936" t="inlineStr">
        <is>
          <t>Wellcare Key &amp; Shoe Service Pte Ltd</t>
        </is>
      </c>
      <c r="D936" t="inlineStr">
        <is>
          <t>Key Cutting &amp; Shoe Repair</t>
        </is>
      </c>
      <c r="E936" s="2" t="n">
        <v>45839</v>
      </c>
      <c r="F936" s="2" t="n">
        <v>46934</v>
      </c>
      <c r="G936" s="3" t="n">
        <v>900</v>
      </c>
      <c r="H936">
        <f>VLOOKUP(B936,Units!$A$2:$G$1646,2,FALSE)</f>
        <v/>
      </c>
      <c r="I936">
        <f>VLOOKUP(B936,Units!$A$2:$G$1646,5,FALSE)</f>
        <v/>
      </c>
      <c r="J936" s="3">
        <f>G936/I936</f>
        <v/>
      </c>
      <c r="K936" s="3">
        <f>G936*12</f>
        <v/>
      </c>
      <c r="L936" s="3" t="n">
        <v>2700</v>
      </c>
    </row>
    <row r="937">
      <c r="A937" t="inlineStr">
        <is>
          <t>TA-2025-00399</t>
        </is>
      </c>
      <c r="B937" t="inlineStr">
        <is>
          <t>U-BV296-01-07</t>
        </is>
      </c>
      <c r="C937" t="inlineStr">
        <is>
          <t>Harmony Dry Cleaners Pte Ltd</t>
        </is>
      </c>
      <c r="D937" t="inlineStr">
        <is>
          <t>Laundry</t>
        </is>
      </c>
      <c r="E937" s="2" t="n">
        <v>45839</v>
      </c>
      <c r="F937" s="2" t="n">
        <v>46934</v>
      </c>
      <c r="G937" s="3" t="n">
        <v>3220</v>
      </c>
      <c r="H937">
        <f>VLOOKUP(B937,Units!$A$2:$G$1646,2,FALSE)</f>
        <v/>
      </c>
      <c r="I937">
        <f>VLOOKUP(B937,Units!$A$2:$G$1646,5,FALSE)</f>
        <v/>
      </c>
      <c r="J937" s="3">
        <f>G937/I937</f>
        <v/>
      </c>
      <c r="K937" s="3">
        <f>G937*12</f>
        <v/>
      </c>
      <c r="L937" s="3" t="n">
        <v>9660</v>
      </c>
    </row>
    <row r="938">
      <c r="A938" t="inlineStr">
        <is>
          <t>TA-2025-00400</t>
        </is>
      </c>
      <c r="B938" t="inlineStr">
        <is>
          <t>U-BV297-02-06</t>
        </is>
      </c>
      <c r="C938" t="inlineStr">
        <is>
          <t>Silver Moon Education Hub Pte Ltd</t>
        </is>
      </c>
      <c r="D938" t="inlineStr">
        <is>
          <t>Tuition Centre</t>
        </is>
      </c>
      <c r="E938" s="2" t="n">
        <v>45839</v>
      </c>
      <c r="F938" s="2" t="n">
        <v>46934</v>
      </c>
      <c r="G938" s="3" t="n">
        <v>2600</v>
      </c>
      <c r="H938">
        <f>VLOOKUP(B938,Units!$A$2:$G$1646,2,FALSE)</f>
        <v/>
      </c>
      <c r="I938">
        <f>VLOOKUP(B938,Units!$A$2:$G$1646,5,FALSE)</f>
        <v/>
      </c>
      <c r="J938" s="3">
        <f>G938/I938</f>
        <v/>
      </c>
      <c r="K938" s="3">
        <f>G938*12</f>
        <v/>
      </c>
      <c r="L938" s="3" t="n">
        <v>7800</v>
      </c>
    </row>
    <row r="939">
      <c r="A939" t="inlineStr">
        <is>
          <t>TA-2025-00402</t>
        </is>
      </c>
      <c r="B939" t="inlineStr">
        <is>
          <t>U-CD118-01-07</t>
        </is>
      </c>
      <c r="C939" t="inlineStr">
        <is>
          <t>Lucky Star Tuition Centre</t>
        </is>
      </c>
      <c r="D939" t="inlineStr">
        <is>
          <t>Tuition Centre</t>
        </is>
      </c>
      <c r="E939" s="2" t="n">
        <v>45839</v>
      </c>
      <c r="F939" s="2" t="n">
        <v>46934</v>
      </c>
      <c r="G939" s="3" t="n">
        <v>2400</v>
      </c>
      <c r="H939">
        <f>VLOOKUP(B939,Units!$A$2:$G$1646,2,FALSE)</f>
        <v/>
      </c>
      <c r="I939">
        <f>VLOOKUP(B939,Units!$A$2:$G$1646,5,FALSE)</f>
        <v/>
      </c>
      <c r="J939" s="3">
        <f>G939/I939</f>
        <v/>
      </c>
      <c r="K939" s="3">
        <f>G939*12</f>
        <v/>
      </c>
      <c r="L939" s="3" t="n">
        <v>7200</v>
      </c>
    </row>
    <row r="940">
      <c r="A940" t="inlineStr">
        <is>
          <t>TA-2025-00403</t>
        </is>
      </c>
      <c r="B940" t="inlineStr">
        <is>
          <t>U-CD118-01-17</t>
        </is>
      </c>
      <c r="C940" t="inlineStr">
        <is>
          <t>Sin Hock Hardware Pte Ltd</t>
        </is>
      </c>
      <c r="D940" t="inlineStr">
        <is>
          <t>Hardware</t>
        </is>
      </c>
      <c r="E940" s="2" t="n">
        <v>45839</v>
      </c>
      <c r="F940" s="2" t="n">
        <v>46934</v>
      </c>
      <c r="G940" s="3" t="n">
        <v>2820</v>
      </c>
      <c r="H940">
        <f>VLOOKUP(B940,Units!$A$2:$G$1646,2,FALSE)</f>
        <v/>
      </c>
      <c r="I940">
        <f>VLOOKUP(B940,Units!$A$2:$G$1646,5,FALSE)</f>
        <v/>
      </c>
      <c r="J940" s="3">
        <f>G940/I940</f>
        <v/>
      </c>
      <c r="K940" s="3">
        <f>G940*12</f>
        <v/>
      </c>
      <c r="L940" s="3" t="n">
        <v>8460</v>
      </c>
    </row>
    <row r="941">
      <c r="A941" t="inlineStr">
        <is>
          <t>TA-2025-00404</t>
        </is>
      </c>
      <c r="B941" t="inlineStr">
        <is>
          <t>U-CD118-01-25</t>
        </is>
      </c>
      <c r="C941" t="inlineStr">
        <is>
          <t>Gold Coin Eye Centre</t>
        </is>
      </c>
      <c r="D941" t="inlineStr">
        <is>
          <t>Optical</t>
        </is>
      </c>
      <c r="E941" s="2" t="n">
        <v>45839</v>
      </c>
      <c r="F941" s="2" t="n">
        <v>46934</v>
      </c>
      <c r="G941" s="3" t="n">
        <v>3650</v>
      </c>
      <c r="H941">
        <f>VLOOKUP(B941,Units!$A$2:$G$1646,2,FALSE)</f>
        <v/>
      </c>
      <c r="I941">
        <f>VLOOKUP(B941,Units!$A$2:$G$1646,5,FALSE)</f>
        <v/>
      </c>
      <c r="J941" s="3">
        <f>G941/I941</f>
        <v/>
      </c>
      <c r="K941" s="3">
        <f>G941*12</f>
        <v/>
      </c>
      <c r="L941" s="3" t="n">
        <v>10950</v>
      </c>
    </row>
    <row r="942">
      <c r="A942" t="inlineStr">
        <is>
          <t>TA-2025-00405</t>
        </is>
      </c>
      <c r="B942" t="inlineStr">
        <is>
          <t>U-CD136-01-05</t>
        </is>
      </c>
      <c r="C942" t="inlineStr">
        <is>
          <t>Siva Learning Centre Pte Ltd</t>
        </is>
      </c>
      <c r="D942" t="inlineStr">
        <is>
          <t>Tuition Centre</t>
        </is>
      </c>
      <c r="E942" s="2" t="n">
        <v>45839</v>
      </c>
      <c r="F942" s="2" t="n">
        <v>46934</v>
      </c>
      <c r="G942" s="3" t="n">
        <v>2500</v>
      </c>
      <c r="H942">
        <f>VLOOKUP(B942,Units!$A$2:$G$1646,2,FALSE)</f>
        <v/>
      </c>
      <c r="I942">
        <f>VLOOKUP(B942,Units!$A$2:$G$1646,5,FALSE)</f>
        <v/>
      </c>
      <c r="J942" s="3">
        <f>G942/I942</f>
        <v/>
      </c>
      <c r="K942" s="3">
        <f>G942*12</f>
        <v/>
      </c>
      <c r="L942" s="3" t="n">
        <v>7500</v>
      </c>
    </row>
    <row r="943">
      <c r="A943" t="inlineStr">
        <is>
          <t>TA-2025-00406</t>
        </is>
      </c>
      <c r="B943" t="inlineStr">
        <is>
          <t>U-CD174-01-06</t>
        </is>
      </c>
      <c r="C943" t="inlineStr">
        <is>
          <t>Peng Kee Hardware Pte Ltd</t>
        </is>
      </c>
      <c r="D943" t="inlineStr">
        <is>
          <t>Hardware</t>
        </is>
      </c>
      <c r="E943" s="2" t="n">
        <v>45839</v>
      </c>
      <c r="F943" s="2" t="n">
        <v>46934</v>
      </c>
      <c r="G943" s="3" t="n">
        <v>5470</v>
      </c>
      <c r="H943">
        <f>VLOOKUP(B943,Units!$A$2:$G$1646,2,FALSE)</f>
        <v/>
      </c>
      <c r="I943">
        <f>VLOOKUP(B943,Units!$A$2:$G$1646,5,FALSE)</f>
        <v/>
      </c>
      <c r="J943" s="3">
        <f>G943/I943</f>
        <v/>
      </c>
      <c r="K943" s="3">
        <f>G943*12</f>
        <v/>
      </c>
      <c r="L943" s="3" t="n">
        <v>16410</v>
      </c>
    </row>
    <row r="944">
      <c r="A944" t="inlineStr">
        <is>
          <t>TA-2025-00408</t>
        </is>
      </c>
      <c r="B944" t="inlineStr">
        <is>
          <t>U-CD189-01-09</t>
        </is>
      </c>
      <c r="C944" t="inlineStr">
        <is>
          <t>Harmony Florist</t>
        </is>
      </c>
      <c r="D944" t="inlineStr">
        <is>
          <t>Florist</t>
        </is>
      </c>
      <c r="E944" s="2" t="n">
        <v>45839</v>
      </c>
      <c r="F944" s="2" t="n">
        <v>46934</v>
      </c>
      <c r="G944" s="3" t="n">
        <v>1270</v>
      </c>
      <c r="H944">
        <f>VLOOKUP(B944,Units!$A$2:$G$1646,2,FALSE)</f>
        <v/>
      </c>
      <c r="I944">
        <f>VLOOKUP(B944,Units!$A$2:$G$1646,5,FALSE)</f>
        <v/>
      </c>
      <c r="J944" s="3">
        <f>G944/I944</f>
        <v/>
      </c>
      <c r="K944" s="3">
        <f>G944*12</f>
        <v/>
      </c>
      <c r="L944" s="3" t="n">
        <v>3810</v>
      </c>
    </row>
    <row r="945">
      <c r="A945" t="inlineStr">
        <is>
          <t>TA-2025-00409</t>
        </is>
      </c>
      <c r="B945" t="inlineStr">
        <is>
          <t>U-CD189-02-01</t>
        </is>
      </c>
      <c r="C945" t="inlineStr">
        <is>
          <t>Happy Paws Clinic &amp; Surgery Pte Ltd</t>
        </is>
      </c>
      <c r="D945" t="inlineStr">
        <is>
          <t>GP Clinic</t>
        </is>
      </c>
      <c r="E945" s="2" t="n">
        <v>45839</v>
      </c>
      <c r="F945" s="2" t="n">
        <v>46934</v>
      </c>
      <c r="G945" s="3" t="n">
        <v>2450</v>
      </c>
      <c r="H945">
        <f>VLOOKUP(B945,Units!$A$2:$G$1646,2,FALSE)</f>
        <v/>
      </c>
      <c r="I945">
        <f>VLOOKUP(B945,Units!$A$2:$G$1646,5,FALSE)</f>
        <v/>
      </c>
      <c r="J945" s="3">
        <f>G945/I945</f>
        <v/>
      </c>
      <c r="K945" s="3">
        <f>G945*12</f>
        <v/>
      </c>
      <c r="L945" s="3" t="n">
        <v>7350</v>
      </c>
    </row>
    <row r="946">
      <c r="A946" t="inlineStr">
        <is>
          <t>TA-2025-00411</t>
        </is>
      </c>
      <c r="B946" t="inlineStr">
        <is>
          <t>U-KR310-01-02</t>
        </is>
      </c>
      <c r="C946" t="inlineStr">
        <is>
          <t>Barakah Hardware Pte Ltd</t>
        </is>
      </c>
      <c r="D946" t="inlineStr">
        <is>
          <t>Hardware</t>
        </is>
      </c>
      <c r="E946" s="2" t="n">
        <v>45839</v>
      </c>
      <c r="F946" s="2" t="n">
        <v>46934</v>
      </c>
      <c r="G946" s="3" t="n">
        <v>3370</v>
      </c>
      <c r="H946">
        <f>VLOOKUP(B946,Units!$A$2:$G$1646,2,FALSE)</f>
        <v/>
      </c>
      <c r="I946">
        <f>VLOOKUP(B946,Units!$A$2:$G$1646,5,FALSE)</f>
        <v/>
      </c>
      <c r="J946" s="3">
        <f>G946/I946</f>
        <v/>
      </c>
      <c r="K946" s="3">
        <f>G946*12</f>
        <v/>
      </c>
      <c r="L946" s="3" t="n">
        <v>10110</v>
      </c>
    </row>
    <row r="947">
      <c r="A947" t="inlineStr">
        <is>
          <t>TA-2025-00413</t>
        </is>
      </c>
      <c r="B947" t="inlineStr">
        <is>
          <t>U-KR310-01-05</t>
        </is>
      </c>
      <c r="C947" t="inlineStr">
        <is>
          <t>Green Leaf Mart Pte Ltd</t>
        </is>
      </c>
      <c r="D947" t="inlineStr">
        <is>
          <t>Minimart</t>
        </is>
      </c>
      <c r="E947" s="2" t="n">
        <v>45839</v>
      </c>
      <c r="F947" s="2" t="n">
        <v>46934</v>
      </c>
      <c r="G947" s="3" t="n">
        <v>4490</v>
      </c>
      <c r="H947">
        <f>VLOOKUP(B947,Units!$A$2:$G$1646,2,FALSE)</f>
        <v/>
      </c>
      <c r="I947">
        <f>VLOOKUP(B947,Units!$A$2:$G$1646,5,FALSE)</f>
        <v/>
      </c>
      <c r="J947" s="3">
        <f>G947/I947</f>
        <v/>
      </c>
      <c r="K947" s="3">
        <f>G947*12</f>
        <v/>
      </c>
      <c r="L947" s="3" t="n">
        <v>13470</v>
      </c>
    </row>
    <row r="948">
      <c r="A948" t="inlineStr">
        <is>
          <t>TA-2025-00414</t>
        </is>
      </c>
      <c r="B948" t="inlineStr">
        <is>
          <t>U-KR318-01-09</t>
        </is>
      </c>
      <c r="C948" t="inlineStr">
        <is>
          <t>Kumar Family Clinic</t>
        </is>
      </c>
      <c r="D948" t="inlineStr">
        <is>
          <t>GP Clinic</t>
        </is>
      </c>
      <c r="E948" s="2" t="n">
        <v>45839</v>
      </c>
      <c r="F948" s="2" t="n">
        <v>46934</v>
      </c>
      <c r="G948" s="3" t="n">
        <v>3340</v>
      </c>
      <c r="H948">
        <f>VLOOKUP(B948,Units!$A$2:$G$1646,2,FALSE)</f>
        <v/>
      </c>
      <c r="I948">
        <f>VLOOKUP(B948,Units!$A$2:$G$1646,5,FALSE)</f>
        <v/>
      </c>
      <c r="J948" s="3">
        <f>G948/I948</f>
        <v/>
      </c>
      <c r="K948" s="3">
        <f>G948*12</f>
        <v/>
      </c>
      <c r="L948" s="3" t="n">
        <v>10020</v>
      </c>
    </row>
    <row r="949">
      <c r="A949" t="inlineStr">
        <is>
          <t>TA-2025-00415</t>
        </is>
      </c>
      <c r="B949" t="inlineStr">
        <is>
          <t>U-KR323-01-07</t>
        </is>
      </c>
      <c r="C949" t="inlineStr">
        <is>
          <t>Unity Clinic &amp; Surgery</t>
        </is>
      </c>
      <c r="D949" t="inlineStr">
        <is>
          <t>GP Clinic</t>
        </is>
      </c>
      <c r="E949" s="2" t="n">
        <v>45839</v>
      </c>
      <c r="F949" s="2" t="n">
        <v>46934</v>
      </c>
      <c r="G949" s="3" t="n">
        <v>4280</v>
      </c>
      <c r="H949">
        <f>VLOOKUP(B949,Units!$A$2:$G$1646,2,FALSE)</f>
        <v/>
      </c>
      <c r="I949">
        <f>VLOOKUP(B949,Units!$A$2:$G$1646,5,FALSE)</f>
        <v/>
      </c>
      <c r="J949" s="3">
        <f>G949/I949</f>
        <v/>
      </c>
      <c r="K949" s="3">
        <f>G949*12</f>
        <v/>
      </c>
      <c r="L949" s="3" t="n">
        <v>12840</v>
      </c>
    </row>
    <row r="950">
      <c r="A950" t="inlineStr">
        <is>
          <t>TA-2025-00417</t>
        </is>
      </c>
      <c r="B950" t="inlineStr">
        <is>
          <t>U-KR329-01-11</t>
        </is>
      </c>
      <c r="C950" t="inlineStr">
        <is>
          <t>Green Leaf Hair Salon</t>
        </is>
      </c>
      <c r="D950" t="inlineStr">
        <is>
          <t>Hair Salon</t>
        </is>
      </c>
      <c r="E950" s="2" t="n">
        <v>45839</v>
      </c>
      <c r="F950" s="2" t="n">
        <v>46934</v>
      </c>
      <c r="G950" s="3" t="n">
        <v>4160</v>
      </c>
      <c r="H950">
        <f>VLOOKUP(B950,Units!$A$2:$G$1646,2,FALSE)</f>
        <v/>
      </c>
      <c r="I950">
        <f>VLOOKUP(B950,Units!$A$2:$G$1646,5,FALSE)</f>
        <v/>
      </c>
      <c r="J950" s="3">
        <f>G950/I950</f>
        <v/>
      </c>
      <c r="K950" s="3">
        <f>G950*12</f>
        <v/>
      </c>
      <c r="L950" s="3" t="n">
        <v>12480</v>
      </c>
    </row>
    <row r="951">
      <c r="A951" t="inlineStr">
        <is>
          <t>TA-2025-00418</t>
        </is>
      </c>
      <c r="B951" t="inlineStr">
        <is>
          <t>U-KR359-01-02</t>
        </is>
      </c>
      <c r="C951" t="inlineStr">
        <is>
          <t>Cahaya Hair Studio Pte Ltd</t>
        </is>
      </c>
      <c r="D951" t="inlineStr">
        <is>
          <t>Hair Salon</t>
        </is>
      </c>
      <c r="E951" s="2" t="n">
        <v>45839</v>
      </c>
      <c r="F951" s="2" t="n">
        <v>46934</v>
      </c>
      <c r="G951" s="3" t="n">
        <v>3680</v>
      </c>
      <c r="H951">
        <f>VLOOKUP(B951,Units!$A$2:$G$1646,2,FALSE)</f>
        <v/>
      </c>
      <c r="I951">
        <f>VLOOKUP(B951,Units!$A$2:$G$1646,5,FALSE)</f>
        <v/>
      </c>
      <c r="J951" s="3">
        <f>G951/I951</f>
        <v/>
      </c>
      <c r="K951" s="3">
        <f>G951*12</f>
        <v/>
      </c>
      <c r="L951" s="3" t="n">
        <v>11040</v>
      </c>
    </row>
    <row r="952">
      <c r="A952" t="inlineStr">
        <is>
          <t>TA-2025-00419</t>
        </is>
      </c>
      <c r="B952" t="inlineStr">
        <is>
          <t>U-KR362-01-08</t>
        </is>
      </c>
      <c r="C952" t="inlineStr">
        <is>
          <t>Gold Coin Supermarket Pte Ltd</t>
        </is>
      </c>
      <c r="D952" t="inlineStr">
        <is>
          <t>Minimart</t>
        </is>
      </c>
      <c r="E952" s="2" t="n">
        <v>45839</v>
      </c>
      <c r="F952" s="2" t="n">
        <v>46934</v>
      </c>
      <c r="G952" s="3" t="n">
        <v>3820</v>
      </c>
      <c r="H952">
        <f>VLOOKUP(B952,Units!$A$2:$G$1646,2,FALSE)</f>
        <v/>
      </c>
      <c r="I952">
        <f>VLOOKUP(B952,Units!$A$2:$G$1646,5,FALSE)</f>
        <v/>
      </c>
      <c r="J952" s="3">
        <f>G952/I952</f>
        <v/>
      </c>
      <c r="K952" s="3">
        <f>G952*12</f>
        <v/>
      </c>
      <c r="L952" s="3" t="n">
        <v>11460</v>
      </c>
    </row>
    <row r="953">
      <c r="A953" t="inlineStr">
        <is>
          <t>TA-2025-00421</t>
        </is>
      </c>
      <c r="B953" t="inlineStr">
        <is>
          <t>U-KR362-02-01</t>
        </is>
      </c>
      <c r="C953" t="inlineStr">
        <is>
          <t>Fortune Tuition Centre</t>
        </is>
      </c>
      <c r="D953" t="inlineStr">
        <is>
          <t>Tuition Centre</t>
        </is>
      </c>
      <c r="E953" s="2" t="n">
        <v>45839</v>
      </c>
      <c r="F953" s="2" t="n">
        <v>46934</v>
      </c>
      <c r="G953" s="3" t="n">
        <v>3180</v>
      </c>
      <c r="H953">
        <f>VLOOKUP(B953,Units!$A$2:$G$1646,2,FALSE)</f>
        <v/>
      </c>
      <c r="I953">
        <f>VLOOKUP(B953,Units!$A$2:$G$1646,5,FALSE)</f>
        <v/>
      </c>
      <c r="J953" s="3">
        <f>G953/I953</f>
        <v/>
      </c>
      <c r="K953" s="3">
        <f>G953*12</f>
        <v/>
      </c>
      <c r="L953" s="3" t="n">
        <v>9540</v>
      </c>
    </row>
    <row r="954">
      <c r="A954" t="inlineStr">
        <is>
          <t>TA-2025-00422</t>
        </is>
      </c>
      <c r="B954" t="inlineStr">
        <is>
          <t>U-KR385-01-06</t>
        </is>
      </c>
      <c r="C954" t="inlineStr">
        <is>
          <t>Old Town Money Changer</t>
        </is>
      </c>
      <c r="D954" t="inlineStr">
        <is>
          <t>Remittance &amp; Money Changer</t>
        </is>
      </c>
      <c r="E954" s="2" t="n">
        <v>45839</v>
      </c>
      <c r="F954" s="2" t="n">
        <v>46934</v>
      </c>
      <c r="G954" s="3" t="n">
        <v>3830</v>
      </c>
      <c r="H954">
        <f>VLOOKUP(B954,Units!$A$2:$G$1646,2,FALSE)</f>
        <v/>
      </c>
      <c r="I954">
        <f>VLOOKUP(B954,Units!$A$2:$G$1646,5,FALSE)</f>
        <v/>
      </c>
      <c r="J954" s="3">
        <f>G954/I954</f>
        <v/>
      </c>
      <c r="K954" s="3">
        <f>G954*12</f>
        <v/>
      </c>
      <c r="L954" s="3" t="n">
        <v>11490</v>
      </c>
    </row>
    <row r="955">
      <c r="A955" t="inlineStr">
        <is>
          <t>TA-2025-00424</t>
        </is>
      </c>
      <c r="B955" t="inlineStr">
        <is>
          <t>U-KR386-01-06</t>
        </is>
      </c>
      <c r="C955" t="inlineStr">
        <is>
          <t>Gold Coin Pet Shop</t>
        </is>
      </c>
      <c r="D955" t="inlineStr">
        <is>
          <t>Pet Shop</t>
        </is>
      </c>
      <c r="E955" s="2" t="n">
        <v>45839</v>
      </c>
      <c r="F955" s="2" t="n">
        <v>46934</v>
      </c>
      <c r="G955" s="3" t="n">
        <v>4820</v>
      </c>
      <c r="H955">
        <f>VLOOKUP(B955,Units!$A$2:$G$1646,2,FALSE)</f>
        <v/>
      </c>
      <c r="I955">
        <f>VLOOKUP(B955,Units!$A$2:$G$1646,5,FALSE)</f>
        <v/>
      </c>
      <c r="J955" s="3">
        <f>G955/I955</f>
        <v/>
      </c>
      <c r="K955" s="3">
        <f>G955*12</f>
        <v/>
      </c>
      <c r="L955" s="3" t="n">
        <v>14460</v>
      </c>
    </row>
    <row r="956">
      <c r="A956" t="inlineStr">
        <is>
          <t>TA-2025-00426</t>
        </is>
      </c>
      <c r="B956" t="inlineStr">
        <is>
          <t>U-PI601-01-05</t>
        </is>
      </c>
      <c r="C956" t="inlineStr">
        <is>
          <t>Bayu Bakery Pte Ltd</t>
        </is>
      </c>
      <c r="D956" t="inlineStr">
        <is>
          <t>Bakery &amp; Confectionery</t>
        </is>
      </c>
      <c r="E956" s="2" t="n">
        <v>45839</v>
      </c>
      <c r="F956" s="2" t="n">
        <v>46934</v>
      </c>
      <c r="G956" s="3" t="n">
        <v>4600</v>
      </c>
      <c r="H956">
        <f>VLOOKUP(B956,Units!$A$2:$G$1646,2,FALSE)</f>
        <v/>
      </c>
      <c r="I956">
        <f>VLOOKUP(B956,Units!$A$2:$G$1646,5,FALSE)</f>
        <v/>
      </c>
      <c r="J956" s="3">
        <f>G956/I956</f>
        <v/>
      </c>
      <c r="K956" s="3">
        <f>G956*12</f>
        <v/>
      </c>
      <c r="L956" s="3" t="n">
        <v>13800</v>
      </c>
    </row>
    <row r="957">
      <c r="A957" t="inlineStr">
        <is>
          <t>TA-2025-00427</t>
        </is>
      </c>
      <c r="B957" t="inlineStr">
        <is>
          <t>U-PI614-01-03</t>
        </is>
      </c>
      <c r="C957" t="inlineStr">
        <is>
          <t>Kumar Mobile</t>
        </is>
      </c>
      <c r="D957" t="inlineStr">
        <is>
          <t>Mobile Phone &amp; Accessories</t>
        </is>
      </c>
      <c r="E957" s="2" t="n">
        <v>45839</v>
      </c>
      <c r="F957" s="2" t="n">
        <v>46934</v>
      </c>
      <c r="G957" s="3" t="n">
        <v>900</v>
      </c>
      <c r="H957">
        <f>VLOOKUP(B957,Units!$A$2:$G$1646,2,FALSE)</f>
        <v/>
      </c>
      <c r="I957">
        <f>VLOOKUP(B957,Units!$A$2:$G$1646,5,FALSE)</f>
        <v/>
      </c>
      <c r="J957" s="3">
        <f>G957/I957</f>
        <v/>
      </c>
      <c r="K957" s="3">
        <f>G957*12</f>
        <v/>
      </c>
      <c r="L957" s="3" t="n">
        <v>2700</v>
      </c>
    </row>
    <row r="958">
      <c r="A958" t="inlineStr">
        <is>
          <t>TA-2025-00428</t>
        </is>
      </c>
      <c r="B958" t="inlineStr">
        <is>
          <t>U-PI644-01-03</t>
        </is>
      </c>
      <c r="C958" t="inlineStr">
        <is>
          <t>Bayu Telecom</t>
        </is>
      </c>
      <c r="D958" t="inlineStr">
        <is>
          <t>Mobile Phone &amp; Accessories</t>
        </is>
      </c>
      <c r="E958" s="2" t="n">
        <v>45839</v>
      </c>
      <c r="F958" s="2" t="n">
        <v>46934</v>
      </c>
      <c r="G958" s="3" t="n">
        <v>2640</v>
      </c>
      <c r="H958">
        <f>VLOOKUP(B958,Units!$A$2:$G$1646,2,FALSE)</f>
        <v/>
      </c>
      <c r="I958">
        <f>VLOOKUP(B958,Units!$A$2:$G$1646,5,FALSE)</f>
        <v/>
      </c>
      <c r="J958" s="3">
        <f>G958/I958</f>
        <v/>
      </c>
      <c r="K958" s="3">
        <f>G958*12</f>
        <v/>
      </c>
      <c r="L958" s="3" t="n">
        <v>7920</v>
      </c>
    </row>
    <row r="959">
      <c r="A959" t="inlineStr">
        <is>
          <t>TA-2025-00429</t>
        </is>
      </c>
      <c r="B959" t="inlineStr">
        <is>
          <t>U-PI651-01-02</t>
        </is>
      </c>
      <c r="C959" t="inlineStr">
        <is>
          <t>Lucky Star Kitchen Pte Ltd</t>
        </is>
      </c>
      <c r="D959" t="inlineStr">
        <is>
          <t>Restaurant</t>
        </is>
      </c>
      <c r="E959" s="2" t="n">
        <v>45839</v>
      </c>
      <c r="F959" s="2" t="n">
        <v>46934</v>
      </c>
      <c r="G959" s="3" t="n">
        <v>4180</v>
      </c>
      <c r="H959">
        <f>VLOOKUP(B959,Units!$A$2:$G$1646,2,FALSE)</f>
        <v/>
      </c>
      <c r="I959">
        <f>VLOOKUP(B959,Units!$A$2:$G$1646,5,FALSE)</f>
        <v/>
      </c>
      <c r="J959" s="3">
        <f>G959/I959</f>
        <v/>
      </c>
      <c r="K959" s="3">
        <f>G959*12</f>
        <v/>
      </c>
      <c r="L959" s="3" t="n">
        <v>12540</v>
      </c>
    </row>
    <row r="960">
      <c r="A960" t="inlineStr">
        <is>
          <t>TA-2025-00430</t>
        </is>
      </c>
      <c r="B960" t="inlineStr">
        <is>
          <t>U-PI651-01-05</t>
        </is>
      </c>
      <c r="C960" t="inlineStr">
        <is>
          <t>PrimeValue Mart Pte Ltd</t>
        </is>
      </c>
      <c r="D960" t="inlineStr">
        <is>
          <t>Minimart</t>
        </is>
      </c>
      <c r="E960" s="2" t="n">
        <v>45839</v>
      </c>
      <c r="F960" s="2" t="n">
        <v>46934</v>
      </c>
      <c r="G960" s="3" t="n">
        <v>3340</v>
      </c>
      <c r="H960">
        <f>VLOOKUP(B960,Units!$A$2:$G$1646,2,FALSE)</f>
        <v/>
      </c>
      <c r="I960">
        <f>VLOOKUP(B960,Units!$A$2:$G$1646,5,FALSE)</f>
        <v/>
      </c>
      <c r="J960" s="3">
        <f>G960/I960</f>
        <v/>
      </c>
      <c r="K960" s="3">
        <f>G960*12</f>
        <v/>
      </c>
      <c r="L960" s="3" t="n">
        <v>10020</v>
      </c>
    </row>
    <row r="961">
      <c r="A961" t="inlineStr">
        <is>
          <t>TA-2025-00432</t>
        </is>
      </c>
      <c r="B961" t="inlineStr">
        <is>
          <t>U-PI667-01-11</t>
        </is>
      </c>
      <c r="C961" t="inlineStr">
        <is>
          <t>Kampung Flowers &amp; Gifts</t>
        </is>
      </c>
      <c r="D961" t="inlineStr">
        <is>
          <t>Florist</t>
        </is>
      </c>
      <c r="E961" s="2" t="n">
        <v>45839</v>
      </c>
      <c r="F961" s="2" t="n">
        <v>46934</v>
      </c>
      <c r="G961" s="3" t="n">
        <v>1970</v>
      </c>
      <c r="H961">
        <f>VLOOKUP(B961,Units!$A$2:$G$1646,2,FALSE)</f>
        <v/>
      </c>
      <c r="I961">
        <f>VLOOKUP(B961,Units!$A$2:$G$1646,5,FALSE)</f>
        <v/>
      </c>
      <c r="J961" s="3">
        <f>G961/I961</f>
        <v/>
      </c>
      <c r="K961" s="3">
        <f>G961*12</f>
        <v/>
      </c>
      <c r="L961" s="3" t="n">
        <v>5910</v>
      </c>
    </row>
    <row r="962">
      <c r="A962" t="inlineStr">
        <is>
          <t>TA-2025-00433</t>
        </is>
      </c>
      <c r="B962" t="inlineStr">
        <is>
          <t>U-PI679-01-04</t>
        </is>
      </c>
      <c r="C962" t="inlineStr">
        <is>
          <t>Daily Fresh Snacks</t>
        </is>
      </c>
      <c r="D962" t="inlineStr">
        <is>
          <t>Snack Kiosk</t>
        </is>
      </c>
      <c r="E962" s="2" t="n">
        <v>45839</v>
      </c>
      <c r="F962" s="2" t="n">
        <v>46934</v>
      </c>
      <c r="G962" s="3" t="n">
        <v>900</v>
      </c>
      <c r="H962">
        <f>VLOOKUP(B962,Units!$A$2:$G$1646,2,FALSE)</f>
        <v/>
      </c>
      <c r="I962">
        <f>VLOOKUP(B962,Units!$A$2:$G$1646,5,FALSE)</f>
        <v/>
      </c>
      <c r="J962" s="3">
        <f>G962/I962</f>
        <v/>
      </c>
      <c r="K962" s="3">
        <f>G962*12</f>
        <v/>
      </c>
      <c r="L962" s="3" t="n">
        <v>2700</v>
      </c>
    </row>
    <row r="963">
      <c r="A963" t="inlineStr">
        <is>
          <t>TA-2025-00435</t>
        </is>
      </c>
      <c r="B963" t="inlineStr">
        <is>
          <t>U-RH434-01-05</t>
        </is>
      </c>
      <c r="C963" t="inlineStr">
        <is>
          <t>Kopi Corner Mobile Pte Ltd</t>
        </is>
      </c>
      <c r="D963" t="inlineStr">
        <is>
          <t>Mobile Phone &amp; Accessories</t>
        </is>
      </c>
      <c r="E963" s="2" t="n">
        <v>45839</v>
      </c>
      <c r="F963" s="2" t="n">
        <v>46934</v>
      </c>
      <c r="G963" s="3" t="n">
        <v>1050</v>
      </c>
      <c r="H963">
        <f>VLOOKUP(B963,Units!$A$2:$G$1646,2,FALSE)</f>
        <v/>
      </c>
      <c r="I963">
        <f>VLOOKUP(B963,Units!$A$2:$G$1646,5,FALSE)</f>
        <v/>
      </c>
      <c r="J963" s="3">
        <f>G963/I963</f>
        <v/>
      </c>
      <c r="K963" s="3">
        <f>G963*12</f>
        <v/>
      </c>
      <c r="L963" s="3" t="n">
        <v>3150</v>
      </c>
    </row>
    <row r="964">
      <c r="A964" t="inlineStr">
        <is>
          <t>TA-2025-00436</t>
        </is>
      </c>
      <c r="B964" t="inlineStr">
        <is>
          <t>U-RH450-01-01</t>
        </is>
      </c>
      <c r="C964" t="inlineStr">
        <is>
          <t>Ever Joy Pharmacy</t>
        </is>
      </c>
      <c r="D964" t="inlineStr">
        <is>
          <t>Pharmacy</t>
        </is>
      </c>
      <c r="E964" s="2" t="n">
        <v>45839</v>
      </c>
      <c r="F964" s="2" t="n">
        <v>46934</v>
      </c>
      <c r="G964" s="3" t="n">
        <v>4570</v>
      </c>
      <c r="H964">
        <f>VLOOKUP(B964,Units!$A$2:$G$1646,2,FALSE)</f>
        <v/>
      </c>
      <c r="I964">
        <f>VLOOKUP(B964,Units!$A$2:$G$1646,5,FALSE)</f>
        <v/>
      </c>
      <c r="J964" s="3">
        <f>G964/I964</f>
        <v/>
      </c>
      <c r="K964" s="3">
        <f>G964*12</f>
        <v/>
      </c>
      <c r="L964" s="3" t="n">
        <v>13710</v>
      </c>
    </row>
    <row r="965">
      <c r="A965" t="inlineStr">
        <is>
          <t>TA-2025-00437</t>
        </is>
      </c>
      <c r="B965" t="inlineStr">
        <is>
          <t>U-RH450-01-02</t>
        </is>
      </c>
      <c r="C965" t="inlineStr">
        <is>
          <t>Jade Garden Locksmith Pte Ltd</t>
        </is>
      </c>
      <c r="D965" t="inlineStr">
        <is>
          <t>Key Cutting &amp; Shoe Repair</t>
        </is>
      </c>
      <c r="E965" s="2" t="n">
        <v>45839</v>
      </c>
      <c r="F965" s="2" t="n">
        <v>46934</v>
      </c>
      <c r="G965" s="3" t="n">
        <v>1090</v>
      </c>
      <c r="H965">
        <f>VLOOKUP(B965,Units!$A$2:$G$1646,2,FALSE)</f>
        <v/>
      </c>
      <c r="I965">
        <f>VLOOKUP(B965,Units!$A$2:$G$1646,5,FALSE)</f>
        <v/>
      </c>
      <c r="J965" s="3">
        <f>G965/I965</f>
        <v/>
      </c>
      <c r="K965" s="3">
        <f>G965*12</f>
        <v/>
      </c>
      <c r="L965" s="3" t="n">
        <v>3270</v>
      </c>
    </row>
    <row r="966">
      <c r="A966" t="inlineStr">
        <is>
          <t>TA-2025-00438</t>
        </is>
      </c>
      <c r="B966" t="inlineStr">
        <is>
          <t>U-RH460-01-08</t>
        </is>
      </c>
      <c r="C966" t="inlineStr">
        <is>
          <t>Teck Guan Hardware &amp; Electrical</t>
        </is>
      </c>
      <c r="D966" t="inlineStr">
        <is>
          <t>Hardware</t>
        </is>
      </c>
      <c r="E966" s="2" t="n">
        <v>45839</v>
      </c>
      <c r="F966" s="2" t="n">
        <v>46934</v>
      </c>
      <c r="G966" s="3" t="n">
        <v>2580</v>
      </c>
      <c r="H966">
        <f>VLOOKUP(B966,Units!$A$2:$G$1646,2,FALSE)</f>
        <v/>
      </c>
      <c r="I966">
        <f>VLOOKUP(B966,Units!$A$2:$G$1646,5,FALSE)</f>
        <v/>
      </c>
      <c r="J966" s="3">
        <f>G966/I966</f>
        <v/>
      </c>
      <c r="K966" s="3">
        <f>G966*12</f>
        <v/>
      </c>
      <c r="L966" s="3" t="n">
        <v>7740</v>
      </c>
    </row>
    <row r="967">
      <c r="A967" t="inlineStr">
        <is>
          <t>TA-2025-00440</t>
        </is>
      </c>
      <c r="B967" t="inlineStr">
        <is>
          <t>U-RH464-01-03</t>
        </is>
      </c>
      <c r="C967" t="inlineStr">
        <is>
          <t>Hometown TCM Clinic</t>
        </is>
      </c>
      <c r="D967" t="inlineStr">
        <is>
          <t>TCM Clinic</t>
        </is>
      </c>
      <c r="E967" s="2" t="n">
        <v>45839</v>
      </c>
      <c r="F967" s="2" t="n">
        <v>46934</v>
      </c>
      <c r="G967" s="3" t="n">
        <v>2690</v>
      </c>
      <c r="H967">
        <f>VLOOKUP(B967,Units!$A$2:$G$1646,2,FALSE)</f>
        <v/>
      </c>
      <c r="I967">
        <f>VLOOKUP(B967,Units!$A$2:$G$1646,5,FALSE)</f>
        <v/>
      </c>
      <c r="J967" s="3">
        <f>G967/I967</f>
        <v/>
      </c>
      <c r="K967" s="3">
        <f>G967*12</f>
        <v/>
      </c>
      <c r="L967" s="3" t="n">
        <v>8070</v>
      </c>
    </row>
    <row r="968">
      <c r="A968" t="inlineStr">
        <is>
          <t>TA-2025-00442</t>
        </is>
      </c>
      <c r="B968" t="inlineStr">
        <is>
          <t>U-RH482-01-01</t>
        </is>
      </c>
      <c r="C968" t="inlineStr">
        <is>
          <t>Wong's Beauty &amp; Hair</t>
        </is>
      </c>
      <c r="D968" t="inlineStr">
        <is>
          <t>Hair Salon</t>
        </is>
      </c>
      <c r="E968" s="2" t="n">
        <v>45839</v>
      </c>
      <c r="F968" s="2" t="n">
        <v>46934</v>
      </c>
      <c r="G968" s="3" t="n">
        <v>5210</v>
      </c>
      <c r="H968">
        <f>VLOOKUP(B968,Units!$A$2:$G$1646,2,FALSE)</f>
        <v/>
      </c>
      <c r="I968">
        <f>VLOOKUP(B968,Units!$A$2:$G$1646,5,FALSE)</f>
        <v/>
      </c>
      <c r="J968" s="3">
        <f>G968/I968</f>
        <v/>
      </c>
      <c r="K968" s="3">
        <f>G968*12</f>
        <v/>
      </c>
      <c r="L968" s="3" t="n">
        <v>15630</v>
      </c>
    </row>
    <row r="969">
      <c r="A969" t="inlineStr">
        <is>
          <t>TA-2025-00444</t>
        </is>
      </c>
      <c r="B969" t="inlineStr">
        <is>
          <t>U-ST528-01-09</t>
        </is>
      </c>
      <c r="C969" t="inlineStr">
        <is>
          <t>PrimeValue Mart Pte Ltd</t>
        </is>
      </c>
      <c r="D969" t="inlineStr">
        <is>
          <t>Minimart</t>
        </is>
      </c>
      <c r="E969" s="2" t="n">
        <v>45839</v>
      </c>
      <c r="F969" s="2" t="n">
        <v>46934</v>
      </c>
      <c r="G969" s="3" t="n">
        <v>4410</v>
      </c>
      <c r="H969">
        <f>VLOOKUP(B969,Units!$A$2:$G$1646,2,FALSE)</f>
        <v/>
      </c>
      <c r="I969">
        <f>VLOOKUP(B969,Units!$A$2:$G$1646,5,FALSE)</f>
        <v/>
      </c>
      <c r="J969" s="3">
        <f>G969/I969</f>
        <v/>
      </c>
      <c r="K969" s="3">
        <f>G969*12</f>
        <v/>
      </c>
      <c r="L969" s="3" t="n">
        <v>13230</v>
      </c>
    </row>
    <row r="970">
      <c r="A970" t="inlineStr">
        <is>
          <t>TA-2025-00445</t>
        </is>
      </c>
      <c r="B970" t="inlineStr">
        <is>
          <t>U-ST528-01-10</t>
        </is>
      </c>
      <c r="C970" t="inlineStr">
        <is>
          <t>Kim Hiap TCM Clinic</t>
        </is>
      </c>
      <c r="D970" t="inlineStr">
        <is>
          <t>TCM Clinic</t>
        </is>
      </c>
      <c r="E970" s="2" t="n">
        <v>45839</v>
      </c>
      <c r="F970" s="2" t="n">
        <v>46934</v>
      </c>
      <c r="G970" s="3" t="n">
        <v>1620</v>
      </c>
      <c r="H970">
        <f>VLOOKUP(B970,Units!$A$2:$G$1646,2,FALSE)</f>
        <v/>
      </c>
      <c r="I970">
        <f>VLOOKUP(B970,Units!$A$2:$G$1646,5,FALSE)</f>
        <v/>
      </c>
      <c r="J970" s="3">
        <f>G970/I970</f>
        <v/>
      </c>
      <c r="K970" s="3">
        <f>G970*12</f>
        <v/>
      </c>
      <c r="L970" s="3" t="n">
        <v>4860</v>
      </c>
    </row>
    <row r="971">
      <c r="A971" t="inlineStr">
        <is>
          <t>TA-2025-00446</t>
        </is>
      </c>
      <c r="B971" t="inlineStr">
        <is>
          <t>U-ST528-02-12</t>
        </is>
      </c>
      <c r="C971" t="inlineStr">
        <is>
          <t>Gold Coin Education Hub</t>
        </is>
      </c>
      <c r="D971" t="inlineStr">
        <is>
          <t>Tuition Centre</t>
        </is>
      </c>
      <c r="E971" s="2" t="n">
        <v>45839</v>
      </c>
      <c r="F971" s="2" t="n">
        <v>46934</v>
      </c>
      <c r="G971" s="3" t="n">
        <v>3850</v>
      </c>
      <c r="H971">
        <f>VLOOKUP(B971,Units!$A$2:$G$1646,2,FALSE)</f>
        <v/>
      </c>
      <c r="I971">
        <f>VLOOKUP(B971,Units!$A$2:$G$1646,5,FALSE)</f>
        <v/>
      </c>
      <c r="J971" s="3">
        <f>G971/I971</f>
        <v/>
      </c>
      <c r="K971" s="3">
        <f>G971*12</f>
        <v/>
      </c>
      <c r="L971" s="3" t="n">
        <v>11550</v>
      </c>
    </row>
    <row r="972">
      <c r="A972" t="inlineStr">
        <is>
          <t>TA-2025-00448</t>
        </is>
      </c>
      <c r="B972" t="inlineStr">
        <is>
          <t>U-ST536-01-04</t>
        </is>
      </c>
      <c r="C972" t="inlineStr">
        <is>
          <t>Smart Kids Cake House</t>
        </is>
      </c>
      <c r="D972" t="inlineStr">
        <is>
          <t>Bakery &amp; Confectionery</t>
        </is>
      </c>
      <c r="E972" s="2" t="n">
        <v>45839</v>
      </c>
      <c r="F972" s="2" t="n">
        <v>46934</v>
      </c>
      <c r="G972" s="3" t="n">
        <v>3230</v>
      </c>
      <c r="H972">
        <f>VLOOKUP(B972,Units!$A$2:$G$1646,2,FALSE)</f>
        <v/>
      </c>
      <c r="I972">
        <f>VLOOKUP(B972,Units!$A$2:$G$1646,5,FALSE)</f>
        <v/>
      </c>
      <c r="J972" s="3">
        <f>G972/I972</f>
        <v/>
      </c>
      <c r="K972" s="3">
        <f>G972*12</f>
        <v/>
      </c>
      <c r="L972" s="3" t="n">
        <v>9690</v>
      </c>
    </row>
    <row r="973">
      <c r="A973" t="inlineStr">
        <is>
          <t>TA-2025-00450</t>
        </is>
      </c>
      <c r="B973" t="inlineStr">
        <is>
          <t>U-ST544-01-02</t>
        </is>
      </c>
      <c r="C973" t="inlineStr">
        <is>
          <t>Blue Pearl Kitchen Pte Ltd</t>
        </is>
      </c>
      <c r="D973" t="inlineStr">
        <is>
          <t>Restaurant</t>
        </is>
      </c>
      <c r="E973" s="2" t="n">
        <v>45839</v>
      </c>
      <c r="F973" s="2" t="n">
        <v>46934</v>
      </c>
      <c r="G973" s="3" t="n">
        <v>2750</v>
      </c>
      <c r="H973">
        <f>VLOOKUP(B973,Units!$A$2:$G$1646,2,FALSE)</f>
        <v/>
      </c>
      <c r="I973">
        <f>VLOOKUP(B973,Units!$A$2:$G$1646,5,FALSE)</f>
        <v/>
      </c>
      <c r="J973" s="3">
        <f>G973/I973</f>
        <v/>
      </c>
      <c r="K973" s="3">
        <f>G973*12</f>
        <v/>
      </c>
      <c r="L973" s="3" t="n">
        <v>8250</v>
      </c>
    </row>
    <row r="974">
      <c r="A974" t="inlineStr">
        <is>
          <t>TA-2025-00451</t>
        </is>
      </c>
      <c r="B974" t="inlineStr">
        <is>
          <t>U-ST545-01-04</t>
        </is>
      </c>
      <c r="C974" t="inlineStr">
        <is>
          <t>Joo Chiat Trading</t>
        </is>
      </c>
      <c r="D974" t="inlineStr">
        <is>
          <t>Provision Shop</t>
        </is>
      </c>
      <c r="E974" s="2" t="n">
        <v>45839</v>
      </c>
      <c r="F974" s="2" t="n">
        <v>46934</v>
      </c>
      <c r="G974" s="3" t="n">
        <v>2730</v>
      </c>
      <c r="H974">
        <f>VLOOKUP(B974,Units!$A$2:$G$1646,2,FALSE)</f>
        <v/>
      </c>
      <c r="I974">
        <f>VLOOKUP(B974,Units!$A$2:$G$1646,5,FALSE)</f>
        <v/>
      </c>
      <c r="J974" s="3">
        <f>G974/I974</f>
        <v/>
      </c>
      <c r="K974" s="3">
        <f>G974*12</f>
        <v/>
      </c>
      <c r="L974" s="3" t="n">
        <v>8190</v>
      </c>
    </row>
    <row r="975">
      <c r="A975" t="inlineStr">
        <is>
          <t>TA-2025-00453</t>
        </is>
      </c>
      <c r="B975" t="inlineStr">
        <is>
          <t>U-ST590-01-09</t>
        </is>
      </c>
      <c r="C975" t="inlineStr">
        <is>
          <t>Gold Coin Stationery Pte Ltd</t>
        </is>
      </c>
      <c r="D975" t="inlineStr">
        <is>
          <t>Stationery &amp; Books</t>
        </is>
      </c>
      <c r="E975" s="2" t="n">
        <v>45839</v>
      </c>
      <c r="F975" s="2" t="n">
        <v>46934</v>
      </c>
      <c r="G975" s="3" t="n">
        <v>3390</v>
      </c>
      <c r="H975">
        <f>VLOOKUP(B975,Units!$A$2:$G$1646,2,FALSE)</f>
        <v/>
      </c>
      <c r="I975">
        <f>VLOOKUP(B975,Units!$A$2:$G$1646,5,FALSE)</f>
        <v/>
      </c>
      <c r="J975" s="3">
        <f>G975/I975</f>
        <v/>
      </c>
      <c r="K975" s="3">
        <f>G975*12</f>
        <v/>
      </c>
      <c r="L975" s="3" t="n">
        <v>10170</v>
      </c>
    </row>
    <row r="976">
      <c r="A976" t="inlineStr">
        <is>
          <t>TA-2025-00454</t>
        </is>
      </c>
      <c r="B976" t="inlineStr">
        <is>
          <t>U-ST591-01-06</t>
        </is>
      </c>
      <c r="C976" t="inlineStr">
        <is>
          <t>Bayu Medical Clinic</t>
        </is>
      </c>
      <c r="D976" t="inlineStr">
        <is>
          <t>GP Clinic</t>
        </is>
      </c>
      <c r="E976" s="2" t="n">
        <v>45839</v>
      </c>
      <c r="F976" s="2" t="n">
        <v>46934</v>
      </c>
      <c r="G976" s="3" t="n">
        <v>4240</v>
      </c>
      <c r="H976">
        <f>VLOOKUP(B976,Units!$A$2:$G$1646,2,FALSE)</f>
        <v/>
      </c>
      <c r="I976">
        <f>VLOOKUP(B976,Units!$A$2:$G$1646,5,FALSE)</f>
        <v/>
      </c>
      <c r="J976" s="3">
        <f>G976/I976</f>
        <v/>
      </c>
      <c r="K976" s="3">
        <f>G976*12</f>
        <v/>
      </c>
      <c r="L976" s="3" t="n">
        <v>12720</v>
      </c>
    </row>
    <row r="977">
      <c r="A977" t="inlineStr">
        <is>
          <t>TA-2025-00456</t>
        </is>
      </c>
      <c r="B977" t="inlineStr">
        <is>
          <t>U-ST596-01-05</t>
        </is>
      </c>
      <c r="C977" t="inlineStr">
        <is>
          <t>Hup Seng Supermarket Pte Ltd</t>
        </is>
      </c>
      <c r="D977" t="inlineStr">
        <is>
          <t>Minimart</t>
        </is>
      </c>
      <c r="E977" s="2" t="n">
        <v>45839</v>
      </c>
      <c r="F977" s="2" t="n">
        <v>46934</v>
      </c>
      <c r="G977" s="3" t="n">
        <v>3020</v>
      </c>
      <c r="H977">
        <f>VLOOKUP(B977,Units!$A$2:$G$1646,2,FALSE)</f>
        <v/>
      </c>
      <c r="I977">
        <f>VLOOKUP(B977,Units!$A$2:$G$1646,5,FALSE)</f>
        <v/>
      </c>
      <c r="J977" s="3">
        <f>G977/I977</f>
        <v/>
      </c>
      <c r="K977" s="3">
        <f>G977*12</f>
        <v/>
      </c>
      <c r="L977" s="3" t="n">
        <v>9060</v>
      </c>
    </row>
    <row r="978">
      <c r="A978" t="inlineStr">
        <is>
          <t>TA-2025-00458</t>
        </is>
      </c>
      <c r="B978" t="inlineStr">
        <is>
          <t>U-BV205-01-10</t>
        </is>
      </c>
      <c r="C978" t="inlineStr">
        <is>
          <t>Teck Guan Tuition Centre</t>
        </is>
      </c>
      <c r="D978" t="inlineStr">
        <is>
          <t>Tuition Centre</t>
        </is>
      </c>
      <c r="E978" s="2" t="n">
        <v>45870</v>
      </c>
      <c r="F978" s="2" t="n">
        <v>46965</v>
      </c>
      <c r="G978" s="3" t="n">
        <v>4840</v>
      </c>
      <c r="H978">
        <f>VLOOKUP(B978,Units!$A$2:$G$1646,2,FALSE)</f>
        <v/>
      </c>
      <c r="I978">
        <f>VLOOKUP(B978,Units!$A$2:$G$1646,5,FALSE)</f>
        <v/>
      </c>
      <c r="J978" s="3">
        <f>G978/I978</f>
        <v/>
      </c>
      <c r="K978" s="3">
        <f>G978*12</f>
        <v/>
      </c>
      <c r="L978" s="3" t="n">
        <v>14520</v>
      </c>
    </row>
    <row r="979">
      <c r="A979" t="inlineStr">
        <is>
          <t>TA-2025-00459</t>
        </is>
      </c>
      <c r="B979" t="inlineStr">
        <is>
          <t>U-BV212-01-08</t>
        </is>
      </c>
      <c r="C979" t="inlineStr">
        <is>
          <t>Kumar Key &amp; Shoe Service Pte Ltd</t>
        </is>
      </c>
      <c r="D979" t="inlineStr">
        <is>
          <t>Key Cutting &amp; Shoe Repair</t>
        </is>
      </c>
      <c r="E979" s="2" t="n">
        <v>45870</v>
      </c>
      <c r="F979" s="2" t="n">
        <v>46965</v>
      </c>
      <c r="G979" s="3" t="n">
        <v>1650</v>
      </c>
      <c r="H979">
        <f>VLOOKUP(B979,Units!$A$2:$G$1646,2,FALSE)</f>
        <v/>
      </c>
      <c r="I979">
        <f>VLOOKUP(B979,Units!$A$2:$G$1646,5,FALSE)</f>
        <v/>
      </c>
      <c r="J979" s="3">
        <f>G979/I979</f>
        <v/>
      </c>
      <c r="K979" s="3">
        <f>G979*12</f>
        <v/>
      </c>
      <c r="L979" s="3" t="n">
        <v>4950</v>
      </c>
    </row>
    <row r="980">
      <c r="A980" t="inlineStr">
        <is>
          <t>TA-2025-00460</t>
        </is>
      </c>
      <c r="B980" t="inlineStr">
        <is>
          <t>U-BV214-01-08</t>
        </is>
      </c>
      <c r="C980" t="inlineStr">
        <is>
          <t>Pinnacle Medical Clinic Pte Ltd</t>
        </is>
      </c>
      <c r="D980" t="inlineStr">
        <is>
          <t>GP Clinic</t>
        </is>
      </c>
      <c r="E980" s="2" t="n">
        <v>45870</v>
      </c>
      <c r="F980" s="2" t="n">
        <v>46965</v>
      </c>
      <c r="G980" s="3" t="n">
        <v>4840</v>
      </c>
      <c r="H980">
        <f>VLOOKUP(B980,Units!$A$2:$G$1646,2,FALSE)</f>
        <v/>
      </c>
      <c r="I980">
        <f>VLOOKUP(B980,Units!$A$2:$G$1646,5,FALSE)</f>
        <v/>
      </c>
      <c r="J980" s="3">
        <f>G980/I980</f>
        <v/>
      </c>
      <c r="K980" s="3">
        <f>G980*12</f>
        <v/>
      </c>
      <c r="L980" s="3" t="n">
        <v>14520</v>
      </c>
    </row>
    <row r="981">
      <c r="A981" t="inlineStr">
        <is>
          <t>TA-2025-00461</t>
        </is>
      </c>
      <c r="B981" t="inlineStr">
        <is>
          <t>U-BV216-01-06</t>
        </is>
      </c>
      <c r="C981" t="inlineStr">
        <is>
          <t>Sin Hock Medical Clinic Pte Ltd</t>
        </is>
      </c>
      <c r="D981" t="inlineStr">
        <is>
          <t>GP Clinic</t>
        </is>
      </c>
      <c r="E981" s="2" t="n">
        <v>45870</v>
      </c>
      <c r="F981" s="2" t="n">
        <v>46965</v>
      </c>
      <c r="G981" s="3" t="n">
        <v>3300</v>
      </c>
      <c r="H981">
        <f>VLOOKUP(B981,Units!$A$2:$G$1646,2,FALSE)</f>
        <v/>
      </c>
      <c r="I981">
        <f>VLOOKUP(B981,Units!$A$2:$G$1646,5,FALSE)</f>
        <v/>
      </c>
      <c r="J981" s="3">
        <f>G981/I981</f>
        <v/>
      </c>
      <c r="K981" s="3">
        <f>G981*12</f>
        <v/>
      </c>
      <c r="L981" s="3" t="n">
        <v>9900</v>
      </c>
    </row>
    <row r="982">
      <c r="A982" t="inlineStr">
        <is>
          <t>TA-2025-00462</t>
        </is>
      </c>
      <c r="B982" t="inlineStr">
        <is>
          <t>U-BV237-01-07</t>
        </is>
      </c>
      <c r="C982" t="inlineStr">
        <is>
          <t>Ever Joy Supermarket Pte Ltd</t>
        </is>
      </c>
      <c r="D982" t="inlineStr">
        <is>
          <t>Minimart</t>
        </is>
      </c>
      <c r="E982" s="2" t="n">
        <v>45870</v>
      </c>
      <c r="F982" s="2" t="n">
        <v>46965</v>
      </c>
      <c r="G982" s="3" t="n">
        <v>3450</v>
      </c>
      <c r="H982">
        <f>VLOOKUP(B982,Units!$A$2:$G$1646,2,FALSE)</f>
        <v/>
      </c>
      <c r="I982">
        <f>VLOOKUP(B982,Units!$A$2:$G$1646,5,FALSE)</f>
        <v/>
      </c>
      <c r="J982" s="3">
        <f>G982/I982</f>
        <v/>
      </c>
      <c r="K982" s="3">
        <f>G982*12</f>
        <v/>
      </c>
      <c r="L982" s="3" t="n">
        <v>10350</v>
      </c>
    </row>
    <row r="983">
      <c r="A983" t="inlineStr">
        <is>
          <t>TA-2025-00464</t>
        </is>
      </c>
      <c r="B983" t="inlineStr">
        <is>
          <t>U-BV256-01-07</t>
        </is>
      </c>
      <c r="C983" t="inlineStr">
        <is>
          <t>Heng Ann Dental Surgery</t>
        </is>
      </c>
      <c r="D983" t="inlineStr">
        <is>
          <t>Dental Clinic</t>
        </is>
      </c>
      <c r="E983" s="2" t="n">
        <v>45870</v>
      </c>
      <c r="F983" s="2" t="n">
        <v>46965</v>
      </c>
      <c r="G983" s="3" t="n">
        <v>6530</v>
      </c>
      <c r="H983">
        <f>VLOOKUP(B983,Units!$A$2:$G$1646,2,FALSE)</f>
        <v/>
      </c>
      <c r="I983">
        <f>VLOOKUP(B983,Units!$A$2:$G$1646,5,FALSE)</f>
        <v/>
      </c>
      <c r="J983" s="3">
        <f>G983/I983</f>
        <v/>
      </c>
      <c r="K983" s="3">
        <f>G983*12</f>
        <v/>
      </c>
      <c r="L983" s="3" t="n">
        <v>19590</v>
      </c>
    </row>
    <row r="984">
      <c r="A984" t="inlineStr">
        <is>
          <t>TA-2025-00465</t>
        </is>
      </c>
      <c r="B984" t="inlineStr">
        <is>
          <t>U-BV266-01-03</t>
        </is>
      </c>
      <c r="C984" t="inlineStr">
        <is>
          <t>Golden Leaf Tuition Centre Pte Ltd</t>
        </is>
      </c>
      <c r="D984" t="inlineStr">
        <is>
          <t>Tuition Centre</t>
        </is>
      </c>
      <c r="E984" s="2" t="n">
        <v>45870</v>
      </c>
      <c r="F984" s="2" t="n">
        <v>46965</v>
      </c>
      <c r="G984" s="3" t="n">
        <v>1980</v>
      </c>
      <c r="H984">
        <f>VLOOKUP(B984,Units!$A$2:$G$1646,2,FALSE)</f>
        <v/>
      </c>
      <c r="I984">
        <f>VLOOKUP(B984,Units!$A$2:$G$1646,5,FALSE)</f>
        <v/>
      </c>
      <c r="J984" s="3">
        <f>G984/I984</f>
        <v/>
      </c>
      <c r="K984" s="3">
        <f>G984*12</f>
        <v/>
      </c>
      <c r="L984" s="3" t="n">
        <v>5940</v>
      </c>
    </row>
    <row r="985">
      <c r="A985" t="inlineStr">
        <is>
          <t>TA-2025-00466</t>
        </is>
      </c>
      <c r="B985" t="inlineStr">
        <is>
          <t>U-BV266-01-08</t>
        </is>
      </c>
      <c r="C985" t="inlineStr">
        <is>
          <t>Unity Provision Shop</t>
        </is>
      </c>
      <c r="D985" t="inlineStr">
        <is>
          <t>Provision Shop</t>
        </is>
      </c>
      <c r="E985" s="2" t="n">
        <v>45870</v>
      </c>
      <c r="F985" s="2" t="n">
        <v>46965</v>
      </c>
      <c r="G985" s="3" t="n">
        <v>2460</v>
      </c>
      <c r="H985">
        <f>VLOOKUP(B985,Units!$A$2:$G$1646,2,FALSE)</f>
        <v/>
      </c>
      <c r="I985">
        <f>VLOOKUP(B985,Units!$A$2:$G$1646,5,FALSE)</f>
        <v/>
      </c>
      <c r="J985" s="3">
        <f>G985/I985</f>
        <v/>
      </c>
      <c r="K985" s="3">
        <f>G985*12</f>
        <v/>
      </c>
      <c r="L985" s="3" t="n">
        <v>7380</v>
      </c>
    </row>
    <row r="986">
      <c r="A986" t="inlineStr">
        <is>
          <t>TA-2025-00468</t>
        </is>
      </c>
      <c r="B986" t="inlineStr">
        <is>
          <t>U-BV277-01-11</t>
        </is>
      </c>
      <c r="C986" t="inlineStr">
        <is>
          <t>Ah Seng Mart Pte Ltd</t>
        </is>
      </c>
      <c r="D986" t="inlineStr">
        <is>
          <t>Minimart</t>
        </is>
      </c>
      <c r="E986" s="2" t="n">
        <v>45870</v>
      </c>
      <c r="F986" s="2" t="n">
        <v>46965</v>
      </c>
      <c r="G986" s="3" t="n">
        <v>3380</v>
      </c>
      <c r="H986">
        <f>VLOOKUP(B986,Units!$A$2:$G$1646,2,FALSE)</f>
        <v/>
      </c>
      <c r="I986">
        <f>VLOOKUP(B986,Units!$A$2:$G$1646,5,FALSE)</f>
        <v/>
      </c>
      <c r="J986" s="3">
        <f>G986/I986</f>
        <v/>
      </c>
      <c r="K986" s="3">
        <f>G986*12</f>
        <v/>
      </c>
      <c r="L986" s="3" t="n">
        <v>10140</v>
      </c>
    </row>
    <row r="987">
      <c r="A987" t="inlineStr">
        <is>
          <t>TA-2025-00469</t>
        </is>
      </c>
      <c r="B987" t="inlineStr">
        <is>
          <t>U-BV279-01-06</t>
        </is>
      </c>
      <c r="C987" t="inlineStr">
        <is>
          <t>Kampung Supermarket</t>
        </is>
      </c>
      <c r="D987" t="inlineStr">
        <is>
          <t>Minimart</t>
        </is>
      </c>
      <c r="E987" s="2" t="n">
        <v>45870</v>
      </c>
      <c r="F987" s="2" t="n">
        <v>46965</v>
      </c>
      <c r="G987" s="3" t="n">
        <v>2620</v>
      </c>
      <c r="H987">
        <f>VLOOKUP(B987,Units!$A$2:$G$1646,2,FALSE)</f>
        <v/>
      </c>
      <c r="I987">
        <f>VLOOKUP(B987,Units!$A$2:$G$1646,5,FALSE)</f>
        <v/>
      </c>
      <c r="J987" s="3">
        <f>G987/I987</f>
        <v/>
      </c>
      <c r="K987" s="3">
        <f>G987*12</f>
        <v/>
      </c>
      <c r="L987" s="3" t="n">
        <v>7860</v>
      </c>
    </row>
    <row r="988">
      <c r="A988" t="inlineStr">
        <is>
          <t>TA-2025-00471</t>
        </is>
      </c>
      <c r="B988" t="inlineStr">
        <is>
          <t>U-BV283-01-02</t>
        </is>
      </c>
      <c r="C988" t="inlineStr">
        <is>
          <t>Golden Leaf Supermarket Pte Ltd</t>
        </is>
      </c>
      <c r="D988" t="inlineStr">
        <is>
          <t>Minimart</t>
        </is>
      </c>
      <c r="E988" s="2" t="n">
        <v>45870</v>
      </c>
      <c r="F988" s="2" t="n">
        <v>46965</v>
      </c>
      <c r="G988" s="3" t="n">
        <v>5310</v>
      </c>
      <c r="H988">
        <f>VLOOKUP(B988,Units!$A$2:$G$1646,2,FALSE)</f>
        <v/>
      </c>
      <c r="I988">
        <f>VLOOKUP(B988,Units!$A$2:$G$1646,5,FALSE)</f>
        <v/>
      </c>
      <c r="J988" s="3">
        <f>G988/I988</f>
        <v/>
      </c>
      <c r="K988" s="3">
        <f>G988*12</f>
        <v/>
      </c>
      <c r="L988" s="3" t="n">
        <v>15930</v>
      </c>
    </row>
    <row r="989">
      <c r="A989" t="inlineStr">
        <is>
          <t>TA-2025-00473</t>
        </is>
      </c>
      <c r="B989" t="inlineStr">
        <is>
          <t>U-CD105-01-13</t>
        </is>
      </c>
      <c r="C989" t="inlineStr">
        <is>
          <t>PrimeValue Mart Pte Ltd</t>
        </is>
      </c>
      <c r="D989" t="inlineStr">
        <is>
          <t>Minimart</t>
        </is>
      </c>
      <c r="E989" s="2" t="n">
        <v>45870</v>
      </c>
      <c r="F989" s="2" t="n">
        <v>46965</v>
      </c>
      <c r="G989" s="3" t="n">
        <v>5170</v>
      </c>
      <c r="H989">
        <f>VLOOKUP(B989,Units!$A$2:$G$1646,2,FALSE)</f>
        <v/>
      </c>
      <c r="I989">
        <f>VLOOKUP(B989,Units!$A$2:$G$1646,5,FALSE)</f>
        <v/>
      </c>
      <c r="J989" s="3">
        <f>G989/I989</f>
        <v/>
      </c>
      <c r="K989" s="3">
        <f>G989*12</f>
        <v/>
      </c>
      <c r="L989" s="3" t="n">
        <v>15510</v>
      </c>
    </row>
    <row r="990">
      <c r="A990" t="inlineStr">
        <is>
          <t>TA-2025-00475</t>
        </is>
      </c>
      <c r="B990" t="inlineStr">
        <is>
          <t>U-CD105-02-10</t>
        </is>
      </c>
      <c r="C990" t="inlineStr">
        <is>
          <t>Kumar Accounting Services</t>
        </is>
      </c>
      <c r="D990" t="inlineStr">
        <is>
          <t>Professional Services Office</t>
        </is>
      </c>
      <c r="E990" s="2" t="n">
        <v>45870</v>
      </c>
      <c r="F990" s="2" t="n">
        <v>46965</v>
      </c>
      <c r="G990" s="3" t="n">
        <v>3550</v>
      </c>
      <c r="H990">
        <f>VLOOKUP(B990,Units!$A$2:$G$1646,2,FALSE)</f>
        <v/>
      </c>
      <c r="I990">
        <f>VLOOKUP(B990,Units!$A$2:$G$1646,5,FALSE)</f>
        <v/>
      </c>
      <c r="J990" s="3">
        <f>G990/I990</f>
        <v/>
      </c>
      <c r="K990" s="3">
        <f>G990*12</f>
        <v/>
      </c>
      <c r="L990" s="3" t="n">
        <v>10650</v>
      </c>
    </row>
    <row r="991">
      <c r="A991" t="inlineStr">
        <is>
          <t>TA-2025-00476</t>
        </is>
      </c>
      <c r="B991" t="inlineStr">
        <is>
          <t>U-CD109-01-04</t>
        </is>
      </c>
      <c r="C991" t="inlineStr">
        <is>
          <t>Everbright Supermarket</t>
        </is>
      </c>
      <c r="D991" t="inlineStr">
        <is>
          <t>Minimart</t>
        </is>
      </c>
      <c r="E991" s="2" t="n">
        <v>45870</v>
      </c>
      <c r="F991" s="2" t="n">
        <v>46965</v>
      </c>
      <c r="G991" s="3" t="n">
        <v>4370</v>
      </c>
      <c r="H991">
        <f>VLOOKUP(B991,Units!$A$2:$G$1646,2,FALSE)</f>
        <v/>
      </c>
      <c r="I991">
        <f>VLOOKUP(B991,Units!$A$2:$G$1646,5,FALSE)</f>
        <v/>
      </c>
      <c r="J991" s="3">
        <f>G991/I991</f>
        <v/>
      </c>
      <c r="K991" s="3">
        <f>G991*12</f>
        <v/>
      </c>
      <c r="L991" s="3" t="n">
        <v>13110</v>
      </c>
    </row>
    <row r="992">
      <c r="A992" t="inlineStr">
        <is>
          <t>TA-2025-00478</t>
        </is>
      </c>
      <c r="B992" t="inlineStr">
        <is>
          <t>U-CD118-01-31</t>
        </is>
      </c>
      <c r="C992" t="inlineStr">
        <is>
          <t>Bright Path Supermarket</t>
        </is>
      </c>
      <c r="D992" t="inlineStr">
        <is>
          <t>Minimart</t>
        </is>
      </c>
      <c r="E992" s="2" t="n">
        <v>45870</v>
      </c>
      <c r="F992" s="2" t="n">
        <v>46965</v>
      </c>
      <c r="G992" s="3" t="n">
        <v>3820</v>
      </c>
      <c r="H992">
        <f>VLOOKUP(B992,Units!$A$2:$G$1646,2,FALSE)</f>
        <v/>
      </c>
      <c r="I992">
        <f>VLOOKUP(B992,Units!$A$2:$G$1646,5,FALSE)</f>
        <v/>
      </c>
      <c r="J992" s="3">
        <f>G992/I992</f>
        <v/>
      </c>
      <c r="K992" s="3">
        <f>G992*12</f>
        <v/>
      </c>
      <c r="L992" s="3" t="n">
        <v>11460</v>
      </c>
    </row>
    <row r="993">
      <c r="A993" t="inlineStr">
        <is>
          <t>TA-2025-00479</t>
        </is>
      </c>
      <c r="B993" t="inlineStr">
        <is>
          <t>U-CD119-01-06</t>
        </is>
      </c>
      <c r="C993" t="inlineStr">
        <is>
          <t>Al-Ameen Mobile</t>
        </is>
      </c>
      <c r="D993" t="inlineStr">
        <is>
          <t>Mobile Phone &amp; Accessories</t>
        </is>
      </c>
      <c r="E993" s="2" t="n">
        <v>45870</v>
      </c>
      <c r="F993" s="2" t="n">
        <v>46965</v>
      </c>
      <c r="G993" s="3" t="n">
        <v>900</v>
      </c>
      <c r="H993">
        <f>VLOOKUP(B993,Units!$A$2:$G$1646,2,FALSE)</f>
        <v/>
      </c>
      <c r="I993">
        <f>VLOOKUP(B993,Units!$A$2:$G$1646,5,FALSE)</f>
        <v/>
      </c>
      <c r="J993" s="3">
        <f>G993/I993</f>
        <v/>
      </c>
      <c r="K993" s="3">
        <f>G993*12</f>
        <v/>
      </c>
      <c r="L993" s="3" t="n">
        <v>2700</v>
      </c>
    </row>
    <row r="994">
      <c r="A994" t="inlineStr">
        <is>
          <t>TA-2025-00480</t>
        </is>
      </c>
      <c r="B994" t="inlineStr">
        <is>
          <t>U-CD131-01-01</t>
        </is>
      </c>
      <c r="C994" t="inlineStr">
        <is>
          <t>Mei Ling Kopitiam</t>
        </is>
      </c>
      <c r="D994" t="inlineStr">
        <is>
          <t>Coffeeshop</t>
        </is>
      </c>
      <c r="E994" s="2" t="n">
        <v>45870</v>
      </c>
      <c r="F994" s="2" t="n">
        <v>46965</v>
      </c>
      <c r="G994" s="3" t="n">
        <v>11070</v>
      </c>
      <c r="H994">
        <f>VLOOKUP(B994,Units!$A$2:$G$1646,2,FALSE)</f>
        <v/>
      </c>
      <c r="I994">
        <f>VLOOKUP(B994,Units!$A$2:$G$1646,5,FALSE)</f>
        <v/>
      </c>
      <c r="J994" s="3">
        <f>G994/I994</f>
        <v/>
      </c>
      <c r="K994" s="3">
        <f>G994*12</f>
        <v/>
      </c>
      <c r="L994" s="3" t="n">
        <v>33210</v>
      </c>
    </row>
    <row r="995">
      <c r="A995" t="inlineStr">
        <is>
          <t>TA-2025-00481</t>
        </is>
      </c>
      <c r="B995" t="inlineStr">
        <is>
          <t>U-CD131-01-07</t>
        </is>
      </c>
      <c r="C995" t="inlineStr">
        <is>
          <t>Heng Ann Laundry</t>
        </is>
      </c>
      <c r="D995" t="inlineStr">
        <is>
          <t>Laundry</t>
        </is>
      </c>
      <c r="E995" s="2" t="n">
        <v>45870</v>
      </c>
      <c r="F995" s="2" t="n">
        <v>46965</v>
      </c>
      <c r="G995" s="3" t="n">
        <v>3820</v>
      </c>
      <c r="H995">
        <f>VLOOKUP(B995,Units!$A$2:$G$1646,2,FALSE)</f>
        <v/>
      </c>
      <c r="I995">
        <f>VLOOKUP(B995,Units!$A$2:$G$1646,5,FALSE)</f>
        <v/>
      </c>
      <c r="J995" s="3">
        <f>G995/I995</f>
        <v/>
      </c>
      <c r="K995" s="3">
        <f>G995*12</f>
        <v/>
      </c>
      <c r="L995" s="3" t="n">
        <v>11460</v>
      </c>
    </row>
    <row r="996">
      <c r="A996" t="inlineStr">
        <is>
          <t>TA-2025-00483</t>
        </is>
      </c>
      <c r="B996" t="inlineStr">
        <is>
          <t>U-CD153-01-07</t>
        </is>
      </c>
      <c r="C996" t="inlineStr">
        <is>
          <t>Wellcare Minimart</t>
        </is>
      </c>
      <c r="D996" t="inlineStr">
        <is>
          <t>Minimart</t>
        </is>
      </c>
      <c r="E996" s="2" t="n">
        <v>45870</v>
      </c>
      <c r="F996" s="2" t="n">
        <v>46965</v>
      </c>
      <c r="G996" s="3" t="n">
        <v>3370</v>
      </c>
      <c r="H996">
        <f>VLOOKUP(B996,Units!$A$2:$G$1646,2,FALSE)</f>
        <v/>
      </c>
      <c r="I996">
        <f>VLOOKUP(B996,Units!$A$2:$G$1646,5,FALSE)</f>
        <v/>
      </c>
      <c r="J996" s="3">
        <f>G996/I996</f>
        <v/>
      </c>
      <c r="K996" s="3">
        <f>G996*12</f>
        <v/>
      </c>
      <c r="L996" s="3" t="n">
        <v>10110</v>
      </c>
    </row>
    <row r="997">
      <c r="A997" t="inlineStr">
        <is>
          <t>TA-2025-00485</t>
        </is>
      </c>
      <c r="B997" t="inlineStr">
        <is>
          <t>U-CD173-01-01</t>
        </is>
      </c>
      <c r="C997" t="inlineStr">
        <is>
          <t>Swee Heng Supermarket</t>
        </is>
      </c>
      <c r="D997" t="inlineStr">
        <is>
          <t>Minimart</t>
        </is>
      </c>
      <c r="E997" s="2" t="n">
        <v>45870</v>
      </c>
      <c r="F997" s="2" t="n">
        <v>46965</v>
      </c>
      <c r="G997" s="3" t="n">
        <v>4240</v>
      </c>
      <c r="H997">
        <f>VLOOKUP(B997,Units!$A$2:$G$1646,2,FALSE)</f>
        <v/>
      </c>
      <c r="I997">
        <f>VLOOKUP(B997,Units!$A$2:$G$1646,5,FALSE)</f>
        <v/>
      </c>
      <c r="J997" s="3">
        <f>G997/I997</f>
        <v/>
      </c>
      <c r="K997" s="3">
        <f>G997*12</f>
        <v/>
      </c>
      <c r="L997" s="3" t="n">
        <v>12720</v>
      </c>
    </row>
    <row r="998">
      <c r="A998" t="inlineStr">
        <is>
          <t>TA-2025-00486</t>
        </is>
      </c>
      <c r="B998" t="inlineStr">
        <is>
          <t>U-CD173-01-03</t>
        </is>
      </c>
      <c r="C998" t="inlineStr">
        <is>
          <t>Evergreen Trading Pte Ltd</t>
        </is>
      </c>
      <c r="D998" t="inlineStr">
        <is>
          <t>Provision Shop</t>
        </is>
      </c>
      <c r="E998" s="2" t="n">
        <v>45870</v>
      </c>
      <c r="F998" s="2" t="n">
        <v>46965</v>
      </c>
      <c r="G998" s="3" t="n">
        <v>2230</v>
      </c>
      <c r="H998">
        <f>VLOOKUP(B998,Units!$A$2:$G$1646,2,FALSE)</f>
        <v/>
      </c>
      <c r="I998">
        <f>VLOOKUP(B998,Units!$A$2:$G$1646,5,FALSE)</f>
        <v/>
      </c>
      <c r="J998" s="3">
        <f>G998/I998</f>
        <v/>
      </c>
      <c r="K998" s="3">
        <f>G998*12</f>
        <v/>
      </c>
      <c r="L998" s="3" t="n">
        <v>6690</v>
      </c>
    </row>
    <row r="999">
      <c r="A999" t="inlineStr">
        <is>
          <t>TA-2025-00488</t>
        </is>
      </c>
      <c r="B999" t="inlineStr">
        <is>
          <t>U-CD173-01-08</t>
        </is>
      </c>
      <c r="C999" t="inlineStr">
        <is>
          <t>Everbright Stationery Pte Ltd</t>
        </is>
      </c>
      <c r="D999" t="inlineStr">
        <is>
          <t>Stationery &amp; Books</t>
        </is>
      </c>
      <c r="E999" s="2" t="n">
        <v>45870</v>
      </c>
      <c r="F999" s="2" t="n">
        <v>46965</v>
      </c>
      <c r="G999" s="3" t="n">
        <v>1980</v>
      </c>
      <c r="H999">
        <f>VLOOKUP(B999,Units!$A$2:$G$1646,2,FALSE)</f>
        <v/>
      </c>
      <c r="I999">
        <f>VLOOKUP(B999,Units!$A$2:$G$1646,5,FALSE)</f>
        <v/>
      </c>
      <c r="J999" s="3">
        <f>G999/I999</f>
        <v/>
      </c>
      <c r="K999" s="3">
        <f>G999*12</f>
        <v/>
      </c>
      <c r="L999" s="3" t="n">
        <v>5940</v>
      </c>
    </row>
    <row r="1000">
      <c r="A1000" t="inlineStr">
        <is>
          <t>TA-2025-00490</t>
        </is>
      </c>
      <c r="B1000" t="inlineStr">
        <is>
          <t>U-KR317-02-06</t>
        </is>
      </c>
      <c r="C1000" t="inlineStr">
        <is>
          <t>Green Leaf Dental Surgery</t>
        </is>
      </c>
      <c r="D1000" t="inlineStr">
        <is>
          <t>Dental Clinic</t>
        </is>
      </c>
      <c r="E1000" s="2" t="n">
        <v>45870</v>
      </c>
      <c r="F1000" s="2" t="n">
        <v>46965</v>
      </c>
      <c r="G1000" s="3" t="n">
        <v>1830</v>
      </c>
      <c r="H1000">
        <f>VLOOKUP(B1000,Units!$A$2:$G$1646,2,FALSE)</f>
        <v/>
      </c>
      <c r="I1000">
        <f>VLOOKUP(B1000,Units!$A$2:$G$1646,5,FALSE)</f>
        <v/>
      </c>
      <c r="J1000" s="3">
        <f>G1000/I1000</f>
        <v/>
      </c>
      <c r="K1000" s="3">
        <f>G1000*12</f>
        <v/>
      </c>
      <c r="L1000" s="3" t="n">
        <v>5490</v>
      </c>
    </row>
    <row r="1001">
      <c r="A1001" t="inlineStr">
        <is>
          <t>TA-2025-00491</t>
        </is>
      </c>
      <c r="B1001" t="inlineStr">
        <is>
          <t>U-KR345-01-11</t>
        </is>
      </c>
      <c r="C1001" t="inlineStr">
        <is>
          <t>Lakshmi Trading Pte Ltd</t>
        </is>
      </c>
      <c r="D1001" t="inlineStr">
        <is>
          <t>Provision Shop</t>
        </is>
      </c>
      <c r="E1001" s="2" t="n">
        <v>45870</v>
      </c>
      <c r="F1001" s="2" t="n">
        <v>46965</v>
      </c>
      <c r="G1001" s="3" t="n">
        <v>4520</v>
      </c>
      <c r="H1001">
        <f>VLOOKUP(B1001,Units!$A$2:$G$1646,2,FALSE)</f>
        <v/>
      </c>
      <c r="I1001">
        <f>VLOOKUP(B1001,Units!$A$2:$G$1646,5,FALSE)</f>
        <v/>
      </c>
      <c r="J1001" s="3">
        <f>G1001/I1001</f>
        <v/>
      </c>
      <c r="K1001" s="3">
        <f>G1001*12</f>
        <v/>
      </c>
      <c r="L1001" s="3" t="n">
        <v>13560</v>
      </c>
    </row>
    <row r="1002">
      <c r="A1002" t="inlineStr">
        <is>
          <t>TA-2025-00492</t>
        </is>
      </c>
      <c r="B1002" t="inlineStr">
        <is>
          <t>U-KR369-01-02</t>
        </is>
      </c>
      <c r="C1002" t="inlineStr">
        <is>
          <t>Chin Lee Hardware</t>
        </is>
      </c>
      <c r="D1002" t="inlineStr">
        <is>
          <t>Hardware</t>
        </is>
      </c>
      <c r="E1002" s="2" t="n">
        <v>45870</v>
      </c>
      <c r="F1002" s="2" t="n">
        <v>46965</v>
      </c>
      <c r="G1002" s="3" t="n">
        <v>2920</v>
      </c>
      <c r="H1002">
        <f>VLOOKUP(B1002,Units!$A$2:$G$1646,2,FALSE)</f>
        <v/>
      </c>
      <c r="I1002">
        <f>VLOOKUP(B1002,Units!$A$2:$G$1646,5,FALSE)</f>
        <v/>
      </c>
      <c r="J1002" s="3">
        <f>G1002/I1002</f>
        <v/>
      </c>
      <c r="K1002" s="3">
        <f>G1002*12</f>
        <v/>
      </c>
      <c r="L1002" s="3" t="n">
        <v>8760</v>
      </c>
    </row>
    <row r="1003">
      <c r="A1003" t="inlineStr">
        <is>
          <t>TA-2025-00493</t>
        </is>
      </c>
      <c r="B1003" t="inlineStr">
        <is>
          <t>U-KR385-01-13</t>
        </is>
      </c>
      <c r="C1003" t="inlineStr">
        <is>
          <t>Seri Murni Medical Clinic</t>
        </is>
      </c>
      <c r="D1003" t="inlineStr">
        <is>
          <t>GP Clinic</t>
        </is>
      </c>
      <c r="E1003" s="2" t="n">
        <v>45870</v>
      </c>
      <c r="F1003" s="2" t="n">
        <v>46965</v>
      </c>
      <c r="G1003" s="3" t="n">
        <v>4300</v>
      </c>
      <c r="H1003">
        <f>VLOOKUP(B1003,Units!$A$2:$G$1646,2,FALSE)</f>
        <v/>
      </c>
      <c r="I1003">
        <f>VLOOKUP(B1003,Units!$A$2:$G$1646,5,FALSE)</f>
        <v/>
      </c>
      <c r="J1003" s="3">
        <f>G1003/I1003</f>
        <v/>
      </c>
      <c r="K1003" s="3">
        <f>G1003*12</f>
        <v/>
      </c>
      <c r="L1003" s="3" t="n">
        <v>12900</v>
      </c>
    </row>
    <row r="1004">
      <c r="A1004" t="inlineStr">
        <is>
          <t>TA-2025-00494</t>
        </is>
      </c>
      <c r="B1004" t="inlineStr">
        <is>
          <t>U-KR386-01-04</t>
        </is>
      </c>
      <c r="C1004" t="inlineStr">
        <is>
          <t>Pinnacle Minimart Pte Ltd</t>
        </is>
      </c>
      <c r="D1004" t="inlineStr">
        <is>
          <t>Minimart</t>
        </is>
      </c>
      <c r="E1004" s="2" t="n">
        <v>45870</v>
      </c>
      <c r="F1004" s="2" t="n">
        <v>46965</v>
      </c>
      <c r="G1004" s="3" t="n">
        <v>3350</v>
      </c>
      <c r="H1004">
        <f>VLOOKUP(B1004,Units!$A$2:$G$1646,2,FALSE)</f>
        <v/>
      </c>
      <c r="I1004">
        <f>VLOOKUP(B1004,Units!$A$2:$G$1646,5,FALSE)</f>
        <v/>
      </c>
      <c r="J1004" s="3">
        <f>G1004/I1004</f>
        <v/>
      </c>
      <c r="K1004" s="3">
        <f>G1004*12</f>
        <v/>
      </c>
      <c r="L1004" s="3" t="n">
        <v>10050</v>
      </c>
    </row>
    <row r="1005">
      <c r="A1005" t="inlineStr">
        <is>
          <t>TA-2025-00496</t>
        </is>
      </c>
      <c r="B1005" t="inlineStr">
        <is>
          <t>U-PI601-01-06</t>
        </is>
      </c>
      <c r="C1005" t="inlineStr">
        <is>
          <t>Hassan Supermarket</t>
        </is>
      </c>
      <c r="D1005" t="inlineStr">
        <is>
          <t>Minimart</t>
        </is>
      </c>
      <c r="E1005" s="2" t="n">
        <v>45870</v>
      </c>
      <c r="F1005" s="2" t="n">
        <v>46965</v>
      </c>
      <c r="G1005" s="3" t="n">
        <v>2740</v>
      </c>
      <c r="H1005">
        <f>VLOOKUP(B1005,Units!$A$2:$G$1646,2,FALSE)</f>
        <v/>
      </c>
      <c r="I1005">
        <f>VLOOKUP(B1005,Units!$A$2:$G$1646,5,FALSE)</f>
        <v/>
      </c>
      <c r="J1005" s="3">
        <f>G1005/I1005</f>
        <v/>
      </c>
      <c r="K1005" s="3">
        <f>G1005*12</f>
        <v/>
      </c>
      <c r="L1005" s="3" t="n">
        <v>8220</v>
      </c>
    </row>
    <row r="1006">
      <c r="A1006" t="inlineStr">
        <is>
          <t>TA-2025-00497</t>
        </is>
      </c>
      <c r="B1006" t="inlineStr">
        <is>
          <t>U-PI615-01-09</t>
        </is>
      </c>
      <c r="C1006" t="inlineStr">
        <is>
          <t>Happy Paws Hardware Pte Ltd</t>
        </is>
      </c>
      <c r="D1006" t="inlineStr">
        <is>
          <t>Hardware</t>
        </is>
      </c>
      <c r="E1006" s="2" t="n">
        <v>45870</v>
      </c>
      <c r="F1006" s="2" t="n">
        <v>46965</v>
      </c>
      <c r="G1006" s="3" t="n">
        <v>2050</v>
      </c>
      <c r="H1006">
        <f>VLOOKUP(B1006,Units!$A$2:$G$1646,2,FALSE)</f>
        <v/>
      </c>
      <c r="I1006">
        <f>VLOOKUP(B1006,Units!$A$2:$G$1646,5,FALSE)</f>
        <v/>
      </c>
      <c r="J1006" s="3">
        <f>G1006/I1006</f>
        <v/>
      </c>
      <c r="K1006" s="3">
        <f>G1006*12</f>
        <v/>
      </c>
      <c r="L1006" s="3" t="n">
        <v>6150</v>
      </c>
    </row>
    <row r="1007">
      <c r="A1007" t="inlineStr">
        <is>
          <t>TA-2025-00498</t>
        </is>
      </c>
      <c r="B1007" t="inlineStr">
        <is>
          <t>U-PI626-01-02</t>
        </is>
      </c>
      <c r="C1007" t="inlineStr">
        <is>
          <t>Seri Murni Mobile Pte Ltd</t>
        </is>
      </c>
      <c r="D1007" t="inlineStr">
        <is>
          <t>Mobile Phone &amp; Accessories</t>
        </is>
      </c>
      <c r="E1007" s="2" t="n">
        <v>45870</v>
      </c>
      <c r="F1007" s="2" t="n">
        <v>46965</v>
      </c>
      <c r="G1007" s="3" t="n">
        <v>2630</v>
      </c>
      <c r="H1007">
        <f>VLOOKUP(B1007,Units!$A$2:$G$1646,2,FALSE)</f>
        <v/>
      </c>
      <c r="I1007">
        <f>VLOOKUP(B1007,Units!$A$2:$G$1646,5,FALSE)</f>
        <v/>
      </c>
      <c r="J1007" s="3">
        <f>G1007/I1007</f>
        <v/>
      </c>
      <c r="K1007" s="3">
        <f>G1007*12</f>
        <v/>
      </c>
      <c r="L1007" s="3" t="n">
        <v>7890</v>
      </c>
    </row>
    <row r="1008">
      <c r="A1008" t="inlineStr">
        <is>
          <t>TA-2025-00499</t>
        </is>
      </c>
      <c r="B1008" t="inlineStr">
        <is>
          <t>U-PI627-01-24</t>
        </is>
      </c>
      <c r="C1008" t="inlineStr">
        <is>
          <t>New Life Kitchen Pte Ltd</t>
        </is>
      </c>
      <c r="D1008" t="inlineStr">
        <is>
          <t>Restaurant</t>
        </is>
      </c>
      <c r="E1008" s="2" t="n">
        <v>45870</v>
      </c>
      <c r="F1008" s="2" t="n">
        <v>46965</v>
      </c>
      <c r="G1008" s="3" t="n">
        <v>1690</v>
      </c>
      <c r="H1008">
        <f>VLOOKUP(B1008,Units!$A$2:$G$1646,2,FALSE)</f>
        <v/>
      </c>
      <c r="I1008">
        <f>VLOOKUP(B1008,Units!$A$2:$G$1646,5,FALSE)</f>
        <v/>
      </c>
      <c r="J1008" s="3">
        <f>G1008/I1008</f>
        <v/>
      </c>
      <c r="K1008" s="3">
        <f>G1008*12</f>
        <v/>
      </c>
      <c r="L1008" s="3" t="n">
        <v>5070</v>
      </c>
    </row>
    <row r="1009">
      <c r="A1009" t="inlineStr">
        <is>
          <t>TA-2025-00501</t>
        </is>
      </c>
      <c r="B1009" t="inlineStr">
        <is>
          <t>U-PI642-01-05</t>
        </is>
      </c>
      <c r="C1009" t="inlineStr">
        <is>
          <t>Fortune Provision Shop Pte Ltd</t>
        </is>
      </c>
      <c r="D1009" t="inlineStr">
        <is>
          <t>Provision Shop</t>
        </is>
      </c>
      <c r="E1009" s="2" t="n">
        <v>45870</v>
      </c>
      <c r="F1009" s="2" t="n">
        <v>46965</v>
      </c>
      <c r="G1009" s="3" t="n">
        <v>4460</v>
      </c>
      <c r="H1009">
        <f>VLOOKUP(B1009,Units!$A$2:$G$1646,2,FALSE)</f>
        <v/>
      </c>
      <c r="I1009">
        <f>VLOOKUP(B1009,Units!$A$2:$G$1646,5,FALSE)</f>
        <v/>
      </c>
      <c r="J1009" s="3">
        <f>G1009/I1009</f>
        <v/>
      </c>
      <c r="K1009" s="3">
        <f>G1009*12</f>
        <v/>
      </c>
      <c r="L1009" s="3" t="n">
        <v>13380</v>
      </c>
    </row>
    <row r="1010">
      <c r="A1010" t="inlineStr">
        <is>
          <t>TA-2025-00503</t>
        </is>
      </c>
      <c r="B1010" t="inlineStr">
        <is>
          <t>U-PI644-01-01</t>
        </is>
      </c>
      <c r="C1010" t="inlineStr">
        <is>
          <t>Soon Hin Laundry</t>
        </is>
      </c>
      <c r="D1010" t="inlineStr">
        <is>
          <t>Laundry</t>
        </is>
      </c>
      <c r="E1010" s="2" t="n">
        <v>45870</v>
      </c>
      <c r="F1010" s="2" t="n">
        <v>46965</v>
      </c>
      <c r="G1010" s="3" t="n">
        <v>3820</v>
      </c>
      <c r="H1010">
        <f>VLOOKUP(B1010,Units!$A$2:$G$1646,2,FALSE)</f>
        <v/>
      </c>
      <c r="I1010">
        <f>VLOOKUP(B1010,Units!$A$2:$G$1646,5,FALSE)</f>
        <v/>
      </c>
      <c r="J1010" s="3">
        <f>G1010/I1010</f>
        <v/>
      </c>
      <c r="K1010" s="3">
        <f>G1010*12</f>
        <v/>
      </c>
      <c r="L1010" s="3" t="n">
        <v>11460</v>
      </c>
    </row>
    <row r="1011">
      <c r="A1011" t="inlineStr">
        <is>
          <t>TA-2025-00504</t>
        </is>
      </c>
      <c r="B1011" t="inlineStr">
        <is>
          <t>U-PI679-01-05</t>
        </is>
      </c>
      <c r="C1011" t="inlineStr">
        <is>
          <t>Everbright Kitchen Pte Ltd</t>
        </is>
      </c>
      <c r="D1011" t="inlineStr">
        <is>
          <t>Restaurant</t>
        </is>
      </c>
      <c r="E1011" s="2" t="n">
        <v>45870</v>
      </c>
      <c r="F1011" s="2" t="n">
        <v>46965</v>
      </c>
      <c r="G1011" s="3" t="n">
        <v>2330</v>
      </c>
      <c r="H1011">
        <f>VLOOKUP(B1011,Units!$A$2:$G$1646,2,FALSE)</f>
        <v/>
      </c>
      <c r="I1011">
        <f>VLOOKUP(B1011,Units!$A$2:$G$1646,5,FALSE)</f>
        <v/>
      </c>
      <c r="J1011" s="3">
        <f>G1011/I1011</f>
        <v/>
      </c>
      <c r="K1011" s="3">
        <f>G1011*12</f>
        <v/>
      </c>
      <c r="L1011" s="3" t="n">
        <v>6990</v>
      </c>
    </row>
    <row r="1012">
      <c r="A1012" t="inlineStr">
        <is>
          <t>TA-2025-00505</t>
        </is>
      </c>
      <c r="B1012" t="inlineStr">
        <is>
          <t>U-PI696-01-01</t>
        </is>
      </c>
      <c r="C1012" t="inlineStr">
        <is>
          <t>Wisdom Mart</t>
        </is>
      </c>
      <c r="D1012" t="inlineStr">
        <is>
          <t>Minimart</t>
        </is>
      </c>
      <c r="E1012" s="2" t="n">
        <v>45870</v>
      </c>
      <c r="F1012" s="2" t="n">
        <v>46965</v>
      </c>
      <c r="G1012" s="3" t="n">
        <v>4530</v>
      </c>
      <c r="H1012">
        <f>VLOOKUP(B1012,Units!$A$2:$G$1646,2,FALSE)</f>
        <v/>
      </c>
      <c r="I1012">
        <f>VLOOKUP(B1012,Units!$A$2:$G$1646,5,FALSE)</f>
        <v/>
      </c>
      <c r="J1012" s="3">
        <f>G1012/I1012</f>
        <v/>
      </c>
      <c r="K1012" s="3">
        <f>G1012*12</f>
        <v/>
      </c>
      <c r="L1012" s="3" t="n">
        <v>13590</v>
      </c>
    </row>
    <row r="1013">
      <c r="A1013" t="inlineStr">
        <is>
          <t>TA-2025-00506</t>
        </is>
      </c>
      <c r="B1013" t="inlineStr">
        <is>
          <t>U-RH420-01-07</t>
        </is>
      </c>
      <c r="C1013" t="inlineStr">
        <is>
          <t>Value Telecom</t>
        </is>
      </c>
      <c r="D1013" t="inlineStr">
        <is>
          <t>Mobile Phone &amp; Accessories</t>
        </is>
      </c>
      <c r="E1013" s="2" t="n">
        <v>45870</v>
      </c>
      <c r="F1013" s="2" t="n">
        <v>46965</v>
      </c>
      <c r="G1013" s="3" t="n">
        <v>3320</v>
      </c>
      <c r="H1013">
        <f>VLOOKUP(B1013,Units!$A$2:$G$1646,2,FALSE)</f>
        <v/>
      </c>
      <c r="I1013">
        <f>VLOOKUP(B1013,Units!$A$2:$G$1646,5,FALSE)</f>
        <v/>
      </c>
      <c r="J1013" s="3">
        <f>G1013/I1013</f>
        <v/>
      </c>
      <c r="K1013" s="3">
        <f>G1013*12</f>
        <v/>
      </c>
      <c r="L1013" s="3" t="n">
        <v>9960</v>
      </c>
    </row>
    <row r="1014">
      <c r="A1014" t="inlineStr">
        <is>
          <t>TA-2025-00507</t>
        </is>
      </c>
      <c r="B1014" t="inlineStr">
        <is>
          <t>U-RH464-01-02</t>
        </is>
      </c>
      <c r="C1014" t="inlineStr">
        <is>
          <t>Wisdom Medical Clinic</t>
        </is>
      </c>
      <c r="D1014" t="inlineStr">
        <is>
          <t>GP Clinic</t>
        </is>
      </c>
      <c r="E1014" s="2" t="n">
        <v>45870</v>
      </c>
      <c r="F1014" s="2" t="n">
        <v>46965</v>
      </c>
      <c r="G1014" s="3" t="n">
        <v>3280</v>
      </c>
      <c r="H1014">
        <f>VLOOKUP(B1014,Units!$A$2:$G$1646,2,FALSE)</f>
        <v/>
      </c>
      <c r="I1014">
        <f>VLOOKUP(B1014,Units!$A$2:$G$1646,5,FALSE)</f>
        <v/>
      </c>
      <c r="J1014" s="3">
        <f>G1014/I1014</f>
        <v/>
      </c>
      <c r="K1014" s="3">
        <f>G1014*12</f>
        <v/>
      </c>
      <c r="L1014" s="3" t="n">
        <v>9840</v>
      </c>
    </row>
    <row r="1015">
      <c r="A1015" t="inlineStr">
        <is>
          <t>TA-2025-00508</t>
        </is>
      </c>
      <c r="B1015" t="inlineStr">
        <is>
          <t>U-RH466-01-09</t>
        </is>
      </c>
      <c r="C1015" t="inlineStr">
        <is>
          <t>Suria Snacks</t>
        </is>
      </c>
      <c r="D1015" t="inlineStr">
        <is>
          <t>Snack Kiosk</t>
        </is>
      </c>
      <c r="E1015" s="2" t="n">
        <v>45870</v>
      </c>
      <c r="F1015" s="2" t="n">
        <v>46965</v>
      </c>
      <c r="G1015" s="3" t="n">
        <v>900</v>
      </c>
      <c r="H1015">
        <f>VLOOKUP(B1015,Units!$A$2:$G$1646,2,FALSE)</f>
        <v/>
      </c>
      <c r="I1015">
        <f>VLOOKUP(B1015,Units!$A$2:$G$1646,5,FALSE)</f>
        <v/>
      </c>
      <c r="J1015" s="3">
        <f>G1015/I1015</f>
        <v/>
      </c>
      <c r="K1015" s="3">
        <f>G1015*12</f>
        <v/>
      </c>
      <c r="L1015" s="3" t="n">
        <v>2700</v>
      </c>
    </row>
    <row r="1016">
      <c r="A1016" t="inlineStr">
        <is>
          <t>TA-2025-00510</t>
        </is>
      </c>
      <c r="B1016" t="inlineStr">
        <is>
          <t>U-RH486-02-03</t>
        </is>
      </c>
      <c r="C1016" t="inlineStr">
        <is>
          <t>Amanah Agency Pte Ltd</t>
        </is>
      </c>
      <c r="D1016" t="inlineStr">
        <is>
          <t>Professional Services Office</t>
        </is>
      </c>
      <c r="E1016" s="2" t="n">
        <v>45870</v>
      </c>
      <c r="F1016" s="2" t="n">
        <v>46965</v>
      </c>
      <c r="G1016" s="3" t="n">
        <v>2740</v>
      </c>
      <c r="H1016">
        <f>VLOOKUP(B1016,Units!$A$2:$G$1646,2,FALSE)</f>
        <v/>
      </c>
      <c r="I1016">
        <f>VLOOKUP(B1016,Units!$A$2:$G$1646,5,FALSE)</f>
        <v/>
      </c>
      <c r="J1016" s="3">
        <f>G1016/I1016</f>
        <v/>
      </c>
      <c r="K1016" s="3">
        <f>G1016*12</f>
        <v/>
      </c>
      <c r="L1016" s="3" t="n">
        <v>8220</v>
      </c>
    </row>
    <row r="1017">
      <c r="A1017" t="inlineStr">
        <is>
          <t>TA-2025-00512</t>
        </is>
      </c>
      <c r="B1017" t="inlineStr">
        <is>
          <t>U-ST513-01-08</t>
        </is>
      </c>
      <c r="C1017" t="inlineStr">
        <is>
          <t>Kian Huat Medical Hall Pte Ltd</t>
        </is>
      </c>
      <c r="D1017" t="inlineStr">
        <is>
          <t>TCM Clinic</t>
        </is>
      </c>
      <c r="E1017" s="2" t="n">
        <v>45870</v>
      </c>
      <c r="F1017" s="2" t="n">
        <v>46965</v>
      </c>
      <c r="G1017" s="3" t="n">
        <v>3240</v>
      </c>
      <c r="H1017">
        <f>VLOOKUP(B1017,Units!$A$2:$G$1646,2,FALSE)</f>
        <v/>
      </c>
      <c r="I1017">
        <f>VLOOKUP(B1017,Units!$A$2:$G$1646,5,FALSE)</f>
        <v/>
      </c>
      <c r="J1017" s="3">
        <f>G1017/I1017</f>
        <v/>
      </c>
      <c r="K1017" s="3">
        <f>G1017*12</f>
        <v/>
      </c>
      <c r="L1017" s="3" t="n">
        <v>9720</v>
      </c>
    </row>
    <row r="1018">
      <c r="A1018" t="inlineStr">
        <is>
          <t>TA-2025-00513</t>
        </is>
      </c>
      <c r="B1018" t="inlineStr">
        <is>
          <t>U-ST513-01-09</t>
        </is>
      </c>
      <c r="C1018" t="inlineStr">
        <is>
          <t>Nanyang Family Clinic</t>
        </is>
      </c>
      <c r="D1018" t="inlineStr">
        <is>
          <t>GP Clinic</t>
        </is>
      </c>
      <c r="E1018" s="2" t="n">
        <v>45870</v>
      </c>
      <c r="F1018" s="2" t="n">
        <v>46965</v>
      </c>
      <c r="G1018" s="3" t="n">
        <v>4440</v>
      </c>
      <c r="H1018">
        <f>VLOOKUP(B1018,Units!$A$2:$G$1646,2,FALSE)</f>
        <v/>
      </c>
      <c r="I1018">
        <f>VLOOKUP(B1018,Units!$A$2:$G$1646,5,FALSE)</f>
        <v/>
      </c>
      <c r="J1018" s="3">
        <f>G1018/I1018</f>
        <v/>
      </c>
      <c r="K1018" s="3">
        <f>G1018*12</f>
        <v/>
      </c>
      <c r="L1018" s="3" t="n">
        <v>13320</v>
      </c>
    </row>
    <row r="1019">
      <c r="A1019" t="inlineStr">
        <is>
          <t>TA-2025-00514</t>
        </is>
      </c>
      <c r="B1019" t="inlineStr">
        <is>
          <t>U-ST534-01-06</t>
        </is>
      </c>
      <c r="C1019" t="inlineStr">
        <is>
          <t>Kampung Family Clinic</t>
        </is>
      </c>
      <c r="D1019" t="inlineStr">
        <is>
          <t>GP Clinic</t>
        </is>
      </c>
      <c r="E1019" s="2" t="n">
        <v>45870</v>
      </c>
      <c r="F1019" s="2" t="n">
        <v>46965</v>
      </c>
      <c r="G1019" s="3" t="n">
        <v>2820</v>
      </c>
      <c r="H1019">
        <f>VLOOKUP(B1019,Units!$A$2:$G$1646,2,FALSE)</f>
        <v/>
      </c>
      <c r="I1019">
        <f>VLOOKUP(B1019,Units!$A$2:$G$1646,5,FALSE)</f>
        <v/>
      </c>
      <c r="J1019" s="3">
        <f>G1019/I1019</f>
        <v/>
      </c>
      <c r="K1019" s="3">
        <f>G1019*12</f>
        <v/>
      </c>
      <c r="L1019" s="3" t="n">
        <v>8460</v>
      </c>
    </row>
    <row r="1020">
      <c r="A1020" t="inlineStr">
        <is>
          <t>TA-2025-00515</t>
        </is>
      </c>
      <c r="B1020" t="inlineStr">
        <is>
          <t>U-ST535-01-07</t>
        </is>
      </c>
      <c r="C1020" t="inlineStr">
        <is>
          <t>Prima Mobile</t>
        </is>
      </c>
      <c r="D1020" t="inlineStr">
        <is>
          <t>Mobile Phone &amp; Accessories</t>
        </is>
      </c>
      <c r="E1020" s="2" t="n">
        <v>45870</v>
      </c>
      <c r="F1020" s="2" t="n">
        <v>46965</v>
      </c>
      <c r="G1020" s="3" t="n">
        <v>3800</v>
      </c>
      <c r="H1020">
        <f>VLOOKUP(B1020,Units!$A$2:$G$1646,2,FALSE)</f>
        <v/>
      </c>
      <c r="I1020">
        <f>VLOOKUP(B1020,Units!$A$2:$G$1646,5,FALSE)</f>
        <v/>
      </c>
      <c r="J1020" s="3">
        <f>G1020/I1020</f>
        <v/>
      </c>
      <c r="K1020" s="3">
        <f>G1020*12</f>
        <v/>
      </c>
      <c r="L1020" s="3" t="n">
        <v>11400</v>
      </c>
    </row>
    <row r="1021">
      <c r="A1021" t="inlineStr">
        <is>
          <t>TA-2025-00517</t>
        </is>
      </c>
      <c r="B1021" t="inlineStr">
        <is>
          <t>U-ST538-02-01</t>
        </is>
      </c>
      <c r="C1021" t="inlineStr">
        <is>
          <t>Kim Hiap Learning Centre</t>
        </is>
      </c>
      <c r="D1021" t="inlineStr">
        <is>
          <t>Tuition Centre</t>
        </is>
      </c>
      <c r="E1021" s="2" t="n">
        <v>45870</v>
      </c>
      <c r="F1021" s="2" t="n">
        <v>46965</v>
      </c>
      <c r="G1021" s="3" t="n">
        <v>1810</v>
      </c>
      <c r="H1021">
        <f>VLOOKUP(B1021,Units!$A$2:$G$1646,2,FALSE)</f>
        <v/>
      </c>
      <c r="I1021">
        <f>VLOOKUP(B1021,Units!$A$2:$G$1646,5,FALSE)</f>
        <v/>
      </c>
      <c r="J1021" s="3">
        <f>G1021/I1021</f>
        <v/>
      </c>
      <c r="K1021" s="3">
        <f>G1021*12</f>
        <v/>
      </c>
      <c r="L1021" s="3" t="n">
        <v>5430</v>
      </c>
    </row>
    <row r="1022">
      <c r="A1022" t="inlineStr">
        <is>
          <t>TA-2025-00518</t>
        </is>
      </c>
      <c r="B1022" t="inlineStr">
        <is>
          <t>U-ST564-01-13</t>
        </is>
      </c>
      <c r="C1022" t="inlineStr">
        <is>
          <t>Treasure Money Changer</t>
        </is>
      </c>
      <c r="D1022" t="inlineStr">
        <is>
          <t>Remittance &amp; Money Changer</t>
        </is>
      </c>
      <c r="E1022" s="2" t="n">
        <v>45870</v>
      </c>
      <c r="F1022" s="2" t="n">
        <v>46965</v>
      </c>
      <c r="G1022" s="3" t="n">
        <v>4080</v>
      </c>
      <c r="H1022">
        <f>VLOOKUP(B1022,Units!$A$2:$G$1646,2,FALSE)</f>
        <v/>
      </c>
      <c r="I1022">
        <f>VLOOKUP(B1022,Units!$A$2:$G$1646,5,FALSE)</f>
        <v/>
      </c>
      <c r="J1022" s="3">
        <f>G1022/I1022</f>
        <v/>
      </c>
      <c r="K1022" s="3">
        <f>G1022*12</f>
        <v/>
      </c>
      <c r="L1022" s="3" t="n">
        <v>12240</v>
      </c>
    </row>
    <row r="1023">
      <c r="A1023" t="inlineStr">
        <is>
          <t>TA-2025-00520</t>
        </is>
      </c>
      <c r="B1023" t="inlineStr">
        <is>
          <t>U-ST590-01-05</t>
        </is>
      </c>
      <c r="C1023" t="inlineStr">
        <is>
          <t>Hup Seng Bakery</t>
        </is>
      </c>
      <c r="D1023" t="inlineStr">
        <is>
          <t>Bakery &amp; Confectionery</t>
        </is>
      </c>
      <c r="E1023" s="2" t="n">
        <v>45870</v>
      </c>
      <c r="F1023" s="2" t="n">
        <v>46965</v>
      </c>
      <c r="G1023" s="3" t="n">
        <v>1660</v>
      </c>
      <c r="H1023">
        <f>VLOOKUP(B1023,Units!$A$2:$G$1646,2,FALSE)</f>
        <v/>
      </c>
      <c r="I1023">
        <f>VLOOKUP(B1023,Units!$A$2:$G$1646,5,FALSE)</f>
        <v/>
      </c>
      <c r="J1023" s="3">
        <f>G1023/I1023</f>
        <v/>
      </c>
      <c r="K1023" s="3">
        <f>G1023*12</f>
        <v/>
      </c>
      <c r="L1023" s="3" t="n">
        <v>4980</v>
      </c>
    </row>
    <row r="1024">
      <c r="A1024" t="inlineStr">
        <is>
          <t>TA-2025-00521</t>
        </is>
      </c>
      <c r="B1024" t="inlineStr">
        <is>
          <t>U-BV205-01-13</t>
        </is>
      </c>
      <c r="C1024" t="inlineStr">
        <is>
          <t>PrimeValue Mart Pte Ltd</t>
        </is>
      </c>
      <c r="D1024" t="inlineStr">
        <is>
          <t>Minimart</t>
        </is>
      </c>
      <c r="E1024" s="2" t="n">
        <v>45901</v>
      </c>
      <c r="F1024" s="2" t="n">
        <v>46996</v>
      </c>
      <c r="G1024" s="3" t="n">
        <v>3300</v>
      </c>
      <c r="H1024">
        <f>VLOOKUP(B1024,Units!$A$2:$G$1646,2,FALSE)</f>
        <v/>
      </c>
      <c r="I1024">
        <f>VLOOKUP(B1024,Units!$A$2:$G$1646,5,FALSE)</f>
        <v/>
      </c>
      <c r="J1024" s="3">
        <f>G1024/I1024</f>
        <v/>
      </c>
      <c r="K1024" s="3">
        <f>G1024*12</f>
        <v/>
      </c>
      <c r="L1024" s="3" t="n">
        <v>9900</v>
      </c>
    </row>
    <row r="1025">
      <c r="A1025" t="inlineStr">
        <is>
          <t>TA-2025-00522</t>
        </is>
      </c>
      <c r="B1025" t="inlineStr">
        <is>
          <t>U-BV219-01-07</t>
        </is>
      </c>
      <c r="C1025" t="inlineStr">
        <is>
          <t>Hup Seng Provision Shop Pte Ltd</t>
        </is>
      </c>
      <c r="D1025" t="inlineStr">
        <is>
          <t>Provision Shop</t>
        </is>
      </c>
      <c r="E1025" s="2" t="n">
        <v>45901</v>
      </c>
      <c r="F1025" s="2" t="n">
        <v>46996</v>
      </c>
      <c r="G1025" s="3" t="n">
        <v>3500</v>
      </c>
      <c r="H1025">
        <f>VLOOKUP(B1025,Units!$A$2:$G$1646,2,FALSE)</f>
        <v/>
      </c>
      <c r="I1025">
        <f>VLOOKUP(B1025,Units!$A$2:$G$1646,5,FALSE)</f>
        <v/>
      </c>
      <c r="J1025" s="3">
        <f>G1025/I1025</f>
        <v/>
      </c>
      <c r="K1025" s="3">
        <f>G1025*12</f>
        <v/>
      </c>
      <c r="L1025" s="3" t="n">
        <v>10500</v>
      </c>
    </row>
    <row r="1026">
      <c r="A1026" t="inlineStr">
        <is>
          <t>TA-2025-00523</t>
        </is>
      </c>
      <c r="B1026" t="inlineStr">
        <is>
          <t>U-BV227-01-06</t>
        </is>
      </c>
      <c r="C1026" t="inlineStr">
        <is>
          <t>PrimeValue Mart Pte Ltd</t>
        </is>
      </c>
      <c r="D1026" t="inlineStr">
        <is>
          <t>Minimart</t>
        </is>
      </c>
      <c r="E1026" s="2" t="n">
        <v>45901</v>
      </c>
      <c r="F1026" s="2" t="n">
        <v>46996</v>
      </c>
      <c r="G1026" s="3" t="n">
        <v>6110</v>
      </c>
      <c r="H1026">
        <f>VLOOKUP(B1026,Units!$A$2:$G$1646,2,FALSE)</f>
        <v/>
      </c>
      <c r="I1026">
        <f>VLOOKUP(B1026,Units!$A$2:$G$1646,5,FALSE)</f>
        <v/>
      </c>
      <c r="J1026" s="3">
        <f>G1026/I1026</f>
        <v/>
      </c>
      <c r="K1026" s="3">
        <f>G1026*12</f>
        <v/>
      </c>
      <c r="L1026" s="3" t="n">
        <v>18330</v>
      </c>
    </row>
    <row r="1027">
      <c r="A1027" t="inlineStr">
        <is>
          <t>TA-2025-00525</t>
        </is>
      </c>
      <c r="B1027" t="inlineStr">
        <is>
          <t>U-BV237-01-01</t>
        </is>
      </c>
      <c r="C1027" t="inlineStr">
        <is>
          <t>PrimeValue Mart Pte Ltd</t>
        </is>
      </c>
      <c r="D1027" t="inlineStr">
        <is>
          <t>Minimart</t>
        </is>
      </c>
      <c r="E1027" s="2" t="n">
        <v>45901</v>
      </c>
      <c r="F1027" s="2" t="n">
        <v>46996</v>
      </c>
      <c r="G1027" s="3" t="n">
        <v>2230</v>
      </c>
      <c r="H1027">
        <f>VLOOKUP(B1027,Units!$A$2:$G$1646,2,FALSE)</f>
        <v/>
      </c>
      <c r="I1027">
        <f>VLOOKUP(B1027,Units!$A$2:$G$1646,5,FALSE)</f>
        <v/>
      </c>
      <c r="J1027" s="3">
        <f>G1027/I1027</f>
        <v/>
      </c>
      <c r="K1027" s="3">
        <f>G1027*12</f>
        <v/>
      </c>
      <c r="L1027" s="3" t="n">
        <v>6690</v>
      </c>
    </row>
    <row r="1028">
      <c r="A1028" t="inlineStr">
        <is>
          <t>TA-2025-00526</t>
        </is>
      </c>
      <c r="B1028" t="inlineStr">
        <is>
          <t>U-BV297-01-02</t>
        </is>
      </c>
      <c r="C1028" t="inlineStr">
        <is>
          <t>Sunflower Mobile</t>
        </is>
      </c>
      <c r="D1028" t="inlineStr">
        <is>
          <t>Mobile Phone &amp; Accessories</t>
        </is>
      </c>
      <c r="E1028" s="2" t="n">
        <v>45901</v>
      </c>
      <c r="F1028" s="2" t="n">
        <v>46996</v>
      </c>
      <c r="G1028" s="3" t="n">
        <v>2570</v>
      </c>
      <c r="H1028">
        <f>VLOOKUP(B1028,Units!$A$2:$G$1646,2,FALSE)</f>
        <v/>
      </c>
      <c r="I1028">
        <f>VLOOKUP(B1028,Units!$A$2:$G$1646,5,FALSE)</f>
        <v/>
      </c>
      <c r="J1028" s="3">
        <f>G1028/I1028</f>
        <v/>
      </c>
      <c r="K1028" s="3">
        <f>G1028*12</f>
        <v/>
      </c>
      <c r="L1028" s="3" t="n">
        <v>7710</v>
      </c>
    </row>
    <row r="1029">
      <c r="A1029" t="inlineStr">
        <is>
          <t>TA-2025-00528</t>
        </is>
      </c>
      <c r="B1029" t="inlineStr">
        <is>
          <t>U-CD108-01-05</t>
        </is>
      </c>
      <c r="C1029" t="inlineStr">
        <is>
          <t>Nanyang Remittance</t>
        </is>
      </c>
      <c r="D1029" t="inlineStr">
        <is>
          <t>Remittance &amp; Money Changer</t>
        </is>
      </c>
      <c r="E1029" s="2" t="n">
        <v>45901</v>
      </c>
      <c r="F1029" s="2" t="n">
        <v>46996</v>
      </c>
      <c r="G1029" s="3" t="n">
        <v>1660</v>
      </c>
      <c r="H1029">
        <f>VLOOKUP(B1029,Units!$A$2:$G$1646,2,FALSE)</f>
        <v/>
      </c>
      <c r="I1029">
        <f>VLOOKUP(B1029,Units!$A$2:$G$1646,5,FALSE)</f>
        <v/>
      </c>
      <c r="J1029" s="3">
        <f>G1029/I1029</f>
        <v/>
      </c>
      <c r="K1029" s="3">
        <f>G1029*12</f>
        <v/>
      </c>
      <c r="L1029" s="3" t="n">
        <v>4980</v>
      </c>
    </row>
    <row r="1030">
      <c r="A1030" t="inlineStr">
        <is>
          <t>TA-2025-00529</t>
        </is>
      </c>
      <c r="B1030" t="inlineStr">
        <is>
          <t>U-CD120-01-07</t>
        </is>
      </c>
      <c r="C1030" t="inlineStr">
        <is>
          <t>Kampung Remittance Pte Ltd</t>
        </is>
      </c>
      <c r="D1030" t="inlineStr">
        <is>
          <t>Remittance &amp; Money Changer</t>
        </is>
      </c>
      <c r="E1030" s="2" t="n">
        <v>45901</v>
      </c>
      <c r="F1030" s="2" t="n">
        <v>46996</v>
      </c>
      <c r="G1030" s="3" t="n">
        <v>2040</v>
      </c>
      <c r="H1030">
        <f>VLOOKUP(B1030,Units!$A$2:$G$1646,2,FALSE)</f>
        <v/>
      </c>
      <c r="I1030">
        <f>VLOOKUP(B1030,Units!$A$2:$G$1646,5,FALSE)</f>
        <v/>
      </c>
      <c r="J1030" s="3">
        <f>G1030/I1030</f>
        <v/>
      </c>
      <c r="K1030" s="3">
        <f>G1030*12</f>
        <v/>
      </c>
      <c r="L1030" s="3" t="n">
        <v>6120</v>
      </c>
    </row>
    <row r="1031">
      <c r="A1031" t="inlineStr">
        <is>
          <t>TA-2025-00530</t>
        </is>
      </c>
      <c r="B1031" t="inlineStr">
        <is>
          <t>U-CD129-01-09</t>
        </is>
      </c>
      <c r="C1031" t="inlineStr">
        <is>
          <t>Sunflower Optical</t>
        </is>
      </c>
      <c r="D1031" t="inlineStr">
        <is>
          <t>Optical</t>
        </is>
      </c>
      <c r="E1031" s="2" t="n">
        <v>45901</v>
      </c>
      <c r="F1031" s="2" t="n">
        <v>46996</v>
      </c>
      <c r="G1031" s="3" t="n">
        <v>3850</v>
      </c>
      <c r="H1031">
        <f>VLOOKUP(B1031,Units!$A$2:$G$1646,2,FALSE)</f>
        <v/>
      </c>
      <c r="I1031">
        <f>VLOOKUP(B1031,Units!$A$2:$G$1646,5,FALSE)</f>
        <v/>
      </c>
      <c r="J1031" s="3">
        <f>G1031/I1031</f>
        <v/>
      </c>
      <c r="K1031" s="3">
        <f>G1031*12</f>
        <v/>
      </c>
      <c r="L1031" s="3" t="n">
        <v>11550</v>
      </c>
    </row>
    <row r="1032">
      <c r="A1032" t="inlineStr">
        <is>
          <t>TA-2025-00532</t>
        </is>
      </c>
      <c r="B1032" t="inlineStr">
        <is>
          <t>U-CD136-01-04</t>
        </is>
      </c>
      <c r="C1032" t="inlineStr">
        <is>
          <t>Wisdom Kitchen</t>
        </is>
      </c>
      <c r="D1032" t="inlineStr">
        <is>
          <t>Restaurant</t>
        </is>
      </c>
      <c r="E1032" s="2" t="n">
        <v>45901</v>
      </c>
      <c r="F1032" s="2" t="n">
        <v>46996</v>
      </c>
      <c r="G1032" s="3" t="n">
        <v>4020</v>
      </c>
      <c r="H1032">
        <f>VLOOKUP(B1032,Units!$A$2:$G$1646,2,FALSE)</f>
        <v/>
      </c>
      <c r="I1032">
        <f>VLOOKUP(B1032,Units!$A$2:$G$1646,5,FALSE)</f>
        <v/>
      </c>
      <c r="J1032" s="3">
        <f>G1032/I1032</f>
        <v/>
      </c>
      <c r="K1032" s="3">
        <f>G1032*12</f>
        <v/>
      </c>
      <c r="L1032" s="3" t="n">
        <v>12060</v>
      </c>
    </row>
    <row r="1033">
      <c r="A1033" t="inlineStr">
        <is>
          <t>TA-2025-00533</t>
        </is>
      </c>
      <c r="B1033" t="inlineStr">
        <is>
          <t>U-CD142-01-02</t>
        </is>
      </c>
      <c r="C1033" t="inlineStr">
        <is>
          <t>Unity Hardware Pte Ltd</t>
        </is>
      </c>
      <c r="D1033" t="inlineStr">
        <is>
          <t>Hardware</t>
        </is>
      </c>
      <c r="E1033" s="2" t="n">
        <v>45901</v>
      </c>
      <c r="F1033" s="2" t="n">
        <v>46996</v>
      </c>
      <c r="G1033" s="3" t="n">
        <v>3990</v>
      </c>
      <c r="H1033">
        <f>VLOOKUP(B1033,Units!$A$2:$G$1646,2,FALSE)</f>
        <v/>
      </c>
      <c r="I1033">
        <f>VLOOKUP(B1033,Units!$A$2:$G$1646,5,FALSE)</f>
        <v/>
      </c>
      <c r="J1033" s="3">
        <f>G1033/I1033</f>
        <v/>
      </c>
      <c r="K1033" s="3">
        <f>G1033*12</f>
        <v/>
      </c>
      <c r="L1033" s="3" t="n">
        <v>11970</v>
      </c>
    </row>
    <row r="1034">
      <c r="A1034" t="inlineStr">
        <is>
          <t>TA-2025-00535</t>
        </is>
      </c>
      <c r="B1034" t="inlineStr">
        <is>
          <t>U-CD153-01-02</t>
        </is>
      </c>
      <c r="C1034" t="inlineStr">
        <is>
          <t>Ah Seng Minimart</t>
        </is>
      </c>
      <c r="D1034" t="inlineStr">
        <is>
          <t>Minimart</t>
        </is>
      </c>
      <c r="E1034" s="2" t="n">
        <v>45901</v>
      </c>
      <c r="F1034" s="2" t="n">
        <v>46996</v>
      </c>
      <c r="G1034" s="3" t="n">
        <v>4900</v>
      </c>
      <c r="H1034">
        <f>VLOOKUP(B1034,Units!$A$2:$G$1646,2,FALSE)</f>
        <v/>
      </c>
      <c r="I1034">
        <f>VLOOKUP(B1034,Units!$A$2:$G$1646,5,FALSE)</f>
        <v/>
      </c>
      <c r="J1034" s="3">
        <f>G1034/I1034</f>
        <v/>
      </c>
      <c r="K1034" s="3">
        <f>G1034*12</f>
        <v/>
      </c>
      <c r="L1034" s="3" t="n">
        <v>14700</v>
      </c>
    </row>
    <row r="1035">
      <c r="A1035" t="inlineStr">
        <is>
          <t>TA-2025-00536</t>
        </is>
      </c>
      <c r="B1035" t="inlineStr">
        <is>
          <t>U-CD170-02-11</t>
        </is>
      </c>
      <c r="C1035" t="inlineStr">
        <is>
          <t>Everbright Education Hub</t>
        </is>
      </c>
      <c r="D1035" t="inlineStr">
        <is>
          <t>Tuition Centre</t>
        </is>
      </c>
      <c r="E1035" s="2" t="n">
        <v>45901</v>
      </c>
      <c r="F1035" s="2" t="n">
        <v>46996</v>
      </c>
      <c r="G1035" s="3" t="n">
        <v>3090</v>
      </c>
      <c r="H1035">
        <f>VLOOKUP(B1035,Units!$A$2:$G$1646,2,FALSE)</f>
        <v/>
      </c>
      <c r="I1035">
        <f>VLOOKUP(B1035,Units!$A$2:$G$1646,5,FALSE)</f>
        <v/>
      </c>
      <c r="J1035" s="3">
        <f>G1035/I1035</f>
        <v/>
      </c>
      <c r="K1035" s="3">
        <f>G1035*12</f>
        <v/>
      </c>
      <c r="L1035" s="3" t="n">
        <v>9270</v>
      </c>
    </row>
    <row r="1036">
      <c r="A1036" t="inlineStr">
        <is>
          <t>TA-2025-00538</t>
        </is>
      </c>
      <c r="B1036" t="inlineStr">
        <is>
          <t>U-CD190-01-03</t>
        </is>
      </c>
      <c r="C1036" t="inlineStr">
        <is>
          <t>Happy Paws Supermarket Pte Ltd</t>
        </is>
      </c>
      <c r="D1036" t="inlineStr">
        <is>
          <t>Minimart</t>
        </is>
      </c>
      <c r="E1036" s="2" t="n">
        <v>45901</v>
      </c>
      <c r="F1036" s="2" t="n">
        <v>46996</v>
      </c>
      <c r="G1036" s="3" t="n">
        <v>4440</v>
      </c>
      <c r="H1036">
        <f>VLOOKUP(B1036,Units!$A$2:$G$1646,2,FALSE)</f>
        <v/>
      </c>
      <c r="I1036">
        <f>VLOOKUP(B1036,Units!$A$2:$G$1646,5,FALSE)</f>
        <v/>
      </c>
      <c r="J1036" s="3">
        <f>G1036/I1036</f>
        <v/>
      </c>
      <c r="K1036" s="3">
        <f>G1036*12</f>
        <v/>
      </c>
      <c r="L1036" s="3" t="n">
        <v>13320</v>
      </c>
    </row>
    <row r="1037">
      <c r="A1037" t="inlineStr">
        <is>
          <t>TA-2025-00539</t>
        </is>
      </c>
      <c r="B1037" t="inlineStr">
        <is>
          <t>U-KR305-01-29</t>
        </is>
      </c>
      <c r="C1037" t="inlineStr">
        <is>
          <t>Old Town Florist</t>
        </is>
      </c>
      <c r="D1037" t="inlineStr">
        <is>
          <t>Florist</t>
        </is>
      </c>
      <c r="E1037" s="2" t="n">
        <v>45901</v>
      </c>
      <c r="F1037" s="2" t="n">
        <v>46996</v>
      </c>
      <c r="G1037" s="3" t="n">
        <v>1280</v>
      </c>
      <c r="H1037">
        <f>VLOOKUP(B1037,Units!$A$2:$G$1646,2,FALSE)</f>
        <v/>
      </c>
      <c r="I1037">
        <f>VLOOKUP(B1037,Units!$A$2:$G$1646,5,FALSE)</f>
        <v/>
      </c>
      <c r="J1037" s="3">
        <f>G1037/I1037</f>
        <v/>
      </c>
      <c r="K1037" s="3">
        <f>G1037*12</f>
        <v/>
      </c>
      <c r="L1037" s="3" t="n">
        <v>3840</v>
      </c>
    </row>
    <row r="1038">
      <c r="A1038" t="inlineStr">
        <is>
          <t>TA-2025-00541</t>
        </is>
      </c>
      <c r="B1038" t="inlineStr">
        <is>
          <t>U-KR341-01-09</t>
        </is>
      </c>
      <c r="C1038" t="inlineStr">
        <is>
          <t>Sejahtera Eye Centre Pte Ltd</t>
        </is>
      </c>
      <c r="D1038" t="inlineStr">
        <is>
          <t>Optical</t>
        </is>
      </c>
      <c r="E1038" s="2" t="n">
        <v>45901</v>
      </c>
      <c r="F1038" s="2" t="n">
        <v>46996</v>
      </c>
      <c r="G1038" s="3" t="n">
        <v>5260</v>
      </c>
      <c r="H1038">
        <f>VLOOKUP(B1038,Units!$A$2:$G$1646,2,FALSE)</f>
        <v/>
      </c>
      <c r="I1038">
        <f>VLOOKUP(B1038,Units!$A$2:$G$1646,5,FALSE)</f>
        <v/>
      </c>
      <c r="J1038" s="3">
        <f>G1038/I1038</f>
        <v/>
      </c>
      <c r="K1038" s="3">
        <f>G1038*12</f>
        <v/>
      </c>
      <c r="L1038" s="3" t="n">
        <v>15780</v>
      </c>
    </row>
    <row r="1039">
      <c r="A1039" t="inlineStr">
        <is>
          <t>TA-2025-00543</t>
        </is>
      </c>
      <c r="B1039" t="inlineStr">
        <is>
          <t>U-KR371-01-01</t>
        </is>
      </c>
      <c r="C1039" t="inlineStr">
        <is>
          <t>Chin Lee Medical Clinic</t>
        </is>
      </c>
      <c r="D1039" t="inlineStr">
        <is>
          <t>GP Clinic</t>
        </is>
      </c>
      <c r="E1039" s="2" t="n">
        <v>45901</v>
      </c>
      <c r="F1039" s="2" t="n">
        <v>46996</v>
      </c>
      <c r="G1039" s="3" t="n">
        <v>3740</v>
      </c>
      <c r="H1039">
        <f>VLOOKUP(B1039,Units!$A$2:$G$1646,2,FALSE)</f>
        <v/>
      </c>
      <c r="I1039">
        <f>VLOOKUP(B1039,Units!$A$2:$G$1646,5,FALSE)</f>
        <v/>
      </c>
      <c r="J1039" s="3">
        <f>G1039/I1039</f>
        <v/>
      </c>
      <c r="K1039" s="3">
        <f>G1039*12</f>
        <v/>
      </c>
      <c r="L1039" s="3" t="n">
        <v>11220</v>
      </c>
    </row>
    <row r="1040">
      <c r="A1040" t="inlineStr">
        <is>
          <t>TA-2025-00544</t>
        </is>
      </c>
      <c r="B1040" t="inlineStr">
        <is>
          <t>U-PI605-02-04</t>
        </is>
      </c>
      <c r="C1040" t="inlineStr">
        <is>
          <t>Barakah Agency Pte Ltd</t>
        </is>
      </c>
      <c r="D1040" t="inlineStr">
        <is>
          <t>Professional Services Office</t>
        </is>
      </c>
      <c r="E1040" s="2" t="n">
        <v>45901</v>
      </c>
      <c r="F1040" s="2" t="n">
        <v>46996</v>
      </c>
      <c r="G1040" s="3" t="n">
        <v>1540</v>
      </c>
      <c r="H1040">
        <f>VLOOKUP(B1040,Units!$A$2:$G$1646,2,FALSE)</f>
        <v/>
      </c>
      <c r="I1040">
        <f>VLOOKUP(B1040,Units!$A$2:$G$1646,5,FALSE)</f>
        <v/>
      </c>
      <c r="J1040" s="3">
        <f>G1040/I1040</f>
        <v/>
      </c>
      <c r="K1040" s="3">
        <f>G1040*12</f>
        <v/>
      </c>
      <c r="L1040" s="3" t="n">
        <v>4620</v>
      </c>
    </row>
    <row r="1041">
      <c r="A1041" t="inlineStr">
        <is>
          <t>TA-2025-00546</t>
        </is>
      </c>
      <c r="B1041" t="inlineStr">
        <is>
          <t>U-PI626-01-03</t>
        </is>
      </c>
      <c r="C1041" t="inlineStr">
        <is>
          <t>Barakah TCM Clinic Pte Ltd</t>
        </is>
      </c>
      <c r="D1041" t="inlineStr">
        <is>
          <t>TCM Clinic</t>
        </is>
      </c>
      <c r="E1041" s="2" t="n">
        <v>45901</v>
      </c>
      <c r="F1041" s="2" t="n">
        <v>46996</v>
      </c>
      <c r="G1041" s="3" t="n">
        <v>4240</v>
      </c>
      <c r="H1041">
        <f>VLOOKUP(B1041,Units!$A$2:$G$1646,2,FALSE)</f>
        <v/>
      </c>
      <c r="I1041">
        <f>VLOOKUP(B1041,Units!$A$2:$G$1646,5,FALSE)</f>
        <v/>
      </c>
      <c r="J1041" s="3">
        <f>G1041/I1041</f>
        <v/>
      </c>
      <c r="K1041" s="3">
        <f>G1041*12</f>
        <v/>
      </c>
      <c r="L1041" s="3" t="n">
        <v>12720</v>
      </c>
    </row>
    <row r="1042">
      <c r="A1042" t="inlineStr">
        <is>
          <t>TA-2025-00548</t>
        </is>
      </c>
      <c r="B1042" t="inlineStr">
        <is>
          <t>U-PI627-02-23</t>
        </is>
      </c>
      <c r="C1042" t="inlineStr">
        <is>
          <t>Little Sprouts Family Clinic</t>
        </is>
      </c>
      <c r="D1042" t="inlineStr">
        <is>
          <t>GP Clinic</t>
        </is>
      </c>
      <c r="E1042" s="2" t="n">
        <v>45901</v>
      </c>
      <c r="F1042" s="2" t="n">
        <v>46996</v>
      </c>
      <c r="G1042" s="3" t="n">
        <v>3200</v>
      </c>
      <c r="H1042">
        <f>VLOOKUP(B1042,Units!$A$2:$G$1646,2,FALSE)</f>
        <v/>
      </c>
      <c r="I1042">
        <f>VLOOKUP(B1042,Units!$A$2:$G$1646,5,FALSE)</f>
        <v/>
      </c>
      <c r="J1042" s="3">
        <f>G1042/I1042</f>
        <v/>
      </c>
      <c r="K1042" s="3">
        <f>G1042*12</f>
        <v/>
      </c>
      <c r="L1042" s="3" t="n">
        <v>9600</v>
      </c>
    </row>
    <row r="1043">
      <c r="A1043" t="inlineStr">
        <is>
          <t>TA-2025-00549</t>
        </is>
      </c>
      <c r="B1043" t="inlineStr">
        <is>
          <t>U-PI667-01-06</t>
        </is>
      </c>
      <c r="C1043" t="inlineStr">
        <is>
          <t>Treasure Dry Cleaners</t>
        </is>
      </c>
      <c r="D1043" t="inlineStr">
        <is>
          <t>Laundry</t>
        </is>
      </c>
      <c r="E1043" s="2" t="n">
        <v>45901</v>
      </c>
      <c r="F1043" s="2" t="n">
        <v>46996</v>
      </c>
      <c r="G1043" s="3" t="n">
        <v>3560</v>
      </c>
      <c r="H1043">
        <f>VLOOKUP(B1043,Units!$A$2:$G$1646,2,FALSE)</f>
        <v/>
      </c>
      <c r="I1043">
        <f>VLOOKUP(B1043,Units!$A$2:$G$1646,5,FALSE)</f>
        <v/>
      </c>
      <c r="J1043" s="3">
        <f>G1043/I1043</f>
        <v/>
      </c>
      <c r="K1043" s="3">
        <f>G1043*12</f>
        <v/>
      </c>
      <c r="L1043" s="3" t="n">
        <v>10680</v>
      </c>
    </row>
    <row r="1044">
      <c r="A1044" t="inlineStr">
        <is>
          <t>TA-2025-00551</t>
        </is>
      </c>
      <c r="B1044" t="inlineStr">
        <is>
          <t>U-PI670-01-04</t>
        </is>
      </c>
      <c r="C1044" t="inlineStr">
        <is>
          <t>Tan Brothers Kueh Corner</t>
        </is>
      </c>
      <c r="D1044" t="inlineStr">
        <is>
          <t>Snack Kiosk</t>
        </is>
      </c>
      <c r="E1044" s="2" t="n">
        <v>45901</v>
      </c>
      <c r="F1044" s="2" t="n">
        <v>46996</v>
      </c>
      <c r="G1044" s="3" t="n">
        <v>1260</v>
      </c>
      <c r="H1044">
        <f>VLOOKUP(B1044,Units!$A$2:$G$1646,2,FALSE)</f>
        <v/>
      </c>
      <c r="I1044">
        <f>VLOOKUP(B1044,Units!$A$2:$G$1646,5,FALSE)</f>
        <v/>
      </c>
      <c r="J1044" s="3">
        <f>G1044/I1044</f>
        <v/>
      </c>
      <c r="K1044" s="3">
        <f>G1044*12</f>
        <v/>
      </c>
      <c r="L1044" s="3" t="n">
        <v>3780</v>
      </c>
    </row>
    <row r="1045">
      <c r="A1045" t="inlineStr">
        <is>
          <t>TA-2025-00552</t>
        </is>
      </c>
      <c r="B1045" t="inlineStr">
        <is>
          <t>U-PI678-01-07</t>
        </is>
      </c>
      <c r="C1045" t="inlineStr">
        <is>
          <t>Fortune Mart</t>
        </is>
      </c>
      <c r="D1045" t="inlineStr">
        <is>
          <t>Minimart</t>
        </is>
      </c>
      <c r="E1045" s="2" t="n">
        <v>45901</v>
      </c>
      <c r="F1045" s="2" t="n">
        <v>46996</v>
      </c>
      <c r="G1045" s="3" t="n">
        <v>3550</v>
      </c>
      <c r="H1045">
        <f>VLOOKUP(B1045,Units!$A$2:$G$1646,2,FALSE)</f>
        <v/>
      </c>
      <c r="I1045">
        <f>VLOOKUP(B1045,Units!$A$2:$G$1646,5,FALSE)</f>
        <v/>
      </c>
      <c r="J1045" s="3">
        <f>G1045/I1045</f>
        <v/>
      </c>
      <c r="K1045" s="3">
        <f>G1045*12</f>
        <v/>
      </c>
      <c r="L1045" s="3" t="n">
        <v>10650</v>
      </c>
    </row>
    <row r="1046">
      <c r="A1046" t="inlineStr">
        <is>
          <t>TA-2025-00554</t>
        </is>
      </c>
      <c r="B1046" t="inlineStr">
        <is>
          <t>U-PI693-01-07</t>
        </is>
      </c>
      <c r="C1046" t="inlineStr">
        <is>
          <t>Wong's Bubble Tea Pte Ltd</t>
        </is>
      </c>
      <c r="D1046" t="inlineStr">
        <is>
          <t>Bubble Tea</t>
        </is>
      </c>
      <c r="E1046" s="2" t="n">
        <v>45901</v>
      </c>
      <c r="F1046" s="2" t="n">
        <v>46996</v>
      </c>
      <c r="G1046" s="3" t="n">
        <v>4540</v>
      </c>
      <c r="H1046">
        <f>VLOOKUP(B1046,Units!$A$2:$G$1646,2,FALSE)</f>
        <v/>
      </c>
      <c r="I1046">
        <f>VLOOKUP(B1046,Units!$A$2:$G$1646,5,FALSE)</f>
        <v/>
      </c>
      <c r="J1046" s="3">
        <f>G1046/I1046</f>
        <v/>
      </c>
      <c r="K1046" s="3">
        <f>G1046*12</f>
        <v/>
      </c>
      <c r="L1046" s="3" t="n">
        <v>13620</v>
      </c>
    </row>
    <row r="1047">
      <c r="A1047" t="inlineStr">
        <is>
          <t>TA-2025-00556</t>
        </is>
      </c>
      <c r="B1047" t="inlineStr">
        <is>
          <t>U-RH401-01-02</t>
        </is>
      </c>
      <c r="C1047" t="inlineStr">
        <is>
          <t>Lim's Mobile Pte Ltd</t>
        </is>
      </c>
      <c r="D1047" t="inlineStr">
        <is>
          <t>Mobile Phone &amp; Accessories</t>
        </is>
      </c>
      <c r="E1047" s="2" t="n">
        <v>45901</v>
      </c>
      <c r="F1047" s="2" t="n">
        <v>46996</v>
      </c>
      <c r="G1047" s="3" t="n">
        <v>3980</v>
      </c>
      <c r="H1047">
        <f>VLOOKUP(B1047,Units!$A$2:$G$1646,2,FALSE)</f>
        <v/>
      </c>
      <c r="I1047">
        <f>VLOOKUP(B1047,Units!$A$2:$G$1646,5,FALSE)</f>
        <v/>
      </c>
      <c r="J1047" s="3">
        <f>G1047/I1047</f>
        <v/>
      </c>
      <c r="K1047" s="3">
        <f>G1047*12</f>
        <v/>
      </c>
      <c r="L1047" s="3" t="n">
        <v>11940</v>
      </c>
    </row>
    <row r="1048">
      <c r="A1048" t="inlineStr">
        <is>
          <t>TA-2025-00558</t>
        </is>
      </c>
      <c r="B1048" t="inlineStr">
        <is>
          <t>U-RH456-01-02</t>
        </is>
      </c>
      <c r="C1048" t="inlineStr">
        <is>
          <t>Hock Lee Tea House</t>
        </is>
      </c>
      <c r="D1048" t="inlineStr">
        <is>
          <t>Bubble Tea</t>
        </is>
      </c>
      <c r="E1048" s="2" t="n">
        <v>45901</v>
      </c>
      <c r="F1048" s="2" t="n">
        <v>46996</v>
      </c>
      <c r="G1048" s="3" t="n">
        <v>940</v>
      </c>
      <c r="H1048">
        <f>VLOOKUP(B1048,Units!$A$2:$G$1646,2,FALSE)</f>
        <v/>
      </c>
      <c r="I1048">
        <f>VLOOKUP(B1048,Units!$A$2:$G$1646,5,FALSE)</f>
        <v/>
      </c>
      <c r="J1048" s="3">
        <f>G1048/I1048</f>
        <v/>
      </c>
      <c r="K1048" s="3">
        <f>G1048*12</f>
        <v/>
      </c>
      <c r="L1048" s="3" t="n">
        <v>2820</v>
      </c>
    </row>
    <row r="1049">
      <c r="A1049" t="inlineStr">
        <is>
          <t>TA-2025-00560</t>
        </is>
      </c>
      <c r="B1049" t="inlineStr">
        <is>
          <t>U-RH463-01-03</t>
        </is>
      </c>
      <c r="C1049" t="inlineStr">
        <is>
          <t>Silver Moon Medical Hall</t>
        </is>
      </c>
      <c r="D1049" t="inlineStr">
        <is>
          <t>TCM Clinic</t>
        </is>
      </c>
      <c r="E1049" s="2" t="n">
        <v>45901</v>
      </c>
      <c r="F1049" s="2" t="n">
        <v>46996</v>
      </c>
      <c r="G1049" s="3" t="n">
        <v>3760</v>
      </c>
      <c r="H1049">
        <f>VLOOKUP(B1049,Units!$A$2:$G$1646,2,FALSE)</f>
        <v/>
      </c>
      <c r="I1049">
        <f>VLOOKUP(B1049,Units!$A$2:$G$1646,5,FALSE)</f>
        <v/>
      </c>
      <c r="J1049" s="3">
        <f>G1049/I1049</f>
        <v/>
      </c>
      <c r="K1049" s="3">
        <f>G1049*12</f>
        <v/>
      </c>
      <c r="L1049" s="3" t="n">
        <v>11280</v>
      </c>
    </row>
    <row r="1050">
      <c r="A1050" t="inlineStr">
        <is>
          <t>TA-2025-00562</t>
        </is>
      </c>
      <c r="B1050" t="inlineStr">
        <is>
          <t>U-RH464-02-07</t>
        </is>
      </c>
      <c r="C1050" t="inlineStr">
        <is>
          <t>Ever Joy Family Clinic</t>
        </is>
      </c>
      <c r="D1050" t="inlineStr">
        <is>
          <t>GP Clinic</t>
        </is>
      </c>
      <c r="E1050" s="2" t="n">
        <v>45901</v>
      </c>
      <c r="F1050" s="2" t="n">
        <v>46996</v>
      </c>
      <c r="G1050" s="3" t="n">
        <v>2720</v>
      </c>
      <c r="H1050">
        <f>VLOOKUP(B1050,Units!$A$2:$G$1646,2,FALSE)</f>
        <v/>
      </c>
      <c r="I1050">
        <f>VLOOKUP(B1050,Units!$A$2:$G$1646,5,FALSE)</f>
        <v/>
      </c>
      <c r="J1050" s="3">
        <f>G1050/I1050</f>
        <v/>
      </c>
      <c r="K1050" s="3">
        <f>G1050*12</f>
        <v/>
      </c>
      <c r="L1050" s="3" t="n">
        <v>8160</v>
      </c>
    </row>
    <row r="1051">
      <c r="A1051" t="inlineStr">
        <is>
          <t>TA-2025-00563</t>
        </is>
      </c>
      <c r="B1051" t="inlineStr">
        <is>
          <t>U-RH486-01-02</t>
        </is>
      </c>
      <c r="C1051" t="inlineStr">
        <is>
          <t>Value Medical Supplies Pte Ltd</t>
        </is>
      </c>
      <c r="D1051" t="inlineStr">
        <is>
          <t>Pharmacy</t>
        </is>
      </c>
      <c r="E1051" s="2" t="n">
        <v>45901</v>
      </c>
      <c r="F1051" s="2" t="n">
        <v>46996</v>
      </c>
      <c r="G1051" s="3" t="n">
        <v>4070</v>
      </c>
      <c r="H1051">
        <f>VLOOKUP(B1051,Units!$A$2:$G$1646,2,FALSE)</f>
        <v/>
      </c>
      <c r="I1051">
        <f>VLOOKUP(B1051,Units!$A$2:$G$1646,5,FALSE)</f>
        <v/>
      </c>
      <c r="J1051" s="3">
        <f>G1051/I1051</f>
        <v/>
      </c>
      <c r="K1051" s="3">
        <f>G1051*12</f>
        <v/>
      </c>
      <c r="L1051" s="3" t="n">
        <v>12210</v>
      </c>
    </row>
    <row r="1052">
      <c r="A1052" t="inlineStr">
        <is>
          <t>TA-2025-00565</t>
        </is>
      </c>
      <c r="B1052" t="inlineStr">
        <is>
          <t>U-ST556-02-07</t>
        </is>
      </c>
      <c r="C1052" t="inlineStr">
        <is>
          <t>Kumar Dental Surgery</t>
        </is>
      </c>
      <c r="D1052" t="inlineStr">
        <is>
          <t>Dental Clinic</t>
        </is>
      </c>
      <c r="E1052" s="2" t="n">
        <v>45901</v>
      </c>
      <c r="F1052" s="2" t="n">
        <v>46996</v>
      </c>
      <c r="G1052" s="3" t="n">
        <v>2270</v>
      </c>
      <c r="H1052">
        <f>VLOOKUP(B1052,Units!$A$2:$G$1646,2,FALSE)</f>
        <v/>
      </c>
      <c r="I1052">
        <f>VLOOKUP(B1052,Units!$A$2:$G$1646,5,FALSE)</f>
        <v/>
      </c>
      <c r="J1052" s="3">
        <f>G1052/I1052</f>
        <v/>
      </c>
      <c r="K1052" s="3">
        <f>G1052*12</f>
        <v/>
      </c>
      <c r="L1052" s="3" t="n">
        <v>6810</v>
      </c>
    </row>
    <row r="1053">
      <c r="A1053" t="inlineStr">
        <is>
          <t>TA-2025-00566</t>
        </is>
      </c>
      <c r="B1053" t="inlineStr">
        <is>
          <t>U-ST564-01-01</t>
        </is>
      </c>
      <c r="C1053" t="inlineStr">
        <is>
          <t>PrimeValue Mart Pte Ltd</t>
        </is>
      </c>
      <c r="D1053" t="inlineStr">
        <is>
          <t>Minimart</t>
        </is>
      </c>
      <c r="E1053" s="2" t="n">
        <v>45901</v>
      </c>
      <c r="F1053" s="2" t="n">
        <v>46996</v>
      </c>
      <c r="G1053" s="3" t="n">
        <v>2870</v>
      </c>
      <c r="H1053">
        <f>VLOOKUP(B1053,Units!$A$2:$G$1646,2,FALSE)</f>
        <v/>
      </c>
      <c r="I1053">
        <f>VLOOKUP(B1053,Units!$A$2:$G$1646,5,FALSE)</f>
        <v/>
      </c>
      <c r="J1053" s="3">
        <f>G1053/I1053</f>
        <v/>
      </c>
      <c r="K1053" s="3">
        <f>G1053*12</f>
        <v/>
      </c>
      <c r="L1053" s="3" t="n">
        <v>8610</v>
      </c>
    </row>
    <row r="1054">
      <c r="A1054" t="inlineStr">
        <is>
          <t>TA-2025-00567</t>
        </is>
      </c>
      <c r="B1054" t="inlineStr">
        <is>
          <t>U-ST579-01-04</t>
        </is>
      </c>
      <c r="C1054" t="inlineStr">
        <is>
          <t>PrimeValue Mart Pte Ltd</t>
        </is>
      </c>
      <c r="D1054" t="inlineStr">
        <is>
          <t>Minimart</t>
        </is>
      </c>
      <c r="E1054" s="2" t="n">
        <v>45901</v>
      </c>
      <c r="F1054" s="2" t="n">
        <v>46996</v>
      </c>
      <c r="G1054" s="3" t="n">
        <v>3000</v>
      </c>
      <c r="H1054">
        <f>VLOOKUP(B1054,Units!$A$2:$G$1646,2,FALSE)</f>
        <v/>
      </c>
      <c r="I1054">
        <f>VLOOKUP(B1054,Units!$A$2:$G$1646,5,FALSE)</f>
        <v/>
      </c>
      <c r="J1054" s="3">
        <f>G1054/I1054</f>
        <v/>
      </c>
      <c r="K1054" s="3">
        <f>G1054*12</f>
        <v/>
      </c>
      <c r="L1054" s="3" t="n">
        <v>9000</v>
      </c>
    </row>
    <row r="1055">
      <c r="A1055" t="inlineStr">
        <is>
          <t>TA-2025-00568</t>
        </is>
      </c>
      <c r="B1055" t="inlineStr">
        <is>
          <t>U-BV205-01-12</t>
        </is>
      </c>
      <c r="C1055" t="inlineStr">
        <is>
          <t>Sin Hock Key &amp; Shoe Service</t>
        </is>
      </c>
      <c r="D1055" t="inlineStr">
        <is>
          <t>Key Cutting &amp; Shoe Repair</t>
        </is>
      </c>
      <c r="E1055" s="2" t="n">
        <v>45931</v>
      </c>
      <c r="F1055" s="2" t="n">
        <v>47026</v>
      </c>
      <c r="G1055" s="3" t="n">
        <v>1590</v>
      </c>
      <c r="H1055">
        <f>VLOOKUP(B1055,Units!$A$2:$G$1646,2,FALSE)</f>
        <v/>
      </c>
      <c r="I1055">
        <f>VLOOKUP(B1055,Units!$A$2:$G$1646,5,FALSE)</f>
        <v/>
      </c>
      <c r="J1055" s="3">
        <f>G1055/I1055</f>
        <v/>
      </c>
      <c r="K1055" s="3">
        <f>G1055*12</f>
        <v/>
      </c>
      <c r="L1055" s="3" t="n">
        <v>4770</v>
      </c>
    </row>
    <row r="1056">
      <c r="A1056" t="inlineStr">
        <is>
          <t>TA-2025-00570</t>
        </is>
      </c>
      <c r="B1056" t="inlineStr">
        <is>
          <t>U-BV290-02-09</t>
        </is>
      </c>
      <c r="C1056" t="inlineStr">
        <is>
          <t>Mutiara TCM Clinic Pte Ltd</t>
        </is>
      </c>
      <c r="D1056" t="inlineStr">
        <is>
          <t>TCM Clinic</t>
        </is>
      </c>
      <c r="E1056" s="2" t="n">
        <v>45931</v>
      </c>
      <c r="F1056" s="2" t="n">
        <v>47026</v>
      </c>
      <c r="G1056" s="3" t="n">
        <v>2770</v>
      </c>
      <c r="H1056">
        <f>VLOOKUP(B1056,Units!$A$2:$G$1646,2,FALSE)</f>
        <v/>
      </c>
      <c r="I1056">
        <f>VLOOKUP(B1056,Units!$A$2:$G$1646,5,FALSE)</f>
        <v/>
      </c>
      <c r="J1056" s="3">
        <f>G1056/I1056</f>
        <v/>
      </c>
      <c r="K1056" s="3">
        <f>G1056*12</f>
        <v/>
      </c>
      <c r="L1056" s="3" t="n">
        <v>8310</v>
      </c>
    </row>
    <row r="1057">
      <c r="A1057" t="inlineStr">
        <is>
          <t>TA-2025-00571</t>
        </is>
      </c>
      <c r="B1057" t="inlineStr">
        <is>
          <t>U-CD118-01-09</t>
        </is>
      </c>
      <c r="C1057" t="inlineStr">
        <is>
          <t>Ananda Hair Studio</t>
        </is>
      </c>
      <c r="D1057" t="inlineStr">
        <is>
          <t>Hair Salon</t>
        </is>
      </c>
      <c r="E1057" s="2" t="n">
        <v>45931</v>
      </c>
      <c r="F1057" s="2" t="n">
        <v>47026</v>
      </c>
      <c r="G1057" s="3" t="n">
        <v>3470</v>
      </c>
      <c r="H1057">
        <f>VLOOKUP(B1057,Units!$A$2:$G$1646,2,FALSE)</f>
        <v/>
      </c>
      <c r="I1057">
        <f>VLOOKUP(B1057,Units!$A$2:$G$1646,5,FALSE)</f>
        <v/>
      </c>
      <c r="J1057" s="3">
        <f>G1057/I1057</f>
        <v/>
      </c>
      <c r="K1057" s="3">
        <f>G1057*12</f>
        <v/>
      </c>
      <c r="L1057" s="3" t="n">
        <v>10410</v>
      </c>
    </row>
    <row r="1058">
      <c r="A1058" t="inlineStr">
        <is>
          <t>TA-2025-00573</t>
        </is>
      </c>
      <c r="B1058" t="inlineStr">
        <is>
          <t>U-CD118-01-19</t>
        </is>
      </c>
      <c r="C1058" t="inlineStr">
        <is>
          <t>Starlight Clinic &amp; Surgery</t>
        </is>
      </c>
      <c r="D1058" t="inlineStr">
        <is>
          <t>GP Clinic</t>
        </is>
      </c>
      <c r="E1058" s="2" t="n">
        <v>45931</v>
      </c>
      <c r="F1058" s="2" t="n">
        <v>47026</v>
      </c>
      <c r="G1058" s="3" t="n">
        <v>4450</v>
      </c>
      <c r="H1058">
        <f>VLOOKUP(B1058,Units!$A$2:$G$1646,2,FALSE)</f>
        <v/>
      </c>
      <c r="I1058">
        <f>VLOOKUP(B1058,Units!$A$2:$G$1646,5,FALSE)</f>
        <v/>
      </c>
      <c r="J1058" s="3">
        <f>G1058/I1058</f>
        <v/>
      </c>
      <c r="K1058" s="3">
        <f>G1058*12</f>
        <v/>
      </c>
      <c r="L1058" s="3" t="n">
        <v>13350</v>
      </c>
    </row>
    <row r="1059">
      <c r="A1059" t="inlineStr">
        <is>
          <t>TA-2025-00574</t>
        </is>
      </c>
      <c r="B1059" t="inlineStr">
        <is>
          <t>U-CD120-01-05</t>
        </is>
      </c>
      <c r="C1059" t="inlineStr">
        <is>
          <t>Tan Brothers Family Clinic Pte Ltd</t>
        </is>
      </c>
      <c r="D1059" t="inlineStr">
        <is>
          <t>GP Clinic</t>
        </is>
      </c>
      <c r="E1059" s="2" t="n">
        <v>45931</v>
      </c>
      <c r="F1059" s="2" t="n">
        <v>47026</v>
      </c>
      <c r="G1059" s="3" t="n">
        <v>4350</v>
      </c>
      <c r="H1059">
        <f>VLOOKUP(B1059,Units!$A$2:$G$1646,2,FALSE)</f>
        <v/>
      </c>
      <c r="I1059">
        <f>VLOOKUP(B1059,Units!$A$2:$G$1646,5,FALSE)</f>
        <v/>
      </c>
      <c r="J1059" s="3">
        <f>G1059/I1059</f>
        <v/>
      </c>
      <c r="K1059" s="3">
        <f>G1059*12</f>
        <v/>
      </c>
      <c r="L1059" s="3" t="n">
        <v>13050</v>
      </c>
    </row>
    <row r="1060">
      <c r="A1060" t="inlineStr">
        <is>
          <t>TA-2025-00575</t>
        </is>
      </c>
      <c r="B1060" t="inlineStr">
        <is>
          <t>U-CD136-01-03</t>
        </is>
      </c>
      <c r="C1060" t="inlineStr">
        <is>
          <t>Murugan Bubble Tea Pte Ltd</t>
        </is>
      </c>
      <c r="D1060" t="inlineStr">
        <is>
          <t>Bubble Tea</t>
        </is>
      </c>
      <c r="E1060" s="2" t="n">
        <v>45931</v>
      </c>
      <c r="F1060" s="2" t="n">
        <v>47026</v>
      </c>
      <c r="G1060" s="3" t="n">
        <v>1450</v>
      </c>
      <c r="H1060">
        <f>VLOOKUP(B1060,Units!$A$2:$G$1646,2,FALSE)</f>
        <v/>
      </c>
      <c r="I1060">
        <f>VLOOKUP(B1060,Units!$A$2:$G$1646,5,FALSE)</f>
        <v/>
      </c>
      <c r="J1060" s="3">
        <f>G1060/I1060</f>
        <v/>
      </c>
      <c r="K1060" s="3">
        <f>G1060*12</f>
        <v/>
      </c>
      <c r="L1060" s="3" t="n">
        <v>4350</v>
      </c>
    </row>
    <row r="1061">
      <c r="A1061" t="inlineStr">
        <is>
          <t>TA-2025-00577</t>
        </is>
      </c>
      <c r="B1061" t="inlineStr">
        <is>
          <t>U-CD142-01-01</t>
        </is>
      </c>
      <c r="C1061" t="inlineStr">
        <is>
          <t>Lim's Agency Pte Ltd</t>
        </is>
      </c>
      <c r="D1061" t="inlineStr">
        <is>
          <t>Professional Services Office</t>
        </is>
      </c>
      <c r="E1061" s="2" t="n">
        <v>45931</v>
      </c>
      <c r="F1061" s="2" t="n">
        <v>47026</v>
      </c>
      <c r="G1061" s="3" t="n">
        <v>3060</v>
      </c>
      <c r="H1061">
        <f>VLOOKUP(B1061,Units!$A$2:$G$1646,2,FALSE)</f>
        <v/>
      </c>
      <c r="I1061">
        <f>VLOOKUP(B1061,Units!$A$2:$G$1646,5,FALSE)</f>
        <v/>
      </c>
      <c r="J1061" s="3">
        <f>G1061/I1061</f>
        <v/>
      </c>
      <c r="K1061" s="3">
        <f>G1061*12</f>
        <v/>
      </c>
      <c r="L1061" s="3" t="n">
        <v>9180</v>
      </c>
    </row>
    <row r="1062">
      <c r="A1062" t="inlineStr">
        <is>
          <t>TA-2025-00579</t>
        </is>
      </c>
      <c r="B1062" t="inlineStr">
        <is>
          <t>U-CD143-01-02</t>
        </is>
      </c>
      <c r="C1062" t="inlineStr">
        <is>
          <t>Tian Fu Medical Hall</t>
        </is>
      </c>
      <c r="D1062" t="inlineStr">
        <is>
          <t>TCM Clinic</t>
        </is>
      </c>
      <c r="E1062" s="2" t="n">
        <v>45931</v>
      </c>
      <c r="F1062" s="2" t="n">
        <v>47026</v>
      </c>
      <c r="G1062" s="3" t="n">
        <v>4940</v>
      </c>
      <c r="H1062">
        <f>VLOOKUP(B1062,Units!$A$2:$G$1646,2,FALSE)</f>
        <v/>
      </c>
      <c r="I1062">
        <f>VLOOKUP(B1062,Units!$A$2:$G$1646,5,FALSE)</f>
        <v/>
      </c>
      <c r="J1062" s="3">
        <f>G1062/I1062</f>
        <v/>
      </c>
      <c r="K1062" s="3">
        <f>G1062*12</f>
        <v/>
      </c>
      <c r="L1062" s="3" t="n">
        <v>14820</v>
      </c>
    </row>
    <row r="1063">
      <c r="A1063" t="inlineStr">
        <is>
          <t>TA-2025-00581</t>
        </is>
      </c>
      <c r="B1063" t="inlineStr">
        <is>
          <t>U-CD143-01-08</t>
        </is>
      </c>
      <c r="C1063" t="inlineStr">
        <is>
          <t>Sri Ganesh Hair Salon</t>
        </is>
      </c>
      <c r="D1063" t="inlineStr">
        <is>
          <t>Hair Salon</t>
        </is>
      </c>
      <c r="E1063" s="2" t="n">
        <v>45931</v>
      </c>
      <c r="F1063" s="2" t="n">
        <v>47026</v>
      </c>
      <c r="G1063" s="3" t="n">
        <v>4710</v>
      </c>
      <c r="H1063">
        <f>VLOOKUP(B1063,Units!$A$2:$G$1646,2,FALSE)</f>
        <v/>
      </c>
      <c r="I1063">
        <f>VLOOKUP(B1063,Units!$A$2:$G$1646,5,FALSE)</f>
        <v/>
      </c>
      <c r="J1063" s="3">
        <f>G1063/I1063</f>
        <v/>
      </c>
      <c r="K1063" s="3">
        <f>G1063*12</f>
        <v/>
      </c>
      <c r="L1063" s="3" t="n">
        <v>14130</v>
      </c>
    </row>
    <row r="1064">
      <c r="A1064" t="inlineStr">
        <is>
          <t>TA-2025-00583</t>
        </is>
      </c>
      <c r="B1064" t="inlineStr">
        <is>
          <t>U-CD152-01-01</t>
        </is>
      </c>
      <c r="C1064" t="inlineStr">
        <is>
          <t>Raja Learning Centre</t>
        </is>
      </c>
      <c r="D1064" t="inlineStr">
        <is>
          <t>Tuition Centre</t>
        </is>
      </c>
      <c r="E1064" s="2" t="n">
        <v>45931</v>
      </c>
      <c r="F1064" s="2" t="n">
        <v>47026</v>
      </c>
      <c r="G1064" s="3" t="n">
        <v>5860</v>
      </c>
      <c r="H1064">
        <f>VLOOKUP(B1064,Units!$A$2:$G$1646,2,FALSE)</f>
        <v/>
      </c>
      <c r="I1064">
        <f>VLOOKUP(B1064,Units!$A$2:$G$1646,5,FALSE)</f>
        <v/>
      </c>
      <c r="J1064" s="3">
        <f>G1064/I1064</f>
        <v/>
      </c>
      <c r="K1064" s="3">
        <f>G1064*12</f>
        <v/>
      </c>
      <c r="L1064" s="3" t="n">
        <v>17580</v>
      </c>
    </row>
    <row r="1065">
      <c r="A1065" t="inlineStr">
        <is>
          <t>TA-2025-00585</t>
        </is>
      </c>
      <c r="B1065" t="inlineStr">
        <is>
          <t>U-CD153-01-05</t>
        </is>
      </c>
      <c r="C1065" t="inlineStr">
        <is>
          <t>Suria Store</t>
        </is>
      </c>
      <c r="D1065" t="inlineStr">
        <is>
          <t>Provision Shop</t>
        </is>
      </c>
      <c r="E1065" s="2" t="n">
        <v>45931</v>
      </c>
      <c r="F1065" s="2" t="n">
        <v>47026</v>
      </c>
      <c r="G1065" s="3" t="n">
        <v>2620</v>
      </c>
      <c r="H1065">
        <f>VLOOKUP(B1065,Units!$A$2:$G$1646,2,FALSE)</f>
        <v/>
      </c>
      <c r="I1065">
        <f>VLOOKUP(B1065,Units!$A$2:$G$1646,5,FALSE)</f>
        <v/>
      </c>
      <c r="J1065" s="3">
        <f>G1065/I1065</f>
        <v/>
      </c>
      <c r="K1065" s="3">
        <f>G1065*12</f>
        <v/>
      </c>
      <c r="L1065" s="3" t="n">
        <v>7860</v>
      </c>
    </row>
    <row r="1066">
      <c r="A1066" t="inlineStr">
        <is>
          <t>TA-2025-00587</t>
        </is>
      </c>
      <c r="B1066" t="inlineStr">
        <is>
          <t>U-CD173-01-05</t>
        </is>
      </c>
      <c r="C1066" t="inlineStr">
        <is>
          <t>Wellcare Hardware Pte Ltd</t>
        </is>
      </c>
      <c r="D1066" t="inlineStr">
        <is>
          <t>Hardware</t>
        </is>
      </c>
      <c r="E1066" s="2" t="n">
        <v>45931</v>
      </c>
      <c r="F1066" s="2" t="n">
        <v>47026</v>
      </c>
      <c r="G1066" s="3" t="n">
        <v>2530</v>
      </c>
      <c r="H1066">
        <f>VLOOKUP(B1066,Units!$A$2:$G$1646,2,FALSE)</f>
        <v/>
      </c>
      <c r="I1066">
        <f>VLOOKUP(B1066,Units!$A$2:$G$1646,5,FALSE)</f>
        <v/>
      </c>
      <c r="J1066" s="3">
        <f>G1066/I1066</f>
        <v/>
      </c>
      <c r="K1066" s="3">
        <f>G1066*12</f>
        <v/>
      </c>
      <c r="L1066" s="3" t="n">
        <v>7590</v>
      </c>
    </row>
    <row r="1067">
      <c r="A1067" t="inlineStr">
        <is>
          <t>TA-2025-00589</t>
        </is>
      </c>
      <c r="B1067" t="inlineStr">
        <is>
          <t>U-CD190-01-10</t>
        </is>
      </c>
      <c r="C1067" t="inlineStr">
        <is>
          <t>PrimeValue Mart Pte Ltd</t>
        </is>
      </c>
      <c r="D1067" t="inlineStr">
        <is>
          <t>Minimart</t>
        </is>
      </c>
      <c r="E1067" s="2" t="n">
        <v>45931</v>
      </c>
      <c r="F1067" s="2" t="n">
        <v>47026</v>
      </c>
      <c r="G1067" s="3" t="n">
        <v>2100</v>
      </c>
      <c r="H1067">
        <f>VLOOKUP(B1067,Units!$A$2:$G$1646,2,FALSE)</f>
        <v/>
      </c>
      <c r="I1067">
        <f>VLOOKUP(B1067,Units!$A$2:$G$1646,5,FALSE)</f>
        <v/>
      </c>
      <c r="J1067" s="3">
        <f>G1067/I1067</f>
        <v/>
      </c>
      <c r="K1067" s="3">
        <f>G1067*12</f>
        <v/>
      </c>
      <c r="L1067" s="3" t="n">
        <v>6300</v>
      </c>
    </row>
    <row r="1068">
      <c r="A1068" t="inlineStr">
        <is>
          <t>TA-2025-00591</t>
        </is>
      </c>
      <c r="B1068" t="inlineStr">
        <is>
          <t>U-KR329-01-03</t>
        </is>
      </c>
      <c r="C1068" t="inlineStr">
        <is>
          <t>Lim's Tuition Centre</t>
        </is>
      </c>
      <c r="D1068" t="inlineStr">
        <is>
          <t>Tuition Centre</t>
        </is>
      </c>
      <c r="E1068" s="2" t="n">
        <v>45931</v>
      </c>
      <c r="F1068" s="2" t="n">
        <v>47026</v>
      </c>
      <c r="G1068" s="3" t="n">
        <v>4150</v>
      </c>
      <c r="H1068">
        <f>VLOOKUP(B1068,Units!$A$2:$G$1646,2,FALSE)</f>
        <v/>
      </c>
      <c r="I1068">
        <f>VLOOKUP(B1068,Units!$A$2:$G$1646,5,FALSE)</f>
        <v/>
      </c>
      <c r="J1068" s="3">
        <f>G1068/I1068</f>
        <v/>
      </c>
      <c r="K1068" s="3">
        <f>G1068*12</f>
        <v/>
      </c>
      <c r="L1068" s="3" t="n">
        <v>12450</v>
      </c>
    </row>
    <row r="1069">
      <c r="A1069" t="inlineStr">
        <is>
          <t>TA-2025-00593</t>
        </is>
      </c>
      <c r="B1069" t="inlineStr">
        <is>
          <t>U-KR333-01-08</t>
        </is>
      </c>
      <c r="C1069" t="inlineStr">
        <is>
          <t>Soon Hin Snacks</t>
        </is>
      </c>
      <c r="D1069" t="inlineStr">
        <is>
          <t>Snack Kiosk</t>
        </is>
      </c>
      <c r="E1069" s="2" t="n">
        <v>45931</v>
      </c>
      <c r="F1069" s="2" t="n">
        <v>47026</v>
      </c>
      <c r="G1069" s="3" t="n">
        <v>1200</v>
      </c>
      <c r="H1069">
        <f>VLOOKUP(B1069,Units!$A$2:$G$1646,2,FALSE)</f>
        <v/>
      </c>
      <c r="I1069">
        <f>VLOOKUP(B1069,Units!$A$2:$G$1646,5,FALSE)</f>
        <v/>
      </c>
      <c r="J1069" s="3">
        <f>G1069/I1069</f>
        <v/>
      </c>
      <c r="K1069" s="3">
        <f>G1069*12</f>
        <v/>
      </c>
      <c r="L1069" s="3" t="n">
        <v>3600</v>
      </c>
    </row>
    <row r="1070">
      <c r="A1070" t="inlineStr">
        <is>
          <t>TA-2025-00594</t>
        </is>
      </c>
      <c r="B1070" t="inlineStr">
        <is>
          <t>U-KR335-01-08</t>
        </is>
      </c>
      <c r="C1070" t="inlineStr">
        <is>
          <t>Sunflower Bakery</t>
        </is>
      </c>
      <c r="D1070" t="inlineStr">
        <is>
          <t>Bakery &amp; Confectionery</t>
        </is>
      </c>
      <c r="E1070" s="2" t="n">
        <v>45931</v>
      </c>
      <c r="F1070" s="2" t="n">
        <v>47026</v>
      </c>
      <c r="G1070" s="3" t="n">
        <v>4180</v>
      </c>
      <c r="H1070">
        <f>VLOOKUP(B1070,Units!$A$2:$G$1646,2,FALSE)</f>
        <v/>
      </c>
      <c r="I1070">
        <f>VLOOKUP(B1070,Units!$A$2:$G$1646,5,FALSE)</f>
        <v/>
      </c>
      <c r="J1070" s="3">
        <f>G1070/I1070</f>
        <v/>
      </c>
      <c r="K1070" s="3">
        <f>G1070*12</f>
        <v/>
      </c>
      <c r="L1070" s="3" t="n">
        <v>12540</v>
      </c>
    </row>
    <row r="1071">
      <c r="A1071" t="inlineStr">
        <is>
          <t>TA-2025-00596</t>
        </is>
      </c>
      <c r="B1071" t="inlineStr">
        <is>
          <t>U-KR335-01-09</t>
        </is>
      </c>
      <c r="C1071" t="inlineStr">
        <is>
          <t>Golden Leaf Medical Supplies Pte Ltd</t>
        </is>
      </c>
      <c r="D1071" t="inlineStr">
        <is>
          <t>Pharmacy</t>
        </is>
      </c>
      <c r="E1071" s="2" t="n">
        <v>45931</v>
      </c>
      <c r="F1071" s="2" t="n">
        <v>47026</v>
      </c>
      <c r="G1071" s="3" t="n">
        <v>5100</v>
      </c>
      <c r="H1071">
        <f>VLOOKUP(B1071,Units!$A$2:$G$1646,2,FALSE)</f>
        <v/>
      </c>
      <c r="I1071">
        <f>VLOOKUP(B1071,Units!$A$2:$G$1646,5,FALSE)</f>
        <v/>
      </c>
      <c r="J1071" s="3">
        <f>G1071/I1071</f>
        <v/>
      </c>
      <c r="K1071" s="3">
        <f>G1071*12</f>
        <v/>
      </c>
      <c r="L1071" s="3" t="n">
        <v>15300</v>
      </c>
    </row>
    <row r="1072">
      <c r="A1072" t="inlineStr">
        <is>
          <t>TA-2025-00597</t>
        </is>
      </c>
      <c r="B1072" t="inlineStr">
        <is>
          <t>U-KR359-01-07</t>
        </is>
      </c>
      <c r="C1072" t="inlineStr">
        <is>
          <t>Evergreen Education Hub</t>
        </is>
      </c>
      <c r="D1072" t="inlineStr">
        <is>
          <t>Tuition Centre</t>
        </is>
      </c>
      <c r="E1072" s="2" t="n">
        <v>45931</v>
      </c>
      <c r="F1072" s="2" t="n">
        <v>47026</v>
      </c>
      <c r="G1072" s="3" t="n">
        <v>4200</v>
      </c>
      <c r="H1072">
        <f>VLOOKUP(B1072,Units!$A$2:$G$1646,2,FALSE)</f>
        <v/>
      </c>
      <c r="I1072">
        <f>VLOOKUP(B1072,Units!$A$2:$G$1646,5,FALSE)</f>
        <v/>
      </c>
      <c r="J1072" s="3">
        <f>G1072/I1072</f>
        <v/>
      </c>
      <c r="K1072" s="3">
        <f>G1072*12</f>
        <v/>
      </c>
      <c r="L1072" s="3" t="n">
        <v>12600</v>
      </c>
    </row>
    <row r="1073">
      <c r="A1073" t="inlineStr">
        <is>
          <t>TA-2025-00598</t>
        </is>
      </c>
      <c r="B1073" t="inlineStr">
        <is>
          <t>U-KR385-01-11</t>
        </is>
      </c>
      <c r="C1073" t="inlineStr">
        <is>
          <t>Nur Kueh Corner</t>
        </is>
      </c>
      <c r="D1073" t="inlineStr">
        <is>
          <t>Snack Kiosk</t>
        </is>
      </c>
      <c r="E1073" s="2" t="n">
        <v>45931</v>
      </c>
      <c r="F1073" s="2" t="n">
        <v>47026</v>
      </c>
      <c r="G1073" s="3" t="n">
        <v>1370</v>
      </c>
      <c r="H1073">
        <f>VLOOKUP(B1073,Units!$A$2:$G$1646,2,FALSE)</f>
        <v/>
      </c>
      <c r="I1073">
        <f>VLOOKUP(B1073,Units!$A$2:$G$1646,5,FALSE)</f>
        <v/>
      </c>
      <c r="J1073" s="3">
        <f>G1073/I1073</f>
        <v/>
      </c>
      <c r="K1073" s="3">
        <f>G1073*12</f>
        <v/>
      </c>
      <c r="L1073" s="3" t="n">
        <v>4110</v>
      </c>
    </row>
    <row r="1074">
      <c r="A1074" t="inlineStr">
        <is>
          <t>TA-2025-00600</t>
        </is>
      </c>
      <c r="B1074" t="inlineStr">
        <is>
          <t>U-PI614-01-04</t>
        </is>
      </c>
      <c r="C1074" t="inlineStr">
        <is>
          <t>Ong &amp; Sons Medical Clinic</t>
        </is>
      </c>
      <c r="D1074" t="inlineStr">
        <is>
          <t>GP Clinic</t>
        </is>
      </c>
      <c r="E1074" s="2" t="n">
        <v>45931</v>
      </c>
      <c r="F1074" s="2" t="n">
        <v>47026</v>
      </c>
      <c r="G1074" s="3" t="n">
        <v>2330</v>
      </c>
      <c r="H1074">
        <f>VLOOKUP(B1074,Units!$A$2:$G$1646,2,FALSE)</f>
        <v/>
      </c>
      <c r="I1074">
        <f>VLOOKUP(B1074,Units!$A$2:$G$1646,5,FALSE)</f>
        <v/>
      </c>
      <c r="J1074" s="3">
        <f>G1074/I1074</f>
        <v/>
      </c>
      <c r="K1074" s="3">
        <f>G1074*12</f>
        <v/>
      </c>
      <c r="L1074" s="3" t="n">
        <v>6990</v>
      </c>
    </row>
    <row r="1075">
      <c r="A1075" t="inlineStr">
        <is>
          <t>TA-2025-00602</t>
        </is>
      </c>
      <c r="B1075" t="inlineStr">
        <is>
          <t>U-PI627-01-01</t>
        </is>
      </c>
      <c r="C1075" t="inlineStr">
        <is>
          <t>Kopi Corner Mart</t>
        </is>
      </c>
      <c r="D1075" t="inlineStr">
        <is>
          <t>Minimart</t>
        </is>
      </c>
      <c r="E1075" s="2" t="n">
        <v>45931</v>
      </c>
      <c r="F1075" s="2" t="n">
        <v>47026</v>
      </c>
      <c r="G1075" s="3" t="n">
        <v>3680</v>
      </c>
      <c r="H1075">
        <f>VLOOKUP(B1075,Units!$A$2:$G$1646,2,FALSE)</f>
        <v/>
      </c>
      <c r="I1075">
        <f>VLOOKUP(B1075,Units!$A$2:$G$1646,5,FALSE)</f>
        <v/>
      </c>
      <c r="J1075" s="3">
        <f>G1075/I1075</f>
        <v/>
      </c>
      <c r="K1075" s="3">
        <f>G1075*12</f>
        <v/>
      </c>
      <c r="L1075" s="3" t="n">
        <v>11040</v>
      </c>
    </row>
    <row r="1076">
      <c r="A1076" t="inlineStr">
        <is>
          <t>TA-2025-00603</t>
        </is>
      </c>
      <c r="B1076" t="inlineStr">
        <is>
          <t>U-PI627-01-04</t>
        </is>
      </c>
      <c r="C1076" t="inlineStr">
        <is>
          <t>Unity Dry Cleaners Pte Ltd</t>
        </is>
      </c>
      <c r="D1076" t="inlineStr">
        <is>
          <t>Laundry</t>
        </is>
      </c>
      <c r="E1076" s="2" t="n">
        <v>45931</v>
      </c>
      <c r="F1076" s="2" t="n">
        <v>47026</v>
      </c>
      <c r="G1076" s="3" t="n">
        <v>3900</v>
      </c>
      <c r="H1076">
        <f>VLOOKUP(B1076,Units!$A$2:$G$1646,2,FALSE)</f>
        <v/>
      </c>
      <c r="I1076">
        <f>VLOOKUP(B1076,Units!$A$2:$G$1646,5,FALSE)</f>
        <v/>
      </c>
      <c r="J1076" s="3">
        <f>G1076/I1076</f>
        <v/>
      </c>
      <c r="K1076" s="3">
        <f>G1076*12</f>
        <v/>
      </c>
      <c r="L1076" s="3" t="n">
        <v>11700</v>
      </c>
    </row>
    <row r="1077">
      <c r="A1077" t="inlineStr">
        <is>
          <t>TA-2025-00605</t>
        </is>
      </c>
      <c r="B1077" t="inlineStr">
        <is>
          <t>U-PI627-01-06</t>
        </is>
      </c>
      <c r="C1077" t="inlineStr">
        <is>
          <t>Mei Ling TCM Clinic Pte Ltd</t>
        </is>
      </c>
      <c r="D1077" t="inlineStr">
        <is>
          <t>TCM Clinic</t>
        </is>
      </c>
      <c r="E1077" s="2" t="n">
        <v>45931</v>
      </c>
      <c r="F1077" s="2" t="n">
        <v>47026</v>
      </c>
      <c r="G1077" s="3" t="n">
        <v>4650</v>
      </c>
      <c r="H1077">
        <f>VLOOKUP(B1077,Units!$A$2:$G$1646,2,FALSE)</f>
        <v/>
      </c>
      <c r="I1077">
        <f>VLOOKUP(B1077,Units!$A$2:$G$1646,5,FALSE)</f>
        <v/>
      </c>
      <c r="J1077" s="3">
        <f>G1077/I1077</f>
        <v/>
      </c>
      <c r="K1077" s="3">
        <f>G1077*12</f>
        <v/>
      </c>
      <c r="L1077" s="3" t="n">
        <v>13950</v>
      </c>
    </row>
    <row r="1078">
      <c r="A1078" t="inlineStr">
        <is>
          <t>TA-2025-00607</t>
        </is>
      </c>
      <c r="B1078" t="inlineStr">
        <is>
          <t>U-PI627-01-16</t>
        </is>
      </c>
      <c r="C1078" t="inlineStr">
        <is>
          <t>Seri Murni Boba Bar</t>
        </is>
      </c>
      <c r="D1078" t="inlineStr">
        <is>
          <t>Snack Kiosk</t>
        </is>
      </c>
      <c r="E1078" s="2" t="n">
        <v>45931</v>
      </c>
      <c r="F1078" s="2" t="n">
        <v>47026</v>
      </c>
      <c r="G1078" s="3" t="n">
        <v>1160</v>
      </c>
      <c r="H1078">
        <f>VLOOKUP(B1078,Units!$A$2:$G$1646,2,FALSE)</f>
        <v/>
      </c>
      <c r="I1078">
        <f>VLOOKUP(B1078,Units!$A$2:$G$1646,5,FALSE)</f>
        <v/>
      </c>
      <c r="J1078" s="3">
        <f>G1078/I1078</f>
        <v/>
      </c>
      <c r="K1078" s="3">
        <f>G1078*12</f>
        <v/>
      </c>
      <c r="L1078" s="3" t="n">
        <v>3480</v>
      </c>
    </row>
    <row r="1079">
      <c r="A1079" t="inlineStr">
        <is>
          <t>TA-2025-00609</t>
        </is>
      </c>
      <c r="B1079" t="inlineStr">
        <is>
          <t>U-PI627-01-20</t>
        </is>
      </c>
      <c r="C1079" t="inlineStr">
        <is>
          <t>Cahaya Telecom Pte Ltd</t>
        </is>
      </c>
      <c r="D1079" t="inlineStr">
        <is>
          <t>Mobile Phone &amp; Accessories</t>
        </is>
      </c>
      <c r="E1079" s="2" t="n">
        <v>45931</v>
      </c>
      <c r="F1079" s="2" t="n">
        <v>47026</v>
      </c>
      <c r="G1079" s="3" t="n">
        <v>1110</v>
      </c>
      <c r="H1079">
        <f>VLOOKUP(B1079,Units!$A$2:$G$1646,2,FALSE)</f>
        <v/>
      </c>
      <c r="I1079">
        <f>VLOOKUP(B1079,Units!$A$2:$G$1646,5,FALSE)</f>
        <v/>
      </c>
      <c r="J1079" s="3">
        <f>G1079/I1079</f>
        <v/>
      </c>
      <c r="K1079" s="3">
        <f>G1079*12</f>
        <v/>
      </c>
      <c r="L1079" s="3" t="n">
        <v>3330</v>
      </c>
    </row>
    <row r="1080">
      <c r="A1080" t="inlineStr">
        <is>
          <t>TA-2025-00610</t>
        </is>
      </c>
      <c r="B1080" t="inlineStr">
        <is>
          <t>U-PI627-02-17</t>
        </is>
      </c>
      <c r="C1080" t="inlineStr">
        <is>
          <t>Red Lantern Dental Care</t>
        </is>
      </c>
      <c r="D1080" t="inlineStr">
        <is>
          <t>Dental Clinic</t>
        </is>
      </c>
      <c r="E1080" s="2" t="n">
        <v>45931</v>
      </c>
      <c r="F1080" s="2" t="n">
        <v>47026</v>
      </c>
      <c r="G1080" s="3" t="n">
        <v>2810</v>
      </c>
      <c r="H1080">
        <f>VLOOKUP(B1080,Units!$A$2:$G$1646,2,FALSE)</f>
        <v/>
      </c>
      <c r="I1080">
        <f>VLOOKUP(B1080,Units!$A$2:$G$1646,5,FALSE)</f>
        <v/>
      </c>
      <c r="J1080" s="3">
        <f>G1080/I1080</f>
        <v/>
      </c>
      <c r="K1080" s="3">
        <f>G1080*12</f>
        <v/>
      </c>
      <c r="L1080" s="3" t="n">
        <v>8430</v>
      </c>
    </row>
    <row r="1081">
      <c r="A1081" t="inlineStr">
        <is>
          <t>TA-2025-00611</t>
        </is>
      </c>
      <c r="B1081" t="inlineStr">
        <is>
          <t>U-PI644-01-07</t>
        </is>
      </c>
      <c r="C1081" t="inlineStr">
        <is>
          <t>Kim Hiap Florist Pte Ltd</t>
        </is>
      </c>
      <c r="D1081" t="inlineStr">
        <is>
          <t>Florist</t>
        </is>
      </c>
      <c r="E1081" s="2" t="n">
        <v>45931</v>
      </c>
      <c r="F1081" s="2" t="n">
        <v>47026</v>
      </c>
      <c r="G1081" s="3" t="n">
        <v>3080</v>
      </c>
      <c r="H1081">
        <f>VLOOKUP(B1081,Units!$A$2:$G$1646,2,FALSE)</f>
        <v/>
      </c>
      <c r="I1081">
        <f>VLOOKUP(B1081,Units!$A$2:$G$1646,5,FALSE)</f>
        <v/>
      </c>
      <c r="J1081" s="3">
        <f>G1081/I1081</f>
        <v/>
      </c>
      <c r="K1081" s="3">
        <f>G1081*12</f>
        <v/>
      </c>
      <c r="L1081" s="3" t="n">
        <v>9240</v>
      </c>
    </row>
    <row r="1082">
      <c r="A1082" t="inlineStr">
        <is>
          <t>TA-2025-00613</t>
        </is>
      </c>
      <c r="B1082" t="inlineStr">
        <is>
          <t>U-PI646-01-01</t>
        </is>
      </c>
      <c r="C1082" t="inlineStr">
        <is>
          <t>Sunflower Minimart Pte Ltd</t>
        </is>
      </c>
      <c r="D1082" t="inlineStr">
        <is>
          <t>Minimart</t>
        </is>
      </c>
      <c r="E1082" s="2" t="n">
        <v>45931</v>
      </c>
      <c r="F1082" s="2" t="n">
        <v>47026</v>
      </c>
      <c r="G1082" s="3" t="n">
        <v>4280</v>
      </c>
      <c r="H1082">
        <f>VLOOKUP(B1082,Units!$A$2:$G$1646,2,FALSE)</f>
        <v/>
      </c>
      <c r="I1082">
        <f>VLOOKUP(B1082,Units!$A$2:$G$1646,5,FALSE)</f>
        <v/>
      </c>
      <c r="J1082" s="3">
        <f>G1082/I1082</f>
        <v/>
      </c>
      <c r="K1082" s="3">
        <f>G1082*12</f>
        <v/>
      </c>
      <c r="L1082" s="3" t="n">
        <v>12840</v>
      </c>
    </row>
    <row r="1083">
      <c r="A1083" t="inlineStr">
        <is>
          <t>TA-2025-00614</t>
        </is>
      </c>
      <c r="B1083" t="inlineStr">
        <is>
          <t>U-PI667-01-03</t>
        </is>
      </c>
      <c r="C1083" t="inlineStr">
        <is>
          <t>Fresh Valley Trading Pte Ltd</t>
        </is>
      </c>
      <c r="D1083" t="inlineStr">
        <is>
          <t>Provision Shop</t>
        </is>
      </c>
      <c r="E1083" s="2" t="n">
        <v>45931</v>
      </c>
      <c r="F1083" s="2" t="n">
        <v>47026</v>
      </c>
      <c r="G1083" s="3" t="n">
        <v>3850</v>
      </c>
      <c r="H1083">
        <f>VLOOKUP(B1083,Units!$A$2:$G$1646,2,FALSE)</f>
        <v/>
      </c>
      <c r="I1083">
        <f>VLOOKUP(B1083,Units!$A$2:$G$1646,5,FALSE)</f>
        <v/>
      </c>
      <c r="J1083" s="3">
        <f>G1083/I1083</f>
        <v/>
      </c>
      <c r="K1083" s="3">
        <f>G1083*12</f>
        <v/>
      </c>
      <c r="L1083" s="3" t="n">
        <v>11550</v>
      </c>
    </row>
    <row r="1084">
      <c r="A1084" t="inlineStr">
        <is>
          <t>TA-2025-00616</t>
        </is>
      </c>
      <c r="B1084" t="inlineStr">
        <is>
          <t>U-PI668-01-04</t>
        </is>
      </c>
      <c r="C1084" t="inlineStr">
        <is>
          <t>Chin Lee Minimart</t>
        </is>
      </c>
      <c r="D1084" t="inlineStr">
        <is>
          <t>Minimart</t>
        </is>
      </c>
      <c r="E1084" s="2" t="n">
        <v>45931</v>
      </c>
      <c r="F1084" s="2" t="n">
        <v>47026</v>
      </c>
      <c r="G1084" s="3" t="n">
        <v>4080</v>
      </c>
      <c r="H1084">
        <f>VLOOKUP(B1084,Units!$A$2:$G$1646,2,FALSE)</f>
        <v/>
      </c>
      <c r="I1084">
        <f>VLOOKUP(B1084,Units!$A$2:$G$1646,5,FALSE)</f>
        <v/>
      </c>
      <c r="J1084" s="3">
        <f>G1084/I1084</f>
        <v/>
      </c>
      <c r="K1084" s="3">
        <f>G1084*12</f>
        <v/>
      </c>
      <c r="L1084" s="3" t="n">
        <v>12240</v>
      </c>
    </row>
    <row r="1085">
      <c r="A1085" t="inlineStr">
        <is>
          <t>TA-2025-00617</t>
        </is>
      </c>
      <c r="B1085" t="inlineStr">
        <is>
          <t>U-PI668-01-05</t>
        </is>
      </c>
      <c r="C1085" t="inlineStr">
        <is>
          <t>Kumar Mart Pte Ltd</t>
        </is>
      </c>
      <c r="D1085" t="inlineStr">
        <is>
          <t>Minimart</t>
        </is>
      </c>
      <c r="E1085" s="2" t="n">
        <v>45931</v>
      </c>
      <c r="F1085" s="2" t="n">
        <v>47026</v>
      </c>
      <c r="G1085" s="3" t="n">
        <v>3330</v>
      </c>
      <c r="H1085">
        <f>VLOOKUP(B1085,Units!$A$2:$G$1646,2,FALSE)</f>
        <v/>
      </c>
      <c r="I1085">
        <f>VLOOKUP(B1085,Units!$A$2:$G$1646,5,FALSE)</f>
        <v/>
      </c>
      <c r="J1085" s="3">
        <f>G1085/I1085</f>
        <v/>
      </c>
      <c r="K1085" s="3">
        <f>G1085*12</f>
        <v/>
      </c>
      <c r="L1085" s="3" t="n">
        <v>9990</v>
      </c>
    </row>
    <row r="1086">
      <c r="A1086" t="inlineStr">
        <is>
          <t>TA-2025-00619</t>
        </is>
      </c>
      <c r="B1086" t="inlineStr">
        <is>
          <t>U-PI675-01-06</t>
        </is>
      </c>
      <c r="C1086" t="inlineStr">
        <is>
          <t>Teck Guan Hair Studio Pte Ltd</t>
        </is>
      </c>
      <c r="D1086" t="inlineStr">
        <is>
          <t>Hair Salon</t>
        </is>
      </c>
      <c r="E1086" s="2" t="n">
        <v>45931</v>
      </c>
      <c r="F1086" s="2" t="n">
        <v>47026</v>
      </c>
      <c r="G1086" s="3" t="n">
        <v>5190</v>
      </c>
      <c r="H1086">
        <f>VLOOKUP(B1086,Units!$A$2:$G$1646,2,FALSE)</f>
        <v/>
      </c>
      <c r="I1086">
        <f>VLOOKUP(B1086,Units!$A$2:$G$1646,5,FALSE)</f>
        <v/>
      </c>
      <c r="J1086" s="3">
        <f>G1086/I1086</f>
        <v/>
      </c>
      <c r="K1086" s="3">
        <f>G1086*12</f>
        <v/>
      </c>
      <c r="L1086" s="3" t="n">
        <v>15570</v>
      </c>
    </row>
    <row r="1087">
      <c r="A1087" t="inlineStr">
        <is>
          <t>TA-2025-00620</t>
        </is>
      </c>
      <c r="B1087" t="inlineStr">
        <is>
          <t>U-PI679-01-03</t>
        </is>
      </c>
      <c r="C1087" t="inlineStr">
        <is>
          <t>Bright Path Supermarket Pte Ltd</t>
        </is>
      </c>
      <c r="D1087" t="inlineStr">
        <is>
          <t>Minimart</t>
        </is>
      </c>
      <c r="E1087" s="2" t="n">
        <v>45931</v>
      </c>
      <c r="F1087" s="2" t="n">
        <v>47026</v>
      </c>
      <c r="G1087" s="3" t="n">
        <v>5170</v>
      </c>
      <c r="H1087">
        <f>VLOOKUP(B1087,Units!$A$2:$G$1646,2,FALSE)</f>
        <v/>
      </c>
      <c r="I1087">
        <f>VLOOKUP(B1087,Units!$A$2:$G$1646,5,FALSE)</f>
        <v/>
      </c>
      <c r="J1087" s="3">
        <f>G1087/I1087</f>
        <v/>
      </c>
      <c r="K1087" s="3">
        <f>G1087*12</f>
        <v/>
      </c>
      <c r="L1087" s="3" t="n">
        <v>15510</v>
      </c>
    </row>
    <row r="1088">
      <c r="A1088" t="inlineStr">
        <is>
          <t>TA-2025-00621</t>
        </is>
      </c>
      <c r="B1088" t="inlineStr">
        <is>
          <t>U-PI679-01-06</t>
        </is>
      </c>
      <c r="C1088" t="inlineStr">
        <is>
          <t>New Life Money Changer</t>
        </is>
      </c>
      <c r="D1088" t="inlineStr">
        <is>
          <t>Remittance &amp; Money Changer</t>
        </is>
      </c>
      <c r="E1088" s="2" t="n">
        <v>45931</v>
      </c>
      <c r="F1088" s="2" t="n">
        <v>47026</v>
      </c>
      <c r="G1088" s="3" t="n">
        <v>4060</v>
      </c>
      <c r="H1088">
        <f>VLOOKUP(B1088,Units!$A$2:$G$1646,2,FALSE)</f>
        <v/>
      </c>
      <c r="I1088">
        <f>VLOOKUP(B1088,Units!$A$2:$G$1646,5,FALSE)</f>
        <v/>
      </c>
      <c r="J1088" s="3">
        <f>G1088/I1088</f>
        <v/>
      </c>
      <c r="K1088" s="3">
        <f>G1088*12</f>
        <v/>
      </c>
      <c r="L1088" s="3" t="n">
        <v>12180</v>
      </c>
    </row>
    <row r="1089">
      <c r="A1089" t="inlineStr">
        <is>
          <t>TA-2025-00623</t>
        </is>
      </c>
      <c r="B1089" t="inlineStr">
        <is>
          <t>U-RH425-01-01</t>
        </is>
      </c>
      <c r="C1089" t="inlineStr">
        <is>
          <t>Sejahtera Minimart Pte Ltd</t>
        </is>
      </c>
      <c r="D1089" t="inlineStr">
        <is>
          <t>Minimart</t>
        </is>
      </c>
      <c r="E1089" s="2" t="n">
        <v>45931</v>
      </c>
      <c r="F1089" s="2" t="n">
        <v>47026</v>
      </c>
      <c r="G1089" s="3" t="n">
        <v>3430</v>
      </c>
      <c r="H1089">
        <f>VLOOKUP(B1089,Units!$A$2:$G$1646,2,FALSE)</f>
        <v/>
      </c>
      <c r="I1089">
        <f>VLOOKUP(B1089,Units!$A$2:$G$1646,5,FALSE)</f>
        <v/>
      </c>
      <c r="J1089" s="3">
        <f>G1089/I1089</f>
        <v/>
      </c>
      <c r="K1089" s="3">
        <f>G1089*12</f>
        <v/>
      </c>
      <c r="L1089" s="3" t="n">
        <v>10290</v>
      </c>
    </row>
    <row r="1090">
      <c r="A1090" t="inlineStr">
        <is>
          <t>TA-2025-00624</t>
        </is>
      </c>
      <c r="B1090" t="inlineStr">
        <is>
          <t>U-RH455-01-10</t>
        </is>
      </c>
      <c r="C1090" t="inlineStr">
        <is>
          <t>Evergreen Money Changer</t>
        </is>
      </c>
      <c r="D1090" t="inlineStr">
        <is>
          <t>Remittance &amp; Money Changer</t>
        </is>
      </c>
      <c r="E1090" s="2" t="n">
        <v>45931</v>
      </c>
      <c r="F1090" s="2" t="n">
        <v>47026</v>
      </c>
      <c r="G1090" s="3" t="n">
        <v>4160</v>
      </c>
      <c r="H1090">
        <f>VLOOKUP(B1090,Units!$A$2:$G$1646,2,FALSE)</f>
        <v/>
      </c>
      <c r="I1090">
        <f>VLOOKUP(B1090,Units!$A$2:$G$1646,5,FALSE)</f>
        <v/>
      </c>
      <c r="J1090" s="3">
        <f>G1090/I1090</f>
        <v/>
      </c>
      <c r="K1090" s="3">
        <f>G1090*12</f>
        <v/>
      </c>
      <c r="L1090" s="3" t="n">
        <v>12480</v>
      </c>
    </row>
    <row r="1091">
      <c r="A1091" t="inlineStr">
        <is>
          <t>TA-2025-00626</t>
        </is>
      </c>
      <c r="B1091" t="inlineStr">
        <is>
          <t>U-RH456-01-03</t>
        </is>
      </c>
      <c r="C1091" t="inlineStr">
        <is>
          <t>Hometown Kitchen</t>
        </is>
      </c>
      <c r="D1091" t="inlineStr">
        <is>
          <t>Restaurant</t>
        </is>
      </c>
      <c r="E1091" s="2" t="n">
        <v>45931</v>
      </c>
      <c r="F1091" s="2" t="n">
        <v>47026</v>
      </c>
      <c r="G1091" s="3" t="n">
        <v>4870</v>
      </c>
      <c r="H1091">
        <f>VLOOKUP(B1091,Units!$A$2:$G$1646,2,FALSE)</f>
        <v/>
      </c>
      <c r="I1091">
        <f>VLOOKUP(B1091,Units!$A$2:$G$1646,5,FALSE)</f>
        <v/>
      </c>
      <c r="J1091" s="3">
        <f>G1091/I1091</f>
        <v/>
      </c>
      <c r="K1091" s="3">
        <f>G1091*12</f>
        <v/>
      </c>
      <c r="L1091" s="3" t="n">
        <v>14610</v>
      </c>
    </row>
    <row r="1092">
      <c r="A1092" t="inlineStr">
        <is>
          <t>TA-2025-00628</t>
        </is>
      </c>
      <c r="B1092" t="inlineStr">
        <is>
          <t>U-RH463-01-01</t>
        </is>
      </c>
      <c r="C1092" t="inlineStr">
        <is>
          <t>Jade Garden Optical Pte Ltd</t>
        </is>
      </c>
      <c r="D1092" t="inlineStr">
        <is>
          <t>Optical</t>
        </is>
      </c>
      <c r="E1092" s="2" t="n">
        <v>45931</v>
      </c>
      <c r="F1092" s="2" t="n">
        <v>47026</v>
      </c>
      <c r="G1092" s="3" t="n">
        <v>2850</v>
      </c>
      <c r="H1092">
        <f>VLOOKUP(B1092,Units!$A$2:$G$1646,2,FALSE)</f>
        <v/>
      </c>
      <c r="I1092">
        <f>VLOOKUP(B1092,Units!$A$2:$G$1646,5,FALSE)</f>
        <v/>
      </c>
      <c r="J1092" s="3">
        <f>G1092/I1092</f>
        <v/>
      </c>
      <c r="K1092" s="3">
        <f>G1092*12</f>
        <v/>
      </c>
      <c r="L1092" s="3" t="n">
        <v>8550</v>
      </c>
    </row>
    <row r="1093">
      <c r="A1093" t="inlineStr">
        <is>
          <t>TA-2025-00629</t>
        </is>
      </c>
      <c r="B1093" t="inlineStr">
        <is>
          <t>U-ST512-01-11</t>
        </is>
      </c>
      <c r="C1093" t="inlineStr">
        <is>
          <t>Ananda Medical Clinic</t>
        </is>
      </c>
      <c r="D1093" t="inlineStr">
        <is>
          <t>GP Clinic</t>
        </is>
      </c>
      <c r="E1093" s="2" t="n">
        <v>45931</v>
      </c>
      <c r="F1093" s="2" t="n">
        <v>47026</v>
      </c>
      <c r="G1093" s="3" t="n">
        <v>4260</v>
      </c>
      <c r="H1093">
        <f>VLOOKUP(B1093,Units!$A$2:$G$1646,2,FALSE)</f>
        <v/>
      </c>
      <c r="I1093">
        <f>VLOOKUP(B1093,Units!$A$2:$G$1646,5,FALSE)</f>
        <v/>
      </c>
      <c r="J1093" s="3">
        <f>G1093/I1093</f>
        <v/>
      </c>
      <c r="K1093" s="3">
        <f>G1093*12</f>
        <v/>
      </c>
      <c r="L1093" s="3" t="n">
        <v>12780</v>
      </c>
    </row>
    <row r="1094">
      <c r="A1094" t="inlineStr">
        <is>
          <t>TA-2025-00630</t>
        </is>
      </c>
      <c r="B1094" t="inlineStr">
        <is>
          <t>U-ST512-01-13</t>
        </is>
      </c>
      <c r="C1094" t="inlineStr">
        <is>
          <t>Kopi Corner Eating Place</t>
        </is>
      </c>
      <c r="D1094" t="inlineStr">
        <is>
          <t>Restaurant</t>
        </is>
      </c>
      <c r="E1094" s="2" t="n">
        <v>45931</v>
      </c>
      <c r="F1094" s="2" t="n">
        <v>47026</v>
      </c>
      <c r="G1094" s="3" t="n">
        <v>4430</v>
      </c>
      <c r="H1094">
        <f>VLOOKUP(B1094,Units!$A$2:$G$1646,2,FALSE)</f>
        <v/>
      </c>
      <c r="I1094">
        <f>VLOOKUP(B1094,Units!$A$2:$G$1646,5,FALSE)</f>
        <v/>
      </c>
      <c r="J1094" s="3">
        <f>G1094/I1094</f>
        <v/>
      </c>
      <c r="K1094" s="3">
        <f>G1094*12</f>
        <v/>
      </c>
      <c r="L1094" s="3" t="n">
        <v>13290</v>
      </c>
    </row>
    <row r="1095">
      <c r="A1095" t="inlineStr">
        <is>
          <t>TA-2025-00632</t>
        </is>
      </c>
      <c r="B1095" t="inlineStr">
        <is>
          <t>U-ST518-02-05</t>
        </is>
      </c>
      <c r="C1095" t="inlineStr">
        <is>
          <t>Nanyang Learning Centre</t>
        </is>
      </c>
      <c r="D1095" t="inlineStr">
        <is>
          <t>Tuition Centre</t>
        </is>
      </c>
      <c r="E1095" s="2" t="n">
        <v>45931</v>
      </c>
      <c r="F1095" s="2" t="n">
        <v>47026</v>
      </c>
      <c r="G1095" s="3" t="n">
        <v>2940</v>
      </c>
      <c r="H1095">
        <f>VLOOKUP(B1095,Units!$A$2:$G$1646,2,FALSE)</f>
        <v/>
      </c>
      <c r="I1095">
        <f>VLOOKUP(B1095,Units!$A$2:$G$1646,5,FALSE)</f>
        <v/>
      </c>
      <c r="J1095" s="3">
        <f>G1095/I1095</f>
        <v/>
      </c>
      <c r="K1095" s="3">
        <f>G1095*12</f>
        <v/>
      </c>
      <c r="L1095" s="3" t="n">
        <v>8820</v>
      </c>
    </row>
    <row r="1096">
      <c r="A1096" t="inlineStr">
        <is>
          <t>TA-2025-00634</t>
        </is>
      </c>
      <c r="B1096" t="inlineStr">
        <is>
          <t>U-ST528-02-01</t>
        </is>
      </c>
      <c r="C1096" t="inlineStr">
        <is>
          <t>Blue Pearl Medical Clinic Pte Ltd</t>
        </is>
      </c>
      <c r="D1096" t="inlineStr">
        <is>
          <t>GP Clinic</t>
        </is>
      </c>
      <c r="E1096" s="2" t="n">
        <v>45931</v>
      </c>
      <c r="F1096" s="2" t="n">
        <v>47026</v>
      </c>
      <c r="G1096" s="3" t="n">
        <v>2750</v>
      </c>
      <c r="H1096">
        <f>VLOOKUP(B1096,Units!$A$2:$G$1646,2,FALSE)</f>
        <v/>
      </c>
      <c r="I1096">
        <f>VLOOKUP(B1096,Units!$A$2:$G$1646,5,FALSE)</f>
        <v/>
      </c>
      <c r="J1096" s="3">
        <f>G1096/I1096</f>
        <v/>
      </c>
      <c r="K1096" s="3">
        <f>G1096*12</f>
        <v/>
      </c>
      <c r="L1096" s="3" t="n">
        <v>8250</v>
      </c>
    </row>
    <row r="1097">
      <c r="A1097" t="inlineStr">
        <is>
          <t>TA-2025-00636</t>
        </is>
      </c>
      <c r="B1097" t="inlineStr">
        <is>
          <t>U-ST538-01-04</t>
        </is>
      </c>
      <c r="C1097" t="inlineStr">
        <is>
          <t>Suria Medical Clinic Pte Ltd</t>
        </is>
      </c>
      <c r="D1097" t="inlineStr">
        <is>
          <t>GP Clinic</t>
        </is>
      </c>
      <c r="E1097" s="2" t="n">
        <v>45931</v>
      </c>
      <c r="F1097" s="2" t="n">
        <v>47026</v>
      </c>
      <c r="G1097" s="3" t="n">
        <v>1750</v>
      </c>
      <c r="H1097">
        <f>VLOOKUP(B1097,Units!$A$2:$G$1646,2,FALSE)</f>
        <v/>
      </c>
      <c r="I1097">
        <f>VLOOKUP(B1097,Units!$A$2:$G$1646,5,FALSE)</f>
        <v/>
      </c>
      <c r="J1097" s="3">
        <f>G1097/I1097</f>
        <v/>
      </c>
      <c r="K1097" s="3">
        <f>G1097*12</f>
        <v/>
      </c>
      <c r="L1097" s="3" t="n">
        <v>5250</v>
      </c>
    </row>
    <row r="1098">
      <c r="A1098" t="inlineStr">
        <is>
          <t>TA-2025-00638</t>
        </is>
      </c>
      <c r="B1098" t="inlineStr">
        <is>
          <t>U-ST591-01-05</t>
        </is>
      </c>
      <c r="C1098" t="inlineStr">
        <is>
          <t>Ah Seng Remittance Pte Ltd</t>
        </is>
      </c>
      <c r="D1098" t="inlineStr">
        <is>
          <t>Remittance &amp; Money Changer</t>
        </is>
      </c>
      <c r="E1098" s="2" t="n">
        <v>45931</v>
      </c>
      <c r="F1098" s="2" t="n">
        <v>47026</v>
      </c>
      <c r="G1098" s="3" t="n">
        <v>3840</v>
      </c>
      <c r="H1098">
        <f>VLOOKUP(B1098,Units!$A$2:$G$1646,2,FALSE)</f>
        <v/>
      </c>
      <c r="I1098">
        <f>VLOOKUP(B1098,Units!$A$2:$G$1646,5,FALSE)</f>
        <v/>
      </c>
      <c r="J1098" s="3">
        <f>G1098/I1098</f>
        <v/>
      </c>
      <c r="K1098" s="3">
        <f>G1098*12</f>
        <v/>
      </c>
      <c r="L1098" s="3" t="n">
        <v>11520</v>
      </c>
    </row>
    <row r="1099">
      <c r="A1099" t="inlineStr">
        <is>
          <t>TA-2025-00639</t>
        </is>
      </c>
      <c r="B1099" t="inlineStr">
        <is>
          <t>U-BV215-01-13</t>
        </is>
      </c>
      <c r="C1099" t="inlineStr">
        <is>
          <t>Kopi Corner Bookstore</t>
        </is>
      </c>
      <c r="D1099" t="inlineStr">
        <is>
          <t>Stationery &amp; Books</t>
        </is>
      </c>
      <c r="E1099" s="2" t="n">
        <v>45962</v>
      </c>
      <c r="F1099" s="2" t="n">
        <v>47057</v>
      </c>
      <c r="G1099" s="3" t="n">
        <v>4120</v>
      </c>
      <c r="H1099">
        <f>VLOOKUP(B1099,Units!$A$2:$G$1646,2,FALSE)</f>
        <v/>
      </c>
      <c r="I1099">
        <f>VLOOKUP(B1099,Units!$A$2:$G$1646,5,FALSE)</f>
        <v/>
      </c>
      <c r="J1099" s="3">
        <f>G1099/I1099</f>
        <v/>
      </c>
      <c r="K1099" s="3">
        <f>G1099*12</f>
        <v/>
      </c>
      <c r="L1099" s="3" t="n">
        <v>12360</v>
      </c>
    </row>
    <row r="1100">
      <c r="A1100" t="inlineStr">
        <is>
          <t>TA-2025-00640</t>
        </is>
      </c>
      <c r="B1100" t="inlineStr">
        <is>
          <t>U-BV233-01-12</t>
        </is>
      </c>
      <c r="C1100" t="inlineStr">
        <is>
          <t>Sin Hock Telecom</t>
        </is>
      </c>
      <c r="D1100" t="inlineStr">
        <is>
          <t>Mobile Phone &amp; Accessories</t>
        </is>
      </c>
      <c r="E1100" s="2" t="n">
        <v>45962</v>
      </c>
      <c r="F1100" s="2" t="n">
        <v>47057</v>
      </c>
      <c r="G1100" s="3" t="n">
        <v>5880</v>
      </c>
      <c r="H1100">
        <f>VLOOKUP(B1100,Units!$A$2:$G$1646,2,FALSE)</f>
        <v/>
      </c>
      <c r="I1100">
        <f>VLOOKUP(B1100,Units!$A$2:$G$1646,5,FALSE)</f>
        <v/>
      </c>
      <c r="J1100" s="3">
        <f>G1100/I1100</f>
        <v/>
      </c>
      <c r="K1100" s="3">
        <f>G1100*12</f>
        <v/>
      </c>
      <c r="L1100" s="3" t="n">
        <v>17640</v>
      </c>
    </row>
    <row r="1101">
      <c r="A1101" t="inlineStr">
        <is>
          <t>TA-2025-00641</t>
        </is>
      </c>
      <c r="B1101" t="inlineStr">
        <is>
          <t>U-BV266-01-02</t>
        </is>
      </c>
      <c r="C1101" t="inlineStr">
        <is>
          <t>Hometown Provision Shop Pte Ltd</t>
        </is>
      </c>
      <c r="D1101" t="inlineStr">
        <is>
          <t>Provision Shop</t>
        </is>
      </c>
      <c r="E1101" s="2" t="n">
        <v>45962</v>
      </c>
      <c r="F1101" s="2" t="n">
        <v>47057</v>
      </c>
      <c r="G1101" s="3" t="n">
        <v>4540</v>
      </c>
      <c r="H1101">
        <f>VLOOKUP(B1101,Units!$A$2:$G$1646,2,FALSE)</f>
        <v/>
      </c>
      <c r="I1101">
        <f>VLOOKUP(B1101,Units!$A$2:$G$1646,5,FALSE)</f>
        <v/>
      </c>
      <c r="J1101" s="3">
        <f>G1101/I1101</f>
        <v/>
      </c>
      <c r="K1101" s="3">
        <f>G1101*12</f>
        <v/>
      </c>
      <c r="L1101" s="3" t="n">
        <v>13620</v>
      </c>
    </row>
    <row r="1102">
      <c r="A1102" t="inlineStr">
        <is>
          <t>TA-2025-00643</t>
        </is>
      </c>
      <c r="B1102" t="inlineStr">
        <is>
          <t>U-BV271-01-07</t>
        </is>
      </c>
      <c r="C1102" t="inlineStr">
        <is>
          <t>Nur Supermarket Pte Ltd</t>
        </is>
      </c>
      <c r="D1102" t="inlineStr">
        <is>
          <t>Minimart</t>
        </is>
      </c>
      <c r="E1102" s="2" t="n">
        <v>45962</v>
      </c>
      <c r="F1102" s="2" t="n">
        <v>47057</v>
      </c>
      <c r="G1102" s="3" t="n">
        <v>3310</v>
      </c>
      <c r="H1102">
        <f>VLOOKUP(B1102,Units!$A$2:$G$1646,2,FALSE)</f>
        <v/>
      </c>
      <c r="I1102">
        <f>VLOOKUP(B1102,Units!$A$2:$G$1646,5,FALSE)</f>
        <v/>
      </c>
      <c r="J1102" s="3">
        <f>G1102/I1102</f>
        <v/>
      </c>
      <c r="K1102" s="3">
        <f>G1102*12</f>
        <v/>
      </c>
      <c r="L1102" s="3" t="n">
        <v>9930</v>
      </c>
    </row>
    <row r="1103">
      <c r="A1103" t="inlineStr">
        <is>
          <t>TA-2025-00644</t>
        </is>
      </c>
      <c r="B1103" t="inlineStr">
        <is>
          <t>U-BV290-01-05</t>
        </is>
      </c>
      <c r="C1103" t="inlineStr">
        <is>
          <t>Value Medical Hall</t>
        </is>
      </c>
      <c r="D1103" t="inlineStr">
        <is>
          <t>TCM Clinic</t>
        </is>
      </c>
      <c r="E1103" s="2" t="n">
        <v>45962</v>
      </c>
      <c r="F1103" s="2" t="n">
        <v>47057</v>
      </c>
      <c r="G1103" s="3" t="n">
        <v>2170</v>
      </c>
      <c r="H1103">
        <f>VLOOKUP(B1103,Units!$A$2:$G$1646,2,FALSE)</f>
        <v/>
      </c>
      <c r="I1103">
        <f>VLOOKUP(B1103,Units!$A$2:$G$1646,5,FALSE)</f>
        <v/>
      </c>
      <c r="J1103" s="3">
        <f>G1103/I1103</f>
        <v/>
      </c>
      <c r="K1103" s="3">
        <f>G1103*12</f>
        <v/>
      </c>
      <c r="L1103" s="3" t="n">
        <v>6510</v>
      </c>
    </row>
    <row r="1104">
      <c r="A1104" t="inlineStr">
        <is>
          <t>TA-2025-00646</t>
        </is>
      </c>
      <c r="B1104" t="inlineStr">
        <is>
          <t>U-BV297-01-04</t>
        </is>
      </c>
      <c r="C1104" t="inlineStr">
        <is>
          <t>Golden Leaf Medical Clinic</t>
        </is>
      </c>
      <c r="D1104" t="inlineStr">
        <is>
          <t>GP Clinic</t>
        </is>
      </c>
      <c r="E1104" s="2" t="n">
        <v>45962</v>
      </c>
      <c r="F1104" s="2" t="n">
        <v>47057</v>
      </c>
      <c r="G1104" s="3" t="n">
        <v>5310</v>
      </c>
      <c r="H1104">
        <f>VLOOKUP(B1104,Units!$A$2:$G$1646,2,FALSE)</f>
        <v/>
      </c>
      <c r="I1104">
        <f>VLOOKUP(B1104,Units!$A$2:$G$1646,5,FALSE)</f>
        <v/>
      </c>
      <c r="J1104" s="3">
        <f>G1104/I1104</f>
        <v/>
      </c>
      <c r="K1104" s="3">
        <f>G1104*12</f>
        <v/>
      </c>
      <c r="L1104" s="3" t="n">
        <v>15930</v>
      </c>
    </row>
    <row r="1105">
      <c r="A1105" t="inlineStr">
        <is>
          <t>TA-2025-00647</t>
        </is>
      </c>
      <c r="B1105" t="inlineStr">
        <is>
          <t>U-CD105-01-09</t>
        </is>
      </c>
      <c r="C1105" t="inlineStr">
        <is>
          <t>Silver Moon Telecom</t>
        </is>
      </c>
      <c r="D1105" t="inlineStr">
        <is>
          <t>Mobile Phone &amp; Accessories</t>
        </is>
      </c>
      <c r="E1105" s="2" t="n">
        <v>45962</v>
      </c>
      <c r="F1105" s="2" t="n">
        <v>47057</v>
      </c>
      <c r="G1105" s="3" t="n">
        <v>4540</v>
      </c>
      <c r="H1105">
        <f>VLOOKUP(B1105,Units!$A$2:$G$1646,2,FALSE)</f>
        <v/>
      </c>
      <c r="I1105">
        <f>VLOOKUP(B1105,Units!$A$2:$G$1646,5,FALSE)</f>
        <v/>
      </c>
      <c r="J1105" s="3">
        <f>G1105/I1105</f>
        <v/>
      </c>
      <c r="K1105" s="3">
        <f>G1105*12</f>
        <v/>
      </c>
      <c r="L1105" s="3" t="n">
        <v>13620</v>
      </c>
    </row>
    <row r="1106">
      <c r="A1106" t="inlineStr">
        <is>
          <t>TA-2025-00649</t>
        </is>
      </c>
      <c r="B1106" t="inlineStr">
        <is>
          <t>U-CD129-01-01</t>
        </is>
      </c>
      <c r="C1106" t="inlineStr">
        <is>
          <t>Mei Ling Pharmacy Pte Ltd</t>
        </is>
      </c>
      <c r="D1106" t="inlineStr">
        <is>
          <t>Pharmacy</t>
        </is>
      </c>
      <c r="E1106" s="2" t="n">
        <v>45962</v>
      </c>
      <c r="F1106" s="2" t="n">
        <v>47057</v>
      </c>
      <c r="G1106" s="3" t="n">
        <v>4250</v>
      </c>
      <c r="H1106">
        <f>VLOOKUP(B1106,Units!$A$2:$G$1646,2,FALSE)</f>
        <v/>
      </c>
      <c r="I1106">
        <f>VLOOKUP(B1106,Units!$A$2:$G$1646,5,FALSE)</f>
        <v/>
      </c>
      <c r="J1106" s="3">
        <f>G1106/I1106</f>
        <v/>
      </c>
      <c r="K1106" s="3">
        <f>G1106*12</f>
        <v/>
      </c>
      <c r="L1106" s="3" t="n">
        <v>12750</v>
      </c>
    </row>
    <row r="1107">
      <c r="A1107" t="inlineStr">
        <is>
          <t>TA-2025-00650</t>
        </is>
      </c>
      <c r="B1107" t="inlineStr">
        <is>
          <t>U-CD129-01-02</t>
        </is>
      </c>
      <c r="C1107" t="inlineStr">
        <is>
          <t>Tian Fu Remittance Pte Ltd</t>
        </is>
      </c>
      <c r="D1107" t="inlineStr">
        <is>
          <t>Remittance &amp; Money Changer</t>
        </is>
      </c>
      <c r="E1107" s="2" t="n">
        <v>45962</v>
      </c>
      <c r="F1107" s="2" t="n">
        <v>47057</v>
      </c>
      <c r="G1107" s="3" t="n">
        <v>1890</v>
      </c>
      <c r="H1107">
        <f>VLOOKUP(B1107,Units!$A$2:$G$1646,2,FALSE)</f>
        <v/>
      </c>
      <c r="I1107">
        <f>VLOOKUP(B1107,Units!$A$2:$G$1646,5,FALSE)</f>
        <v/>
      </c>
      <c r="J1107" s="3">
        <f>G1107/I1107</f>
        <v/>
      </c>
      <c r="K1107" s="3">
        <f>G1107*12</f>
        <v/>
      </c>
      <c r="L1107" s="3" t="n">
        <v>5670</v>
      </c>
    </row>
    <row r="1108">
      <c r="A1108" t="inlineStr">
        <is>
          <t>TA-2025-00651</t>
        </is>
      </c>
      <c r="B1108" t="inlineStr">
        <is>
          <t>U-CD152-02-14</t>
        </is>
      </c>
      <c r="C1108" t="inlineStr">
        <is>
          <t>Blue Pearl Dental Surgery</t>
        </is>
      </c>
      <c r="D1108" t="inlineStr">
        <is>
          <t>Dental Clinic</t>
        </is>
      </c>
      <c r="E1108" s="2" t="n">
        <v>45962</v>
      </c>
      <c r="F1108" s="2" t="n">
        <v>47057</v>
      </c>
      <c r="G1108" s="3" t="n">
        <v>2280</v>
      </c>
      <c r="H1108">
        <f>VLOOKUP(B1108,Units!$A$2:$G$1646,2,FALSE)</f>
        <v/>
      </c>
      <c r="I1108">
        <f>VLOOKUP(B1108,Units!$A$2:$G$1646,5,FALSE)</f>
        <v/>
      </c>
      <c r="J1108" s="3">
        <f>G1108/I1108</f>
        <v/>
      </c>
      <c r="K1108" s="3">
        <f>G1108*12</f>
        <v/>
      </c>
      <c r="L1108" s="3" t="n">
        <v>6840</v>
      </c>
    </row>
    <row r="1109">
      <c r="A1109" t="inlineStr">
        <is>
          <t>TA-2025-00653</t>
        </is>
      </c>
      <c r="B1109" t="inlineStr">
        <is>
          <t>U-CD153-02-01</t>
        </is>
      </c>
      <c r="C1109" t="inlineStr">
        <is>
          <t>Mutiara Education Hub</t>
        </is>
      </c>
      <c r="D1109" t="inlineStr">
        <is>
          <t>Tuition Centre</t>
        </is>
      </c>
      <c r="E1109" s="2" t="n">
        <v>45962</v>
      </c>
      <c r="F1109" s="2" t="n">
        <v>47057</v>
      </c>
      <c r="G1109" s="3" t="n">
        <v>2530</v>
      </c>
      <c r="H1109">
        <f>VLOOKUP(B1109,Units!$A$2:$G$1646,2,FALSE)</f>
        <v/>
      </c>
      <c r="I1109">
        <f>VLOOKUP(B1109,Units!$A$2:$G$1646,5,FALSE)</f>
        <v/>
      </c>
      <c r="J1109" s="3">
        <f>G1109/I1109</f>
        <v/>
      </c>
      <c r="K1109" s="3">
        <f>G1109*12</f>
        <v/>
      </c>
      <c r="L1109" s="3" t="n">
        <v>7590</v>
      </c>
    </row>
    <row r="1110">
      <c r="A1110" t="inlineStr">
        <is>
          <t>TA-2025-00654</t>
        </is>
      </c>
      <c r="B1110" t="inlineStr">
        <is>
          <t>U-CD160-01-11</t>
        </is>
      </c>
      <c r="C1110" t="inlineStr">
        <is>
          <t>Green Leaf Trading</t>
        </is>
      </c>
      <c r="D1110" t="inlineStr">
        <is>
          <t>Provision Shop</t>
        </is>
      </c>
      <c r="E1110" s="2" t="n">
        <v>45962</v>
      </c>
      <c r="F1110" s="2" t="n">
        <v>47057</v>
      </c>
      <c r="G1110" s="3" t="n">
        <v>4800</v>
      </c>
      <c r="H1110">
        <f>VLOOKUP(B1110,Units!$A$2:$G$1646,2,FALSE)</f>
        <v/>
      </c>
      <c r="I1110">
        <f>VLOOKUP(B1110,Units!$A$2:$G$1646,5,FALSE)</f>
        <v/>
      </c>
      <c r="J1110" s="3">
        <f>G1110/I1110</f>
        <v/>
      </c>
      <c r="K1110" s="3">
        <f>G1110*12</f>
        <v/>
      </c>
      <c r="L1110" s="3" t="n">
        <v>14400</v>
      </c>
    </row>
    <row r="1111">
      <c r="A1111" t="inlineStr">
        <is>
          <t>TA-2025-00656</t>
        </is>
      </c>
      <c r="B1111" t="inlineStr">
        <is>
          <t>U-CD189-02-07</t>
        </is>
      </c>
      <c r="C1111" t="inlineStr">
        <is>
          <t>Bloom Learning Centre</t>
        </is>
      </c>
      <c r="D1111" t="inlineStr">
        <is>
          <t>Tuition Centre</t>
        </is>
      </c>
      <c r="E1111" s="2" t="n">
        <v>45962</v>
      </c>
      <c r="F1111" s="2" t="n">
        <v>47057</v>
      </c>
      <c r="G1111" s="3" t="n">
        <v>2450</v>
      </c>
      <c r="H1111">
        <f>VLOOKUP(B1111,Units!$A$2:$G$1646,2,FALSE)</f>
        <v/>
      </c>
      <c r="I1111">
        <f>VLOOKUP(B1111,Units!$A$2:$G$1646,5,FALSE)</f>
        <v/>
      </c>
      <c r="J1111" s="3">
        <f>G1111/I1111</f>
        <v/>
      </c>
      <c r="K1111" s="3">
        <f>G1111*12</f>
        <v/>
      </c>
      <c r="L1111" s="3" t="n">
        <v>7350</v>
      </c>
    </row>
    <row r="1112">
      <c r="A1112" t="inlineStr">
        <is>
          <t>TA-2025-00658</t>
        </is>
      </c>
      <c r="B1112" t="inlineStr">
        <is>
          <t>U-KR305-01-27</t>
        </is>
      </c>
      <c r="C1112" t="inlineStr">
        <is>
          <t>Kopi Corner Medical Supplies</t>
        </is>
      </c>
      <c r="D1112" t="inlineStr">
        <is>
          <t>Pharmacy</t>
        </is>
      </c>
      <c r="E1112" s="2" t="n">
        <v>45962</v>
      </c>
      <c r="F1112" s="2" t="n">
        <v>47057</v>
      </c>
      <c r="G1112" s="3" t="n">
        <v>5950</v>
      </c>
      <c r="H1112">
        <f>VLOOKUP(B1112,Units!$A$2:$G$1646,2,FALSE)</f>
        <v/>
      </c>
      <c r="I1112">
        <f>VLOOKUP(B1112,Units!$A$2:$G$1646,5,FALSE)</f>
        <v/>
      </c>
      <c r="J1112" s="3">
        <f>G1112/I1112</f>
        <v/>
      </c>
      <c r="K1112" s="3">
        <f>G1112*12</f>
        <v/>
      </c>
      <c r="L1112" s="3" t="n">
        <v>17850</v>
      </c>
    </row>
    <row r="1113">
      <c r="A1113" t="inlineStr">
        <is>
          <t>TA-2025-00660</t>
        </is>
      </c>
      <c r="B1113" t="inlineStr">
        <is>
          <t>U-KR318-02-04</t>
        </is>
      </c>
      <c r="C1113" t="inlineStr">
        <is>
          <t>Harmony Medical Hall Pte Ltd</t>
        </is>
      </c>
      <c r="D1113" t="inlineStr">
        <is>
          <t>TCM Clinic</t>
        </is>
      </c>
      <c r="E1113" s="2" t="n">
        <v>45962</v>
      </c>
      <c r="F1113" s="2" t="n">
        <v>47057</v>
      </c>
      <c r="G1113" s="3" t="n">
        <v>2990</v>
      </c>
      <c r="H1113">
        <f>VLOOKUP(B1113,Units!$A$2:$G$1646,2,FALSE)</f>
        <v/>
      </c>
      <c r="I1113">
        <f>VLOOKUP(B1113,Units!$A$2:$G$1646,5,FALSE)</f>
        <v/>
      </c>
      <c r="J1113" s="3">
        <f>G1113/I1113</f>
        <v/>
      </c>
      <c r="K1113" s="3">
        <f>G1113*12</f>
        <v/>
      </c>
      <c r="L1113" s="3" t="n">
        <v>8970</v>
      </c>
    </row>
    <row r="1114">
      <c r="A1114" t="inlineStr">
        <is>
          <t>TA-2025-00662</t>
        </is>
      </c>
      <c r="B1114" t="inlineStr">
        <is>
          <t>U-KR318-02-10</t>
        </is>
      </c>
      <c r="C1114" t="inlineStr">
        <is>
          <t>Lim's Clinic &amp; Surgery Pte Ltd</t>
        </is>
      </c>
      <c r="D1114" t="inlineStr">
        <is>
          <t>GP Clinic</t>
        </is>
      </c>
      <c r="E1114" s="2" t="n">
        <v>45962</v>
      </c>
      <c r="F1114" s="2" t="n">
        <v>47057</v>
      </c>
      <c r="G1114" s="3" t="n">
        <v>2900</v>
      </c>
      <c r="H1114">
        <f>VLOOKUP(B1114,Units!$A$2:$G$1646,2,FALSE)</f>
        <v/>
      </c>
      <c r="I1114">
        <f>VLOOKUP(B1114,Units!$A$2:$G$1646,5,FALSE)</f>
        <v/>
      </c>
      <c r="J1114" s="3">
        <f>G1114/I1114</f>
        <v/>
      </c>
      <c r="K1114" s="3">
        <f>G1114*12</f>
        <v/>
      </c>
      <c r="L1114" s="3" t="n">
        <v>8700</v>
      </c>
    </row>
    <row r="1115">
      <c r="A1115" t="inlineStr">
        <is>
          <t>TA-2025-00663</t>
        </is>
      </c>
      <c r="B1115" t="inlineStr">
        <is>
          <t>U-KR329-01-06</t>
        </is>
      </c>
      <c r="C1115" t="inlineStr">
        <is>
          <t>Orchid Laundry</t>
        </is>
      </c>
      <c r="D1115" t="inlineStr">
        <is>
          <t>Laundry</t>
        </is>
      </c>
      <c r="E1115" s="2" t="n">
        <v>45962</v>
      </c>
      <c r="F1115" s="2" t="n">
        <v>47057</v>
      </c>
      <c r="G1115" s="3" t="n">
        <v>3780</v>
      </c>
      <c r="H1115">
        <f>VLOOKUP(B1115,Units!$A$2:$G$1646,2,FALSE)</f>
        <v/>
      </c>
      <c r="I1115">
        <f>VLOOKUP(B1115,Units!$A$2:$G$1646,5,FALSE)</f>
        <v/>
      </c>
      <c r="J1115" s="3">
        <f>G1115/I1115</f>
        <v/>
      </c>
      <c r="K1115" s="3">
        <f>G1115*12</f>
        <v/>
      </c>
      <c r="L1115" s="3" t="n">
        <v>11340</v>
      </c>
    </row>
    <row r="1116">
      <c r="A1116" t="inlineStr">
        <is>
          <t>TA-2025-00665</t>
        </is>
      </c>
      <c r="B1116" t="inlineStr">
        <is>
          <t>U-KR362-01-06</t>
        </is>
      </c>
      <c r="C1116" t="inlineStr">
        <is>
          <t>Happy Paws Boba Bar</t>
        </is>
      </c>
      <c r="D1116" t="inlineStr">
        <is>
          <t>Bubble Tea</t>
        </is>
      </c>
      <c r="E1116" s="2" t="n">
        <v>45962</v>
      </c>
      <c r="F1116" s="2" t="n">
        <v>47057</v>
      </c>
      <c r="G1116" s="3" t="n">
        <v>2220</v>
      </c>
      <c r="H1116">
        <f>VLOOKUP(B1116,Units!$A$2:$G$1646,2,FALSE)</f>
        <v/>
      </c>
      <c r="I1116">
        <f>VLOOKUP(B1116,Units!$A$2:$G$1646,5,FALSE)</f>
        <v/>
      </c>
      <c r="J1116" s="3">
        <f>G1116/I1116</f>
        <v/>
      </c>
      <c r="K1116" s="3">
        <f>G1116*12</f>
        <v/>
      </c>
      <c r="L1116" s="3" t="n">
        <v>6660</v>
      </c>
    </row>
    <row r="1117">
      <c r="A1117" t="inlineStr">
        <is>
          <t>TA-2025-00667</t>
        </is>
      </c>
      <c r="B1117" t="inlineStr">
        <is>
          <t>U-KR368-01-05</t>
        </is>
      </c>
      <c r="C1117" t="inlineStr">
        <is>
          <t>Starlight Restaurant Pte Ltd</t>
        </is>
      </c>
      <c r="D1117" t="inlineStr">
        <is>
          <t>Restaurant</t>
        </is>
      </c>
      <c r="E1117" s="2" t="n">
        <v>45962</v>
      </c>
      <c r="F1117" s="2" t="n">
        <v>47057</v>
      </c>
      <c r="G1117" s="3" t="n">
        <v>4300</v>
      </c>
      <c r="H1117">
        <f>VLOOKUP(B1117,Units!$A$2:$G$1646,2,FALSE)</f>
        <v/>
      </c>
      <c r="I1117">
        <f>VLOOKUP(B1117,Units!$A$2:$G$1646,5,FALSE)</f>
        <v/>
      </c>
      <c r="J1117" s="3">
        <f>G1117/I1117</f>
        <v/>
      </c>
      <c r="K1117" s="3">
        <f>G1117*12</f>
        <v/>
      </c>
      <c r="L1117" s="3" t="n">
        <v>12900</v>
      </c>
    </row>
    <row r="1118">
      <c r="A1118" t="inlineStr">
        <is>
          <t>TA-2025-00669</t>
        </is>
      </c>
      <c r="B1118" t="inlineStr">
        <is>
          <t>U-KR371-01-08</t>
        </is>
      </c>
      <c r="C1118" t="inlineStr">
        <is>
          <t>Thye Hin Mart</t>
        </is>
      </c>
      <c r="D1118" t="inlineStr">
        <is>
          <t>Minimart</t>
        </is>
      </c>
      <c r="E1118" s="2" t="n">
        <v>45962</v>
      </c>
      <c r="F1118" s="2" t="n">
        <v>47057</v>
      </c>
      <c r="G1118" s="3" t="n">
        <v>3350</v>
      </c>
      <c r="H1118">
        <f>VLOOKUP(B1118,Units!$A$2:$G$1646,2,FALSE)</f>
        <v/>
      </c>
      <c r="I1118">
        <f>VLOOKUP(B1118,Units!$A$2:$G$1646,5,FALSE)</f>
        <v/>
      </c>
      <c r="J1118" s="3">
        <f>G1118/I1118</f>
        <v/>
      </c>
      <c r="K1118" s="3">
        <f>G1118*12</f>
        <v/>
      </c>
      <c r="L1118" s="3" t="n">
        <v>10050</v>
      </c>
    </row>
    <row r="1119">
      <c r="A1119" t="inlineStr">
        <is>
          <t>TA-2025-00671</t>
        </is>
      </c>
      <c r="B1119" t="inlineStr">
        <is>
          <t>U-KR371-01-12</t>
        </is>
      </c>
      <c r="C1119" t="inlineStr">
        <is>
          <t>Gold Coin Money Changer</t>
        </is>
      </c>
      <c r="D1119" t="inlineStr">
        <is>
          <t>Remittance &amp; Money Changer</t>
        </is>
      </c>
      <c r="E1119" s="2" t="n">
        <v>45962</v>
      </c>
      <c r="F1119" s="2" t="n">
        <v>47057</v>
      </c>
      <c r="G1119" s="3" t="n">
        <v>2140</v>
      </c>
      <c r="H1119">
        <f>VLOOKUP(B1119,Units!$A$2:$G$1646,2,FALSE)</f>
        <v/>
      </c>
      <c r="I1119">
        <f>VLOOKUP(B1119,Units!$A$2:$G$1646,5,FALSE)</f>
        <v/>
      </c>
      <c r="J1119" s="3">
        <f>G1119/I1119</f>
        <v/>
      </c>
      <c r="K1119" s="3">
        <f>G1119*12</f>
        <v/>
      </c>
      <c r="L1119" s="3" t="n">
        <v>6420</v>
      </c>
    </row>
    <row r="1120">
      <c r="A1120" t="inlineStr">
        <is>
          <t>TA-2025-00673</t>
        </is>
      </c>
      <c r="B1120" t="inlineStr">
        <is>
          <t>U-KR372-01-02</t>
        </is>
      </c>
      <c r="C1120" t="inlineStr">
        <is>
          <t>Red Lantern Mart</t>
        </is>
      </c>
      <c r="D1120" t="inlineStr">
        <is>
          <t>Minimart</t>
        </is>
      </c>
      <c r="E1120" s="2" t="n">
        <v>45962</v>
      </c>
      <c r="F1120" s="2" t="n">
        <v>47057</v>
      </c>
      <c r="G1120" s="3" t="n">
        <v>4420</v>
      </c>
      <c r="H1120">
        <f>VLOOKUP(B1120,Units!$A$2:$G$1646,2,FALSE)</f>
        <v/>
      </c>
      <c r="I1120">
        <f>VLOOKUP(B1120,Units!$A$2:$G$1646,5,FALSE)</f>
        <v/>
      </c>
      <c r="J1120" s="3">
        <f>G1120/I1120</f>
        <v/>
      </c>
      <c r="K1120" s="3">
        <f>G1120*12</f>
        <v/>
      </c>
      <c r="L1120" s="3" t="n">
        <v>13260</v>
      </c>
    </row>
    <row r="1121">
      <c r="A1121" t="inlineStr">
        <is>
          <t>TA-2025-00674</t>
        </is>
      </c>
      <c r="B1121" t="inlineStr">
        <is>
          <t>U-PI625-01-01</t>
        </is>
      </c>
      <c r="C1121" t="inlineStr">
        <is>
          <t>Ah Seng Beauty &amp; Hair Pte Ltd</t>
        </is>
      </c>
      <c r="D1121" t="inlineStr">
        <is>
          <t>Hair Salon</t>
        </is>
      </c>
      <c r="E1121" s="2" t="n">
        <v>45962</v>
      </c>
      <c r="F1121" s="2" t="n">
        <v>47057</v>
      </c>
      <c r="G1121" s="3" t="n">
        <v>3940</v>
      </c>
      <c r="H1121">
        <f>VLOOKUP(B1121,Units!$A$2:$G$1646,2,FALSE)</f>
        <v/>
      </c>
      <c r="I1121">
        <f>VLOOKUP(B1121,Units!$A$2:$G$1646,5,FALSE)</f>
        <v/>
      </c>
      <c r="J1121" s="3">
        <f>G1121/I1121</f>
        <v/>
      </c>
      <c r="K1121" s="3">
        <f>G1121*12</f>
        <v/>
      </c>
      <c r="L1121" s="3" t="n">
        <v>11820</v>
      </c>
    </row>
    <row r="1122">
      <c r="A1122" t="inlineStr">
        <is>
          <t>TA-2025-00675</t>
        </is>
      </c>
      <c r="B1122" t="inlineStr">
        <is>
          <t>U-PI627-01-09</t>
        </is>
      </c>
      <c r="C1122" t="inlineStr">
        <is>
          <t>PrimeValue Mart Pte Ltd</t>
        </is>
      </c>
      <c r="D1122" t="inlineStr">
        <is>
          <t>Minimart</t>
        </is>
      </c>
      <c r="E1122" s="2" t="n">
        <v>45962</v>
      </c>
      <c r="F1122" s="2" t="n">
        <v>47057</v>
      </c>
      <c r="G1122" s="3" t="n">
        <v>2780</v>
      </c>
      <c r="H1122">
        <f>VLOOKUP(B1122,Units!$A$2:$G$1646,2,FALSE)</f>
        <v/>
      </c>
      <c r="I1122">
        <f>VLOOKUP(B1122,Units!$A$2:$G$1646,5,FALSE)</f>
        <v/>
      </c>
      <c r="J1122" s="3">
        <f>G1122/I1122</f>
        <v/>
      </c>
      <c r="K1122" s="3">
        <f>G1122*12</f>
        <v/>
      </c>
      <c r="L1122" s="3" t="n">
        <v>8340</v>
      </c>
    </row>
    <row r="1123">
      <c r="A1123" t="inlineStr">
        <is>
          <t>TA-2025-00677</t>
        </is>
      </c>
      <c r="B1123" t="inlineStr">
        <is>
          <t>U-PI627-01-32</t>
        </is>
      </c>
      <c r="C1123" t="inlineStr">
        <is>
          <t>Green Leaf Minimart</t>
        </is>
      </c>
      <c r="D1123" t="inlineStr">
        <is>
          <t>Minimart</t>
        </is>
      </c>
      <c r="E1123" s="2" t="n">
        <v>45962</v>
      </c>
      <c r="F1123" s="2" t="n">
        <v>47057</v>
      </c>
      <c r="G1123" s="3" t="n">
        <v>4450</v>
      </c>
      <c r="H1123">
        <f>VLOOKUP(B1123,Units!$A$2:$G$1646,2,FALSE)</f>
        <v/>
      </c>
      <c r="I1123">
        <f>VLOOKUP(B1123,Units!$A$2:$G$1646,5,FALSE)</f>
        <v/>
      </c>
      <c r="J1123" s="3">
        <f>G1123/I1123</f>
        <v/>
      </c>
      <c r="K1123" s="3">
        <f>G1123*12</f>
        <v/>
      </c>
      <c r="L1123" s="3" t="n">
        <v>13350</v>
      </c>
    </row>
    <row r="1124">
      <c r="A1124" t="inlineStr">
        <is>
          <t>TA-2025-00678</t>
        </is>
      </c>
      <c r="B1124" t="inlineStr">
        <is>
          <t>U-PI642-01-01</t>
        </is>
      </c>
      <c r="C1124" t="inlineStr">
        <is>
          <t>Siva Dental Care Pte Ltd</t>
        </is>
      </c>
      <c r="D1124" t="inlineStr">
        <is>
          <t>Dental Clinic</t>
        </is>
      </c>
      <c r="E1124" s="2" t="n">
        <v>45962</v>
      </c>
      <c r="F1124" s="2" t="n">
        <v>47057</v>
      </c>
      <c r="G1124" s="3" t="n">
        <v>2750</v>
      </c>
      <c r="H1124">
        <f>VLOOKUP(B1124,Units!$A$2:$G$1646,2,FALSE)</f>
        <v/>
      </c>
      <c r="I1124">
        <f>VLOOKUP(B1124,Units!$A$2:$G$1646,5,FALSE)</f>
        <v/>
      </c>
      <c r="J1124" s="3">
        <f>G1124/I1124</f>
        <v/>
      </c>
      <c r="K1124" s="3">
        <f>G1124*12</f>
        <v/>
      </c>
      <c r="L1124" s="3" t="n">
        <v>8250</v>
      </c>
    </row>
    <row r="1125">
      <c r="A1125" t="inlineStr">
        <is>
          <t>TA-2025-00679</t>
        </is>
      </c>
      <c r="B1125" t="inlineStr">
        <is>
          <t>U-PI651-01-04</t>
        </is>
      </c>
      <c r="C1125" t="inlineStr">
        <is>
          <t>Nur Dental Care</t>
        </is>
      </c>
      <c r="D1125" t="inlineStr">
        <is>
          <t>Dental Clinic</t>
        </is>
      </c>
      <c r="E1125" s="2" t="n">
        <v>45962</v>
      </c>
      <c r="F1125" s="2" t="n">
        <v>47057</v>
      </c>
      <c r="G1125" s="3" t="n">
        <v>5010</v>
      </c>
      <c r="H1125">
        <f>VLOOKUP(B1125,Units!$A$2:$G$1646,2,FALSE)</f>
        <v/>
      </c>
      <c r="I1125">
        <f>VLOOKUP(B1125,Units!$A$2:$G$1646,5,FALSE)</f>
        <v/>
      </c>
      <c r="J1125" s="3">
        <f>G1125/I1125</f>
        <v/>
      </c>
      <c r="K1125" s="3">
        <f>G1125*12</f>
        <v/>
      </c>
      <c r="L1125" s="3" t="n">
        <v>15030</v>
      </c>
    </row>
    <row r="1126">
      <c r="A1126" t="inlineStr">
        <is>
          <t>TA-2025-00680</t>
        </is>
      </c>
      <c r="B1126" t="inlineStr">
        <is>
          <t>U-PI651-01-07</t>
        </is>
      </c>
      <c r="C1126" t="inlineStr">
        <is>
          <t>Kian Huat Mart Pte Ltd</t>
        </is>
      </c>
      <c r="D1126" t="inlineStr">
        <is>
          <t>Minimart</t>
        </is>
      </c>
      <c r="E1126" s="2" t="n">
        <v>45962</v>
      </c>
      <c r="F1126" s="2" t="n">
        <v>47057</v>
      </c>
      <c r="G1126" s="3" t="n">
        <v>5810</v>
      </c>
      <c r="H1126">
        <f>VLOOKUP(B1126,Units!$A$2:$G$1646,2,FALSE)</f>
        <v/>
      </c>
      <c r="I1126">
        <f>VLOOKUP(B1126,Units!$A$2:$G$1646,5,FALSE)</f>
        <v/>
      </c>
      <c r="J1126" s="3">
        <f>G1126/I1126</f>
        <v/>
      </c>
      <c r="K1126" s="3">
        <f>G1126*12</f>
        <v/>
      </c>
      <c r="L1126" s="3" t="n">
        <v>17430</v>
      </c>
    </row>
    <row r="1127">
      <c r="A1127" t="inlineStr">
        <is>
          <t>TA-2025-00682</t>
        </is>
      </c>
      <c r="B1127" t="inlineStr">
        <is>
          <t>U-PI667-01-09</t>
        </is>
      </c>
      <c r="C1127" t="inlineStr">
        <is>
          <t>Tan Brothers Mobile</t>
        </is>
      </c>
      <c r="D1127" t="inlineStr">
        <is>
          <t>Mobile Phone &amp; Accessories</t>
        </is>
      </c>
      <c r="E1127" s="2" t="n">
        <v>45962</v>
      </c>
      <c r="F1127" s="2" t="n">
        <v>47057</v>
      </c>
      <c r="G1127" s="3" t="n">
        <v>3340</v>
      </c>
      <c r="H1127">
        <f>VLOOKUP(B1127,Units!$A$2:$G$1646,2,FALSE)</f>
        <v/>
      </c>
      <c r="I1127">
        <f>VLOOKUP(B1127,Units!$A$2:$G$1646,5,FALSE)</f>
        <v/>
      </c>
      <c r="J1127" s="3">
        <f>G1127/I1127</f>
        <v/>
      </c>
      <c r="K1127" s="3">
        <f>G1127*12</f>
        <v/>
      </c>
      <c r="L1127" s="3" t="n">
        <v>10020</v>
      </c>
    </row>
    <row r="1128">
      <c r="A1128" t="inlineStr">
        <is>
          <t>TA-2025-00683</t>
        </is>
      </c>
      <c r="B1128" t="inlineStr">
        <is>
          <t>U-PI675-01-02</t>
        </is>
      </c>
      <c r="C1128" t="inlineStr">
        <is>
          <t>Swee Heng Accounting Services Pte Ltd</t>
        </is>
      </c>
      <c r="D1128" t="inlineStr">
        <is>
          <t>Professional Services Office</t>
        </is>
      </c>
      <c r="E1128" s="2" t="n">
        <v>45962</v>
      </c>
      <c r="F1128" s="2" t="n">
        <v>47057</v>
      </c>
      <c r="G1128" s="3" t="n">
        <v>3540</v>
      </c>
      <c r="H1128">
        <f>VLOOKUP(B1128,Units!$A$2:$G$1646,2,FALSE)</f>
        <v/>
      </c>
      <c r="I1128">
        <f>VLOOKUP(B1128,Units!$A$2:$G$1646,5,FALSE)</f>
        <v/>
      </c>
      <c r="J1128" s="3">
        <f>G1128/I1128</f>
        <v/>
      </c>
      <c r="K1128" s="3">
        <f>G1128*12</f>
        <v/>
      </c>
      <c r="L1128" s="3" t="n">
        <v>10620</v>
      </c>
    </row>
    <row r="1129">
      <c r="A1129" t="inlineStr">
        <is>
          <t>TA-2025-00684</t>
        </is>
      </c>
      <c r="B1129" t="inlineStr">
        <is>
          <t>U-PI675-01-05</t>
        </is>
      </c>
      <c r="C1129" t="inlineStr">
        <is>
          <t>Joo Chiat Beauty &amp; Hair Pte Ltd</t>
        </is>
      </c>
      <c r="D1129" t="inlineStr">
        <is>
          <t>Hair Salon</t>
        </is>
      </c>
      <c r="E1129" s="2" t="n">
        <v>45962</v>
      </c>
      <c r="F1129" s="2" t="n">
        <v>47057</v>
      </c>
      <c r="G1129" s="3" t="n">
        <v>5480</v>
      </c>
      <c r="H1129">
        <f>VLOOKUP(B1129,Units!$A$2:$G$1646,2,FALSE)</f>
        <v/>
      </c>
      <c r="I1129">
        <f>VLOOKUP(B1129,Units!$A$2:$G$1646,5,FALSE)</f>
        <v/>
      </c>
      <c r="J1129" s="3">
        <f>G1129/I1129</f>
        <v/>
      </c>
      <c r="K1129" s="3">
        <f>G1129*12</f>
        <v/>
      </c>
      <c r="L1129" s="3" t="n">
        <v>16440</v>
      </c>
    </row>
    <row r="1130">
      <c r="A1130" t="inlineStr">
        <is>
          <t>TA-2025-00685</t>
        </is>
      </c>
      <c r="B1130" t="inlineStr">
        <is>
          <t>U-PI679-01-01</t>
        </is>
      </c>
      <c r="C1130" t="inlineStr">
        <is>
          <t>Amanah Cake House</t>
        </is>
      </c>
      <c r="D1130" t="inlineStr">
        <is>
          <t>Bakery &amp; Confectionery</t>
        </is>
      </c>
      <c r="E1130" s="2" t="n">
        <v>45962</v>
      </c>
      <c r="F1130" s="2" t="n">
        <v>47057</v>
      </c>
      <c r="G1130" s="3" t="n">
        <v>3300</v>
      </c>
      <c r="H1130">
        <f>VLOOKUP(B1130,Units!$A$2:$G$1646,2,FALSE)</f>
        <v/>
      </c>
      <c r="I1130">
        <f>VLOOKUP(B1130,Units!$A$2:$G$1646,5,FALSE)</f>
        <v/>
      </c>
      <c r="J1130" s="3">
        <f>G1130/I1130</f>
        <v/>
      </c>
      <c r="K1130" s="3">
        <f>G1130*12</f>
        <v/>
      </c>
      <c r="L1130" s="3" t="n">
        <v>9900</v>
      </c>
    </row>
    <row r="1131">
      <c r="A1131" t="inlineStr">
        <is>
          <t>TA-2025-00686</t>
        </is>
      </c>
      <c r="B1131" t="inlineStr">
        <is>
          <t>U-RH401-01-06</t>
        </is>
      </c>
      <c r="C1131" t="inlineStr">
        <is>
          <t>Tan Brothers Mart</t>
        </is>
      </c>
      <c r="D1131" t="inlineStr">
        <is>
          <t>Minimart</t>
        </is>
      </c>
      <c r="E1131" s="2" t="n">
        <v>45962</v>
      </c>
      <c r="F1131" s="2" t="n">
        <v>47057</v>
      </c>
      <c r="G1131" s="3" t="n">
        <v>4470</v>
      </c>
      <c r="H1131">
        <f>VLOOKUP(B1131,Units!$A$2:$G$1646,2,FALSE)</f>
        <v/>
      </c>
      <c r="I1131">
        <f>VLOOKUP(B1131,Units!$A$2:$G$1646,5,FALSE)</f>
        <v/>
      </c>
      <c r="J1131" s="3">
        <f>G1131/I1131</f>
        <v/>
      </c>
      <c r="K1131" s="3">
        <f>G1131*12</f>
        <v/>
      </c>
      <c r="L1131" s="3" t="n">
        <v>13410</v>
      </c>
    </row>
    <row r="1132">
      <c r="A1132" t="inlineStr">
        <is>
          <t>TA-2025-00687</t>
        </is>
      </c>
      <c r="B1132" t="inlineStr">
        <is>
          <t>U-RH425-01-03</t>
        </is>
      </c>
      <c r="C1132" t="inlineStr">
        <is>
          <t>Daily Fresh Family Clinic</t>
        </is>
      </c>
      <c r="D1132" t="inlineStr">
        <is>
          <t>GP Clinic</t>
        </is>
      </c>
      <c r="E1132" s="2" t="n">
        <v>45962</v>
      </c>
      <c r="F1132" s="2" t="n">
        <v>47057</v>
      </c>
      <c r="G1132" s="3" t="n">
        <v>1800</v>
      </c>
      <c r="H1132">
        <f>VLOOKUP(B1132,Units!$A$2:$G$1646,2,FALSE)</f>
        <v/>
      </c>
      <c r="I1132">
        <f>VLOOKUP(B1132,Units!$A$2:$G$1646,5,FALSE)</f>
        <v/>
      </c>
      <c r="J1132" s="3">
        <f>G1132/I1132</f>
        <v/>
      </c>
      <c r="K1132" s="3">
        <f>G1132*12</f>
        <v/>
      </c>
      <c r="L1132" s="3" t="n">
        <v>5400</v>
      </c>
    </row>
    <row r="1133">
      <c r="A1133" t="inlineStr">
        <is>
          <t>TA-2025-00688</t>
        </is>
      </c>
      <c r="B1133" t="inlineStr">
        <is>
          <t>U-RH437-01-09</t>
        </is>
      </c>
      <c r="C1133" t="inlineStr">
        <is>
          <t>Daily Fresh Cake House Pte Ltd</t>
        </is>
      </c>
      <c r="D1133" t="inlineStr">
        <is>
          <t>Bakery &amp; Confectionery</t>
        </is>
      </c>
      <c r="E1133" s="2" t="n">
        <v>45962</v>
      </c>
      <c r="F1133" s="2" t="n">
        <v>47057</v>
      </c>
      <c r="G1133" s="3" t="n">
        <v>3770</v>
      </c>
      <c r="H1133">
        <f>VLOOKUP(B1133,Units!$A$2:$G$1646,2,FALSE)</f>
        <v/>
      </c>
      <c r="I1133">
        <f>VLOOKUP(B1133,Units!$A$2:$G$1646,5,FALSE)</f>
        <v/>
      </c>
      <c r="J1133" s="3">
        <f>G1133/I1133</f>
        <v/>
      </c>
      <c r="K1133" s="3">
        <f>G1133*12</f>
        <v/>
      </c>
      <c r="L1133" s="3" t="n">
        <v>11310</v>
      </c>
    </row>
    <row r="1134">
      <c r="A1134" t="inlineStr">
        <is>
          <t>TA-2025-00690</t>
        </is>
      </c>
      <c r="B1134" t="inlineStr">
        <is>
          <t>U-RH441-01-05</t>
        </is>
      </c>
      <c r="C1134" t="inlineStr">
        <is>
          <t>Ah Seng Eye Centre</t>
        </is>
      </c>
      <c r="D1134" t="inlineStr">
        <is>
          <t>Optical</t>
        </is>
      </c>
      <c r="E1134" s="2" t="n">
        <v>45962</v>
      </c>
      <c r="F1134" s="2" t="n">
        <v>47057</v>
      </c>
      <c r="G1134" s="3" t="n">
        <v>2380</v>
      </c>
      <c r="H1134">
        <f>VLOOKUP(B1134,Units!$A$2:$G$1646,2,FALSE)</f>
        <v/>
      </c>
      <c r="I1134">
        <f>VLOOKUP(B1134,Units!$A$2:$G$1646,5,FALSE)</f>
        <v/>
      </c>
      <c r="J1134" s="3">
        <f>G1134/I1134</f>
        <v/>
      </c>
      <c r="K1134" s="3">
        <f>G1134*12</f>
        <v/>
      </c>
      <c r="L1134" s="3" t="n">
        <v>7140</v>
      </c>
    </row>
    <row r="1135">
      <c r="A1135" t="inlineStr">
        <is>
          <t>TA-2025-00692</t>
        </is>
      </c>
      <c r="B1135" t="inlineStr">
        <is>
          <t>U-RH455-01-34</t>
        </is>
      </c>
      <c r="C1135" t="inlineStr">
        <is>
          <t>Tan Brothers Remittance</t>
        </is>
      </c>
      <c r="D1135" t="inlineStr">
        <is>
          <t>Remittance &amp; Money Changer</t>
        </is>
      </c>
      <c r="E1135" s="2" t="n">
        <v>45962</v>
      </c>
      <c r="F1135" s="2" t="n">
        <v>47057</v>
      </c>
      <c r="G1135" s="3" t="n">
        <v>4020</v>
      </c>
      <c r="H1135">
        <f>VLOOKUP(B1135,Units!$A$2:$G$1646,2,FALSE)</f>
        <v/>
      </c>
      <c r="I1135">
        <f>VLOOKUP(B1135,Units!$A$2:$G$1646,5,FALSE)</f>
        <v/>
      </c>
      <c r="J1135" s="3">
        <f>G1135/I1135</f>
        <v/>
      </c>
      <c r="K1135" s="3">
        <f>G1135*12</f>
        <v/>
      </c>
      <c r="L1135" s="3" t="n">
        <v>12060</v>
      </c>
    </row>
    <row r="1136">
      <c r="A1136" t="inlineStr">
        <is>
          <t>TA-2025-00694</t>
        </is>
      </c>
      <c r="B1136" t="inlineStr">
        <is>
          <t>U-RH460-01-02</t>
        </is>
      </c>
      <c r="C1136" t="inlineStr">
        <is>
          <t>Ah Seng Dental Care</t>
        </is>
      </c>
      <c r="D1136" t="inlineStr">
        <is>
          <t>Dental Clinic</t>
        </is>
      </c>
      <c r="E1136" s="2" t="n">
        <v>45962</v>
      </c>
      <c r="F1136" s="2" t="n">
        <v>47057</v>
      </c>
      <c r="G1136" s="3" t="n">
        <v>4380</v>
      </c>
      <c r="H1136">
        <f>VLOOKUP(B1136,Units!$A$2:$G$1646,2,FALSE)</f>
        <v/>
      </c>
      <c r="I1136">
        <f>VLOOKUP(B1136,Units!$A$2:$G$1646,5,FALSE)</f>
        <v/>
      </c>
      <c r="J1136" s="3">
        <f>G1136/I1136</f>
        <v/>
      </c>
      <c r="K1136" s="3">
        <f>G1136*12</f>
        <v/>
      </c>
      <c r="L1136" s="3" t="n">
        <v>13140</v>
      </c>
    </row>
    <row r="1137">
      <c r="A1137" t="inlineStr">
        <is>
          <t>TA-2025-00695</t>
        </is>
      </c>
      <c r="B1137" t="inlineStr">
        <is>
          <t>U-RH460-01-05</t>
        </is>
      </c>
      <c r="C1137" t="inlineStr">
        <is>
          <t>Lakshmi Trading</t>
        </is>
      </c>
      <c r="D1137" t="inlineStr">
        <is>
          <t>Provision Shop</t>
        </is>
      </c>
      <c r="E1137" s="2" t="n">
        <v>45962</v>
      </c>
      <c r="F1137" s="2" t="n">
        <v>47057</v>
      </c>
      <c r="G1137" s="3" t="n">
        <v>3370</v>
      </c>
      <c r="H1137">
        <f>VLOOKUP(B1137,Units!$A$2:$G$1646,2,FALSE)</f>
        <v/>
      </c>
      <c r="I1137">
        <f>VLOOKUP(B1137,Units!$A$2:$G$1646,5,FALSE)</f>
        <v/>
      </c>
      <c r="J1137" s="3">
        <f>G1137/I1137</f>
        <v/>
      </c>
      <c r="K1137" s="3">
        <f>G1137*12</f>
        <v/>
      </c>
      <c r="L1137" s="3" t="n">
        <v>10110</v>
      </c>
    </row>
    <row r="1138">
      <c r="A1138" t="inlineStr">
        <is>
          <t>TA-2025-00696</t>
        </is>
      </c>
      <c r="B1138" t="inlineStr">
        <is>
          <t>U-ST501-01-01</t>
        </is>
      </c>
      <c r="C1138" t="inlineStr">
        <is>
          <t>Pinnacle Eating House Pte Ltd</t>
        </is>
      </c>
      <c r="D1138" t="inlineStr">
        <is>
          <t>Coffeeshop</t>
        </is>
      </c>
      <c r="E1138" s="2" t="n">
        <v>45962</v>
      </c>
      <c r="F1138" s="2" t="n">
        <v>47057</v>
      </c>
      <c r="G1138" s="3" t="n">
        <v>7460</v>
      </c>
      <c r="H1138">
        <f>VLOOKUP(B1138,Units!$A$2:$G$1646,2,FALSE)</f>
        <v/>
      </c>
      <c r="I1138">
        <f>VLOOKUP(B1138,Units!$A$2:$G$1646,5,FALSE)</f>
        <v/>
      </c>
      <c r="J1138" s="3">
        <f>G1138/I1138</f>
        <v/>
      </c>
      <c r="K1138" s="3">
        <f>G1138*12</f>
        <v/>
      </c>
      <c r="L1138" s="3" t="n">
        <v>22380</v>
      </c>
    </row>
    <row r="1139">
      <c r="A1139" t="inlineStr">
        <is>
          <t>TA-2025-00697</t>
        </is>
      </c>
      <c r="B1139" t="inlineStr">
        <is>
          <t>U-ST501-01-08</t>
        </is>
      </c>
      <c r="C1139" t="inlineStr">
        <is>
          <t>Soon Hin Optical</t>
        </is>
      </c>
      <c r="D1139" t="inlineStr">
        <is>
          <t>Optical</t>
        </is>
      </c>
      <c r="E1139" s="2" t="n">
        <v>45962</v>
      </c>
      <c r="F1139" s="2" t="n">
        <v>47057</v>
      </c>
      <c r="G1139" s="3" t="n">
        <v>3900</v>
      </c>
      <c r="H1139">
        <f>VLOOKUP(B1139,Units!$A$2:$G$1646,2,FALSE)</f>
        <v/>
      </c>
      <c r="I1139">
        <f>VLOOKUP(B1139,Units!$A$2:$G$1646,5,FALSE)</f>
        <v/>
      </c>
      <c r="J1139" s="3">
        <f>G1139/I1139</f>
        <v/>
      </c>
      <c r="K1139" s="3">
        <f>G1139*12</f>
        <v/>
      </c>
      <c r="L1139" s="3" t="n">
        <v>11700</v>
      </c>
    </row>
    <row r="1140">
      <c r="A1140" t="inlineStr">
        <is>
          <t>TA-2025-00698</t>
        </is>
      </c>
      <c r="B1140" t="inlineStr">
        <is>
          <t>U-ST507-01-06</t>
        </is>
      </c>
      <c r="C1140" t="inlineStr">
        <is>
          <t>PrimeValue Mart Pte Ltd</t>
        </is>
      </c>
      <c r="D1140" t="inlineStr">
        <is>
          <t>Minimart</t>
        </is>
      </c>
      <c r="E1140" s="2" t="n">
        <v>45962</v>
      </c>
      <c r="F1140" s="2" t="n">
        <v>47057</v>
      </c>
      <c r="G1140" s="3" t="n">
        <v>2410</v>
      </c>
      <c r="H1140">
        <f>VLOOKUP(B1140,Units!$A$2:$G$1646,2,FALSE)</f>
        <v/>
      </c>
      <c r="I1140">
        <f>VLOOKUP(B1140,Units!$A$2:$G$1646,5,FALSE)</f>
        <v/>
      </c>
      <c r="J1140" s="3">
        <f>G1140/I1140</f>
        <v/>
      </c>
      <c r="K1140" s="3">
        <f>G1140*12</f>
        <v/>
      </c>
      <c r="L1140" s="3" t="n">
        <v>7230</v>
      </c>
    </row>
    <row r="1141">
      <c r="A1141" t="inlineStr">
        <is>
          <t>TA-2025-00699</t>
        </is>
      </c>
      <c r="B1141" t="inlineStr">
        <is>
          <t>U-ST522-01-03</t>
        </is>
      </c>
      <c r="C1141" t="inlineStr">
        <is>
          <t>Fortune Dental Surgery</t>
        </is>
      </c>
      <c r="D1141" t="inlineStr">
        <is>
          <t>Dental Clinic</t>
        </is>
      </c>
      <c r="E1141" s="2" t="n">
        <v>45962</v>
      </c>
      <c r="F1141" s="2" t="n">
        <v>47057</v>
      </c>
      <c r="G1141" s="3" t="n">
        <v>1520</v>
      </c>
      <c r="H1141">
        <f>VLOOKUP(B1141,Units!$A$2:$G$1646,2,FALSE)</f>
        <v/>
      </c>
      <c r="I1141">
        <f>VLOOKUP(B1141,Units!$A$2:$G$1646,5,FALSE)</f>
        <v/>
      </c>
      <c r="J1141" s="3">
        <f>G1141/I1141</f>
        <v/>
      </c>
      <c r="K1141" s="3">
        <f>G1141*12</f>
        <v/>
      </c>
      <c r="L1141" s="3" t="n">
        <v>4560</v>
      </c>
    </row>
    <row r="1142">
      <c r="A1142" t="inlineStr">
        <is>
          <t>TA-2025-00701</t>
        </is>
      </c>
      <c r="B1142" t="inlineStr">
        <is>
          <t>U-ST522-01-05</t>
        </is>
      </c>
      <c r="C1142" t="inlineStr">
        <is>
          <t>Nur Mart Pte Ltd</t>
        </is>
      </c>
      <c r="D1142" t="inlineStr">
        <is>
          <t>Minimart</t>
        </is>
      </c>
      <c r="E1142" s="2" t="n">
        <v>45962</v>
      </c>
      <c r="F1142" s="2" t="n">
        <v>47057</v>
      </c>
      <c r="G1142" s="3" t="n">
        <v>3600</v>
      </c>
      <c r="H1142">
        <f>VLOOKUP(B1142,Units!$A$2:$G$1646,2,FALSE)</f>
        <v/>
      </c>
      <c r="I1142">
        <f>VLOOKUP(B1142,Units!$A$2:$G$1646,5,FALSE)</f>
        <v/>
      </c>
      <c r="J1142" s="3">
        <f>G1142/I1142</f>
        <v/>
      </c>
      <c r="K1142" s="3">
        <f>G1142*12</f>
        <v/>
      </c>
      <c r="L1142" s="3" t="n">
        <v>10800</v>
      </c>
    </row>
    <row r="1143">
      <c r="A1143" t="inlineStr">
        <is>
          <t>TA-2025-00703</t>
        </is>
      </c>
      <c r="B1143" t="inlineStr">
        <is>
          <t>U-ST544-01-05</t>
        </is>
      </c>
      <c r="C1143" t="inlineStr">
        <is>
          <t>Joo Chiat Mart</t>
        </is>
      </c>
      <c r="D1143" t="inlineStr">
        <is>
          <t>Minimart</t>
        </is>
      </c>
      <c r="E1143" s="2" t="n">
        <v>45962</v>
      </c>
      <c r="F1143" s="2" t="n">
        <v>47057</v>
      </c>
      <c r="G1143" s="3" t="n">
        <v>3500</v>
      </c>
      <c r="H1143">
        <f>VLOOKUP(B1143,Units!$A$2:$G$1646,2,FALSE)</f>
        <v/>
      </c>
      <c r="I1143">
        <f>VLOOKUP(B1143,Units!$A$2:$G$1646,5,FALSE)</f>
        <v/>
      </c>
      <c r="J1143" s="3">
        <f>G1143/I1143</f>
        <v/>
      </c>
      <c r="K1143" s="3">
        <f>G1143*12</f>
        <v/>
      </c>
      <c r="L1143" s="3" t="n">
        <v>10500</v>
      </c>
    </row>
    <row r="1144">
      <c r="A1144" t="inlineStr">
        <is>
          <t>TA-2025-00705</t>
        </is>
      </c>
      <c r="B1144" t="inlineStr">
        <is>
          <t>U-ST564-01-05</t>
        </is>
      </c>
      <c r="C1144" t="inlineStr">
        <is>
          <t>Amanah Medical Clinic Pte Ltd</t>
        </is>
      </c>
      <c r="D1144" t="inlineStr">
        <is>
          <t>GP Clinic</t>
        </is>
      </c>
      <c r="E1144" s="2" t="n">
        <v>45962</v>
      </c>
      <c r="F1144" s="2" t="n">
        <v>47057</v>
      </c>
      <c r="G1144" s="3" t="n">
        <v>2070</v>
      </c>
      <c r="H1144">
        <f>VLOOKUP(B1144,Units!$A$2:$G$1646,2,FALSE)</f>
        <v/>
      </c>
      <c r="I1144">
        <f>VLOOKUP(B1144,Units!$A$2:$G$1646,5,FALSE)</f>
        <v/>
      </c>
      <c r="J1144" s="3">
        <f>G1144/I1144</f>
        <v/>
      </c>
      <c r="K1144" s="3">
        <f>G1144*12</f>
        <v/>
      </c>
      <c r="L1144" s="3" t="n">
        <v>6210</v>
      </c>
    </row>
    <row r="1145">
      <c r="A1145" t="inlineStr">
        <is>
          <t>TA-2025-00706</t>
        </is>
      </c>
      <c r="B1145" t="inlineStr">
        <is>
          <t>U-BV204-01-03</t>
        </is>
      </c>
      <c r="C1145" t="inlineStr">
        <is>
          <t>Starlight Kueh Corner Pte Ltd</t>
        </is>
      </c>
      <c r="D1145" t="inlineStr">
        <is>
          <t>Snack Kiosk</t>
        </is>
      </c>
      <c r="E1145" s="2" t="n">
        <v>45992</v>
      </c>
      <c r="F1145" s="2" t="n">
        <v>47087</v>
      </c>
      <c r="G1145" s="3" t="n">
        <v>1310</v>
      </c>
      <c r="H1145">
        <f>VLOOKUP(B1145,Units!$A$2:$G$1646,2,FALSE)</f>
        <v/>
      </c>
      <c r="I1145">
        <f>VLOOKUP(B1145,Units!$A$2:$G$1646,5,FALSE)</f>
        <v/>
      </c>
      <c r="J1145" s="3">
        <f>G1145/I1145</f>
        <v/>
      </c>
      <c r="K1145" s="3">
        <f>G1145*12</f>
        <v/>
      </c>
      <c r="L1145" s="3" t="n">
        <v>3930</v>
      </c>
    </row>
    <row r="1146">
      <c r="A1146" t="inlineStr">
        <is>
          <t>TA-2025-00707</t>
        </is>
      </c>
      <c r="B1146" t="inlineStr">
        <is>
          <t>U-BV212-01-04</t>
        </is>
      </c>
      <c r="C1146" t="inlineStr">
        <is>
          <t>Value Trading</t>
        </is>
      </c>
      <c r="D1146" t="inlineStr">
        <is>
          <t>Provision Shop</t>
        </is>
      </c>
      <c r="E1146" s="2" t="n">
        <v>45992</v>
      </c>
      <c r="F1146" s="2" t="n">
        <v>47087</v>
      </c>
      <c r="G1146" s="3" t="n">
        <v>6720</v>
      </c>
      <c r="H1146">
        <f>VLOOKUP(B1146,Units!$A$2:$G$1646,2,FALSE)</f>
        <v/>
      </c>
      <c r="I1146">
        <f>VLOOKUP(B1146,Units!$A$2:$G$1646,5,FALSE)</f>
        <v/>
      </c>
      <c r="J1146" s="3">
        <f>G1146/I1146</f>
        <v/>
      </c>
      <c r="K1146" s="3">
        <f>G1146*12</f>
        <v/>
      </c>
      <c r="L1146" s="3" t="n">
        <v>20160</v>
      </c>
    </row>
    <row r="1147">
      <c r="A1147" t="inlineStr">
        <is>
          <t>TA-2025-00708</t>
        </is>
      </c>
      <c r="B1147" t="inlineStr">
        <is>
          <t>U-BV212-01-07</t>
        </is>
      </c>
      <c r="C1147" t="inlineStr">
        <is>
          <t>Orchid Medical Clinic Pte Ltd</t>
        </is>
      </c>
      <c r="D1147" t="inlineStr">
        <is>
          <t>GP Clinic</t>
        </is>
      </c>
      <c r="E1147" s="2" t="n">
        <v>45992</v>
      </c>
      <c r="F1147" s="2" t="n">
        <v>47087</v>
      </c>
      <c r="G1147" s="3" t="n">
        <v>2820</v>
      </c>
      <c r="H1147">
        <f>VLOOKUP(B1147,Units!$A$2:$G$1646,2,FALSE)</f>
        <v/>
      </c>
      <c r="I1147">
        <f>VLOOKUP(B1147,Units!$A$2:$G$1646,5,FALSE)</f>
        <v/>
      </c>
      <c r="J1147" s="3">
        <f>G1147/I1147</f>
        <v/>
      </c>
      <c r="K1147" s="3">
        <f>G1147*12</f>
        <v/>
      </c>
      <c r="L1147" s="3" t="n">
        <v>8460</v>
      </c>
    </row>
    <row r="1148">
      <c r="A1148" t="inlineStr">
        <is>
          <t>TA-2025-00710</t>
        </is>
      </c>
      <c r="B1148" t="inlineStr">
        <is>
          <t>U-BV237-02-05</t>
        </is>
      </c>
      <c r="C1148" t="inlineStr">
        <is>
          <t>Red Lantern Clinic &amp; Surgery Pte Ltd</t>
        </is>
      </c>
      <c r="D1148" t="inlineStr">
        <is>
          <t>GP Clinic</t>
        </is>
      </c>
      <c r="E1148" s="2" t="n">
        <v>45992</v>
      </c>
      <c r="F1148" s="2" t="n">
        <v>47087</v>
      </c>
      <c r="G1148" s="3" t="n">
        <v>4290</v>
      </c>
      <c r="H1148">
        <f>VLOOKUP(B1148,Units!$A$2:$G$1646,2,FALSE)</f>
        <v/>
      </c>
      <c r="I1148">
        <f>VLOOKUP(B1148,Units!$A$2:$G$1646,5,FALSE)</f>
        <v/>
      </c>
      <c r="J1148" s="3">
        <f>G1148/I1148</f>
        <v/>
      </c>
      <c r="K1148" s="3">
        <f>G1148*12</f>
        <v/>
      </c>
      <c r="L1148" s="3" t="n">
        <v>12870</v>
      </c>
    </row>
    <row r="1149">
      <c r="A1149" t="inlineStr">
        <is>
          <t>TA-2025-00712</t>
        </is>
      </c>
      <c r="B1149" t="inlineStr">
        <is>
          <t>U-BV288-01-07</t>
        </is>
      </c>
      <c r="C1149" t="inlineStr">
        <is>
          <t>Nanyang Dental Care</t>
        </is>
      </c>
      <c r="D1149" t="inlineStr">
        <is>
          <t>Dental Clinic</t>
        </is>
      </c>
      <c r="E1149" s="2" t="n">
        <v>45992</v>
      </c>
      <c r="F1149" s="2" t="n">
        <v>47087</v>
      </c>
      <c r="G1149" s="3" t="n">
        <v>3370</v>
      </c>
      <c r="H1149">
        <f>VLOOKUP(B1149,Units!$A$2:$G$1646,2,FALSE)</f>
        <v/>
      </c>
      <c r="I1149">
        <f>VLOOKUP(B1149,Units!$A$2:$G$1646,5,FALSE)</f>
        <v/>
      </c>
      <c r="J1149" s="3">
        <f>G1149/I1149</f>
        <v/>
      </c>
      <c r="K1149" s="3">
        <f>G1149*12</f>
        <v/>
      </c>
      <c r="L1149" s="3" t="n">
        <v>10110</v>
      </c>
    </row>
    <row r="1150">
      <c r="A1150" t="inlineStr">
        <is>
          <t>TA-2025-00714</t>
        </is>
      </c>
      <c r="B1150" t="inlineStr">
        <is>
          <t>U-CD108-01-09</t>
        </is>
      </c>
      <c r="C1150" t="inlineStr">
        <is>
          <t>Amanah Laundry</t>
        </is>
      </c>
      <c r="D1150" t="inlineStr">
        <is>
          <t>Laundry</t>
        </is>
      </c>
      <c r="E1150" s="2" t="n">
        <v>45992</v>
      </c>
      <c r="F1150" s="2" t="n">
        <v>47087</v>
      </c>
      <c r="G1150" s="3" t="n">
        <v>5600</v>
      </c>
      <c r="H1150">
        <f>VLOOKUP(B1150,Units!$A$2:$G$1646,2,FALSE)</f>
        <v/>
      </c>
      <c r="I1150">
        <f>VLOOKUP(B1150,Units!$A$2:$G$1646,5,FALSE)</f>
        <v/>
      </c>
      <c r="J1150" s="3">
        <f>G1150/I1150</f>
        <v/>
      </c>
      <c r="K1150" s="3">
        <f>G1150*12</f>
        <v/>
      </c>
      <c r="L1150" s="3" t="n">
        <v>16800</v>
      </c>
    </row>
    <row r="1151">
      <c r="A1151" t="inlineStr">
        <is>
          <t>TA-2025-00715</t>
        </is>
      </c>
      <c r="B1151" t="inlineStr">
        <is>
          <t>U-CD120-01-06</t>
        </is>
      </c>
      <c r="C1151" t="inlineStr">
        <is>
          <t>Barakah Minimart Pte Ltd</t>
        </is>
      </c>
      <c r="D1151" t="inlineStr">
        <is>
          <t>Minimart</t>
        </is>
      </c>
      <c r="E1151" s="2" t="n">
        <v>45992</v>
      </c>
      <c r="F1151" s="2" t="n">
        <v>47087</v>
      </c>
      <c r="G1151" s="3" t="n">
        <v>4140</v>
      </c>
      <c r="H1151">
        <f>VLOOKUP(B1151,Units!$A$2:$G$1646,2,FALSE)</f>
        <v/>
      </c>
      <c r="I1151">
        <f>VLOOKUP(B1151,Units!$A$2:$G$1646,5,FALSE)</f>
        <v/>
      </c>
      <c r="J1151" s="3">
        <f>G1151/I1151</f>
        <v/>
      </c>
      <c r="K1151" s="3">
        <f>G1151*12</f>
        <v/>
      </c>
      <c r="L1151" s="3" t="n">
        <v>12420</v>
      </c>
    </row>
    <row r="1152">
      <c r="A1152" t="inlineStr">
        <is>
          <t>TA-2025-00717</t>
        </is>
      </c>
      <c r="B1152" t="inlineStr">
        <is>
          <t>U-CD135-01-01</t>
        </is>
      </c>
      <c r="C1152" t="inlineStr">
        <is>
          <t>Fresh Valley Provision Shop</t>
        </is>
      </c>
      <c r="D1152" t="inlineStr">
        <is>
          <t>Provision Shop</t>
        </is>
      </c>
      <c r="E1152" s="2" t="n">
        <v>45992</v>
      </c>
      <c r="F1152" s="2" t="n">
        <v>47087</v>
      </c>
      <c r="G1152" s="3" t="n">
        <v>2210</v>
      </c>
      <c r="H1152">
        <f>VLOOKUP(B1152,Units!$A$2:$G$1646,2,FALSE)</f>
        <v/>
      </c>
      <c r="I1152">
        <f>VLOOKUP(B1152,Units!$A$2:$G$1646,5,FALSE)</f>
        <v/>
      </c>
      <c r="J1152" s="3">
        <f>G1152/I1152</f>
        <v/>
      </c>
      <c r="K1152" s="3">
        <f>G1152*12</f>
        <v/>
      </c>
      <c r="L1152" s="3" t="n">
        <v>6630</v>
      </c>
    </row>
    <row r="1153">
      <c r="A1153" t="inlineStr">
        <is>
          <t>TA-2025-00718</t>
        </is>
      </c>
      <c r="B1153" t="inlineStr">
        <is>
          <t>U-CD142-01-08</t>
        </is>
      </c>
      <c r="C1153" t="inlineStr">
        <is>
          <t>Sejahtera Dental Care Pte Ltd</t>
        </is>
      </c>
      <c r="D1153" t="inlineStr">
        <is>
          <t>Dental Clinic</t>
        </is>
      </c>
      <c r="E1153" s="2" t="n">
        <v>45992</v>
      </c>
      <c r="F1153" s="2" t="n">
        <v>47087</v>
      </c>
      <c r="G1153" s="3" t="n">
        <v>4600</v>
      </c>
      <c r="H1153">
        <f>VLOOKUP(B1153,Units!$A$2:$G$1646,2,FALSE)</f>
        <v/>
      </c>
      <c r="I1153">
        <f>VLOOKUP(B1153,Units!$A$2:$G$1646,5,FALSE)</f>
        <v/>
      </c>
      <c r="J1153" s="3">
        <f>G1153/I1153</f>
        <v/>
      </c>
      <c r="K1153" s="3">
        <f>G1153*12</f>
        <v/>
      </c>
      <c r="L1153" s="3" t="n">
        <v>13800</v>
      </c>
    </row>
    <row r="1154">
      <c r="A1154" t="inlineStr">
        <is>
          <t>TA-2025-00719</t>
        </is>
      </c>
      <c r="B1154" t="inlineStr">
        <is>
          <t>U-CD165-01-02</t>
        </is>
      </c>
      <c r="C1154" t="inlineStr">
        <is>
          <t>Mei Ling Store Pte Ltd</t>
        </is>
      </c>
      <c r="D1154" t="inlineStr">
        <is>
          <t>Provision Shop</t>
        </is>
      </c>
      <c r="E1154" s="2" t="n">
        <v>45992</v>
      </c>
      <c r="F1154" s="2" t="n">
        <v>47087</v>
      </c>
      <c r="G1154" s="3" t="n">
        <v>2480</v>
      </c>
      <c r="H1154">
        <f>VLOOKUP(B1154,Units!$A$2:$G$1646,2,FALSE)</f>
        <v/>
      </c>
      <c r="I1154">
        <f>VLOOKUP(B1154,Units!$A$2:$G$1646,5,FALSE)</f>
        <v/>
      </c>
      <c r="J1154" s="3">
        <f>G1154/I1154</f>
        <v/>
      </c>
      <c r="K1154" s="3">
        <f>G1154*12</f>
        <v/>
      </c>
      <c r="L1154" s="3" t="n">
        <v>7440</v>
      </c>
    </row>
    <row r="1155">
      <c r="A1155" t="inlineStr">
        <is>
          <t>TA-2025-00721</t>
        </is>
      </c>
      <c r="B1155" t="inlineStr">
        <is>
          <t>U-CD173-02-02</t>
        </is>
      </c>
      <c r="C1155" t="inlineStr">
        <is>
          <t>Green Leaf Learning Centre</t>
        </is>
      </c>
      <c r="D1155" t="inlineStr">
        <is>
          <t>Tuition Centre</t>
        </is>
      </c>
      <c r="E1155" s="2" t="n">
        <v>45992</v>
      </c>
      <c r="F1155" s="2" t="n">
        <v>47087</v>
      </c>
      <c r="G1155" s="3" t="n">
        <v>3540</v>
      </c>
      <c r="H1155">
        <f>VLOOKUP(B1155,Units!$A$2:$G$1646,2,FALSE)</f>
        <v/>
      </c>
      <c r="I1155">
        <f>VLOOKUP(B1155,Units!$A$2:$G$1646,5,FALSE)</f>
        <v/>
      </c>
      <c r="J1155" s="3">
        <f>G1155/I1155</f>
        <v/>
      </c>
      <c r="K1155" s="3">
        <f>G1155*12</f>
        <v/>
      </c>
      <c r="L1155" s="3" t="n">
        <v>10620</v>
      </c>
    </row>
    <row r="1156">
      <c r="A1156" t="inlineStr">
        <is>
          <t>TA-2025-00722</t>
        </is>
      </c>
      <c r="B1156" t="inlineStr">
        <is>
          <t>U-CD189-01-02</t>
        </is>
      </c>
      <c r="C1156" t="inlineStr">
        <is>
          <t>Amanah Medical Clinic</t>
        </is>
      </c>
      <c r="D1156" t="inlineStr">
        <is>
          <t>GP Clinic</t>
        </is>
      </c>
      <c r="E1156" s="2" t="n">
        <v>45992</v>
      </c>
      <c r="F1156" s="2" t="n">
        <v>47087</v>
      </c>
      <c r="G1156" s="3" t="n">
        <v>2840</v>
      </c>
      <c r="H1156">
        <f>VLOOKUP(B1156,Units!$A$2:$G$1646,2,FALSE)</f>
        <v/>
      </c>
      <c r="I1156">
        <f>VLOOKUP(B1156,Units!$A$2:$G$1646,5,FALSE)</f>
        <v/>
      </c>
      <c r="J1156" s="3">
        <f>G1156/I1156</f>
        <v/>
      </c>
      <c r="K1156" s="3">
        <f>G1156*12</f>
        <v/>
      </c>
      <c r="L1156" s="3" t="n">
        <v>8520</v>
      </c>
    </row>
    <row r="1157">
      <c r="A1157" t="inlineStr">
        <is>
          <t>TA-2025-00723</t>
        </is>
      </c>
      <c r="B1157" t="inlineStr">
        <is>
          <t>U-CD190-01-06</t>
        </is>
      </c>
      <c r="C1157" t="inlineStr">
        <is>
          <t>Soon Hin Bookstore</t>
        </is>
      </c>
      <c r="D1157" t="inlineStr">
        <is>
          <t>Stationery &amp; Books</t>
        </is>
      </c>
      <c r="E1157" s="2" t="n">
        <v>45992</v>
      </c>
      <c r="F1157" s="2" t="n">
        <v>47087</v>
      </c>
      <c r="G1157" s="3" t="n">
        <v>6040</v>
      </c>
      <c r="H1157">
        <f>VLOOKUP(B1157,Units!$A$2:$G$1646,2,FALSE)</f>
        <v/>
      </c>
      <c r="I1157">
        <f>VLOOKUP(B1157,Units!$A$2:$G$1646,5,FALSE)</f>
        <v/>
      </c>
      <c r="J1157" s="3">
        <f>G1157/I1157</f>
        <v/>
      </c>
      <c r="K1157" s="3">
        <f>G1157*12</f>
        <v/>
      </c>
      <c r="L1157" s="3" t="n">
        <v>18120</v>
      </c>
    </row>
    <row r="1158">
      <c r="A1158" t="inlineStr">
        <is>
          <t>TA-2025-00725</t>
        </is>
      </c>
      <c r="B1158" t="inlineStr">
        <is>
          <t>U-KR318-01-11</t>
        </is>
      </c>
      <c r="C1158" t="inlineStr">
        <is>
          <t>Murugan Money Changer</t>
        </is>
      </c>
      <c r="D1158" t="inlineStr">
        <is>
          <t>Remittance &amp; Money Changer</t>
        </is>
      </c>
      <c r="E1158" s="2" t="n">
        <v>45992</v>
      </c>
      <c r="F1158" s="2" t="n">
        <v>47087</v>
      </c>
      <c r="G1158" s="3" t="n">
        <v>4740</v>
      </c>
      <c r="H1158">
        <f>VLOOKUP(B1158,Units!$A$2:$G$1646,2,FALSE)</f>
        <v/>
      </c>
      <c r="I1158">
        <f>VLOOKUP(B1158,Units!$A$2:$G$1646,5,FALSE)</f>
        <v/>
      </c>
      <c r="J1158" s="3">
        <f>G1158/I1158</f>
        <v/>
      </c>
      <c r="K1158" s="3">
        <f>G1158*12</f>
        <v/>
      </c>
      <c r="L1158" s="3" t="n">
        <v>14220</v>
      </c>
    </row>
    <row r="1159">
      <c r="A1159" t="inlineStr">
        <is>
          <t>TA-2025-00726</t>
        </is>
      </c>
      <c r="B1159" t="inlineStr">
        <is>
          <t>U-KR327-01-03</t>
        </is>
      </c>
      <c r="C1159" t="inlineStr">
        <is>
          <t>Fortune Supermarket</t>
        </is>
      </c>
      <c r="D1159" t="inlineStr">
        <is>
          <t>Minimart</t>
        </is>
      </c>
      <c r="E1159" s="2" t="n">
        <v>45992</v>
      </c>
      <c r="F1159" s="2" t="n">
        <v>47087</v>
      </c>
      <c r="G1159" s="3" t="n">
        <v>5800</v>
      </c>
      <c r="H1159">
        <f>VLOOKUP(B1159,Units!$A$2:$G$1646,2,FALSE)</f>
        <v/>
      </c>
      <c r="I1159">
        <f>VLOOKUP(B1159,Units!$A$2:$G$1646,5,FALSE)</f>
        <v/>
      </c>
      <c r="J1159" s="3">
        <f>G1159/I1159</f>
        <v/>
      </c>
      <c r="K1159" s="3">
        <f>G1159*12</f>
        <v/>
      </c>
      <c r="L1159" s="3" t="n">
        <v>17400</v>
      </c>
    </row>
    <row r="1160">
      <c r="A1160" t="inlineStr">
        <is>
          <t>TA-2025-00728</t>
        </is>
      </c>
      <c r="B1160" t="inlineStr">
        <is>
          <t>U-KR341-02-02</t>
        </is>
      </c>
      <c r="C1160" t="inlineStr">
        <is>
          <t>Kim Hiap Tuition Centre</t>
        </is>
      </c>
      <c r="D1160" t="inlineStr">
        <is>
          <t>Tuition Centre</t>
        </is>
      </c>
      <c r="E1160" s="2" t="n">
        <v>45992</v>
      </c>
      <c r="F1160" s="2" t="n">
        <v>47087</v>
      </c>
      <c r="G1160" s="3" t="n">
        <v>1320</v>
      </c>
      <c r="H1160">
        <f>VLOOKUP(B1160,Units!$A$2:$G$1646,2,FALSE)</f>
        <v/>
      </c>
      <c r="I1160">
        <f>VLOOKUP(B1160,Units!$A$2:$G$1646,5,FALSE)</f>
        <v/>
      </c>
      <c r="J1160" s="3">
        <f>G1160/I1160</f>
        <v/>
      </c>
      <c r="K1160" s="3">
        <f>G1160*12</f>
        <v/>
      </c>
      <c r="L1160" s="3" t="n">
        <v>3960</v>
      </c>
    </row>
    <row r="1161">
      <c r="A1161" t="inlineStr">
        <is>
          <t>TA-2025-00730</t>
        </is>
      </c>
      <c r="B1161" t="inlineStr">
        <is>
          <t>U-KR356-01-10</t>
        </is>
      </c>
      <c r="C1161" t="inlineStr">
        <is>
          <t>Swee Heng Bubble Tea Pte Ltd</t>
        </is>
      </c>
      <c r="D1161" t="inlineStr">
        <is>
          <t>Bubble Tea</t>
        </is>
      </c>
      <c r="E1161" s="2" t="n">
        <v>45992</v>
      </c>
      <c r="F1161" s="2" t="n">
        <v>47087</v>
      </c>
      <c r="G1161" s="3" t="n">
        <v>3980</v>
      </c>
      <c r="H1161">
        <f>VLOOKUP(B1161,Units!$A$2:$G$1646,2,FALSE)</f>
        <v/>
      </c>
      <c r="I1161">
        <f>VLOOKUP(B1161,Units!$A$2:$G$1646,5,FALSE)</f>
        <v/>
      </c>
      <c r="J1161" s="3">
        <f>G1161/I1161</f>
        <v/>
      </c>
      <c r="K1161" s="3">
        <f>G1161*12</f>
        <v/>
      </c>
      <c r="L1161" s="3" t="n">
        <v>11940</v>
      </c>
    </row>
    <row r="1162">
      <c r="A1162" t="inlineStr">
        <is>
          <t>TA-2025-00731</t>
        </is>
      </c>
      <c r="B1162" t="inlineStr">
        <is>
          <t>U-PI605-01-05</t>
        </is>
      </c>
      <c r="C1162" t="inlineStr">
        <is>
          <t>Barakah Fruit Trading</t>
        </is>
      </c>
      <c r="D1162" t="inlineStr">
        <is>
          <t>Fruit Shop</t>
        </is>
      </c>
      <c r="E1162" s="2" t="n">
        <v>45992</v>
      </c>
      <c r="F1162" s="2" t="n">
        <v>47087</v>
      </c>
      <c r="G1162" s="3" t="n">
        <v>2550</v>
      </c>
      <c r="H1162">
        <f>VLOOKUP(B1162,Units!$A$2:$G$1646,2,FALSE)</f>
        <v/>
      </c>
      <c r="I1162">
        <f>VLOOKUP(B1162,Units!$A$2:$G$1646,5,FALSE)</f>
        <v/>
      </c>
      <c r="J1162" s="3">
        <f>G1162/I1162</f>
        <v/>
      </c>
      <c r="K1162" s="3">
        <f>G1162*12</f>
        <v/>
      </c>
      <c r="L1162" s="3" t="n">
        <v>7650</v>
      </c>
    </row>
    <row r="1163">
      <c r="A1163" t="inlineStr">
        <is>
          <t>TA-2025-00732</t>
        </is>
      </c>
      <c r="B1163" t="inlineStr">
        <is>
          <t>U-PI606-02-06</t>
        </is>
      </c>
      <c r="C1163" t="inlineStr">
        <is>
          <t>Orchid Clinic &amp; Surgery Pte Ltd</t>
        </is>
      </c>
      <c r="D1163" t="inlineStr">
        <is>
          <t>GP Clinic</t>
        </is>
      </c>
      <c r="E1163" s="2" t="n">
        <v>45992</v>
      </c>
      <c r="F1163" s="2" t="n">
        <v>47087</v>
      </c>
      <c r="G1163" s="3" t="n">
        <v>1450</v>
      </c>
      <c r="H1163">
        <f>VLOOKUP(B1163,Units!$A$2:$G$1646,2,FALSE)</f>
        <v/>
      </c>
      <c r="I1163">
        <f>VLOOKUP(B1163,Units!$A$2:$G$1646,5,FALSE)</f>
        <v/>
      </c>
      <c r="J1163" s="3">
        <f>G1163/I1163</f>
        <v/>
      </c>
      <c r="K1163" s="3">
        <f>G1163*12</f>
        <v/>
      </c>
      <c r="L1163" s="3" t="n">
        <v>4350</v>
      </c>
    </row>
    <row r="1164">
      <c r="A1164" t="inlineStr">
        <is>
          <t>TA-2025-00734</t>
        </is>
      </c>
      <c r="B1164" t="inlineStr">
        <is>
          <t>U-PI615-01-11</t>
        </is>
      </c>
      <c r="C1164" t="inlineStr">
        <is>
          <t>Mei Ling Education Hub</t>
        </is>
      </c>
      <c r="D1164" t="inlineStr">
        <is>
          <t>Tuition Centre</t>
        </is>
      </c>
      <c r="E1164" s="2" t="n">
        <v>45992</v>
      </c>
      <c r="F1164" s="2" t="n">
        <v>47087</v>
      </c>
      <c r="G1164" s="3" t="n">
        <v>2000</v>
      </c>
      <c r="H1164">
        <f>VLOOKUP(B1164,Units!$A$2:$G$1646,2,FALSE)</f>
        <v/>
      </c>
      <c r="I1164">
        <f>VLOOKUP(B1164,Units!$A$2:$G$1646,5,FALSE)</f>
        <v/>
      </c>
      <c r="J1164" s="3">
        <f>G1164/I1164</f>
        <v/>
      </c>
      <c r="K1164" s="3">
        <f>G1164*12</f>
        <v/>
      </c>
      <c r="L1164" s="3" t="n">
        <v>6000</v>
      </c>
    </row>
    <row r="1165">
      <c r="A1165" t="inlineStr">
        <is>
          <t>TA-2025-00735</t>
        </is>
      </c>
      <c r="B1165" t="inlineStr">
        <is>
          <t>U-PI615-01-13</t>
        </is>
      </c>
      <c r="C1165" t="inlineStr">
        <is>
          <t>Sri Ganesh Eating Place</t>
        </is>
      </c>
      <c r="D1165" t="inlineStr">
        <is>
          <t>Restaurant</t>
        </is>
      </c>
      <c r="E1165" s="2" t="n">
        <v>45992</v>
      </c>
      <c r="F1165" s="2" t="n">
        <v>47087</v>
      </c>
      <c r="G1165" s="3" t="n">
        <v>3680</v>
      </c>
      <c r="H1165">
        <f>VLOOKUP(B1165,Units!$A$2:$G$1646,2,FALSE)</f>
        <v/>
      </c>
      <c r="I1165">
        <f>VLOOKUP(B1165,Units!$A$2:$G$1646,5,FALSE)</f>
        <v/>
      </c>
      <c r="J1165" s="3">
        <f>G1165/I1165</f>
        <v/>
      </c>
      <c r="K1165" s="3">
        <f>G1165*12</f>
        <v/>
      </c>
      <c r="L1165" s="3" t="n">
        <v>11040</v>
      </c>
    </row>
    <row r="1166">
      <c r="A1166" t="inlineStr">
        <is>
          <t>TA-2025-00737</t>
        </is>
      </c>
      <c r="B1166" t="inlineStr">
        <is>
          <t>U-PI626-01-05</t>
        </is>
      </c>
      <c r="C1166" t="inlineStr">
        <is>
          <t>Bloom Confectionery Pte Ltd</t>
        </is>
      </c>
      <c r="D1166" t="inlineStr">
        <is>
          <t>Bakery &amp; Confectionery</t>
        </is>
      </c>
      <c r="E1166" s="2" t="n">
        <v>45992</v>
      </c>
      <c r="F1166" s="2" t="n">
        <v>47087</v>
      </c>
      <c r="G1166" s="3" t="n">
        <v>2160</v>
      </c>
      <c r="H1166">
        <f>VLOOKUP(B1166,Units!$A$2:$G$1646,2,FALSE)</f>
        <v/>
      </c>
      <c r="I1166">
        <f>VLOOKUP(B1166,Units!$A$2:$G$1646,5,FALSE)</f>
        <v/>
      </c>
      <c r="J1166" s="3">
        <f>G1166/I1166</f>
        <v/>
      </c>
      <c r="K1166" s="3">
        <f>G1166*12</f>
        <v/>
      </c>
      <c r="L1166" s="3" t="n">
        <v>6480</v>
      </c>
    </row>
    <row r="1167">
      <c r="A1167" t="inlineStr">
        <is>
          <t>TA-2025-00739</t>
        </is>
      </c>
      <c r="B1167" t="inlineStr">
        <is>
          <t>U-PI668-01-01</t>
        </is>
      </c>
      <c r="C1167" t="inlineStr">
        <is>
          <t>Fortune Coffeeshop</t>
        </is>
      </c>
      <c r="D1167" t="inlineStr">
        <is>
          <t>Coffeeshop</t>
        </is>
      </c>
      <c r="E1167" s="2" t="n">
        <v>45992</v>
      </c>
      <c r="F1167" s="2" t="n">
        <v>47087</v>
      </c>
      <c r="G1167" s="3" t="n">
        <v>12540</v>
      </c>
      <c r="H1167">
        <f>VLOOKUP(B1167,Units!$A$2:$G$1646,2,FALSE)</f>
        <v/>
      </c>
      <c r="I1167">
        <f>VLOOKUP(B1167,Units!$A$2:$G$1646,5,FALSE)</f>
        <v/>
      </c>
      <c r="J1167" s="3">
        <f>G1167/I1167</f>
        <v/>
      </c>
      <c r="K1167" s="3">
        <f>G1167*12</f>
        <v/>
      </c>
      <c r="L1167" s="3" t="n">
        <v>37620</v>
      </c>
    </row>
    <row r="1168">
      <c r="A1168" t="inlineStr">
        <is>
          <t>TA-2025-00740</t>
        </is>
      </c>
      <c r="B1168" t="inlineStr">
        <is>
          <t>U-RH401-01-03</t>
        </is>
      </c>
      <c r="C1168" t="inlineStr">
        <is>
          <t>Ananda Florist</t>
        </is>
      </c>
      <c r="D1168" t="inlineStr">
        <is>
          <t>Florist</t>
        </is>
      </c>
      <c r="E1168" s="2" t="n">
        <v>45992</v>
      </c>
      <c r="F1168" s="2" t="n">
        <v>47087</v>
      </c>
      <c r="G1168" s="3" t="n">
        <v>4160</v>
      </c>
      <c r="H1168">
        <f>VLOOKUP(B1168,Units!$A$2:$G$1646,2,FALSE)</f>
        <v/>
      </c>
      <c r="I1168">
        <f>VLOOKUP(B1168,Units!$A$2:$G$1646,5,FALSE)</f>
        <v/>
      </c>
      <c r="J1168" s="3">
        <f>G1168/I1168</f>
        <v/>
      </c>
      <c r="K1168" s="3">
        <f>G1168*12</f>
        <v/>
      </c>
      <c r="L1168" s="3" t="n">
        <v>12480</v>
      </c>
    </row>
    <row r="1169">
      <c r="A1169" t="inlineStr">
        <is>
          <t>TA-2025-00742</t>
        </is>
      </c>
      <c r="B1169" t="inlineStr">
        <is>
          <t>U-RH407-01-04</t>
        </is>
      </c>
      <c r="C1169" t="inlineStr">
        <is>
          <t>Kim Hiap Florist</t>
        </is>
      </c>
      <c r="D1169" t="inlineStr">
        <is>
          <t>Florist</t>
        </is>
      </c>
      <c r="E1169" s="2" t="n">
        <v>45992</v>
      </c>
      <c r="F1169" s="2" t="n">
        <v>47087</v>
      </c>
      <c r="G1169" s="3" t="n">
        <v>3460</v>
      </c>
      <c r="H1169">
        <f>VLOOKUP(B1169,Units!$A$2:$G$1646,2,FALSE)</f>
        <v/>
      </c>
      <c r="I1169">
        <f>VLOOKUP(B1169,Units!$A$2:$G$1646,5,FALSE)</f>
        <v/>
      </c>
      <c r="J1169" s="3">
        <f>G1169/I1169</f>
        <v/>
      </c>
      <c r="K1169" s="3">
        <f>G1169*12</f>
        <v/>
      </c>
      <c r="L1169" s="3" t="n">
        <v>10380</v>
      </c>
    </row>
    <row r="1170">
      <c r="A1170" t="inlineStr">
        <is>
          <t>TA-2025-00744</t>
        </is>
      </c>
      <c r="B1170" t="inlineStr">
        <is>
          <t>U-RH408-02-03</t>
        </is>
      </c>
      <c r="C1170" t="inlineStr">
        <is>
          <t>Amanah TCM Clinic Pte Ltd</t>
        </is>
      </c>
      <c r="D1170" t="inlineStr">
        <is>
          <t>TCM Clinic</t>
        </is>
      </c>
      <c r="E1170" s="2" t="n">
        <v>45992</v>
      </c>
      <c r="F1170" s="2" t="n">
        <v>47087</v>
      </c>
      <c r="G1170" s="3" t="n">
        <v>1450</v>
      </c>
      <c r="H1170">
        <f>VLOOKUP(B1170,Units!$A$2:$G$1646,2,FALSE)</f>
        <v/>
      </c>
      <c r="I1170">
        <f>VLOOKUP(B1170,Units!$A$2:$G$1646,5,FALSE)</f>
        <v/>
      </c>
      <c r="J1170" s="3">
        <f>G1170/I1170</f>
        <v/>
      </c>
      <c r="K1170" s="3">
        <f>G1170*12</f>
        <v/>
      </c>
      <c r="L1170" s="3" t="n">
        <v>4350</v>
      </c>
    </row>
    <row r="1171">
      <c r="A1171" t="inlineStr">
        <is>
          <t>TA-2025-00746</t>
        </is>
      </c>
      <c r="B1171" t="inlineStr">
        <is>
          <t>U-RH425-01-08</t>
        </is>
      </c>
      <c r="C1171" t="inlineStr">
        <is>
          <t>Al-Ameen Tuition Centre</t>
        </is>
      </c>
      <c r="D1171" t="inlineStr">
        <is>
          <t>Tuition Centre</t>
        </is>
      </c>
      <c r="E1171" s="2" t="n">
        <v>45992</v>
      </c>
      <c r="F1171" s="2" t="n">
        <v>47087</v>
      </c>
      <c r="G1171" s="3" t="n">
        <v>4080</v>
      </c>
      <c r="H1171">
        <f>VLOOKUP(B1171,Units!$A$2:$G$1646,2,FALSE)</f>
        <v/>
      </c>
      <c r="I1171">
        <f>VLOOKUP(B1171,Units!$A$2:$G$1646,5,FALSE)</f>
        <v/>
      </c>
      <c r="J1171" s="3">
        <f>G1171/I1171</f>
        <v/>
      </c>
      <c r="K1171" s="3">
        <f>G1171*12</f>
        <v/>
      </c>
      <c r="L1171" s="3" t="n">
        <v>12240</v>
      </c>
    </row>
    <row r="1172">
      <c r="A1172" t="inlineStr">
        <is>
          <t>TA-2025-00748</t>
        </is>
      </c>
      <c r="B1172" t="inlineStr">
        <is>
          <t>U-RH455-01-05</t>
        </is>
      </c>
      <c r="C1172" t="inlineStr">
        <is>
          <t>Tian Fu Dry Cleaners Pte Ltd</t>
        </is>
      </c>
      <c r="D1172" t="inlineStr">
        <is>
          <t>Laundry</t>
        </is>
      </c>
      <c r="E1172" s="2" t="n">
        <v>45992</v>
      </c>
      <c r="F1172" s="2" t="n">
        <v>47087</v>
      </c>
      <c r="G1172" s="3" t="n">
        <v>2760</v>
      </c>
      <c r="H1172">
        <f>VLOOKUP(B1172,Units!$A$2:$G$1646,2,FALSE)</f>
        <v/>
      </c>
      <c r="I1172">
        <f>VLOOKUP(B1172,Units!$A$2:$G$1646,5,FALSE)</f>
        <v/>
      </c>
      <c r="J1172" s="3">
        <f>G1172/I1172</f>
        <v/>
      </c>
      <c r="K1172" s="3">
        <f>G1172*12</f>
        <v/>
      </c>
      <c r="L1172" s="3" t="n">
        <v>8280</v>
      </c>
    </row>
    <row r="1173">
      <c r="A1173" t="inlineStr">
        <is>
          <t>TA-2025-00750</t>
        </is>
      </c>
      <c r="B1173" t="inlineStr">
        <is>
          <t>U-RH463-01-10</t>
        </is>
      </c>
      <c r="C1173" t="inlineStr">
        <is>
          <t>Red Lantern Fruit Trading</t>
        </is>
      </c>
      <c r="D1173" t="inlineStr">
        <is>
          <t>Fruit Shop</t>
        </is>
      </c>
      <c r="E1173" s="2" t="n">
        <v>45992</v>
      </c>
      <c r="F1173" s="2" t="n">
        <v>47087</v>
      </c>
      <c r="G1173" s="3" t="n">
        <v>1090</v>
      </c>
      <c r="H1173">
        <f>VLOOKUP(B1173,Units!$A$2:$G$1646,2,FALSE)</f>
        <v/>
      </c>
      <c r="I1173">
        <f>VLOOKUP(B1173,Units!$A$2:$G$1646,5,FALSE)</f>
        <v/>
      </c>
      <c r="J1173" s="3">
        <f>G1173/I1173</f>
        <v/>
      </c>
      <c r="K1173" s="3">
        <f>G1173*12</f>
        <v/>
      </c>
      <c r="L1173" s="3" t="n">
        <v>3270</v>
      </c>
    </row>
    <row r="1174">
      <c r="A1174" t="inlineStr">
        <is>
          <t>TA-2025-00751</t>
        </is>
      </c>
      <c r="B1174" t="inlineStr">
        <is>
          <t>U-RH471-01-04</t>
        </is>
      </c>
      <c r="C1174" t="inlineStr">
        <is>
          <t>Hometown Dental Surgery Pte Ltd</t>
        </is>
      </c>
      <c r="D1174" t="inlineStr">
        <is>
          <t>Dental Clinic</t>
        </is>
      </c>
      <c r="E1174" s="2" t="n">
        <v>45992</v>
      </c>
      <c r="F1174" s="2" t="n">
        <v>47087</v>
      </c>
      <c r="G1174" s="3" t="n">
        <v>2480</v>
      </c>
      <c r="H1174">
        <f>VLOOKUP(B1174,Units!$A$2:$G$1646,2,FALSE)</f>
        <v/>
      </c>
      <c r="I1174">
        <f>VLOOKUP(B1174,Units!$A$2:$G$1646,5,FALSE)</f>
        <v/>
      </c>
      <c r="J1174" s="3">
        <f>G1174/I1174</f>
        <v/>
      </c>
      <c r="K1174" s="3">
        <f>G1174*12</f>
        <v/>
      </c>
      <c r="L1174" s="3" t="n">
        <v>7440</v>
      </c>
    </row>
    <row r="1175">
      <c r="A1175" t="inlineStr">
        <is>
          <t>TA-2025-00753</t>
        </is>
      </c>
      <c r="B1175" t="inlineStr">
        <is>
          <t>U-RH485-01-05</t>
        </is>
      </c>
      <c r="C1175" t="inlineStr">
        <is>
          <t>Harmony Bakery</t>
        </is>
      </c>
      <c r="D1175" t="inlineStr">
        <is>
          <t>Bakery &amp; Confectionery</t>
        </is>
      </c>
      <c r="E1175" s="2" t="n">
        <v>45992</v>
      </c>
      <c r="F1175" s="2" t="n">
        <v>47087</v>
      </c>
      <c r="G1175" s="3" t="n">
        <v>4160</v>
      </c>
      <c r="H1175">
        <f>VLOOKUP(B1175,Units!$A$2:$G$1646,2,FALSE)</f>
        <v/>
      </c>
      <c r="I1175">
        <f>VLOOKUP(B1175,Units!$A$2:$G$1646,5,FALSE)</f>
        <v/>
      </c>
      <c r="J1175" s="3">
        <f>G1175/I1175</f>
        <v/>
      </c>
      <c r="K1175" s="3">
        <f>G1175*12</f>
        <v/>
      </c>
      <c r="L1175" s="3" t="n">
        <v>12480</v>
      </c>
    </row>
    <row r="1176">
      <c r="A1176" t="inlineStr">
        <is>
          <t>TA-2025-00755</t>
        </is>
      </c>
      <c r="B1176" t="inlineStr">
        <is>
          <t>U-RH486-01-05</t>
        </is>
      </c>
      <c r="C1176" t="inlineStr">
        <is>
          <t>Cosy Eating Place Pte Ltd</t>
        </is>
      </c>
      <c r="D1176" t="inlineStr">
        <is>
          <t>Restaurant</t>
        </is>
      </c>
      <c r="E1176" s="2" t="n">
        <v>45992</v>
      </c>
      <c r="F1176" s="2" t="n">
        <v>47087</v>
      </c>
      <c r="G1176" s="3" t="n">
        <v>3720</v>
      </c>
      <c r="H1176">
        <f>VLOOKUP(B1176,Units!$A$2:$G$1646,2,FALSE)</f>
        <v/>
      </c>
      <c r="I1176">
        <f>VLOOKUP(B1176,Units!$A$2:$G$1646,5,FALSE)</f>
        <v/>
      </c>
      <c r="J1176" s="3">
        <f>G1176/I1176</f>
        <v/>
      </c>
      <c r="K1176" s="3">
        <f>G1176*12</f>
        <v/>
      </c>
      <c r="L1176" s="3" t="n">
        <v>11160</v>
      </c>
    </row>
    <row r="1177">
      <c r="A1177" t="inlineStr">
        <is>
          <t>TA-2025-00756</t>
        </is>
      </c>
      <c r="B1177" t="inlineStr">
        <is>
          <t>U-RH491-02-08</t>
        </is>
      </c>
      <c r="C1177" t="inlineStr">
        <is>
          <t>Kampung Agency Pte Ltd</t>
        </is>
      </c>
      <c r="D1177" t="inlineStr">
        <is>
          <t>Professional Services Office</t>
        </is>
      </c>
      <c r="E1177" s="2" t="n">
        <v>45992</v>
      </c>
      <c r="F1177" s="2" t="n">
        <v>47087</v>
      </c>
      <c r="G1177" s="3" t="n">
        <v>2590</v>
      </c>
      <c r="H1177">
        <f>VLOOKUP(B1177,Units!$A$2:$G$1646,2,FALSE)</f>
        <v/>
      </c>
      <c r="I1177">
        <f>VLOOKUP(B1177,Units!$A$2:$G$1646,5,FALSE)</f>
        <v/>
      </c>
      <c r="J1177" s="3">
        <f>G1177/I1177</f>
        <v/>
      </c>
      <c r="K1177" s="3">
        <f>G1177*12</f>
        <v/>
      </c>
      <c r="L1177" s="3" t="n">
        <v>7770</v>
      </c>
    </row>
    <row r="1178">
      <c r="A1178" t="inlineStr">
        <is>
          <t>TA-2025-00758</t>
        </is>
      </c>
      <c r="B1178" t="inlineStr">
        <is>
          <t>U-ST501-01-03</t>
        </is>
      </c>
      <c r="C1178" t="inlineStr">
        <is>
          <t>PrimeValue Mart Pte Ltd</t>
        </is>
      </c>
      <c r="D1178" t="inlineStr">
        <is>
          <t>Minimart</t>
        </is>
      </c>
      <c r="E1178" s="2" t="n">
        <v>45992</v>
      </c>
      <c r="F1178" s="2" t="n">
        <v>47087</v>
      </c>
      <c r="G1178" s="3" t="n">
        <v>4220</v>
      </c>
      <c r="H1178">
        <f>VLOOKUP(B1178,Units!$A$2:$G$1646,2,FALSE)</f>
        <v/>
      </c>
      <c r="I1178">
        <f>VLOOKUP(B1178,Units!$A$2:$G$1646,5,FALSE)</f>
        <v/>
      </c>
      <c r="J1178" s="3">
        <f>G1178/I1178</f>
        <v/>
      </c>
      <c r="K1178" s="3">
        <f>G1178*12</f>
        <v/>
      </c>
      <c r="L1178" s="3" t="n">
        <v>12660</v>
      </c>
    </row>
    <row r="1179">
      <c r="A1179" t="inlineStr">
        <is>
          <t>TA-2025-00759</t>
        </is>
      </c>
      <c r="B1179" t="inlineStr">
        <is>
          <t>U-ST507-01-02</t>
        </is>
      </c>
      <c r="C1179" t="inlineStr">
        <is>
          <t>Sejahtera Hair Salon</t>
        </is>
      </c>
      <c r="D1179" t="inlineStr">
        <is>
          <t>Hair Salon</t>
        </is>
      </c>
      <c r="E1179" s="2" t="n">
        <v>45992</v>
      </c>
      <c r="F1179" s="2" t="n">
        <v>47087</v>
      </c>
      <c r="G1179" s="3" t="n">
        <v>2510</v>
      </c>
      <c r="H1179">
        <f>VLOOKUP(B1179,Units!$A$2:$G$1646,2,FALSE)</f>
        <v/>
      </c>
      <c r="I1179">
        <f>VLOOKUP(B1179,Units!$A$2:$G$1646,5,FALSE)</f>
        <v/>
      </c>
      <c r="J1179" s="3">
        <f>G1179/I1179</f>
        <v/>
      </c>
      <c r="K1179" s="3">
        <f>G1179*12</f>
        <v/>
      </c>
      <c r="L1179" s="3" t="n">
        <v>7530</v>
      </c>
    </row>
    <row r="1180">
      <c r="A1180" t="inlineStr">
        <is>
          <t>TA-2025-00760</t>
        </is>
      </c>
      <c r="B1180" t="inlineStr">
        <is>
          <t>U-ST564-01-06</t>
        </is>
      </c>
      <c r="C1180" t="inlineStr">
        <is>
          <t>Little Sprouts Florist</t>
        </is>
      </c>
      <c r="D1180" t="inlineStr">
        <is>
          <t>Florist</t>
        </is>
      </c>
      <c r="E1180" s="2" t="n">
        <v>45992</v>
      </c>
      <c r="F1180" s="2" t="n">
        <v>47087</v>
      </c>
      <c r="G1180" s="3" t="n">
        <v>1500</v>
      </c>
      <c r="H1180">
        <f>VLOOKUP(B1180,Units!$A$2:$G$1646,2,FALSE)</f>
        <v/>
      </c>
      <c r="I1180">
        <f>VLOOKUP(B1180,Units!$A$2:$G$1646,5,FALSE)</f>
        <v/>
      </c>
      <c r="J1180" s="3">
        <f>G1180/I1180</f>
        <v/>
      </c>
      <c r="K1180" s="3">
        <f>G1180*12</f>
        <v/>
      </c>
      <c r="L1180" s="3" t="n">
        <v>4500</v>
      </c>
    </row>
    <row r="1181">
      <c r="A1181" t="inlineStr">
        <is>
          <t>TA-2025-00761</t>
        </is>
      </c>
      <c r="B1181" t="inlineStr">
        <is>
          <t>U-ST593-01-03</t>
        </is>
      </c>
      <c r="C1181" t="inlineStr">
        <is>
          <t>Siva Minimart</t>
        </is>
      </c>
      <c r="D1181" t="inlineStr">
        <is>
          <t>Minimart</t>
        </is>
      </c>
      <c r="E1181" s="2" t="n">
        <v>45992</v>
      </c>
      <c r="F1181" s="2" t="n">
        <v>47087</v>
      </c>
      <c r="G1181" s="3" t="n">
        <v>3050</v>
      </c>
      <c r="H1181">
        <f>VLOOKUP(B1181,Units!$A$2:$G$1646,2,FALSE)</f>
        <v/>
      </c>
      <c r="I1181">
        <f>VLOOKUP(B1181,Units!$A$2:$G$1646,5,FALSE)</f>
        <v/>
      </c>
      <c r="J1181" s="3">
        <f>G1181/I1181</f>
        <v/>
      </c>
      <c r="K1181" s="3">
        <f>G1181*12</f>
        <v/>
      </c>
      <c r="L1181" s="3" t="n">
        <v>9150</v>
      </c>
    </row>
    <row r="1182">
      <c r="A1182" t="inlineStr">
        <is>
          <t>TA-2026-00001</t>
        </is>
      </c>
      <c r="B1182" t="inlineStr">
        <is>
          <t>U-BV214-01-11</t>
        </is>
      </c>
      <c r="C1182" t="inlineStr">
        <is>
          <t>Gold Coin Telecom</t>
        </is>
      </c>
      <c r="D1182" t="inlineStr">
        <is>
          <t>Mobile Phone &amp; Accessories</t>
        </is>
      </c>
      <c r="E1182" s="2" t="n">
        <v>46023</v>
      </c>
      <c r="F1182" s="2" t="n">
        <v>47118</v>
      </c>
      <c r="G1182" s="3" t="n">
        <v>1820</v>
      </c>
      <c r="H1182">
        <f>VLOOKUP(B1182,Units!$A$2:$G$1646,2,FALSE)</f>
        <v/>
      </c>
      <c r="I1182">
        <f>VLOOKUP(B1182,Units!$A$2:$G$1646,5,FALSE)</f>
        <v/>
      </c>
      <c r="J1182" s="3">
        <f>G1182/I1182</f>
        <v/>
      </c>
      <c r="K1182" s="3">
        <f>G1182*12</f>
        <v/>
      </c>
      <c r="L1182" s="3" t="n">
        <v>5460</v>
      </c>
    </row>
    <row r="1183">
      <c r="A1183" t="inlineStr">
        <is>
          <t>TA-2026-00003</t>
        </is>
      </c>
      <c r="B1183" t="inlineStr">
        <is>
          <t>U-BV215-01-03</t>
        </is>
      </c>
      <c r="C1183" t="inlineStr">
        <is>
          <t>Orchid Eye Centre Pte Ltd</t>
        </is>
      </c>
      <c r="D1183" t="inlineStr">
        <is>
          <t>Optical</t>
        </is>
      </c>
      <c r="E1183" s="2" t="n">
        <v>46023</v>
      </c>
      <c r="F1183" s="2" t="n">
        <v>47118</v>
      </c>
      <c r="G1183" s="3" t="n">
        <v>2690</v>
      </c>
      <c r="H1183">
        <f>VLOOKUP(B1183,Units!$A$2:$G$1646,2,FALSE)</f>
        <v/>
      </c>
      <c r="I1183">
        <f>VLOOKUP(B1183,Units!$A$2:$G$1646,5,FALSE)</f>
        <v/>
      </c>
      <c r="J1183" s="3">
        <f>G1183/I1183</f>
        <v/>
      </c>
      <c r="K1183" s="3">
        <f>G1183*12</f>
        <v/>
      </c>
      <c r="L1183" s="3" t="n">
        <v>8070</v>
      </c>
    </row>
    <row r="1184">
      <c r="A1184" t="inlineStr">
        <is>
          <t>TA-2026-00005</t>
        </is>
      </c>
      <c r="B1184" t="inlineStr">
        <is>
          <t>U-BV215-01-11</t>
        </is>
      </c>
      <c r="C1184" t="inlineStr">
        <is>
          <t>Hassan Dry Cleaners Pte Ltd</t>
        </is>
      </c>
      <c r="D1184" t="inlineStr">
        <is>
          <t>Laundry</t>
        </is>
      </c>
      <c r="E1184" s="2" t="n">
        <v>46023</v>
      </c>
      <c r="F1184" s="2" t="n">
        <v>47118</v>
      </c>
      <c r="G1184" s="3" t="n">
        <v>3960</v>
      </c>
      <c r="H1184">
        <f>VLOOKUP(B1184,Units!$A$2:$G$1646,2,FALSE)</f>
        <v/>
      </c>
      <c r="I1184">
        <f>VLOOKUP(B1184,Units!$A$2:$G$1646,5,FALSE)</f>
        <v/>
      </c>
      <c r="J1184" s="3">
        <f>G1184/I1184</f>
        <v/>
      </c>
      <c r="K1184" s="3">
        <f>G1184*12</f>
        <v/>
      </c>
      <c r="L1184" s="3" t="n">
        <v>11880</v>
      </c>
    </row>
    <row r="1185">
      <c r="A1185" t="inlineStr">
        <is>
          <t>TA-2026-00006</t>
        </is>
      </c>
      <c r="B1185" t="inlineStr">
        <is>
          <t>U-BV216-01-07</t>
        </is>
      </c>
      <c r="C1185" t="inlineStr">
        <is>
          <t>Hock Lee Medical Supplies Pte Ltd</t>
        </is>
      </c>
      <c r="D1185" t="inlineStr">
        <is>
          <t>Pharmacy</t>
        </is>
      </c>
      <c r="E1185" s="2" t="n">
        <v>46023</v>
      </c>
      <c r="F1185" s="2" t="n">
        <v>47118</v>
      </c>
      <c r="G1185" s="3" t="n">
        <v>3990</v>
      </c>
      <c r="H1185">
        <f>VLOOKUP(B1185,Units!$A$2:$G$1646,2,FALSE)</f>
        <v/>
      </c>
      <c r="I1185">
        <f>VLOOKUP(B1185,Units!$A$2:$G$1646,5,FALSE)</f>
        <v/>
      </c>
      <c r="J1185" s="3">
        <f>G1185/I1185</f>
        <v/>
      </c>
      <c r="K1185" s="3">
        <f>G1185*12</f>
        <v/>
      </c>
      <c r="L1185" s="3" t="n">
        <v>11970</v>
      </c>
    </row>
    <row r="1186">
      <c r="A1186" t="inlineStr">
        <is>
          <t>TA-2026-00008</t>
        </is>
      </c>
      <c r="B1186" t="inlineStr">
        <is>
          <t>U-BV229-01-12</t>
        </is>
      </c>
      <c r="C1186" t="inlineStr">
        <is>
          <t>Blue Pearl Tuition Centre Pte Ltd</t>
        </is>
      </c>
      <c r="D1186" t="inlineStr">
        <is>
          <t>Tuition Centre</t>
        </is>
      </c>
      <c r="E1186" s="2" t="n">
        <v>46023</v>
      </c>
      <c r="F1186" s="2" t="n">
        <v>47118</v>
      </c>
      <c r="G1186" s="3" t="n">
        <v>3750</v>
      </c>
      <c r="H1186">
        <f>VLOOKUP(B1186,Units!$A$2:$G$1646,2,FALSE)</f>
        <v/>
      </c>
      <c r="I1186">
        <f>VLOOKUP(B1186,Units!$A$2:$G$1646,5,FALSE)</f>
        <v/>
      </c>
      <c r="J1186" s="3">
        <f>G1186/I1186</f>
        <v/>
      </c>
      <c r="K1186" s="3">
        <f>G1186*12</f>
        <v/>
      </c>
      <c r="L1186" s="3" t="n">
        <v>11250</v>
      </c>
    </row>
    <row r="1187">
      <c r="A1187" t="inlineStr">
        <is>
          <t>TA-2026-00010</t>
        </is>
      </c>
      <c r="B1187" t="inlineStr">
        <is>
          <t>U-BV230-01-09</t>
        </is>
      </c>
      <c r="C1187" t="inlineStr">
        <is>
          <t>Mei Ling Dental Surgery</t>
        </is>
      </c>
      <c r="D1187" t="inlineStr">
        <is>
          <t>Dental Clinic</t>
        </is>
      </c>
      <c r="E1187" s="2" t="n">
        <v>46023</v>
      </c>
      <c r="F1187" s="2" t="n">
        <v>47118</v>
      </c>
      <c r="G1187" s="3" t="n">
        <v>2640</v>
      </c>
      <c r="H1187">
        <f>VLOOKUP(B1187,Units!$A$2:$G$1646,2,FALSE)</f>
        <v/>
      </c>
      <c r="I1187">
        <f>VLOOKUP(B1187,Units!$A$2:$G$1646,5,FALSE)</f>
        <v/>
      </c>
      <c r="J1187" s="3">
        <f>G1187/I1187</f>
        <v/>
      </c>
      <c r="K1187" s="3">
        <f>G1187*12</f>
        <v/>
      </c>
      <c r="L1187" s="3" t="n">
        <v>7920</v>
      </c>
    </row>
    <row r="1188">
      <c r="A1188" t="inlineStr">
        <is>
          <t>TA-2026-00011</t>
        </is>
      </c>
      <c r="B1188" t="inlineStr">
        <is>
          <t>U-BV271-01-11</t>
        </is>
      </c>
      <c r="C1188" t="inlineStr">
        <is>
          <t>Everbright Flowers &amp; Gifts Pte Ltd</t>
        </is>
      </c>
      <c r="D1188" t="inlineStr">
        <is>
          <t>Florist</t>
        </is>
      </c>
      <c r="E1188" s="2" t="n">
        <v>46023</v>
      </c>
      <c r="F1188" s="2" t="n">
        <v>47118</v>
      </c>
      <c r="G1188" s="3" t="n">
        <v>3680</v>
      </c>
      <c r="H1188">
        <f>VLOOKUP(B1188,Units!$A$2:$G$1646,2,FALSE)</f>
        <v/>
      </c>
      <c r="I1188">
        <f>VLOOKUP(B1188,Units!$A$2:$G$1646,5,FALSE)</f>
        <v/>
      </c>
      <c r="J1188" s="3">
        <f>G1188/I1188</f>
        <v/>
      </c>
      <c r="K1188" s="3">
        <f>G1188*12</f>
        <v/>
      </c>
      <c r="L1188" s="3" t="n">
        <v>11040</v>
      </c>
    </row>
    <row r="1189">
      <c r="A1189" t="inlineStr">
        <is>
          <t>TA-2026-00013</t>
        </is>
      </c>
      <c r="B1189" t="inlineStr">
        <is>
          <t>U-BV290-01-03</t>
        </is>
      </c>
      <c r="C1189" t="inlineStr">
        <is>
          <t>Mutiara Mart</t>
        </is>
      </c>
      <c r="D1189" t="inlineStr">
        <is>
          <t>Minimart</t>
        </is>
      </c>
      <c r="E1189" s="2" t="n">
        <v>46023</v>
      </c>
      <c r="F1189" s="2" t="n">
        <v>47118</v>
      </c>
      <c r="G1189" s="3" t="n">
        <v>3400</v>
      </c>
      <c r="H1189">
        <f>VLOOKUP(B1189,Units!$A$2:$G$1646,2,FALSE)</f>
        <v/>
      </c>
      <c r="I1189">
        <f>VLOOKUP(B1189,Units!$A$2:$G$1646,5,FALSE)</f>
        <v/>
      </c>
      <c r="J1189" s="3">
        <f>G1189/I1189</f>
        <v/>
      </c>
      <c r="K1189" s="3">
        <f>G1189*12</f>
        <v/>
      </c>
      <c r="L1189" s="3" t="n">
        <v>10200</v>
      </c>
    </row>
    <row r="1190">
      <c r="A1190" t="inlineStr">
        <is>
          <t>TA-2026-00014</t>
        </is>
      </c>
      <c r="B1190" t="inlineStr">
        <is>
          <t>U-CD119-01-02</t>
        </is>
      </c>
      <c r="C1190" t="inlineStr">
        <is>
          <t>Murugan Store</t>
        </is>
      </c>
      <c r="D1190" t="inlineStr">
        <is>
          <t>Provision Shop</t>
        </is>
      </c>
      <c r="E1190" s="2" t="n">
        <v>46023</v>
      </c>
      <c r="F1190" s="2" t="n">
        <v>47118</v>
      </c>
      <c r="G1190" s="3" t="n">
        <v>3700</v>
      </c>
      <c r="H1190">
        <f>VLOOKUP(B1190,Units!$A$2:$G$1646,2,FALSE)</f>
        <v/>
      </c>
      <c r="I1190">
        <f>VLOOKUP(B1190,Units!$A$2:$G$1646,5,FALSE)</f>
        <v/>
      </c>
      <c r="J1190" s="3">
        <f>G1190/I1190</f>
        <v/>
      </c>
      <c r="K1190" s="3">
        <f>G1190*12</f>
        <v/>
      </c>
      <c r="L1190" s="3" t="n">
        <v>11100</v>
      </c>
    </row>
    <row r="1191">
      <c r="A1191" t="inlineStr">
        <is>
          <t>TA-2026-00015</t>
        </is>
      </c>
      <c r="B1191" t="inlineStr">
        <is>
          <t>U-CD129-01-07</t>
        </is>
      </c>
      <c r="C1191" t="inlineStr">
        <is>
          <t>New Life Education Hub Pte Ltd</t>
        </is>
      </c>
      <c r="D1191" t="inlineStr">
        <is>
          <t>Tuition Centre</t>
        </is>
      </c>
      <c r="E1191" s="2" t="n">
        <v>46023</v>
      </c>
      <c r="F1191" s="2" t="n">
        <v>47118</v>
      </c>
      <c r="G1191" s="3" t="n">
        <v>4400</v>
      </c>
      <c r="H1191">
        <f>VLOOKUP(B1191,Units!$A$2:$G$1646,2,FALSE)</f>
        <v/>
      </c>
      <c r="I1191">
        <f>VLOOKUP(B1191,Units!$A$2:$G$1646,5,FALSE)</f>
        <v/>
      </c>
      <c r="J1191" s="3">
        <f>G1191/I1191</f>
        <v/>
      </c>
      <c r="K1191" s="3">
        <f>G1191*12</f>
        <v/>
      </c>
      <c r="L1191" s="3" t="n">
        <v>13200</v>
      </c>
    </row>
    <row r="1192">
      <c r="A1192" t="inlineStr">
        <is>
          <t>TA-2026-00016</t>
        </is>
      </c>
      <c r="B1192" t="inlineStr">
        <is>
          <t>U-CD142-01-05</t>
        </is>
      </c>
      <c r="C1192" t="inlineStr">
        <is>
          <t>Lim's Pharmacy</t>
        </is>
      </c>
      <c r="D1192" t="inlineStr">
        <is>
          <t>Pharmacy</t>
        </is>
      </c>
      <c r="E1192" s="2" t="n">
        <v>46023</v>
      </c>
      <c r="F1192" s="2" t="n">
        <v>47118</v>
      </c>
      <c r="G1192" s="3" t="n">
        <v>4730</v>
      </c>
      <c r="H1192">
        <f>VLOOKUP(B1192,Units!$A$2:$G$1646,2,FALSE)</f>
        <v/>
      </c>
      <c r="I1192">
        <f>VLOOKUP(B1192,Units!$A$2:$G$1646,5,FALSE)</f>
        <v/>
      </c>
      <c r="J1192" s="3">
        <f>G1192/I1192</f>
        <v/>
      </c>
      <c r="K1192" s="3">
        <f>G1192*12</f>
        <v/>
      </c>
      <c r="L1192" s="3" t="n">
        <v>14190</v>
      </c>
    </row>
    <row r="1193">
      <c r="A1193" t="inlineStr">
        <is>
          <t>TA-2026-00018</t>
        </is>
      </c>
      <c r="B1193" t="inlineStr">
        <is>
          <t>U-CD160-01-07</t>
        </is>
      </c>
      <c r="C1193" t="inlineStr">
        <is>
          <t>Heng Ann Kueh Corner</t>
        </is>
      </c>
      <c r="D1193" t="inlineStr">
        <is>
          <t>Snack Kiosk</t>
        </is>
      </c>
      <c r="E1193" s="2" t="n">
        <v>46023</v>
      </c>
      <c r="F1193" s="2" t="n">
        <v>47118</v>
      </c>
      <c r="G1193" s="3" t="n">
        <v>900</v>
      </c>
      <c r="H1193">
        <f>VLOOKUP(B1193,Units!$A$2:$G$1646,2,FALSE)</f>
        <v/>
      </c>
      <c r="I1193">
        <f>VLOOKUP(B1193,Units!$A$2:$G$1646,5,FALSE)</f>
        <v/>
      </c>
      <c r="J1193" s="3">
        <f>G1193/I1193</f>
        <v/>
      </c>
      <c r="K1193" s="3">
        <f>G1193*12</f>
        <v/>
      </c>
      <c r="L1193" s="3" t="n">
        <v>2700</v>
      </c>
    </row>
    <row r="1194">
      <c r="A1194" t="inlineStr">
        <is>
          <t>TA-2026-00020</t>
        </is>
      </c>
      <c r="B1194" t="inlineStr">
        <is>
          <t>U-CD170-01-04</t>
        </is>
      </c>
      <c r="C1194" t="inlineStr">
        <is>
          <t>Swee Heng Beauty &amp; Hair Pte Ltd</t>
        </is>
      </c>
      <c r="D1194" t="inlineStr">
        <is>
          <t>Hair Salon</t>
        </is>
      </c>
      <c r="E1194" s="2" t="n">
        <v>46023</v>
      </c>
      <c r="F1194" s="2" t="n">
        <v>47118</v>
      </c>
      <c r="G1194" s="3" t="n">
        <v>4460</v>
      </c>
      <c r="H1194">
        <f>VLOOKUP(B1194,Units!$A$2:$G$1646,2,FALSE)</f>
        <v/>
      </c>
      <c r="I1194">
        <f>VLOOKUP(B1194,Units!$A$2:$G$1646,5,FALSE)</f>
        <v/>
      </c>
      <c r="J1194" s="3">
        <f>G1194/I1194</f>
        <v/>
      </c>
      <c r="K1194" s="3">
        <f>G1194*12</f>
        <v/>
      </c>
      <c r="L1194" s="3" t="n">
        <v>13380</v>
      </c>
    </row>
    <row r="1195">
      <c r="A1195" t="inlineStr">
        <is>
          <t>TA-2026-00022</t>
        </is>
      </c>
      <c r="B1195" t="inlineStr">
        <is>
          <t>U-KR305-01-15</t>
        </is>
      </c>
      <c r="C1195" t="inlineStr">
        <is>
          <t>Teck Guan Beauty &amp; Hair Pte Ltd</t>
        </is>
      </c>
      <c r="D1195" t="inlineStr">
        <is>
          <t>Hair Salon</t>
        </is>
      </c>
      <c r="E1195" s="2" t="n">
        <v>46023</v>
      </c>
      <c r="F1195" s="2" t="n">
        <v>47118</v>
      </c>
      <c r="G1195" s="3" t="n">
        <v>2630</v>
      </c>
      <c r="H1195">
        <f>VLOOKUP(B1195,Units!$A$2:$G$1646,2,FALSE)</f>
        <v/>
      </c>
      <c r="I1195">
        <f>VLOOKUP(B1195,Units!$A$2:$G$1646,5,FALSE)</f>
        <v/>
      </c>
      <c r="J1195" s="3">
        <f>G1195/I1195</f>
        <v/>
      </c>
      <c r="K1195" s="3">
        <f>G1195*12</f>
        <v/>
      </c>
      <c r="L1195" s="3" t="n">
        <v>7890</v>
      </c>
    </row>
    <row r="1196">
      <c r="A1196" t="inlineStr">
        <is>
          <t>TA-2026-00023</t>
        </is>
      </c>
      <c r="B1196" t="inlineStr">
        <is>
          <t>U-KR305-01-18</t>
        </is>
      </c>
      <c r="C1196" t="inlineStr">
        <is>
          <t>Bloom Provision Shop Pte Ltd</t>
        </is>
      </c>
      <c r="D1196" t="inlineStr">
        <is>
          <t>Provision Shop</t>
        </is>
      </c>
      <c r="E1196" s="2" t="n">
        <v>46023</v>
      </c>
      <c r="F1196" s="2" t="n">
        <v>47118</v>
      </c>
      <c r="G1196" s="3" t="n">
        <v>2220</v>
      </c>
      <c r="H1196">
        <f>VLOOKUP(B1196,Units!$A$2:$G$1646,2,FALSE)</f>
        <v/>
      </c>
      <c r="I1196">
        <f>VLOOKUP(B1196,Units!$A$2:$G$1646,5,FALSE)</f>
        <v/>
      </c>
      <c r="J1196" s="3">
        <f>G1196/I1196</f>
        <v/>
      </c>
      <c r="K1196" s="3">
        <f>G1196*12</f>
        <v/>
      </c>
      <c r="L1196" s="3" t="n">
        <v>6660</v>
      </c>
    </row>
    <row r="1197">
      <c r="A1197" t="inlineStr">
        <is>
          <t>TA-2026-00024</t>
        </is>
      </c>
      <c r="B1197" t="inlineStr">
        <is>
          <t>U-KR305-02-09</t>
        </is>
      </c>
      <c r="C1197" t="inlineStr">
        <is>
          <t>Sri Ganesh Family Clinic</t>
        </is>
      </c>
      <c r="D1197" t="inlineStr">
        <is>
          <t>GP Clinic</t>
        </is>
      </c>
      <c r="E1197" s="2" t="n">
        <v>46023</v>
      </c>
      <c r="F1197" s="2" t="n">
        <v>47118</v>
      </c>
      <c r="G1197" s="3" t="n">
        <v>3350</v>
      </c>
      <c r="H1197">
        <f>VLOOKUP(B1197,Units!$A$2:$G$1646,2,FALSE)</f>
        <v/>
      </c>
      <c r="I1197">
        <f>VLOOKUP(B1197,Units!$A$2:$G$1646,5,FALSE)</f>
        <v/>
      </c>
      <c r="J1197" s="3">
        <f>G1197/I1197</f>
        <v/>
      </c>
      <c r="K1197" s="3">
        <f>G1197*12</f>
        <v/>
      </c>
      <c r="L1197" s="3" t="n">
        <v>10050</v>
      </c>
    </row>
    <row r="1198">
      <c r="A1198" t="inlineStr">
        <is>
          <t>TA-2026-00025</t>
        </is>
      </c>
      <c r="B1198" t="inlineStr">
        <is>
          <t>U-KR310-01-03</t>
        </is>
      </c>
      <c r="C1198" t="inlineStr">
        <is>
          <t>Golden Leaf Education Hub</t>
        </is>
      </c>
      <c r="D1198" t="inlineStr">
        <is>
          <t>Tuition Centre</t>
        </is>
      </c>
      <c r="E1198" s="2" t="n">
        <v>46023</v>
      </c>
      <c r="F1198" s="2" t="n">
        <v>47118</v>
      </c>
      <c r="G1198" s="3" t="n">
        <v>5610</v>
      </c>
      <c r="H1198">
        <f>VLOOKUP(B1198,Units!$A$2:$G$1646,2,FALSE)</f>
        <v/>
      </c>
      <c r="I1198">
        <f>VLOOKUP(B1198,Units!$A$2:$G$1646,5,FALSE)</f>
        <v/>
      </c>
      <c r="J1198" s="3">
        <f>G1198/I1198</f>
        <v/>
      </c>
      <c r="K1198" s="3">
        <f>G1198*12</f>
        <v/>
      </c>
      <c r="L1198" s="3" t="n">
        <v>16830</v>
      </c>
    </row>
    <row r="1199">
      <c r="A1199" t="inlineStr">
        <is>
          <t>TA-2026-00027</t>
        </is>
      </c>
      <c r="B1199" t="inlineStr">
        <is>
          <t>U-KR323-01-03</t>
        </is>
      </c>
      <c r="C1199" t="inlineStr">
        <is>
          <t>Joo Chiat Eating Place</t>
        </is>
      </c>
      <c r="D1199" t="inlineStr">
        <is>
          <t>Restaurant</t>
        </is>
      </c>
      <c r="E1199" s="2" t="n">
        <v>46023</v>
      </c>
      <c r="F1199" s="2" t="n">
        <v>47118</v>
      </c>
      <c r="G1199" s="3" t="n">
        <v>3030</v>
      </c>
      <c r="H1199">
        <f>VLOOKUP(B1199,Units!$A$2:$G$1646,2,FALSE)</f>
        <v/>
      </c>
      <c r="I1199">
        <f>VLOOKUP(B1199,Units!$A$2:$G$1646,5,FALSE)</f>
        <v/>
      </c>
      <c r="J1199" s="3">
        <f>G1199/I1199</f>
        <v/>
      </c>
      <c r="K1199" s="3">
        <f>G1199*12</f>
        <v/>
      </c>
      <c r="L1199" s="3" t="n">
        <v>9090</v>
      </c>
    </row>
    <row r="1200">
      <c r="A1200" t="inlineStr">
        <is>
          <t>TA-2026-00029</t>
        </is>
      </c>
      <c r="B1200" t="inlineStr">
        <is>
          <t>U-KR329-01-07</t>
        </is>
      </c>
      <c r="C1200" t="inlineStr">
        <is>
          <t>New Life Medical Supplies</t>
        </is>
      </c>
      <c r="D1200" t="inlineStr">
        <is>
          <t>Pharmacy</t>
        </is>
      </c>
      <c r="E1200" s="2" t="n">
        <v>46023</v>
      </c>
      <c r="F1200" s="2" t="n">
        <v>47118</v>
      </c>
      <c r="G1200" s="3" t="n">
        <v>2470</v>
      </c>
      <c r="H1200">
        <f>VLOOKUP(B1200,Units!$A$2:$G$1646,2,FALSE)</f>
        <v/>
      </c>
      <c r="I1200">
        <f>VLOOKUP(B1200,Units!$A$2:$G$1646,5,FALSE)</f>
        <v/>
      </c>
      <c r="J1200" s="3">
        <f>G1200/I1200</f>
        <v/>
      </c>
      <c r="K1200" s="3">
        <f>G1200*12</f>
        <v/>
      </c>
      <c r="L1200" s="3" t="n">
        <v>7410</v>
      </c>
    </row>
    <row r="1201">
      <c r="A1201" t="inlineStr">
        <is>
          <t>TA-2026-00031</t>
        </is>
      </c>
      <c r="B1201" t="inlineStr">
        <is>
          <t>U-KR330-01-07</t>
        </is>
      </c>
      <c r="C1201" t="inlineStr">
        <is>
          <t>Nanyang Tuition Centre Pte Ltd</t>
        </is>
      </c>
      <c r="D1201" t="inlineStr">
        <is>
          <t>Tuition Centre</t>
        </is>
      </c>
      <c r="E1201" s="2" t="n">
        <v>46023</v>
      </c>
      <c r="F1201" s="2" t="n">
        <v>47118</v>
      </c>
      <c r="G1201" s="3" t="n">
        <v>4170</v>
      </c>
      <c r="H1201">
        <f>VLOOKUP(B1201,Units!$A$2:$G$1646,2,FALSE)</f>
        <v/>
      </c>
      <c r="I1201">
        <f>VLOOKUP(B1201,Units!$A$2:$G$1646,5,FALSE)</f>
        <v/>
      </c>
      <c r="J1201" s="3">
        <f>G1201/I1201</f>
        <v/>
      </c>
      <c r="K1201" s="3">
        <f>G1201*12</f>
        <v/>
      </c>
      <c r="L1201" s="3" t="n">
        <v>12510</v>
      </c>
    </row>
    <row r="1202">
      <c r="A1202" t="inlineStr">
        <is>
          <t>TA-2026-00032</t>
        </is>
      </c>
      <c r="B1202" t="inlineStr">
        <is>
          <t>U-KR358-01-08</t>
        </is>
      </c>
      <c r="C1202" t="inlineStr">
        <is>
          <t>Prima Hardware &amp; Electrical</t>
        </is>
      </c>
      <c r="D1202" t="inlineStr">
        <is>
          <t>Hardware</t>
        </is>
      </c>
      <c r="E1202" s="2" t="n">
        <v>46023</v>
      </c>
      <c r="F1202" s="2" t="n">
        <v>47118</v>
      </c>
      <c r="G1202" s="3" t="n">
        <v>2980</v>
      </c>
      <c r="H1202">
        <f>VLOOKUP(B1202,Units!$A$2:$G$1646,2,FALSE)</f>
        <v/>
      </c>
      <c r="I1202">
        <f>VLOOKUP(B1202,Units!$A$2:$G$1646,5,FALSE)</f>
        <v/>
      </c>
      <c r="J1202" s="3">
        <f>G1202/I1202</f>
        <v/>
      </c>
      <c r="K1202" s="3">
        <f>G1202*12</f>
        <v/>
      </c>
      <c r="L1202" s="3" t="n">
        <v>8940</v>
      </c>
    </row>
    <row r="1203">
      <c r="A1203" t="inlineStr">
        <is>
          <t>TA-2026-00033</t>
        </is>
      </c>
      <c r="B1203" t="inlineStr">
        <is>
          <t>U-KR368-02-01</t>
        </is>
      </c>
      <c r="C1203" t="inlineStr">
        <is>
          <t>Unity Learning Centre</t>
        </is>
      </c>
      <c r="D1203" t="inlineStr">
        <is>
          <t>Tuition Centre</t>
        </is>
      </c>
      <c r="E1203" s="2" t="n">
        <v>46023</v>
      </c>
      <c r="F1203" s="2" t="n">
        <v>47118</v>
      </c>
      <c r="G1203" s="3" t="n">
        <v>3850</v>
      </c>
      <c r="H1203">
        <f>VLOOKUP(B1203,Units!$A$2:$G$1646,2,FALSE)</f>
        <v/>
      </c>
      <c r="I1203">
        <f>VLOOKUP(B1203,Units!$A$2:$G$1646,5,FALSE)</f>
        <v/>
      </c>
      <c r="J1203" s="3">
        <f>G1203/I1203</f>
        <v/>
      </c>
      <c r="K1203" s="3">
        <f>G1203*12</f>
        <v/>
      </c>
      <c r="L1203" s="3" t="n">
        <v>11550</v>
      </c>
    </row>
    <row r="1204">
      <c r="A1204" t="inlineStr">
        <is>
          <t>TA-2026-00035</t>
        </is>
      </c>
      <c r="B1204" t="inlineStr">
        <is>
          <t>U-KR385-02-09</t>
        </is>
      </c>
      <c r="C1204" t="inlineStr">
        <is>
          <t>Ong &amp; Sons Childcare</t>
        </is>
      </c>
      <c r="D1204" t="inlineStr">
        <is>
          <t>Childcare Centre</t>
        </is>
      </c>
      <c r="E1204" s="2" t="n">
        <v>46023</v>
      </c>
      <c r="F1204" s="2" t="n">
        <v>47118</v>
      </c>
      <c r="G1204" s="3" t="n">
        <v>3030</v>
      </c>
      <c r="H1204">
        <f>VLOOKUP(B1204,Units!$A$2:$G$1646,2,FALSE)</f>
        <v/>
      </c>
      <c r="I1204">
        <f>VLOOKUP(B1204,Units!$A$2:$G$1646,5,FALSE)</f>
        <v/>
      </c>
      <c r="J1204" s="3">
        <f>G1204/I1204</f>
        <v/>
      </c>
      <c r="K1204" s="3">
        <f>G1204*12</f>
        <v/>
      </c>
      <c r="L1204" s="3" t="n">
        <v>9090</v>
      </c>
    </row>
    <row r="1205">
      <c r="A1205" t="inlineStr">
        <is>
          <t>TA-2026-00036</t>
        </is>
      </c>
      <c r="B1205" t="inlineStr">
        <is>
          <t>U-PI601-01-02</t>
        </is>
      </c>
      <c r="C1205" t="inlineStr">
        <is>
          <t>Kumar Bookstore Pte Ltd</t>
        </is>
      </c>
      <c r="D1205" t="inlineStr">
        <is>
          <t>Stationery &amp; Books</t>
        </is>
      </c>
      <c r="E1205" s="2" t="n">
        <v>46023</v>
      </c>
      <c r="F1205" s="2" t="n">
        <v>47118</v>
      </c>
      <c r="G1205" s="3" t="n">
        <v>4280</v>
      </c>
      <c r="H1205">
        <f>VLOOKUP(B1205,Units!$A$2:$G$1646,2,FALSE)</f>
        <v/>
      </c>
      <c r="I1205">
        <f>VLOOKUP(B1205,Units!$A$2:$G$1646,5,FALSE)</f>
        <v/>
      </c>
      <c r="J1205" s="3">
        <f>G1205/I1205</f>
        <v/>
      </c>
      <c r="K1205" s="3">
        <f>G1205*12</f>
        <v/>
      </c>
      <c r="L1205" s="3" t="n">
        <v>12840</v>
      </c>
    </row>
    <row r="1206">
      <c r="A1206" t="inlineStr">
        <is>
          <t>TA-2026-00037</t>
        </is>
      </c>
      <c r="B1206" t="inlineStr">
        <is>
          <t>U-PI609-01-02</t>
        </is>
      </c>
      <c r="C1206" t="inlineStr">
        <is>
          <t>Treasure Minimart</t>
        </is>
      </c>
      <c r="D1206" t="inlineStr">
        <is>
          <t>Minimart</t>
        </is>
      </c>
      <c r="E1206" s="2" t="n">
        <v>46023</v>
      </c>
      <c r="F1206" s="2" t="n">
        <v>47118</v>
      </c>
      <c r="G1206" s="3" t="n">
        <v>4380</v>
      </c>
      <c r="H1206">
        <f>VLOOKUP(B1206,Units!$A$2:$G$1646,2,FALSE)</f>
        <v/>
      </c>
      <c r="I1206">
        <f>VLOOKUP(B1206,Units!$A$2:$G$1646,5,FALSE)</f>
        <v/>
      </c>
      <c r="J1206" s="3">
        <f>G1206/I1206</f>
        <v/>
      </c>
      <c r="K1206" s="3">
        <f>G1206*12</f>
        <v/>
      </c>
      <c r="L1206" s="3" t="n">
        <v>13140</v>
      </c>
    </row>
    <row r="1207">
      <c r="A1207" t="inlineStr">
        <is>
          <t>TA-2026-00039</t>
        </is>
      </c>
      <c r="B1207" t="inlineStr">
        <is>
          <t>U-PI627-01-26</t>
        </is>
      </c>
      <c r="C1207" t="inlineStr">
        <is>
          <t>Phoenix Money Changer Pte Ltd</t>
        </is>
      </c>
      <c r="D1207" t="inlineStr">
        <is>
          <t>Remittance &amp; Money Changer</t>
        </is>
      </c>
      <c r="E1207" s="2" t="n">
        <v>46023</v>
      </c>
      <c r="F1207" s="2" t="n">
        <v>47118</v>
      </c>
      <c r="G1207" s="3" t="n">
        <v>1760</v>
      </c>
      <c r="H1207">
        <f>VLOOKUP(B1207,Units!$A$2:$G$1646,2,FALSE)</f>
        <v/>
      </c>
      <c r="I1207">
        <f>VLOOKUP(B1207,Units!$A$2:$G$1646,5,FALSE)</f>
        <v/>
      </c>
      <c r="J1207" s="3">
        <f>G1207/I1207</f>
        <v/>
      </c>
      <c r="K1207" s="3">
        <f>G1207*12</f>
        <v/>
      </c>
      <c r="L1207" s="3" t="n">
        <v>5280</v>
      </c>
    </row>
    <row r="1208">
      <c r="A1208" t="inlineStr">
        <is>
          <t>TA-2026-00040</t>
        </is>
      </c>
      <c r="B1208" t="inlineStr">
        <is>
          <t>U-PI627-01-31</t>
        </is>
      </c>
      <c r="C1208" t="inlineStr">
        <is>
          <t>Cahaya Clinic &amp; Surgery Pte Ltd</t>
        </is>
      </c>
      <c r="D1208" t="inlineStr">
        <is>
          <t>GP Clinic</t>
        </is>
      </c>
      <c r="E1208" s="2" t="n">
        <v>46023</v>
      </c>
      <c r="F1208" s="2" t="n">
        <v>47118</v>
      </c>
      <c r="G1208" s="3" t="n">
        <v>3670</v>
      </c>
      <c r="H1208">
        <f>VLOOKUP(B1208,Units!$A$2:$G$1646,2,FALSE)</f>
        <v/>
      </c>
      <c r="I1208">
        <f>VLOOKUP(B1208,Units!$A$2:$G$1646,5,FALSE)</f>
        <v/>
      </c>
      <c r="J1208" s="3">
        <f>G1208/I1208</f>
        <v/>
      </c>
      <c r="K1208" s="3">
        <f>G1208*12</f>
        <v/>
      </c>
      <c r="L1208" s="3" t="n">
        <v>11010</v>
      </c>
    </row>
    <row r="1209">
      <c r="A1209" t="inlineStr">
        <is>
          <t>TA-2026-00041</t>
        </is>
      </c>
      <c r="B1209" t="inlineStr">
        <is>
          <t>U-PI642-01-06</t>
        </is>
      </c>
      <c r="C1209" t="inlineStr">
        <is>
          <t>Sin Hock Mart Pte Ltd</t>
        </is>
      </c>
      <c r="D1209" t="inlineStr">
        <is>
          <t>Minimart</t>
        </is>
      </c>
      <c r="E1209" s="2" t="n">
        <v>46023</v>
      </c>
      <c r="F1209" s="2" t="n">
        <v>47118</v>
      </c>
      <c r="G1209" s="3" t="n">
        <v>4200</v>
      </c>
      <c r="H1209">
        <f>VLOOKUP(B1209,Units!$A$2:$G$1646,2,FALSE)</f>
        <v/>
      </c>
      <c r="I1209">
        <f>VLOOKUP(B1209,Units!$A$2:$G$1646,5,FALSE)</f>
        <v/>
      </c>
      <c r="J1209" s="3">
        <f>G1209/I1209</f>
        <v/>
      </c>
      <c r="K1209" s="3">
        <f>G1209*12</f>
        <v/>
      </c>
      <c r="L1209" s="3" t="n">
        <v>12600</v>
      </c>
    </row>
    <row r="1210">
      <c r="A1210" t="inlineStr">
        <is>
          <t>TA-2026-00043</t>
        </is>
      </c>
      <c r="B1210" t="inlineStr">
        <is>
          <t>U-PI642-01-08</t>
        </is>
      </c>
      <c r="C1210" t="inlineStr">
        <is>
          <t>Suria Tuition Centre</t>
        </is>
      </c>
      <c r="D1210" t="inlineStr">
        <is>
          <t>Tuition Centre</t>
        </is>
      </c>
      <c r="E1210" s="2" t="n">
        <v>46023</v>
      </c>
      <c r="F1210" s="2" t="n">
        <v>47118</v>
      </c>
      <c r="G1210" s="3" t="n">
        <v>2250</v>
      </c>
      <c r="H1210">
        <f>VLOOKUP(B1210,Units!$A$2:$G$1646,2,FALSE)</f>
        <v/>
      </c>
      <c r="I1210">
        <f>VLOOKUP(B1210,Units!$A$2:$G$1646,5,FALSE)</f>
        <v/>
      </c>
      <c r="J1210" s="3">
        <f>G1210/I1210</f>
        <v/>
      </c>
      <c r="K1210" s="3">
        <f>G1210*12</f>
        <v/>
      </c>
      <c r="L1210" s="3" t="n">
        <v>6750</v>
      </c>
    </row>
    <row r="1211">
      <c r="A1211" t="inlineStr">
        <is>
          <t>TA-2026-00044</t>
        </is>
      </c>
      <c r="B1211" t="inlineStr">
        <is>
          <t>U-PI657-01-06</t>
        </is>
      </c>
      <c r="C1211" t="inlineStr">
        <is>
          <t>Wong's Fruits</t>
        </is>
      </c>
      <c r="D1211" t="inlineStr">
        <is>
          <t>Fruit Shop</t>
        </is>
      </c>
      <c r="E1211" s="2" t="n">
        <v>46023</v>
      </c>
      <c r="F1211" s="2" t="n">
        <v>47118</v>
      </c>
      <c r="G1211" s="3" t="n">
        <v>900</v>
      </c>
      <c r="H1211">
        <f>VLOOKUP(B1211,Units!$A$2:$G$1646,2,FALSE)</f>
        <v/>
      </c>
      <c r="I1211">
        <f>VLOOKUP(B1211,Units!$A$2:$G$1646,5,FALSE)</f>
        <v/>
      </c>
      <c r="J1211" s="3">
        <f>G1211/I1211</f>
        <v/>
      </c>
      <c r="K1211" s="3">
        <f>G1211*12</f>
        <v/>
      </c>
      <c r="L1211" s="3" t="n">
        <v>2700</v>
      </c>
    </row>
    <row r="1212">
      <c r="A1212" t="inlineStr">
        <is>
          <t>TA-2026-00045</t>
        </is>
      </c>
      <c r="B1212" t="inlineStr">
        <is>
          <t>U-PI657-01-10</t>
        </is>
      </c>
      <c r="C1212" t="inlineStr">
        <is>
          <t>Kampung Trading</t>
        </is>
      </c>
      <c r="D1212" t="inlineStr">
        <is>
          <t>Provision Shop</t>
        </is>
      </c>
      <c r="E1212" s="2" t="n">
        <v>46023</v>
      </c>
      <c r="F1212" s="2" t="n">
        <v>47118</v>
      </c>
      <c r="G1212" s="3" t="n">
        <v>3750</v>
      </c>
      <c r="H1212">
        <f>VLOOKUP(B1212,Units!$A$2:$G$1646,2,FALSE)</f>
        <v/>
      </c>
      <c r="I1212">
        <f>VLOOKUP(B1212,Units!$A$2:$G$1646,5,FALSE)</f>
        <v/>
      </c>
      <c r="J1212" s="3">
        <f>G1212/I1212</f>
        <v/>
      </c>
      <c r="K1212" s="3">
        <f>G1212*12</f>
        <v/>
      </c>
      <c r="L1212" s="3" t="n">
        <v>11250</v>
      </c>
    </row>
    <row r="1213">
      <c r="A1213" t="inlineStr">
        <is>
          <t>TA-2026-00046</t>
        </is>
      </c>
      <c r="B1213" t="inlineStr">
        <is>
          <t>U-RH438-01-01</t>
        </is>
      </c>
      <c r="C1213" t="inlineStr">
        <is>
          <t>Little Sprouts Coffeeshop</t>
        </is>
      </c>
      <c r="D1213" t="inlineStr">
        <is>
          <t>Coffeeshop</t>
        </is>
      </c>
      <c r="E1213" s="2" t="n">
        <v>46023</v>
      </c>
      <c r="F1213" s="2" t="n">
        <v>47118</v>
      </c>
      <c r="G1213" s="3" t="n">
        <v>12990</v>
      </c>
      <c r="H1213">
        <f>VLOOKUP(B1213,Units!$A$2:$G$1646,2,FALSE)</f>
        <v/>
      </c>
      <c r="I1213">
        <f>VLOOKUP(B1213,Units!$A$2:$G$1646,5,FALSE)</f>
        <v/>
      </c>
      <c r="J1213" s="3">
        <f>G1213/I1213</f>
        <v/>
      </c>
      <c r="K1213" s="3">
        <f>G1213*12</f>
        <v/>
      </c>
      <c r="L1213" s="3" t="n">
        <v>38970</v>
      </c>
    </row>
    <row r="1214">
      <c r="A1214" t="inlineStr">
        <is>
          <t>TA-2026-00048</t>
        </is>
      </c>
      <c r="B1214" t="inlineStr">
        <is>
          <t>U-RH438-01-08</t>
        </is>
      </c>
      <c r="C1214" t="inlineStr">
        <is>
          <t>Amanah Mobile Pte Ltd</t>
        </is>
      </c>
      <c r="D1214" t="inlineStr">
        <is>
          <t>Mobile Phone &amp; Accessories</t>
        </is>
      </c>
      <c r="E1214" s="2" t="n">
        <v>46023</v>
      </c>
      <c r="F1214" s="2" t="n">
        <v>47118</v>
      </c>
      <c r="G1214" s="3" t="n">
        <v>920</v>
      </c>
      <c r="H1214">
        <f>VLOOKUP(B1214,Units!$A$2:$G$1646,2,FALSE)</f>
        <v/>
      </c>
      <c r="I1214">
        <f>VLOOKUP(B1214,Units!$A$2:$G$1646,5,FALSE)</f>
        <v/>
      </c>
      <c r="J1214" s="3">
        <f>G1214/I1214</f>
        <v/>
      </c>
      <c r="K1214" s="3">
        <f>G1214*12</f>
        <v/>
      </c>
      <c r="L1214" s="3" t="n">
        <v>2760</v>
      </c>
    </row>
    <row r="1215">
      <c r="A1215" t="inlineStr">
        <is>
          <t>TA-2026-00050</t>
        </is>
      </c>
      <c r="B1215" t="inlineStr">
        <is>
          <t>U-RH471-01-02</t>
        </is>
      </c>
      <c r="C1215" t="inlineStr">
        <is>
          <t>Silver Moon Eating Place</t>
        </is>
      </c>
      <c r="D1215" t="inlineStr">
        <is>
          <t>Restaurant</t>
        </is>
      </c>
      <c r="E1215" s="2" t="n">
        <v>46023</v>
      </c>
      <c r="F1215" s="2" t="n">
        <v>47118</v>
      </c>
      <c r="G1215" s="3" t="n">
        <v>5230</v>
      </c>
      <c r="H1215">
        <f>VLOOKUP(B1215,Units!$A$2:$G$1646,2,FALSE)</f>
        <v/>
      </c>
      <c r="I1215">
        <f>VLOOKUP(B1215,Units!$A$2:$G$1646,5,FALSE)</f>
        <v/>
      </c>
      <c r="J1215" s="3">
        <f>G1215/I1215</f>
        <v/>
      </c>
      <c r="K1215" s="3">
        <f>G1215*12</f>
        <v/>
      </c>
      <c r="L1215" s="3" t="n">
        <v>15690</v>
      </c>
    </row>
    <row r="1216">
      <c r="A1216" t="inlineStr">
        <is>
          <t>TA-2026-00051</t>
        </is>
      </c>
      <c r="B1216" t="inlineStr">
        <is>
          <t>U-RH473-01-02</t>
        </is>
      </c>
      <c r="C1216" t="inlineStr">
        <is>
          <t>Red Lantern Minimart</t>
        </is>
      </c>
      <c r="D1216" t="inlineStr">
        <is>
          <t>Minimart</t>
        </is>
      </c>
      <c r="E1216" s="2" t="n">
        <v>46023</v>
      </c>
      <c r="F1216" s="2" t="n">
        <v>47118</v>
      </c>
      <c r="G1216" s="3" t="n">
        <v>1620</v>
      </c>
      <c r="H1216">
        <f>VLOOKUP(B1216,Units!$A$2:$G$1646,2,FALSE)</f>
        <v/>
      </c>
      <c r="I1216">
        <f>VLOOKUP(B1216,Units!$A$2:$G$1646,5,FALSE)</f>
        <v/>
      </c>
      <c r="J1216" s="3">
        <f>G1216/I1216</f>
        <v/>
      </c>
      <c r="K1216" s="3">
        <f>G1216*12</f>
        <v/>
      </c>
      <c r="L1216" s="3" t="n">
        <v>4860</v>
      </c>
    </row>
    <row r="1217">
      <c r="A1217" t="inlineStr">
        <is>
          <t>TA-2026-00053</t>
        </is>
      </c>
      <c r="B1217" t="inlineStr">
        <is>
          <t>U-RH476-01-01</t>
        </is>
      </c>
      <c r="C1217" t="inlineStr">
        <is>
          <t>Nanyang Supermarket</t>
        </is>
      </c>
      <c r="D1217" t="inlineStr">
        <is>
          <t>Minimart</t>
        </is>
      </c>
      <c r="E1217" s="2" t="n">
        <v>46023</v>
      </c>
      <c r="F1217" s="2" t="n">
        <v>47118</v>
      </c>
      <c r="G1217" s="3" t="n">
        <v>2230</v>
      </c>
      <c r="H1217">
        <f>VLOOKUP(B1217,Units!$A$2:$G$1646,2,FALSE)</f>
        <v/>
      </c>
      <c r="I1217">
        <f>VLOOKUP(B1217,Units!$A$2:$G$1646,5,FALSE)</f>
        <v/>
      </c>
      <c r="J1217" s="3">
        <f>G1217/I1217</f>
        <v/>
      </c>
      <c r="K1217" s="3">
        <f>G1217*12</f>
        <v/>
      </c>
      <c r="L1217" s="3" t="n">
        <v>6690</v>
      </c>
    </row>
    <row r="1218">
      <c r="A1218" t="inlineStr">
        <is>
          <t>TA-2026-00054</t>
        </is>
      </c>
      <c r="B1218" t="inlineStr">
        <is>
          <t>U-RH484-01-03</t>
        </is>
      </c>
      <c r="C1218" t="inlineStr">
        <is>
          <t>Treasure Mart Pte Ltd</t>
        </is>
      </c>
      <c r="D1218" t="inlineStr">
        <is>
          <t>Minimart</t>
        </is>
      </c>
      <c r="E1218" s="2" t="n">
        <v>46023</v>
      </c>
      <c r="F1218" s="2" t="n">
        <v>47118</v>
      </c>
      <c r="G1218" s="3" t="n">
        <v>2560</v>
      </c>
      <c r="H1218">
        <f>VLOOKUP(B1218,Units!$A$2:$G$1646,2,FALSE)</f>
        <v/>
      </c>
      <c r="I1218">
        <f>VLOOKUP(B1218,Units!$A$2:$G$1646,5,FALSE)</f>
        <v/>
      </c>
      <c r="J1218" s="3">
        <f>G1218/I1218</f>
        <v/>
      </c>
      <c r="K1218" s="3">
        <f>G1218*12</f>
        <v/>
      </c>
      <c r="L1218" s="3" t="n">
        <v>7680</v>
      </c>
    </row>
    <row r="1219">
      <c r="A1219" t="inlineStr">
        <is>
          <t>TA-2026-00056</t>
        </is>
      </c>
      <c r="B1219" t="inlineStr">
        <is>
          <t>U-RH484-01-08</t>
        </is>
      </c>
      <c r="C1219" t="inlineStr">
        <is>
          <t>Murugan Supermarket Pte Ltd</t>
        </is>
      </c>
      <c r="D1219" t="inlineStr">
        <is>
          <t>Minimart</t>
        </is>
      </c>
      <c r="E1219" s="2" t="n">
        <v>46023</v>
      </c>
      <c r="F1219" s="2" t="n">
        <v>47118</v>
      </c>
      <c r="G1219" s="3" t="n">
        <v>3520</v>
      </c>
      <c r="H1219">
        <f>VLOOKUP(B1219,Units!$A$2:$G$1646,2,FALSE)</f>
        <v/>
      </c>
      <c r="I1219">
        <f>VLOOKUP(B1219,Units!$A$2:$G$1646,5,FALSE)</f>
        <v/>
      </c>
      <c r="J1219" s="3">
        <f>G1219/I1219</f>
        <v/>
      </c>
      <c r="K1219" s="3">
        <f>G1219*12</f>
        <v/>
      </c>
      <c r="L1219" s="3" t="n">
        <v>10560</v>
      </c>
    </row>
    <row r="1220">
      <c r="A1220" t="inlineStr">
        <is>
          <t>TA-2026-00058</t>
        </is>
      </c>
      <c r="B1220" t="inlineStr">
        <is>
          <t>U-ST506-02-09</t>
        </is>
      </c>
      <c r="C1220" t="inlineStr">
        <is>
          <t>Nur Family Clinic Pte Ltd</t>
        </is>
      </c>
      <c r="D1220" t="inlineStr">
        <is>
          <t>GP Clinic</t>
        </is>
      </c>
      <c r="E1220" s="2" t="n">
        <v>46023</v>
      </c>
      <c r="F1220" s="2" t="n">
        <v>47118</v>
      </c>
      <c r="G1220" s="3" t="n">
        <v>1550</v>
      </c>
      <c r="H1220">
        <f>VLOOKUP(B1220,Units!$A$2:$G$1646,2,FALSE)</f>
        <v/>
      </c>
      <c r="I1220">
        <f>VLOOKUP(B1220,Units!$A$2:$G$1646,5,FALSE)</f>
        <v/>
      </c>
      <c r="J1220" s="3">
        <f>G1220/I1220</f>
        <v/>
      </c>
      <c r="K1220" s="3">
        <f>G1220*12</f>
        <v/>
      </c>
      <c r="L1220" s="3" t="n">
        <v>4650</v>
      </c>
    </row>
    <row r="1221">
      <c r="A1221" t="inlineStr">
        <is>
          <t>TA-2026-00060</t>
        </is>
      </c>
      <c r="B1221" t="inlineStr">
        <is>
          <t>U-ST528-01-08</t>
        </is>
      </c>
      <c r="C1221" t="inlineStr">
        <is>
          <t>Kumar Fruit Trading Pte Ltd</t>
        </is>
      </c>
      <c r="D1221" t="inlineStr">
        <is>
          <t>Fruit Shop</t>
        </is>
      </c>
      <c r="E1221" s="2" t="n">
        <v>46023</v>
      </c>
      <c r="F1221" s="2" t="n">
        <v>47118</v>
      </c>
      <c r="G1221" s="3" t="n">
        <v>3850</v>
      </c>
      <c r="H1221">
        <f>VLOOKUP(B1221,Units!$A$2:$G$1646,2,FALSE)</f>
        <v/>
      </c>
      <c r="I1221">
        <f>VLOOKUP(B1221,Units!$A$2:$G$1646,5,FALSE)</f>
        <v/>
      </c>
      <c r="J1221" s="3">
        <f>G1221/I1221</f>
        <v/>
      </c>
      <c r="K1221" s="3">
        <f>G1221*12</f>
        <v/>
      </c>
      <c r="L1221" s="3" t="n">
        <v>11550</v>
      </c>
    </row>
    <row r="1222">
      <c r="A1222" t="inlineStr">
        <is>
          <t>TA-2026-00062</t>
        </is>
      </c>
      <c r="B1222" t="inlineStr">
        <is>
          <t>U-ST534-02-08</t>
        </is>
      </c>
      <c r="C1222" t="inlineStr">
        <is>
          <t>Kumar TCM Clinic Pte Ltd</t>
        </is>
      </c>
      <c r="D1222" t="inlineStr">
        <is>
          <t>TCM Clinic</t>
        </is>
      </c>
      <c r="E1222" s="2" t="n">
        <v>46023</v>
      </c>
      <c r="F1222" s="2" t="n">
        <v>47118</v>
      </c>
      <c r="G1222" s="3" t="n">
        <v>3030</v>
      </c>
      <c r="H1222">
        <f>VLOOKUP(B1222,Units!$A$2:$G$1646,2,FALSE)</f>
        <v/>
      </c>
      <c r="I1222">
        <f>VLOOKUP(B1222,Units!$A$2:$G$1646,5,FALSE)</f>
        <v/>
      </c>
      <c r="J1222" s="3">
        <f>G1222/I1222</f>
        <v/>
      </c>
      <c r="K1222" s="3">
        <f>G1222*12</f>
        <v/>
      </c>
      <c r="L1222" s="3" t="n">
        <v>9090</v>
      </c>
    </row>
    <row r="1223">
      <c r="A1223" t="inlineStr">
        <is>
          <t>TA-2026-00064</t>
        </is>
      </c>
      <c r="B1223" t="inlineStr">
        <is>
          <t>U-ST536-01-03</t>
        </is>
      </c>
      <c r="C1223" t="inlineStr">
        <is>
          <t>Barakah Pet Shop Pte Ltd</t>
        </is>
      </c>
      <c r="D1223" t="inlineStr">
        <is>
          <t>Pet Shop</t>
        </is>
      </c>
      <c r="E1223" s="2" t="n">
        <v>46023</v>
      </c>
      <c r="F1223" s="2" t="n">
        <v>47118</v>
      </c>
      <c r="G1223" s="3" t="n">
        <v>3010</v>
      </c>
      <c r="H1223">
        <f>VLOOKUP(B1223,Units!$A$2:$G$1646,2,FALSE)</f>
        <v/>
      </c>
      <c r="I1223">
        <f>VLOOKUP(B1223,Units!$A$2:$G$1646,5,FALSE)</f>
        <v/>
      </c>
      <c r="J1223" s="3">
        <f>G1223/I1223</f>
        <v/>
      </c>
      <c r="K1223" s="3">
        <f>G1223*12</f>
        <v/>
      </c>
      <c r="L1223" s="3" t="n">
        <v>9030</v>
      </c>
    </row>
    <row r="1224">
      <c r="A1224" t="inlineStr">
        <is>
          <t>TA-2026-00066</t>
        </is>
      </c>
      <c r="B1224" t="inlineStr">
        <is>
          <t>U-ST544-01-01</t>
        </is>
      </c>
      <c r="C1224" t="inlineStr">
        <is>
          <t>Hup Seng Education Hub Pte Ltd</t>
        </is>
      </c>
      <c r="D1224" t="inlineStr">
        <is>
          <t>Tuition Centre</t>
        </is>
      </c>
      <c r="E1224" s="2" t="n">
        <v>46023</v>
      </c>
      <c r="F1224" s="2" t="n">
        <v>47118</v>
      </c>
      <c r="G1224" s="3" t="n">
        <v>2070</v>
      </c>
      <c r="H1224">
        <f>VLOOKUP(B1224,Units!$A$2:$G$1646,2,FALSE)</f>
        <v/>
      </c>
      <c r="I1224">
        <f>VLOOKUP(B1224,Units!$A$2:$G$1646,5,FALSE)</f>
        <v/>
      </c>
      <c r="J1224" s="3">
        <f>G1224/I1224</f>
        <v/>
      </c>
      <c r="K1224" s="3">
        <f>G1224*12</f>
        <v/>
      </c>
      <c r="L1224" s="3" t="n">
        <v>6210</v>
      </c>
    </row>
    <row r="1225">
      <c r="A1225" t="inlineStr">
        <is>
          <t>TA-2026-00068</t>
        </is>
      </c>
      <c r="B1225" t="inlineStr">
        <is>
          <t>U-ST545-02-06</t>
        </is>
      </c>
      <c r="C1225" t="inlineStr">
        <is>
          <t>Bright Path Medical Hall Pte Ltd</t>
        </is>
      </c>
      <c r="D1225" t="inlineStr">
        <is>
          <t>TCM Clinic</t>
        </is>
      </c>
      <c r="E1225" s="2" t="n">
        <v>46023</v>
      </c>
      <c r="F1225" s="2" t="n">
        <v>47118</v>
      </c>
      <c r="G1225" s="3" t="n">
        <v>1910</v>
      </c>
      <c r="H1225">
        <f>VLOOKUP(B1225,Units!$A$2:$G$1646,2,FALSE)</f>
        <v/>
      </c>
      <c r="I1225">
        <f>VLOOKUP(B1225,Units!$A$2:$G$1646,5,FALSE)</f>
        <v/>
      </c>
      <c r="J1225" s="3">
        <f>G1225/I1225</f>
        <v/>
      </c>
      <c r="K1225" s="3">
        <f>G1225*12</f>
        <v/>
      </c>
      <c r="L1225" s="3" t="n">
        <v>5730</v>
      </c>
    </row>
    <row r="1226">
      <c r="A1226" t="inlineStr">
        <is>
          <t>TA-2026-00069</t>
        </is>
      </c>
      <c r="B1226" t="inlineStr">
        <is>
          <t>U-ST564-01-14</t>
        </is>
      </c>
      <c r="C1226" t="inlineStr">
        <is>
          <t>Bayu Medical Clinic Pte Ltd</t>
        </is>
      </c>
      <c r="D1226" t="inlineStr">
        <is>
          <t>GP Clinic</t>
        </is>
      </c>
      <c r="E1226" s="2" t="n">
        <v>46023</v>
      </c>
      <c r="F1226" s="2" t="n">
        <v>47118</v>
      </c>
      <c r="G1226" s="3" t="n">
        <v>4760</v>
      </c>
      <c r="H1226">
        <f>VLOOKUP(B1226,Units!$A$2:$G$1646,2,FALSE)</f>
        <v/>
      </c>
      <c r="I1226">
        <f>VLOOKUP(B1226,Units!$A$2:$G$1646,5,FALSE)</f>
        <v/>
      </c>
      <c r="J1226" s="3">
        <f>G1226/I1226</f>
        <v/>
      </c>
      <c r="K1226" s="3">
        <f>G1226*12</f>
        <v/>
      </c>
      <c r="L1226" s="3" t="n">
        <v>14280</v>
      </c>
    </row>
    <row r="1227">
      <c r="A1227" t="inlineStr">
        <is>
          <t>TA-2026-00070</t>
        </is>
      </c>
      <c r="B1227" t="inlineStr">
        <is>
          <t>U-ST566-01-04</t>
        </is>
      </c>
      <c r="C1227" t="inlineStr">
        <is>
          <t>Raja Fruits Pte Ltd</t>
        </is>
      </c>
      <c r="D1227" t="inlineStr">
        <is>
          <t>Fruit Shop</t>
        </is>
      </c>
      <c r="E1227" s="2" t="n">
        <v>46023</v>
      </c>
      <c r="F1227" s="2" t="n">
        <v>47118</v>
      </c>
      <c r="G1227" s="3" t="n">
        <v>900</v>
      </c>
      <c r="H1227">
        <f>VLOOKUP(B1227,Units!$A$2:$G$1646,2,FALSE)</f>
        <v/>
      </c>
      <c r="I1227">
        <f>VLOOKUP(B1227,Units!$A$2:$G$1646,5,FALSE)</f>
        <v/>
      </c>
      <c r="J1227" s="3">
        <f>G1227/I1227</f>
        <v/>
      </c>
      <c r="K1227" s="3">
        <f>G1227*12</f>
        <v/>
      </c>
      <c r="L1227" s="3" t="n">
        <v>2700</v>
      </c>
    </row>
    <row r="1228">
      <c r="A1228" t="inlineStr">
        <is>
          <t>TA-2026-00071</t>
        </is>
      </c>
      <c r="B1228" t="inlineStr">
        <is>
          <t>U-ST566-01-09</t>
        </is>
      </c>
      <c r="C1228" t="inlineStr">
        <is>
          <t>Red Lantern Education Hub</t>
        </is>
      </c>
      <c r="D1228" t="inlineStr">
        <is>
          <t>Tuition Centre</t>
        </is>
      </c>
      <c r="E1228" s="2" t="n">
        <v>46023</v>
      </c>
      <c r="F1228" s="2" t="n">
        <v>47118</v>
      </c>
      <c r="G1228" s="3" t="n">
        <v>3290</v>
      </c>
      <c r="H1228">
        <f>VLOOKUP(B1228,Units!$A$2:$G$1646,2,FALSE)</f>
        <v/>
      </c>
      <c r="I1228">
        <f>VLOOKUP(B1228,Units!$A$2:$G$1646,5,FALSE)</f>
        <v/>
      </c>
      <c r="J1228" s="3">
        <f>G1228/I1228</f>
        <v/>
      </c>
      <c r="K1228" s="3">
        <f>G1228*12</f>
        <v/>
      </c>
      <c r="L1228" s="3" t="n">
        <v>9870</v>
      </c>
    </row>
    <row r="1229">
      <c r="A1229" t="inlineStr">
        <is>
          <t>TA-2026-00072</t>
        </is>
      </c>
      <c r="B1229" t="inlineStr">
        <is>
          <t>U-ST589-01-04</t>
        </is>
      </c>
      <c r="C1229" t="inlineStr">
        <is>
          <t>Value Clinic &amp; Surgery</t>
        </is>
      </c>
      <c r="D1229" t="inlineStr">
        <is>
          <t>GP Clinic</t>
        </is>
      </c>
      <c r="E1229" s="2" t="n">
        <v>46023</v>
      </c>
      <c r="F1229" s="2" t="n">
        <v>47118</v>
      </c>
      <c r="G1229" s="3" t="n">
        <v>3640</v>
      </c>
      <c r="H1229">
        <f>VLOOKUP(B1229,Units!$A$2:$G$1646,2,FALSE)</f>
        <v/>
      </c>
      <c r="I1229">
        <f>VLOOKUP(B1229,Units!$A$2:$G$1646,5,FALSE)</f>
        <v/>
      </c>
      <c r="J1229" s="3">
        <f>G1229/I1229</f>
        <v/>
      </c>
      <c r="K1229" s="3">
        <f>G1229*12</f>
        <v/>
      </c>
      <c r="L1229" s="3" t="n">
        <v>10920</v>
      </c>
    </row>
    <row r="1230">
      <c r="A1230" t="inlineStr">
        <is>
          <t>TA-2026-00073</t>
        </is>
      </c>
      <c r="B1230" t="inlineStr">
        <is>
          <t>U-BV214-01-33</t>
        </is>
      </c>
      <c r="C1230" t="inlineStr">
        <is>
          <t>Hassan Family Clinic Pte Ltd</t>
        </is>
      </c>
      <c r="D1230" t="inlineStr">
        <is>
          <t>GP Clinic</t>
        </is>
      </c>
      <c r="E1230" s="2" t="n">
        <v>46054</v>
      </c>
      <c r="F1230" s="2" t="n">
        <v>47149</v>
      </c>
      <c r="G1230" s="3" t="n">
        <v>4870</v>
      </c>
      <c r="H1230">
        <f>VLOOKUP(B1230,Units!$A$2:$G$1646,2,FALSE)</f>
        <v/>
      </c>
      <c r="I1230">
        <f>VLOOKUP(B1230,Units!$A$2:$G$1646,5,FALSE)</f>
        <v/>
      </c>
      <c r="J1230" s="3">
        <f>G1230/I1230</f>
        <v/>
      </c>
      <c r="K1230" s="3">
        <f>G1230*12</f>
        <v/>
      </c>
      <c r="L1230" s="3" t="n">
        <v>14610</v>
      </c>
    </row>
    <row r="1231">
      <c r="A1231" t="inlineStr">
        <is>
          <t>TA-2026-00075</t>
        </is>
      </c>
      <c r="B1231" t="inlineStr">
        <is>
          <t>U-BV215-01-09</t>
        </is>
      </c>
      <c r="C1231" t="inlineStr">
        <is>
          <t>Sejahtera Family Clinic</t>
        </is>
      </c>
      <c r="D1231" t="inlineStr">
        <is>
          <t>GP Clinic</t>
        </is>
      </c>
      <c r="E1231" s="2" t="n">
        <v>46054</v>
      </c>
      <c r="F1231" s="2" t="n">
        <v>47149</v>
      </c>
      <c r="G1231" s="3" t="n">
        <v>3200</v>
      </c>
      <c r="H1231">
        <f>VLOOKUP(B1231,Units!$A$2:$G$1646,2,FALSE)</f>
        <v/>
      </c>
      <c r="I1231">
        <f>VLOOKUP(B1231,Units!$A$2:$G$1646,5,FALSE)</f>
        <v/>
      </c>
      <c r="J1231" s="3">
        <f>G1231/I1231</f>
        <v/>
      </c>
      <c r="K1231" s="3">
        <f>G1231*12</f>
        <v/>
      </c>
      <c r="L1231" s="3" t="n">
        <v>9600</v>
      </c>
    </row>
    <row r="1232">
      <c r="A1232" t="inlineStr">
        <is>
          <t>TA-2026-00076</t>
        </is>
      </c>
      <c r="B1232" t="inlineStr">
        <is>
          <t>U-BV216-01-02</t>
        </is>
      </c>
      <c r="C1232" t="inlineStr">
        <is>
          <t>Cosy Flowers &amp; Gifts</t>
        </is>
      </c>
      <c r="D1232" t="inlineStr">
        <is>
          <t>Florist</t>
        </is>
      </c>
      <c r="E1232" s="2" t="n">
        <v>46054</v>
      </c>
      <c r="F1232" s="2" t="n">
        <v>47149</v>
      </c>
      <c r="G1232" s="3" t="n">
        <v>3560</v>
      </c>
      <c r="H1232">
        <f>VLOOKUP(B1232,Units!$A$2:$G$1646,2,FALSE)</f>
        <v/>
      </c>
      <c r="I1232">
        <f>VLOOKUP(B1232,Units!$A$2:$G$1646,5,FALSE)</f>
        <v/>
      </c>
      <c r="J1232" s="3">
        <f>G1232/I1232</f>
        <v/>
      </c>
      <c r="K1232" s="3">
        <f>G1232*12</f>
        <v/>
      </c>
      <c r="L1232" s="3" t="n">
        <v>10680</v>
      </c>
    </row>
    <row r="1233">
      <c r="A1233" t="inlineStr">
        <is>
          <t>TA-2026-00078</t>
        </is>
      </c>
      <c r="B1233" t="inlineStr">
        <is>
          <t>U-BV256-01-08</t>
        </is>
      </c>
      <c r="C1233" t="inlineStr">
        <is>
          <t>Little Sprouts Tuition Centre Pte Ltd</t>
        </is>
      </c>
      <c r="D1233" t="inlineStr">
        <is>
          <t>Tuition Centre</t>
        </is>
      </c>
      <c r="E1233" s="2" t="n">
        <v>46054</v>
      </c>
      <c r="F1233" s="2" t="n">
        <v>47149</v>
      </c>
      <c r="G1233" s="3" t="n">
        <v>3630</v>
      </c>
      <c r="H1233">
        <f>VLOOKUP(B1233,Units!$A$2:$G$1646,2,FALSE)</f>
        <v/>
      </c>
      <c r="I1233">
        <f>VLOOKUP(B1233,Units!$A$2:$G$1646,5,FALSE)</f>
        <v/>
      </c>
      <c r="J1233" s="3">
        <f>G1233/I1233</f>
        <v/>
      </c>
      <c r="K1233" s="3">
        <f>G1233*12</f>
        <v/>
      </c>
      <c r="L1233" s="3" t="n">
        <v>10890</v>
      </c>
    </row>
    <row r="1234">
      <c r="A1234" t="inlineStr">
        <is>
          <t>TA-2026-00079</t>
        </is>
      </c>
      <c r="B1234" t="inlineStr">
        <is>
          <t>U-BV277-01-06</t>
        </is>
      </c>
      <c r="C1234" t="inlineStr">
        <is>
          <t>Al-Ameen Eating Place</t>
        </is>
      </c>
      <c r="D1234" t="inlineStr">
        <is>
          <t>Restaurant</t>
        </is>
      </c>
      <c r="E1234" s="2" t="n">
        <v>46054</v>
      </c>
      <c r="F1234" s="2" t="n">
        <v>47149</v>
      </c>
      <c r="G1234" s="3" t="n">
        <v>5570</v>
      </c>
      <c r="H1234">
        <f>VLOOKUP(B1234,Units!$A$2:$G$1646,2,FALSE)</f>
        <v/>
      </c>
      <c r="I1234">
        <f>VLOOKUP(B1234,Units!$A$2:$G$1646,5,FALSE)</f>
        <v/>
      </c>
      <c r="J1234" s="3">
        <f>G1234/I1234</f>
        <v/>
      </c>
      <c r="K1234" s="3">
        <f>G1234*12</f>
        <v/>
      </c>
      <c r="L1234" s="3" t="n">
        <v>16710</v>
      </c>
    </row>
    <row r="1235">
      <c r="A1235" t="inlineStr">
        <is>
          <t>TA-2026-00080</t>
        </is>
      </c>
      <c r="B1235" t="inlineStr">
        <is>
          <t>U-BV279-01-03</t>
        </is>
      </c>
      <c r="C1235" t="inlineStr">
        <is>
          <t>Nur Money Changer</t>
        </is>
      </c>
      <c r="D1235" t="inlineStr">
        <is>
          <t>Remittance &amp; Money Changer</t>
        </is>
      </c>
      <c r="E1235" s="2" t="n">
        <v>46054</v>
      </c>
      <c r="F1235" s="2" t="n">
        <v>47149</v>
      </c>
      <c r="G1235" s="3" t="n">
        <v>5220</v>
      </c>
      <c r="H1235">
        <f>VLOOKUP(B1235,Units!$A$2:$G$1646,2,FALSE)</f>
        <v/>
      </c>
      <c r="I1235">
        <f>VLOOKUP(B1235,Units!$A$2:$G$1646,5,FALSE)</f>
        <v/>
      </c>
      <c r="J1235" s="3">
        <f>G1235/I1235</f>
        <v/>
      </c>
      <c r="K1235" s="3">
        <f>G1235*12</f>
        <v/>
      </c>
      <c r="L1235" s="3" t="n">
        <v>15660</v>
      </c>
    </row>
    <row r="1236">
      <c r="A1236" t="inlineStr">
        <is>
          <t>TA-2026-00082</t>
        </is>
      </c>
      <c r="B1236" t="inlineStr">
        <is>
          <t>U-BV288-01-05</t>
        </is>
      </c>
      <c r="C1236" t="inlineStr">
        <is>
          <t>Nur Telecom Pte Ltd</t>
        </is>
      </c>
      <c r="D1236" t="inlineStr">
        <is>
          <t>Mobile Phone &amp; Accessories</t>
        </is>
      </c>
      <c r="E1236" s="2" t="n">
        <v>46054</v>
      </c>
      <c r="F1236" s="2" t="n">
        <v>47149</v>
      </c>
      <c r="G1236" s="3" t="n">
        <v>4150</v>
      </c>
      <c r="H1236">
        <f>VLOOKUP(B1236,Units!$A$2:$G$1646,2,FALSE)</f>
        <v/>
      </c>
      <c r="I1236">
        <f>VLOOKUP(B1236,Units!$A$2:$G$1646,5,FALSE)</f>
        <v/>
      </c>
      <c r="J1236" s="3">
        <f>G1236/I1236</f>
        <v/>
      </c>
      <c r="K1236" s="3">
        <f>G1236*12</f>
        <v/>
      </c>
      <c r="L1236" s="3" t="n">
        <v>12450</v>
      </c>
    </row>
    <row r="1237">
      <c r="A1237" t="inlineStr">
        <is>
          <t>TA-2026-00083</t>
        </is>
      </c>
      <c r="B1237" t="inlineStr">
        <is>
          <t>U-BV297-01-03</t>
        </is>
      </c>
      <c r="C1237" t="inlineStr">
        <is>
          <t>Lotus Eye Centre</t>
        </is>
      </c>
      <c r="D1237" t="inlineStr">
        <is>
          <t>Optical</t>
        </is>
      </c>
      <c r="E1237" s="2" t="n">
        <v>46054</v>
      </c>
      <c r="F1237" s="2" t="n">
        <v>47149</v>
      </c>
      <c r="G1237" s="3" t="n">
        <v>7140</v>
      </c>
      <c r="H1237">
        <f>VLOOKUP(B1237,Units!$A$2:$G$1646,2,FALSE)</f>
        <v/>
      </c>
      <c r="I1237">
        <f>VLOOKUP(B1237,Units!$A$2:$G$1646,5,FALSE)</f>
        <v/>
      </c>
      <c r="J1237" s="3">
        <f>G1237/I1237</f>
        <v/>
      </c>
      <c r="K1237" s="3">
        <f>G1237*12</f>
        <v/>
      </c>
      <c r="L1237" s="3" t="n">
        <v>21420</v>
      </c>
    </row>
    <row r="1238">
      <c r="A1238" t="inlineStr">
        <is>
          <t>TA-2026-00084</t>
        </is>
      </c>
      <c r="B1238" t="inlineStr">
        <is>
          <t>U-CD105-01-07</t>
        </is>
      </c>
      <c r="C1238" t="inlineStr">
        <is>
          <t>Harmony Provision Shop Pte Ltd</t>
        </is>
      </c>
      <c r="D1238" t="inlineStr">
        <is>
          <t>Provision Shop</t>
        </is>
      </c>
      <c r="E1238" s="2" t="n">
        <v>46054</v>
      </c>
      <c r="F1238" s="2" t="n">
        <v>47149</v>
      </c>
      <c r="G1238" s="3" t="n">
        <v>3780</v>
      </c>
      <c r="H1238">
        <f>VLOOKUP(B1238,Units!$A$2:$G$1646,2,FALSE)</f>
        <v/>
      </c>
      <c r="I1238">
        <f>VLOOKUP(B1238,Units!$A$2:$G$1646,5,FALSE)</f>
        <v/>
      </c>
      <c r="J1238" s="3">
        <f>G1238/I1238</f>
        <v/>
      </c>
      <c r="K1238" s="3">
        <f>G1238*12</f>
        <v/>
      </c>
      <c r="L1238" s="3" t="n">
        <v>11340</v>
      </c>
    </row>
    <row r="1239">
      <c r="A1239" t="inlineStr">
        <is>
          <t>TA-2026-00086</t>
        </is>
      </c>
      <c r="B1239" t="inlineStr">
        <is>
          <t>U-CD118-01-04</t>
        </is>
      </c>
      <c r="C1239" t="inlineStr">
        <is>
          <t>Heng Ann Tuition Centre</t>
        </is>
      </c>
      <c r="D1239" t="inlineStr">
        <is>
          <t>Tuition Centre</t>
        </is>
      </c>
      <c r="E1239" s="2" t="n">
        <v>46054</v>
      </c>
      <c r="F1239" s="2" t="n">
        <v>47149</v>
      </c>
      <c r="G1239" s="3" t="n">
        <v>3690</v>
      </c>
      <c r="H1239">
        <f>VLOOKUP(B1239,Units!$A$2:$G$1646,2,FALSE)</f>
        <v/>
      </c>
      <c r="I1239">
        <f>VLOOKUP(B1239,Units!$A$2:$G$1646,5,FALSE)</f>
        <v/>
      </c>
      <c r="J1239" s="3">
        <f>G1239/I1239</f>
        <v/>
      </c>
      <c r="K1239" s="3">
        <f>G1239*12</f>
        <v/>
      </c>
      <c r="L1239" s="3" t="n">
        <v>11070</v>
      </c>
    </row>
    <row r="1240">
      <c r="A1240" t="inlineStr">
        <is>
          <t>TA-2026-00088</t>
        </is>
      </c>
      <c r="B1240" t="inlineStr">
        <is>
          <t>U-CD133-02-07</t>
        </is>
      </c>
      <c r="C1240" t="inlineStr">
        <is>
          <t>Wisdom Kindergarten Pte Ltd</t>
        </is>
      </c>
      <c r="D1240" t="inlineStr">
        <is>
          <t>Childcare Centre</t>
        </is>
      </c>
      <c r="E1240" s="2" t="n">
        <v>46054</v>
      </c>
      <c r="F1240" s="2" t="n">
        <v>47149</v>
      </c>
      <c r="G1240" s="3" t="n">
        <v>1840</v>
      </c>
      <c r="H1240">
        <f>VLOOKUP(B1240,Units!$A$2:$G$1646,2,FALSE)</f>
        <v/>
      </c>
      <c r="I1240">
        <f>VLOOKUP(B1240,Units!$A$2:$G$1646,5,FALSE)</f>
        <v/>
      </c>
      <c r="J1240" s="3">
        <f>G1240/I1240</f>
        <v/>
      </c>
      <c r="K1240" s="3">
        <f>G1240*12</f>
        <v/>
      </c>
      <c r="L1240" s="3" t="n">
        <v>5520</v>
      </c>
    </row>
    <row r="1241">
      <c r="A1241" t="inlineStr">
        <is>
          <t>TA-2026-00090</t>
        </is>
      </c>
      <c r="B1241" t="inlineStr">
        <is>
          <t>U-CD135-02-06</t>
        </is>
      </c>
      <c r="C1241" t="inlineStr">
        <is>
          <t>Chop Wah Tuition Centre</t>
        </is>
      </c>
      <c r="D1241" t="inlineStr">
        <is>
          <t>Tuition Centre</t>
        </is>
      </c>
      <c r="E1241" s="2" t="n">
        <v>46054</v>
      </c>
      <c r="F1241" s="2" t="n">
        <v>47149</v>
      </c>
      <c r="G1241" s="3" t="n">
        <v>4170</v>
      </c>
      <c r="H1241">
        <f>VLOOKUP(B1241,Units!$A$2:$G$1646,2,FALSE)</f>
        <v/>
      </c>
      <c r="I1241">
        <f>VLOOKUP(B1241,Units!$A$2:$G$1646,5,FALSE)</f>
        <v/>
      </c>
      <c r="J1241" s="3">
        <f>G1241/I1241</f>
        <v/>
      </c>
      <c r="K1241" s="3">
        <f>G1241*12</f>
        <v/>
      </c>
      <c r="L1241" s="3" t="n">
        <v>12510</v>
      </c>
    </row>
    <row r="1242">
      <c r="A1242" t="inlineStr">
        <is>
          <t>TA-2026-00091</t>
        </is>
      </c>
      <c r="B1242" t="inlineStr">
        <is>
          <t>U-CD152-01-07</t>
        </is>
      </c>
      <c r="C1242" t="inlineStr">
        <is>
          <t>Heng Ann Hardware &amp; Electrical Pte Ltd</t>
        </is>
      </c>
      <c r="D1242" t="inlineStr">
        <is>
          <t>Hardware</t>
        </is>
      </c>
      <c r="E1242" s="2" t="n">
        <v>46054</v>
      </c>
      <c r="F1242" s="2" t="n">
        <v>47149</v>
      </c>
      <c r="G1242" s="3" t="n">
        <v>4320</v>
      </c>
      <c r="H1242">
        <f>VLOOKUP(B1242,Units!$A$2:$G$1646,2,FALSE)</f>
        <v/>
      </c>
      <c r="I1242">
        <f>VLOOKUP(B1242,Units!$A$2:$G$1646,5,FALSE)</f>
        <v/>
      </c>
      <c r="J1242" s="3">
        <f>G1242/I1242</f>
        <v/>
      </c>
      <c r="K1242" s="3">
        <f>G1242*12</f>
        <v/>
      </c>
      <c r="L1242" s="3" t="n">
        <v>12960</v>
      </c>
    </row>
    <row r="1243">
      <c r="A1243" t="inlineStr">
        <is>
          <t>TA-2026-00092</t>
        </is>
      </c>
      <c r="B1243" t="inlineStr">
        <is>
          <t>U-CD152-01-10</t>
        </is>
      </c>
      <c r="C1243" t="inlineStr">
        <is>
          <t>Ong &amp; Sons Aquarium &amp; Pets Pte Ltd</t>
        </is>
      </c>
      <c r="D1243" t="inlineStr">
        <is>
          <t>Pet Shop</t>
        </is>
      </c>
      <c r="E1243" s="2" t="n">
        <v>46054</v>
      </c>
      <c r="F1243" s="2" t="n">
        <v>47149</v>
      </c>
      <c r="G1243" s="3" t="n">
        <v>5620</v>
      </c>
      <c r="H1243">
        <f>VLOOKUP(B1243,Units!$A$2:$G$1646,2,FALSE)</f>
        <v/>
      </c>
      <c r="I1243">
        <f>VLOOKUP(B1243,Units!$A$2:$G$1646,5,FALSE)</f>
        <v/>
      </c>
      <c r="J1243" s="3">
        <f>G1243/I1243</f>
        <v/>
      </c>
      <c r="K1243" s="3">
        <f>G1243*12</f>
        <v/>
      </c>
      <c r="L1243" s="3" t="n">
        <v>16860</v>
      </c>
    </row>
    <row r="1244">
      <c r="A1244" t="inlineStr">
        <is>
          <t>TA-2026-00094</t>
        </is>
      </c>
      <c r="B1244" t="inlineStr">
        <is>
          <t>U-CD153-01-04</t>
        </is>
      </c>
      <c r="C1244" t="inlineStr">
        <is>
          <t>Barakah Dental Care</t>
        </is>
      </c>
      <c r="D1244" t="inlineStr">
        <is>
          <t>Dental Clinic</t>
        </is>
      </c>
      <c r="E1244" s="2" t="n">
        <v>46054</v>
      </c>
      <c r="F1244" s="2" t="n">
        <v>47149</v>
      </c>
      <c r="G1244" s="3" t="n">
        <v>2940</v>
      </c>
      <c r="H1244">
        <f>VLOOKUP(B1244,Units!$A$2:$G$1646,2,FALSE)</f>
        <v/>
      </c>
      <c r="I1244">
        <f>VLOOKUP(B1244,Units!$A$2:$G$1646,5,FALSE)</f>
        <v/>
      </c>
      <c r="J1244" s="3">
        <f>G1244/I1244</f>
        <v/>
      </c>
      <c r="K1244" s="3">
        <f>G1244*12</f>
        <v/>
      </c>
      <c r="L1244" s="3" t="n">
        <v>8820</v>
      </c>
    </row>
    <row r="1245">
      <c r="A1245" t="inlineStr">
        <is>
          <t>TA-2026-00096</t>
        </is>
      </c>
      <c r="B1245" t="inlineStr">
        <is>
          <t>U-CD153-01-06</t>
        </is>
      </c>
      <c r="C1245" t="inlineStr">
        <is>
          <t>Kian Huat Trading</t>
        </is>
      </c>
      <c r="D1245" t="inlineStr">
        <is>
          <t>Provision Shop</t>
        </is>
      </c>
      <c r="E1245" s="2" t="n">
        <v>46054</v>
      </c>
      <c r="F1245" s="2" t="n">
        <v>47149</v>
      </c>
      <c r="G1245" s="3" t="n">
        <v>2930</v>
      </c>
      <c r="H1245">
        <f>VLOOKUP(B1245,Units!$A$2:$G$1646,2,FALSE)</f>
        <v/>
      </c>
      <c r="I1245">
        <f>VLOOKUP(B1245,Units!$A$2:$G$1646,5,FALSE)</f>
        <v/>
      </c>
      <c r="J1245" s="3">
        <f>G1245/I1245</f>
        <v/>
      </c>
      <c r="K1245" s="3">
        <f>G1245*12</f>
        <v/>
      </c>
      <c r="L1245" s="3" t="n">
        <v>8790</v>
      </c>
    </row>
    <row r="1246">
      <c r="A1246" t="inlineStr">
        <is>
          <t>TA-2026-00098</t>
        </is>
      </c>
      <c r="B1246" t="inlineStr">
        <is>
          <t>U-CD160-01-12</t>
        </is>
      </c>
      <c r="C1246" t="inlineStr">
        <is>
          <t>PrimeValue Mart Pte Ltd</t>
        </is>
      </c>
      <c r="D1246" t="inlineStr">
        <is>
          <t>Minimart</t>
        </is>
      </c>
      <c r="E1246" s="2" t="n">
        <v>46054</v>
      </c>
      <c r="F1246" s="2" t="n">
        <v>47149</v>
      </c>
      <c r="G1246" s="3" t="n">
        <v>4380</v>
      </c>
      <c r="H1246">
        <f>VLOOKUP(B1246,Units!$A$2:$G$1646,2,FALSE)</f>
        <v/>
      </c>
      <c r="I1246">
        <f>VLOOKUP(B1246,Units!$A$2:$G$1646,5,FALSE)</f>
        <v/>
      </c>
      <c r="J1246" s="3">
        <f>G1246/I1246</f>
        <v/>
      </c>
      <c r="K1246" s="3">
        <f>G1246*12</f>
        <v/>
      </c>
      <c r="L1246" s="3" t="n">
        <v>13140</v>
      </c>
    </row>
    <row r="1247">
      <c r="A1247" t="inlineStr">
        <is>
          <t>TA-2026-00099</t>
        </is>
      </c>
      <c r="B1247" t="inlineStr">
        <is>
          <t>U-CD174-02-02</t>
        </is>
      </c>
      <c r="C1247" t="inlineStr">
        <is>
          <t>Happy Paws Family Clinic Pte Ltd</t>
        </is>
      </c>
      <c r="D1247" t="inlineStr">
        <is>
          <t>GP Clinic</t>
        </is>
      </c>
      <c r="E1247" s="2" t="n">
        <v>46054</v>
      </c>
      <c r="F1247" s="2" t="n">
        <v>47149</v>
      </c>
      <c r="G1247" s="3" t="n">
        <v>2840</v>
      </c>
      <c r="H1247">
        <f>VLOOKUP(B1247,Units!$A$2:$G$1646,2,FALSE)</f>
        <v/>
      </c>
      <c r="I1247">
        <f>VLOOKUP(B1247,Units!$A$2:$G$1646,5,FALSE)</f>
        <v/>
      </c>
      <c r="J1247" s="3">
        <f>G1247/I1247</f>
        <v/>
      </c>
      <c r="K1247" s="3">
        <f>G1247*12</f>
        <v/>
      </c>
      <c r="L1247" s="3" t="n">
        <v>8520</v>
      </c>
    </row>
    <row r="1248">
      <c r="A1248" t="inlineStr">
        <is>
          <t>TA-2026-00100</t>
        </is>
      </c>
      <c r="B1248" t="inlineStr">
        <is>
          <t>U-CD194-01-06</t>
        </is>
      </c>
      <c r="C1248" t="inlineStr">
        <is>
          <t>Brilliant Family Clinic Pte Ltd</t>
        </is>
      </c>
      <c r="D1248" t="inlineStr">
        <is>
          <t>GP Clinic</t>
        </is>
      </c>
      <c r="E1248" s="2" t="n">
        <v>46054</v>
      </c>
      <c r="F1248" s="2" t="n">
        <v>47149</v>
      </c>
      <c r="G1248" s="3" t="n">
        <v>4360</v>
      </c>
      <c r="H1248">
        <f>VLOOKUP(B1248,Units!$A$2:$G$1646,2,FALSE)</f>
        <v/>
      </c>
      <c r="I1248">
        <f>VLOOKUP(B1248,Units!$A$2:$G$1646,5,FALSE)</f>
        <v/>
      </c>
      <c r="J1248" s="3">
        <f>G1248/I1248</f>
        <v/>
      </c>
      <c r="K1248" s="3">
        <f>G1248*12</f>
        <v/>
      </c>
      <c r="L1248" s="3" t="n">
        <v>13080</v>
      </c>
    </row>
    <row r="1249">
      <c r="A1249" t="inlineStr">
        <is>
          <t>TA-2026-00101</t>
        </is>
      </c>
      <c r="B1249" t="inlineStr">
        <is>
          <t>U-KR305-01-01</t>
        </is>
      </c>
      <c r="C1249" t="inlineStr">
        <is>
          <t>Sri Ganesh Dental Surgery</t>
        </is>
      </c>
      <c r="D1249" t="inlineStr">
        <is>
          <t>Dental Clinic</t>
        </is>
      </c>
      <c r="E1249" s="2" t="n">
        <v>46054</v>
      </c>
      <c r="F1249" s="2" t="n">
        <v>47149</v>
      </c>
      <c r="G1249" s="3" t="n">
        <v>3280</v>
      </c>
      <c r="H1249">
        <f>VLOOKUP(B1249,Units!$A$2:$G$1646,2,FALSE)</f>
        <v/>
      </c>
      <c r="I1249">
        <f>VLOOKUP(B1249,Units!$A$2:$G$1646,5,FALSE)</f>
        <v/>
      </c>
      <c r="J1249" s="3">
        <f>G1249/I1249</f>
        <v/>
      </c>
      <c r="K1249" s="3">
        <f>G1249*12</f>
        <v/>
      </c>
      <c r="L1249" s="3" t="n">
        <v>9840</v>
      </c>
    </row>
    <row r="1250">
      <c r="A1250" t="inlineStr">
        <is>
          <t>TA-2026-00102</t>
        </is>
      </c>
      <c r="B1250" t="inlineStr">
        <is>
          <t>U-KR305-01-11</t>
        </is>
      </c>
      <c r="C1250" t="inlineStr">
        <is>
          <t>Blue Pearl Tuition Centre</t>
        </is>
      </c>
      <c r="D1250" t="inlineStr">
        <is>
          <t>Tuition Centre</t>
        </is>
      </c>
      <c r="E1250" s="2" t="n">
        <v>46054</v>
      </c>
      <c r="F1250" s="2" t="n">
        <v>47149</v>
      </c>
      <c r="G1250" s="3" t="n">
        <v>3540</v>
      </c>
      <c r="H1250">
        <f>VLOOKUP(B1250,Units!$A$2:$G$1646,2,FALSE)</f>
        <v/>
      </c>
      <c r="I1250">
        <f>VLOOKUP(B1250,Units!$A$2:$G$1646,5,FALSE)</f>
        <v/>
      </c>
      <c r="J1250" s="3">
        <f>G1250/I1250</f>
        <v/>
      </c>
      <c r="K1250" s="3">
        <f>G1250*12</f>
        <v/>
      </c>
      <c r="L1250" s="3" t="n">
        <v>10620</v>
      </c>
    </row>
    <row r="1251">
      <c r="A1251" t="inlineStr">
        <is>
          <t>TA-2026-00103</t>
        </is>
      </c>
      <c r="B1251" t="inlineStr">
        <is>
          <t>U-KR310-01-01</t>
        </is>
      </c>
      <c r="C1251" t="inlineStr">
        <is>
          <t>Mei Ling Kopitiam Pte Ltd</t>
        </is>
      </c>
      <c r="D1251" t="inlineStr">
        <is>
          <t>Coffeeshop</t>
        </is>
      </c>
      <c r="E1251" s="2" t="n">
        <v>46054</v>
      </c>
      <c r="F1251" s="2" t="n">
        <v>47149</v>
      </c>
      <c r="G1251" s="3" t="n">
        <v>12470</v>
      </c>
      <c r="H1251">
        <f>VLOOKUP(B1251,Units!$A$2:$G$1646,2,FALSE)</f>
        <v/>
      </c>
      <c r="I1251">
        <f>VLOOKUP(B1251,Units!$A$2:$G$1646,5,FALSE)</f>
        <v/>
      </c>
      <c r="J1251" s="3">
        <f>G1251/I1251</f>
        <v/>
      </c>
      <c r="K1251" s="3">
        <f>G1251*12</f>
        <v/>
      </c>
      <c r="L1251" s="3" t="n">
        <v>37410</v>
      </c>
    </row>
    <row r="1252">
      <c r="A1252" t="inlineStr">
        <is>
          <t>TA-2026-00105</t>
        </is>
      </c>
      <c r="B1252" t="inlineStr">
        <is>
          <t>U-KR317-01-01</t>
        </is>
      </c>
      <c r="C1252" t="inlineStr">
        <is>
          <t>Starlight Florist</t>
        </is>
      </c>
      <c r="D1252" t="inlineStr">
        <is>
          <t>Florist</t>
        </is>
      </c>
      <c r="E1252" s="2" t="n">
        <v>46054</v>
      </c>
      <c r="F1252" s="2" t="n">
        <v>47149</v>
      </c>
      <c r="G1252" s="3" t="n">
        <v>900</v>
      </c>
      <c r="H1252">
        <f>VLOOKUP(B1252,Units!$A$2:$G$1646,2,FALSE)</f>
        <v/>
      </c>
      <c r="I1252">
        <f>VLOOKUP(B1252,Units!$A$2:$G$1646,5,FALSE)</f>
        <v/>
      </c>
      <c r="J1252" s="3">
        <f>G1252/I1252</f>
        <v/>
      </c>
      <c r="K1252" s="3">
        <f>G1252*12</f>
        <v/>
      </c>
      <c r="L1252" s="3" t="n">
        <v>2700</v>
      </c>
    </row>
    <row r="1253">
      <c r="A1253" t="inlineStr">
        <is>
          <t>TA-2026-00107</t>
        </is>
      </c>
      <c r="B1253" t="inlineStr">
        <is>
          <t>U-KR317-01-05</t>
        </is>
      </c>
      <c r="C1253" t="inlineStr">
        <is>
          <t>Tan Brothers TCM Clinic Pte Ltd</t>
        </is>
      </c>
      <c r="D1253" t="inlineStr">
        <is>
          <t>TCM Clinic</t>
        </is>
      </c>
      <c r="E1253" s="2" t="n">
        <v>46054</v>
      </c>
      <c r="F1253" s="2" t="n">
        <v>47149</v>
      </c>
      <c r="G1253" s="3" t="n">
        <v>1770</v>
      </c>
      <c r="H1253">
        <f>VLOOKUP(B1253,Units!$A$2:$G$1646,2,FALSE)</f>
        <v/>
      </c>
      <c r="I1253">
        <f>VLOOKUP(B1253,Units!$A$2:$G$1646,5,FALSE)</f>
        <v/>
      </c>
      <c r="J1253" s="3">
        <f>G1253/I1253</f>
        <v/>
      </c>
      <c r="K1253" s="3">
        <f>G1253*12</f>
        <v/>
      </c>
      <c r="L1253" s="3" t="n">
        <v>5310</v>
      </c>
    </row>
    <row r="1254">
      <c r="A1254" t="inlineStr">
        <is>
          <t>TA-2026-00109</t>
        </is>
      </c>
      <c r="B1254" t="inlineStr">
        <is>
          <t>U-KR317-02-10</t>
        </is>
      </c>
      <c r="C1254" t="inlineStr">
        <is>
          <t>Treasure Education Hub</t>
        </is>
      </c>
      <c r="D1254" t="inlineStr">
        <is>
          <t>Tuition Centre</t>
        </is>
      </c>
      <c r="E1254" s="2" t="n">
        <v>46054</v>
      </c>
      <c r="F1254" s="2" t="n">
        <v>47149</v>
      </c>
      <c r="G1254" s="3" t="n">
        <v>3470</v>
      </c>
      <c r="H1254">
        <f>VLOOKUP(B1254,Units!$A$2:$G$1646,2,FALSE)</f>
        <v/>
      </c>
      <c r="I1254">
        <f>VLOOKUP(B1254,Units!$A$2:$G$1646,5,FALSE)</f>
        <v/>
      </c>
      <c r="J1254" s="3">
        <f>G1254/I1254</f>
        <v/>
      </c>
      <c r="K1254" s="3">
        <f>G1254*12</f>
        <v/>
      </c>
      <c r="L1254" s="3" t="n">
        <v>10410</v>
      </c>
    </row>
    <row r="1255">
      <c r="A1255" t="inlineStr">
        <is>
          <t>TA-2026-00110</t>
        </is>
      </c>
      <c r="B1255" t="inlineStr">
        <is>
          <t>U-KR327-01-06</t>
        </is>
      </c>
      <c r="C1255" t="inlineStr">
        <is>
          <t>Kumar Provision Shop Pte Ltd</t>
        </is>
      </c>
      <c r="D1255" t="inlineStr">
        <is>
          <t>Provision Shop</t>
        </is>
      </c>
      <c r="E1255" s="2" t="n">
        <v>46054</v>
      </c>
      <c r="F1255" s="2" t="n">
        <v>47149</v>
      </c>
      <c r="G1255" s="3" t="n">
        <v>4400</v>
      </c>
      <c r="H1255">
        <f>VLOOKUP(B1255,Units!$A$2:$G$1646,2,FALSE)</f>
        <v/>
      </c>
      <c r="I1255">
        <f>VLOOKUP(B1255,Units!$A$2:$G$1646,5,FALSE)</f>
        <v/>
      </c>
      <c r="J1255" s="3">
        <f>G1255/I1255</f>
        <v/>
      </c>
      <c r="K1255" s="3">
        <f>G1255*12</f>
        <v/>
      </c>
      <c r="L1255" s="3" t="n">
        <v>13200</v>
      </c>
    </row>
    <row r="1256">
      <c r="A1256" t="inlineStr">
        <is>
          <t>TA-2026-00111</t>
        </is>
      </c>
      <c r="B1256" t="inlineStr">
        <is>
          <t>U-KR330-01-04</t>
        </is>
      </c>
      <c r="C1256" t="inlineStr">
        <is>
          <t>Everbright Hair Salon Pte Ltd</t>
        </is>
      </c>
      <c r="D1256" t="inlineStr">
        <is>
          <t>Hair Salon</t>
        </is>
      </c>
      <c r="E1256" s="2" t="n">
        <v>46054</v>
      </c>
      <c r="F1256" s="2" t="n">
        <v>47149</v>
      </c>
      <c r="G1256" s="3" t="n">
        <v>4620</v>
      </c>
      <c r="H1256">
        <f>VLOOKUP(B1256,Units!$A$2:$G$1646,2,FALSE)</f>
        <v/>
      </c>
      <c r="I1256">
        <f>VLOOKUP(B1256,Units!$A$2:$G$1646,5,FALSE)</f>
        <v/>
      </c>
      <c r="J1256" s="3">
        <f>G1256/I1256</f>
        <v/>
      </c>
      <c r="K1256" s="3">
        <f>G1256*12</f>
        <v/>
      </c>
      <c r="L1256" s="3" t="n">
        <v>13860</v>
      </c>
    </row>
    <row r="1257">
      <c r="A1257" t="inlineStr">
        <is>
          <t>TA-2026-00113</t>
        </is>
      </c>
      <c r="B1257" t="inlineStr">
        <is>
          <t>U-KR333-01-02</t>
        </is>
      </c>
      <c r="C1257" t="inlineStr">
        <is>
          <t>Fortune Mobile</t>
        </is>
      </c>
      <c r="D1257" t="inlineStr">
        <is>
          <t>Mobile Phone &amp; Accessories</t>
        </is>
      </c>
      <c r="E1257" s="2" t="n">
        <v>46054</v>
      </c>
      <c r="F1257" s="2" t="n">
        <v>47149</v>
      </c>
      <c r="G1257" s="3" t="n">
        <v>2960</v>
      </c>
      <c r="H1257">
        <f>VLOOKUP(B1257,Units!$A$2:$G$1646,2,FALSE)</f>
        <v/>
      </c>
      <c r="I1257">
        <f>VLOOKUP(B1257,Units!$A$2:$G$1646,5,FALSE)</f>
        <v/>
      </c>
      <c r="J1257" s="3">
        <f>G1257/I1257</f>
        <v/>
      </c>
      <c r="K1257" s="3">
        <f>G1257*12</f>
        <v/>
      </c>
      <c r="L1257" s="3" t="n">
        <v>8880</v>
      </c>
    </row>
    <row r="1258">
      <c r="A1258" t="inlineStr">
        <is>
          <t>TA-2026-00115</t>
        </is>
      </c>
      <c r="B1258" t="inlineStr">
        <is>
          <t>U-KR333-01-04</t>
        </is>
      </c>
      <c r="C1258" t="inlineStr">
        <is>
          <t>Wong's Tea House</t>
        </is>
      </c>
      <c r="D1258" t="inlineStr">
        <is>
          <t>Bubble Tea</t>
        </is>
      </c>
      <c r="E1258" s="2" t="n">
        <v>46054</v>
      </c>
      <c r="F1258" s="2" t="n">
        <v>47149</v>
      </c>
      <c r="G1258" s="3" t="n">
        <v>2740</v>
      </c>
      <c r="H1258">
        <f>VLOOKUP(B1258,Units!$A$2:$G$1646,2,FALSE)</f>
        <v/>
      </c>
      <c r="I1258">
        <f>VLOOKUP(B1258,Units!$A$2:$G$1646,5,FALSE)</f>
        <v/>
      </c>
      <c r="J1258" s="3">
        <f>G1258/I1258</f>
        <v/>
      </c>
      <c r="K1258" s="3">
        <f>G1258*12</f>
        <v/>
      </c>
      <c r="L1258" s="3" t="n">
        <v>8220</v>
      </c>
    </row>
    <row r="1259">
      <c r="A1259" t="inlineStr">
        <is>
          <t>TA-2026-00116</t>
        </is>
      </c>
      <c r="B1259" t="inlineStr">
        <is>
          <t>U-KR358-01-04</t>
        </is>
      </c>
      <c r="C1259" t="inlineStr">
        <is>
          <t>Cahaya Mart Pte Ltd</t>
        </is>
      </c>
      <c r="D1259" t="inlineStr">
        <is>
          <t>Minimart</t>
        </is>
      </c>
      <c r="E1259" s="2" t="n">
        <v>46054</v>
      </c>
      <c r="F1259" s="2" t="n">
        <v>47149</v>
      </c>
      <c r="G1259" s="3" t="n">
        <v>2160</v>
      </c>
      <c r="H1259">
        <f>VLOOKUP(B1259,Units!$A$2:$G$1646,2,FALSE)</f>
        <v/>
      </c>
      <c r="I1259">
        <f>VLOOKUP(B1259,Units!$A$2:$G$1646,5,FALSE)</f>
        <v/>
      </c>
      <c r="J1259" s="3">
        <f>G1259/I1259</f>
        <v/>
      </c>
      <c r="K1259" s="3">
        <f>G1259*12</f>
        <v/>
      </c>
      <c r="L1259" s="3" t="n">
        <v>6480</v>
      </c>
    </row>
    <row r="1260">
      <c r="A1260" t="inlineStr">
        <is>
          <t>TA-2026-00118</t>
        </is>
      </c>
      <c r="B1260" t="inlineStr">
        <is>
          <t>U-KR371-01-03</t>
        </is>
      </c>
      <c r="C1260" t="inlineStr">
        <is>
          <t>Tian Fu Clinic &amp; Surgery Pte Ltd</t>
        </is>
      </c>
      <c r="D1260" t="inlineStr">
        <is>
          <t>GP Clinic</t>
        </is>
      </c>
      <c r="E1260" s="2" t="n">
        <v>46054</v>
      </c>
      <c r="F1260" s="2" t="n">
        <v>47149</v>
      </c>
      <c r="G1260" s="3" t="n">
        <v>5330</v>
      </c>
      <c r="H1260">
        <f>VLOOKUP(B1260,Units!$A$2:$G$1646,2,FALSE)</f>
        <v/>
      </c>
      <c r="I1260">
        <f>VLOOKUP(B1260,Units!$A$2:$G$1646,5,FALSE)</f>
        <v/>
      </c>
      <c r="J1260" s="3">
        <f>G1260/I1260</f>
        <v/>
      </c>
      <c r="K1260" s="3">
        <f>G1260*12</f>
        <v/>
      </c>
      <c r="L1260" s="3" t="n">
        <v>15990</v>
      </c>
    </row>
    <row r="1261">
      <c r="A1261" t="inlineStr">
        <is>
          <t>TA-2026-00119</t>
        </is>
      </c>
      <c r="B1261" t="inlineStr">
        <is>
          <t>U-KR371-01-10</t>
        </is>
      </c>
      <c r="C1261" t="inlineStr">
        <is>
          <t>Treasure Hair Studio</t>
        </is>
      </c>
      <c r="D1261" t="inlineStr">
        <is>
          <t>Hair Salon</t>
        </is>
      </c>
      <c r="E1261" s="2" t="n">
        <v>46054</v>
      </c>
      <c r="F1261" s="2" t="n">
        <v>47149</v>
      </c>
      <c r="G1261" s="3" t="n">
        <v>2400</v>
      </c>
      <c r="H1261">
        <f>VLOOKUP(B1261,Units!$A$2:$G$1646,2,FALSE)</f>
        <v/>
      </c>
      <c r="I1261">
        <f>VLOOKUP(B1261,Units!$A$2:$G$1646,5,FALSE)</f>
        <v/>
      </c>
      <c r="J1261" s="3">
        <f>G1261/I1261</f>
        <v/>
      </c>
      <c r="K1261" s="3">
        <f>G1261*12</f>
        <v/>
      </c>
      <c r="L1261" s="3" t="n">
        <v>7200</v>
      </c>
    </row>
    <row r="1262">
      <c r="A1262" t="inlineStr">
        <is>
          <t>TA-2026-00121</t>
        </is>
      </c>
      <c r="B1262" t="inlineStr">
        <is>
          <t>U-KR379-01-06</t>
        </is>
      </c>
      <c r="C1262" t="inlineStr">
        <is>
          <t>Teck Guan Medical Clinic Pte Ltd</t>
        </is>
      </c>
      <c r="D1262" t="inlineStr">
        <is>
          <t>GP Clinic</t>
        </is>
      </c>
      <c r="E1262" s="2" t="n">
        <v>46054</v>
      </c>
      <c r="F1262" s="2" t="n">
        <v>47149</v>
      </c>
      <c r="G1262" s="3" t="n">
        <v>3140</v>
      </c>
      <c r="H1262">
        <f>VLOOKUP(B1262,Units!$A$2:$G$1646,2,FALSE)</f>
        <v/>
      </c>
      <c r="I1262">
        <f>VLOOKUP(B1262,Units!$A$2:$G$1646,5,FALSE)</f>
        <v/>
      </c>
      <c r="J1262" s="3">
        <f>G1262/I1262</f>
        <v/>
      </c>
      <c r="K1262" s="3">
        <f>G1262*12</f>
        <v/>
      </c>
      <c r="L1262" s="3" t="n">
        <v>9420</v>
      </c>
    </row>
    <row r="1263">
      <c r="A1263" t="inlineStr">
        <is>
          <t>TA-2026-00123</t>
        </is>
      </c>
      <c r="B1263" t="inlineStr">
        <is>
          <t>U-KR385-01-05</t>
        </is>
      </c>
      <c r="C1263" t="inlineStr">
        <is>
          <t>Evergreen Hardware Pte Ltd</t>
        </is>
      </c>
      <c r="D1263" t="inlineStr">
        <is>
          <t>Hardware</t>
        </is>
      </c>
      <c r="E1263" s="2" t="n">
        <v>46054</v>
      </c>
      <c r="F1263" s="2" t="n">
        <v>47149</v>
      </c>
      <c r="G1263" s="3" t="n">
        <v>2810</v>
      </c>
      <c r="H1263">
        <f>VLOOKUP(B1263,Units!$A$2:$G$1646,2,FALSE)</f>
        <v/>
      </c>
      <c r="I1263">
        <f>VLOOKUP(B1263,Units!$A$2:$G$1646,5,FALSE)</f>
        <v/>
      </c>
      <c r="J1263" s="3">
        <f>G1263/I1263</f>
        <v/>
      </c>
      <c r="K1263" s="3">
        <f>G1263*12</f>
        <v/>
      </c>
      <c r="L1263" s="3" t="n">
        <v>8430</v>
      </c>
    </row>
    <row r="1264">
      <c r="A1264" t="inlineStr">
        <is>
          <t>TA-2026-00125</t>
        </is>
      </c>
      <c r="B1264" t="inlineStr">
        <is>
          <t>U-KR385-01-10</t>
        </is>
      </c>
      <c r="C1264" t="inlineStr">
        <is>
          <t>Fresh Valley Telecom Pte Ltd</t>
        </is>
      </c>
      <c r="D1264" t="inlineStr">
        <is>
          <t>Mobile Phone &amp; Accessories</t>
        </is>
      </c>
      <c r="E1264" s="2" t="n">
        <v>46054</v>
      </c>
      <c r="F1264" s="2" t="n">
        <v>47149</v>
      </c>
      <c r="G1264" s="3" t="n">
        <v>2690</v>
      </c>
      <c r="H1264">
        <f>VLOOKUP(B1264,Units!$A$2:$G$1646,2,FALSE)</f>
        <v/>
      </c>
      <c r="I1264">
        <f>VLOOKUP(B1264,Units!$A$2:$G$1646,5,FALSE)</f>
        <v/>
      </c>
      <c r="J1264" s="3">
        <f>G1264/I1264</f>
        <v/>
      </c>
      <c r="K1264" s="3">
        <f>G1264*12</f>
        <v/>
      </c>
      <c r="L1264" s="3" t="n">
        <v>8070</v>
      </c>
    </row>
    <row r="1265">
      <c r="A1265" t="inlineStr">
        <is>
          <t>TA-2026-00127</t>
        </is>
      </c>
      <c r="B1265" t="inlineStr">
        <is>
          <t>U-KR386-01-01</t>
        </is>
      </c>
      <c r="C1265" t="inlineStr">
        <is>
          <t>Seri Murni Hair Salon Pte Ltd</t>
        </is>
      </c>
      <c r="D1265" t="inlineStr">
        <is>
          <t>Hair Salon</t>
        </is>
      </c>
      <c r="E1265" s="2" t="n">
        <v>46054</v>
      </c>
      <c r="F1265" s="2" t="n">
        <v>47149</v>
      </c>
      <c r="G1265" s="3" t="n">
        <v>2800</v>
      </c>
      <c r="H1265">
        <f>VLOOKUP(B1265,Units!$A$2:$G$1646,2,FALSE)</f>
        <v/>
      </c>
      <c r="I1265">
        <f>VLOOKUP(B1265,Units!$A$2:$G$1646,5,FALSE)</f>
        <v/>
      </c>
      <c r="J1265" s="3">
        <f>G1265/I1265</f>
        <v/>
      </c>
      <c r="K1265" s="3">
        <f>G1265*12</f>
        <v/>
      </c>
      <c r="L1265" s="3" t="n">
        <v>8400</v>
      </c>
    </row>
    <row r="1266">
      <c r="A1266" t="inlineStr">
        <is>
          <t>TA-2026-00128</t>
        </is>
      </c>
      <c r="B1266" t="inlineStr">
        <is>
          <t>U-PI601-01-03</t>
        </is>
      </c>
      <c r="C1266" t="inlineStr">
        <is>
          <t>Bloom Hardware &amp; Electrical</t>
        </is>
      </c>
      <c r="D1266" t="inlineStr">
        <is>
          <t>Hardware</t>
        </is>
      </c>
      <c r="E1266" s="2" t="n">
        <v>46054</v>
      </c>
      <c r="F1266" s="2" t="n">
        <v>47149</v>
      </c>
      <c r="G1266" s="3" t="n">
        <v>3930</v>
      </c>
      <c r="H1266">
        <f>VLOOKUP(B1266,Units!$A$2:$G$1646,2,FALSE)</f>
        <v/>
      </c>
      <c r="I1266">
        <f>VLOOKUP(B1266,Units!$A$2:$G$1646,5,FALSE)</f>
        <v/>
      </c>
      <c r="J1266" s="3">
        <f>G1266/I1266</f>
        <v/>
      </c>
      <c r="K1266" s="3">
        <f>G1266*12</f>
        <v/>
      </c>
      <c r="L1266" s="3" t="n">
        <v>11790</v>
      </c>
    </row>
    <row r="1267">
      <c r="A1267" t="inlineStr">
        <is>
          <t>TA-2026-00129</t>
        </is>
      </c>
      <c r="B1267" t="inlineStr">
        <is>
          <t>U-PI626-02-06</t>
        </is>
      </c>
      <c r="C1267" t="inlineStr">
        <is>
          <t>Hup Seng Dental Care Pte Ltd</t>
        </is>
      </c>
      <c r="D1267" t="inlineStr">
        <is>
          <t>Dental Clinic</t>
        </is>
      </c>
      <c r="E1267" s="2" t="n">
        <v>46054</v>
      </c>
      <c r="F1267" s="2" t="n">
        <v>47149</v>
      </c>
      <c r="G1267" s="3" t="n">
        <v>2290</v>
      </c>
      <c r="H1267">
        <f>VLOOKUP(B1267,Units!$A$2:$G$1646,2,FALSE)</f>
        <v/>
      </c>
      <c r="I1267">
        <f>VLOOKUP(B1267,Units!$A$2:$G$1646,5,FALSE)</f>
        <v/>
      </c>
      <c r="J1267" s="3">
        <f>G1267/I1267</f>
        <v/>
      </c>
      <c r="K1267" s="3">
        <f>G1267*12</f>
        <v/>
      </c>
      <c r="L1267" s="3" t="n">
        <v>6870</v>
      </c>
    </row>
    <row r="1268">
      <c r="A1268" t="inlineStr">
        <is>
          <t>TA-2026-00130</t>
        </is>
      </c>
      <c r="B1268" t="inlineStr">
        <is>
          <t>U-PI627-01-22</t>
        </is>
      </c>
      <c r="C1268" t="inlineStr">
        <is>
          <t>Little Sprouts Telecom Pte Ltd</t>
        </is>
      </c>
      <c r="D1268" t="inlineStr">
        <is>
          <t>Mobile Phone &amp; Accessories</t>
        </is>
      </c>
      <c r="E1268" s="2" t="n">
        <v>46054</v>
      </c>
      <c r="F1268" s="2" t="n">
        <v>47149</v>
      </c>
      <c r="G1268" s="3" t="n">
        <v>1160</v>
      </c>
      <c r="H1268">
        <f>VLOOKUP(B1268,Units!$A$2:$G$1646,2,FALSE)</f>
        <v/>
      </c>
      <c r="I1268">
        <f>VLOOKUP(B1268,Units!$A$2:$G$1646,5,FALSE)</f>
        <v/>
      </c>
      <c r="J1268" s="3">
        <f>G1268/I1268</f>
        <v/>
      </c>
      <c r="K1268" s="3">
        <f>G1268*12</f>
        <v/>
      </c>
      <c r="L1268" s="3" t="n">
        <v>3480</v>
      </c>
    </row>
    <row r="1269">
      <c r="A1269" t="inlineStr">
        <is>
          <t>TA-2026-00131</t>
        </is>
      </c>
      <c r="B1269" t="inlineStr">
        <is>
          <t>U-PI644-01-08</t>
        </is>
      </c>
      <c r="C1269" t="inlineStr">
        <is>
          <t>Lucky Star Key &amp; Shoe Service Pte Ltd</t>
        </is>
      </c>
      <c r="D1269" t="inlineStr">
        <is>
          <t>Key Cutting &amp; Shoe Repair</t>
        </is>
      </c>
      <c r="E1269" s="2" t="n">
        <v>46054</v>
      </c>
      <c r="F1269" s="2" t="n">
        <v>47149</v>
      </c>
      <c r="G1269" s="3" t="n">
        <v>900</v>
      </c>
      <c r="H1269">
        <f>VLOOKUP(B1269,Units!$A$2:$G$1646,2,FALSE)</f>
        <v/>
      </c>
      <c r="I1269">
        <f>VLOOKUP(B1269,Units!$A$2:$G$1646,5,FALSE)</f>
        <v/>
      </c>
      <c r="J1269" s="3">
        <f>G1269/I1269</f>
        <v/>
      </c>
      <c r="K1269" s="3">
        <f>G1269*12</f>
        <v/>
      </c>
      <c r="L1269" s="3" t="n">
        <v>2700</v>
      </c>
    </row>
    <row r="1270">
      <c r="A1270" t="inlineStr">
        <is>
          <t>TA-2026-00132</t>
        </is>
      </c>
      <c r="B1270" t="inlineStr">
        <is>
          <t>U-PI644-01-13</t>
        </is>
      </c>
      <c r="C1270" t="inlineStr">
        <is>
          <t>Thye Hin Kitchen Pte Ltd</t>
        </is>
      </c>
      <c r="D1270" t="inlineStr">
        <is>
          <t>Restaurant</t>
        </is>
      </c>
      <c r="E1270" s="2" t="n">
        <v>46054</v>
      </c>
      <c r="F1270" s="2" t="n">
        <v>47149</v>
      </c>
      <c r="G1270" s="3" t="n">
        <v>2100</v>
      </c>
      <c r="H1270">
        <f>VLOOKUP(B1270,Units!$A$2:$G$1646,2,FALSE)</f>
        <v/>
      </c>
      <c r="I1270">
        <f>VLOOKUP(B1270,Units!$A$2:$G$1646,5,FALSE)</f>
        <v/>
      </c>
      <c r="J1270" s="3">
        <f>G1270/I1270</f>
        <v/>
      </c>
      <c r="K1270" s="3">
        <f>G1270*12</f>
        <v/>
      </c>
      <c r="L1270" s="3" t="n">
        <v>6300</v>
      </c>
    </row>
    <row r="1271">
      <c r="A1271" t="inlineStr">
        <is>
          <t>TA-2026-00134</t>
        </is>
      </c>
      <c r="B1271" t="inlineStr">
        <is>
          <t>U-PI648-01-05</t>
        </is>
      </c>
      <c r="C1271" t="inlineStr">
        <is>
          <t>Lim's Family Clinic Pte Ltd</t>
        </is>
      </c>
      <c r="D1271" t="inlineStr">
        <is>
          <t>GP Clinic</t>
        </is>
      </c>
      <c r="E1271" s="2" t="n">
        <v>46054</v>
      </c>
      <c r="F1271" s="2" t="n">
        <v>47149</v>
      </c>
      <c r="G1271" s="3" t="n">
        <v>3360</v>
      </c>
      <c r="H1271">
        <f>VLOOKUP(B1271,Units!$A$2:$G$1646,2,FALSE)</f>
        <v/>
      </c>
      <c r="I1271">
        <f>VLOOKUP(B1271,Units!$A$2:$G$1646,5,FALSE)</f>
        <v/>
      </c>
      <c r="J1271" s="3">
        <f>G1271/I1271</f>
        <v/>
      </c>
      <c r="K1271" s="3">
        <f>G1271*12</f>
        <v/>
      </c>
      <c r="L1271" s="3" t="n">
        <v>10080</v>
      </c>
    </row>
    <row r="1272">
      <c r="A1272" t="inlineStr">
        <is>
          <t>TA-2026-00135</t>
        </is>
      </c>
      <c r="B1272" t="inlineStr">
        <is>
          <t>U-PI657-02-01</t>
        </is>
      </c>
      <c r="C1272" t="inlineStr">
        <is>
          <t>Old Town Consultancy</t>
        </is>
      </c>
      <c r="D1272" t="inlineStr">
        <is>
          <t>Professional Services Office</t>
        </is>
      </c>
      <c r="E1272" s="2" t="n">
        <v>46054</v>
      </c>
      <c r="F1272" s="2" t="n">
        <v>47149</v>
      </c>
      <c r="G1272" s="3" t="n">
        <v>3940</v>
      </c>
      <c r="H1272">
        <f>VLOOKUP(B1272,Units!$A$2:$G$1646,2,FALSE)</f>
        <v/>
      </c>
      <c r="I1272">
        <f>VLOOKUP(B1272,Units!$A$2:$G$1646,5,FALSE)</f>
        <v/>
      </c>
      <c r="J1272" s="3">
        <f>G1272/I1272</f>
        <v/>
      </c>
      <c r="K1272" s="3">
        <f>G1272*12</f>
        <v/>
      </c>
      <c r="L1272" s="3" t="n">
        <v>11820</v>
      </c>
    </row>
    <row r="1273">
      <c r="A1273" t="inlineStr">
        <is>
          <t>TA-2026-00137</t>
        </is>
      </c>
      <c r="B1273" t="inlineStr">
        <is>
          <t>U-PI668-01-03</t>
        </is>
      </c>
      <c r="C1273" t="inlineStr">
        <is>
          <t>Ong &amp; Sons Fruit Trading</t>
        </is>
      </c>
      <c r="D1273" t="inlineStr">
        <is>
          <t>Fruit Shop</t>
        </is>
      </c>
      <c r="E1273" s="2" t="n">
        <v>46054</v>
      </c>
      <c r="F1273" s="2" t="n">
        <v>47149</v>
      </c>
      <c r="G1273" s="3" t="n">
        <v>3260</v>
      </c>
      <c r="H1273">
        <f>VLOOKUP(B1273,Units!$A$2:$G$1646,2,FALSE)</f>
        <v/>
      </c>
      <c r="I1273">
        <f>VLOOKUP(B1273,Units!$A$2:$G$1646,5,FALSE)</f>
        <v/>
      </c>
      <c r="J1273" s="3">
        <f>G1273/I1273</f>
        <v/>
      </c>
      <c r="K1273" s="3">
        <f>G1273*12</f>
        <v/>
      </c>
      <c r="L1273" s="3" t="n">
        <v>9780</v>
      </c>
    </row>
    <row r="1274">
      <c r="A1274" t="inlineStr">
        <is>
          <t>TA-2026-00139</t>
        </is>
      </c>
      <c r="B1274" t="inlineStr">
        <is>
          <t>U-PI678-01-09</t>
        </is>
      </c>
      <c r="C1274" t="inlineStr">
        <is>
          <t>Murugan Supermarket</t>
        </is>
      </c>
      <c r="D1274" t="inlineStr">
        <is>
          <t>Minimart</t>
        </is>
      </c>
      <c r="E1274" s="2" t="n">
        <v>46054</v>
      </c>
      <c r="F1274" s="2" t="n">
        <v>47149</v>
      </c>
      <c r="G1274" s="3" t="n">
        <v>2560</v>
      </c>
      <c r="H1274">
        <f>VLOOKUP(B1274,Units!$A$2:$G$1646,2,FALSE)</f>
        <v/>
      </c>
      <c r="I1274">
        <f>VLOOKUP(B1274,Units!$A$2:$G$1646,5,FALSE)</f>
        <v/>
      </c>
      <c r="J1274" s="3">
        <f>G1274/I1274</f>
        <v/>
      </c>
      <c r="K1274" s="3">
        <f>G1274*12</f>
        <v/>
      </c>
      <c r="L1274" s="3" t="n">
        <v>7680</v>
      </c>
    </row>
    <row r="1275">
      <c r="A1275" t="inlineStr">
        <is>
          <t>TA-2026-00140</t>
        </is>
      </c>
      <c r="B1275" t="inlineStr">
        <is>
          <t>U-RH434-01-02</t>
        </is>
      </c>
      <c r="C1275" t="inlineStr">
        <is>
          <t>Sunflower Supermarket</t>
        </is>
      </c>
      <c r="D1275" t="inlineStr">
        <is>
          <t>Minimart</t>
        </is>
      </c>
      <c r="E1275" s="2" t="n">
        <v>46054</v>
      </c>
      <c r="F1275" s="2" t="n">
        <v>47149</v>
      </c>
      <c r="G1275" s="3" t="n">
        <v>1670</v>
      </c>
      <c r="H1275">
        <f>VLOOKUP(B1275,Units!$A$2:$G$1646,2,FALSE)</f>
        <v/>
      </c>
      <c r="I1275">
        <f>VLOOKUP(B1275,Units!$A$2:$G$1646,5,FALSE)</f>
        <v/>
      </c>
      <c r="J1275" s="3">
        <f>G1275/I1275</f>
        <v/>
      </c>
      <c r="K1275" s="3">
        <f>G1275*12</f>
        <v/>
      </c>
      <c r="L1275" s="3" t="n">
        <v>5010</v>
      </c>
    </row>
    <row r="1276">
      <c r="A1276" t="inlineStr">
        <is>
          <t>TA-2026-00141</t>
        </is>
      </c>
      <c r="B1276" t="inlineStr">
        <is>
          <t>U-RH437-01-01</t>
        </is>
      </c>
      <c r="C1276" t="inlineStr">
        <is>
          <t>PrimeValue Mart Pte Ltd</t>
        </is>
      </c>
      <c r="D1276" t="inlineStr">
        <is>
          <t>Minimart</t>
        </is>
      </c>
      <c r="E1276" s="2" t="n">
        <v>46054</v>
      </c>
      <c r="F1276" s="2" t="n">
        <v>47149</v>
      </c>
      <c r="G1276" s="3" t="n">
        <v>4250</v>
      </c>
      <c r="H1276">
        <f>VLOOKUP(B1276,Units!$A$2:$G$1646,2,FALSE)</f>
        <v/>
      </c>
      <c r="I1276">
        <f>VLOOKUP(B1276,Units!$A$2:$G$1646,5,FALSE)</f>
        <v/>
      </c>
      <c r="J1276" s="3">
        <f>G1276/I1276</f>
        <v/>
      </c>
      <c r="K1276" s="3">
        <f>G1276*12</f>
        <v/>
      </c>
      <c r="L1276" s="3" t="n">
        <v>12750</v>
      </c>
    </row>
    <row r="1277">
      <c r="A1277" t="inlineStr">
        <is>
          <t>TA-2026-00142</t>
        </is>
      </c>
      <c r="B1277" t="inlineStr">
        <is>
          <t>U-RH450-01-05</t>
        </is>
      </c>
      <c r="C1277" t="inlineStr">
        <is>
          <t>Smart Kids Store Pte Ltd</t>
        </is>
      </c>
      <c r="D1277" t="inlineStr">
        <is>
          <t>Provision Shop</t>
        </is>
      </c>
      <c r="E1277" s="2" t="n">
        <v>46054</v>
      </c>
      <c r="F1277" s="2" t="n">
        <v>47149</v>
      </c>
      <c r="G1277" s="3" t="n">
        <v>2540</v>
      </c>
      <c r="H1277">
        <f>VLOOKUP(B1277,Units!$A$2:$G$1646,2,FALSE)</f>
        <v/>
      </c>
      <c r="I1277">
        <f>VLOOKUP(B1277,Units!$A$2:$G$1646,5,FALSE)</f>
        <v/>
      </c>
      <c r="J1277" s="3">
        <f>G1277/I1277</f>
        <v/>
      </c>
      <c r="K1277" s="3">
        <f>G1277*12</f>
        <v/>
      </c>
      <c r="L1277" s="3" t="n">
        <v>7620</v>
      </c>
    </row>
    <row r="1278">
      <c r="A1278" t="inlineStr">
        <is>
          <t>TA-2026-00143</t>
        </is>
      </c>
      <c r="B1278" t="inlineStr">
        <is>
          <t>U-RH455-01-26</t>
        </is>
      </c>
      <c r="C1278" t="inlineStr">
        <is>
          <t>Thye Hin Kueh Corner</t>
        </is>
      </c>
      <c r="D1278" t="inlineStr">
        <is>
          <t>Snack Kiosk</t>
        </is>
      </c>
      <c r="E1278" s="2" t="n">
        <v>46054</v>
      </c>
      <c r="F1278" s="2" t="n">
        <v>47149</v>
      </c>
      <c r="G1278" s="3" t="n">
        <v>900</v>
      </c>
      <c r="H1278">
        <f>VLOOKUP(B1278,Units!$A$2:$G$1646,2,FALSE)</f>
        <v/>
      </c>
      <c r="I1278">
        <f>VLOOKUP(B1278,Units!$A$2:$G$1646,5,FALSE)</f>
        <v/>
      </c>
      <c r="J1278" s="3">
        <f>G1278/I1278</f>
        <v/>
      </c>
      <c r="K1278" s="3">
        <f>G1278*12</f>
        <v/>
      </c>
      <c r="L1278" s="3" t="n">
        <v>2700</v>
      </c>
    </row>
    <row r="1279">
      <c r="A1279" t="inlineStr">
        <is>
          <t>TA-2026-00144</t>
        </is>
      </c>
      <c r="B1279" t="inlineStr">
        <is>
          <t>U-RH463-01-02</t>
        </is>
      </c>
      <c r="C1279" t="inlineStr">
        <is>
          <t>Orchid Hardware Pte Ltd</t>
        </is>
      </c>
      <c r="D1279" t="inlineStr">
        <is>
          <t>Hardware</t>
        </is>
      </c>
      <c r="E1279" s="2" t="n">
        <v>46054</v>
      </c>
      <c r="F1279" s="2" t="n">
        <v>47149</v>
      </c>
      <c r="G1279" s="3" t="n">
        <v>3370</v>
      </c>
      <c r="H1279">
        <f>VLOOKUP(B1279,Units!$A$2:$G$1646,2,FALSE)</f>
        <v/>
      </c>
      <c r="I1279">
        <f>VLOOKUP(B1279,Units!$A$2:$G$1646,5,FALSE)</f>
        <v/>
      </c>
      <c r="J1279" s="3">
        <f>G1279/I1279</f>
        <v/>
      </c>
      <c r="K1279" s="3">
        <f>G1279*12</f>
        <v/>
      </c>
      <c r="L1279" s="3" t="n">
        <v>10110</v>
      </c>
    </row>
    <row r="1280">
      <c r="A1280" t="inlineStr">
        <is>
          <t>TA-2026-00146</t>
        </is>
      </c>
      <c r="B1280" t="inlineStr">
        <is>
          <t>U-ST501-01-13</t>
        </is>
      </c>
      <c r="C1280" t="inlineStr">
        <is>
          <t>Sri Ganesh Provision Shop</t>
        </is>
      </c>
      <c r="D1280" t="inlineStr">
        <is>
          <t>Provision Shop</t>
        </is>
      </c>
      <c r="E1280" s="2" t="n">
        <v>46054</v>
      </c>
      <c r="F1280" s="2" t="n">
        <v>47149</v>
      </c>
      <c r="G1280" s="3" t="n">
        <v>3040</v>
      </c>
      <c r="H1280">
        <f>VLOOKUP(B1280,Units!$A$2:$G$1646,2,FALSE)</f>
        <v/>
      </c>
      <c r="I1280">
        <f>VLOOKUP(B1280,Units!$A$2:$G$1646,5,FALSE)</f>
        <v/>
      </c>
      <c r="J1280" s="3">
        <f>G1280/I1280</f>
        <v/>
      </c>
      <c r="K1280" s="3">
        <f>G1280*12</f>
        <v/>
      </c>
      <c r="L1280" s="3" t="n">
        <v>9120</v>
      </c>
    </row>
    <row r="1281">
      <c r="A1281" t="inlineStr">
        <is>
          <t>TA-2026-00147</t>
        </is>
      </c>
      <c r="B1281" t="inlineStr">
        <is>
          <t>U-ST506-01-06</t>
        </is>
      </c>
      <c r="C1281" t="inlineStr">
        <is>
          <t>Ong &amp; Sons Boba Bar Pte Ltd</t>
        </is>
      </c>
      <c r="D1281" t="inlineStr">
        <is>
          <t>Bubble Tea</t>
        </is>
      </c>
      <c r="E1281" s="2" t="n">
        <v>46054</v>
      </c>
      <c r="F1281" s="2" t="n">
        <v>47149</v>
      </c>
      <c r="G1281" s="3" t="n">
        <v>900</v>
      </c>
      <c r="H1281">
        <f>VLOOKUP(B1281,Units!$A$2:$G$1646,2,FALSE)</f>
        <v/>
      </c>
      <c r="I1281">
        <f>VLOOKUP(B1281,Units!$A$2:$G$1646,5,FALSE)</f>
        <v/>
      </c>
      <c r="J1281" s="3">
        <f>G1281/I1281</f>
        <v/>
      </c>
      <c r="K1281" s="3">
        <f>G1281*12</f>
        <v/>
      </c>
      <c r="L1281" s="3" t="n">
        <v>2700</v>
      </c>
    </row>
    <row r="1282">
      <c r="A1282" t="inlineStr">
        <is>
          <t>TA-2026-00149</t>
        </is>
      </c>
      <c r="B1282" t="inlineStr">
        <is>
          <t>U-ST512-01-18</t>
        </is>
      </c>
      <c r="C1282" t="inlineStr">
        <is>
          <t>Smart Kids Tea House</t>
        </is>
      </c>
      <c r="D1282" t="inlineStr">
        <is>
          <t>Bubble Tea</t>
        </is>
      </c>
      <c r="E1282" s="2" t="n">
        <v>46054</v>
      </c>
      <c r="F1282" s="2" t="n">
        <v>47149</v>
      </c>
      <c r="G1282" s="3" t="n">
        <v>900</v>
      </c>
      <c r="H1282">
        <f>VLOOKUP(B1282,Units!$A$2:$G$1646,2,FALSE)</f>
        <v/>
      </c>
      <c r="I1282">
        <f>VLOOKUP(B1282,Units!$A$2:$G$1646,5,FALSE)</f>
        <v/>
      </c>
      <c r="J1282" s="3">
        <f>G1282/I1282</f>
        <v/>
      </c>
      <c r="K1282" s="3">
        <f>G1282*12</f>
        <v/>
      </c>
      <c r="L1282" s="3" t="n">
        <v>2700</v>
      </c>
    </row>
    <row r="1283">
      <c r="A1283" t="inlineStr">
        <is>
          <t>TA-2026-00151</t>
        </is>
      </c>
      <c r="B1283" t="inlineStr">
        <is>
          <t>U-ST534-01-10</t>
        </is>
      </c>
      <c r="C1283" t="inlineStr">
        <is>
          <t>Seri Murni Provision Shop Pte Ltd</t>
        </is>
      </c>
      <c r="D1283" t="inlineStr">
        <is>
          <t>Provision Shop</t>
        </is>
      </c>
      <c r="E1283" s="2" t="n">
        <v>46054</v>
      </c>
      <c r="F1283" s="2" t="n">
        <v>47149</v>
      </c>
      <c r="G1283" s="3" t="n">
        <v>3920</v>
      </c>
      <c r="H1283">
        <f>VLOOKUP(B1283,Units!$A$2:$G$1646,2,FALSE)</f>
        <v/>
      </c>
      <c r="I1283">
        <f>VLOOKUP(B1283,Units!$A$2:$G$1646,5,FALSE)</f>
        <v/>
      </c>
      <c r="J1283" s="3">
        <f>G1283/I1283</f>
        <v/>
      </c>
      <c r="K1283" s="3">
        <f>G1283*12</f>
        <v/>
      </c>
      <c r="L1283" s="3" t="n">
        <v>11760</v>
      </c>
    </row>
    <row r="1284">
      <c r="A1284" t="inlineStr">
        <is>
          <t>TA-2026-00152</t>
        </is>
      </c>
      <c r="B1284" t="inlineStr">
        <is>
          <t>U-ST538-01-02</t>
        </is>
      </c>
      <c r="C1284" t="inlineStr">
        <is>
          <t>Kim Hiap Boba Bar Pte Ltd</t>
        </is>
      </c>
      <c r="D1284" t="inlineStr">
        <is>
          <t>Bubble Tea</t>
        </is>
      </c>
      <c r="E1284" s="2" t="n">
        <v>46054</v>
      </c>
      <c r="F1284" s="2" t="n">
        <v>47149</v>
      </c>
      <c r="G1284" s="3" t="n">
        <v>1270</v>
      </c>
      <c r="H1284">
        <f>VLOOKUP(B1284,Units!$A$2:$G$1646,2,FALSE)</f>
        <v/>
      </c>
      <c r="I1284">
        <f>VLOOKUP(B1284,Units!$A$2:$G$1646,5,FALSE)</f>
        <v/>
      </c>
      <c r="J1284" s="3">
        <f>G1284/I1284</f>
        <v/>
      </c>
      <c r="K1284" s="3">
        <f>G1284*12</f>
        <v/>
      </c>
      <c r="L1284" s="3" t="n">
        <v>3810</v>
      </c>
    </row>
    <row r="1285">
      <c r="A1285" t="inlineStr">
        <is>
          <t>TA-2026-00153</t>
        </is>
      </c>
      <c r="B1285" t="inlineStr">
        <is>
          <t>U-ST538-01-05</t>
        </is>
      </c>
      <c r="C1285" t="inlineStr">
        <is>
          <t>Kampung Medical Hall</t>
        </is>
      </c>
      <c r="D1285" t="inlineStr">
        <is>
          <t>TCM Clinic</t>
        </is>
      </c>
      <c r="E1285" s="2" t="n">
        <v>46054</v>
      </c>
      <c r="F1285" s="2" t="n">
        <v>47149</v>
      </c>
      <c r="G1285" s="3" t="n">
        <v>3770</v>
      </c>
      <c r="H1285">
        <f>VLOOKUP(B1285,Units!$A$2:$G$1646,2,FALSE)</f>
        <v/>
      </c>
      <c r="I1285">
        <f>VLOOKUP(B1285,Units!$A$2:$G$1646,5,FALSE)</f>
        <v/>
      </c>
      <c r="J1285" s="3">
        <f>G1285/I1285</f>
        <v/>
      </c>
      <c r="K1285" s="3">
        <f>G1285*12</f>
        <v/>
      </c>
      <c r="L1285" s="3" t="n">
        <v>11310</v>
      </c>
    </row>
    <row r="1286">
      <c r="A1286" t="inlineStr">
        <is>
          <t>TA-2026-00155</t>
        </is>
      </c>
      <c r="B1286" t="inlineStr">
        <is>
          <t>U-BV205-01-02</t>
        </is>
      </c>
      <c r="C1286" t="inlineStr">
        <is>
          <t>Treasure Florist</t>
        </is>
      </c>
      <c r="D1286" t="inlineStr">
        <is>
          <t>Florist</t>
        </is>
      </c>
      <c r="E1286" s="2" t="n">
        <v>46082</v>
      </c>
      <c r="F1286" s="2" t="n">
        <v>47177</v>
      </c>
      <c r="G1286" s="3" t="n">
        <v>1300</v>
      </c>
      <c r="H1286">
        <f>VLOOKUP(B1286,Units!$A$2:$G$1646,2,FALSE)</f>
        <v/>
      </c>
      <c r="I1286">
        <f>VLOOKUP(B1286,Units!$A$2:$G$1646,5,FALSE)</f>
        <v/>
      </c>
      <c r="J1286" s="3">
        <f>G1286/I1286</f>
        <v/>
      </c>
      <c r="K1286" s="3">
        <f>G1286*12</f>
        <v/>
      </c>
      <c r="L1286" s="3" t="n">
        <v>3900</v>
      </c>
    </row>
    <row r="1287">
      <c r="A1287" t="inlineStr">
        <is>
          <t>TA-2026-00157</t>
        </is>
      </c>
      <c r="B1287" t="inlineStr">
        <is>
          <t>U-BV231-01-02</t>
        </is>
      </c>
      <c r="C1287" t="inlineStr">
        <is>
          <t>Kampung Kitchen</t>
        </is>
      </c>
      <c r="D1287" t="inlineStr">
        <is>
          <t>Restaurant</t>
        </is>
      </c>
      <c r="E1287" s="2" t="n">
        <v>46082</v>
      </c>
      <c r="F1287" s="2" t="n">
        <v>47177</v>
      </c>
      <c r="G1287" s="3" t="n">
        <v>3260</v>
      </c>
      <c r="H1287">
        <f>VLOOKUP(B1287,Units!$A$2:$G$1646,2,FALSE)</f>
        <v/>
      </c>
      <c r="I1287">
        <f>VLOOKUP(B1287,Units!$A$2:$G$1646,5,FALSE)</f>
        <v/>
      </c>
      <c r="J1287" s="3">
        <f>G1287/I1287</f>
        <v/>
      </c>
      <c r="K1287" s="3">
        <f>G1287*12</f>
        <v/>
      </c>
      <c r="L1287" s="3" t="n">
        <v>9780</v>
      </c>
    </row>
    <row r="1288">
      <c r="A1288" t="inlineStr">
        <is>
          <t>TA-2026-00158</t>
        </is>
      </c>
      <c r="B1288" t="inlineStr">
        <is>
          <t>U-BV233-01-10</t>
        </is>
      </c>
      <c r="C1288" t="inlineStr">
        <is>
          <t>Lotus Flowers &amp; Gifts</t>
        </is>
      </c>
      <c r="D1288" t="inlineStr">
        <is>
          <t>Florist</t>
        </is>
      </c>
      <c r="E1288" s="2" t="n">
        <v>46082</v>
      </c>
      <c r="F1288" s="2" t="n">
        <v>47177</v>
      </c>
      <c r="G1288" s="3" t="n">
        <v>5070</v>
      </c>
      <c r="H1288">
        <f>VLOOKUP(B1288,Units!$A$2:$G$1646,2,FALSE)</f>
        <v/>
      </c>
      <c r="I1288">
        <f>VLOOKUP(B1288,Units!$A$2:$G$1646,5,FALSE)</f>
        <v/>
      </c>
      <c r="J1288" s="3">
        <f>G1288/I1288</f>
        <v/>
      </c>
      <c r="K1288" s="3">
        <f>G1288*12</f>
        <v/>
      </c>
      <c r="L1288" s="3" t="n">
        <v>15210</v>
      </c>
    </row>
    <row r="1289">
      <c r="A1289" t="inlineStr">
        <is>
          <t>TA-2026-00160</t>
        </is>
      </c>
      <c r="B1289" t="inlineStr">
        <is>
          <t>U-BV233-02-11</t>
        </is>
      </c>
      <c r="C1289" t="inlineStr">
        <is>
          <t>Ah Seng Consultancy Pte Ltd</t>
        </is>
      </c>
      <c r="D1289" t="inlineStr">
        <is>
          <t>Professional Services Office</t>
        </is>
      </c>
      <c r="E1289" s="2" t="n">
        <v>46082</v>
      </c>
      <c r="F1289" s="2" t="n">
        <v>47177</v>
      </c>
      <c r="G1289" s="3" t="n">
        <v>3550</v>
      </c>
      <c r="H1289">
        <f>VLOOKUP(B1289,Units!$A$2:$G$1646,2,FALSE)</f>
        <v/>
      </c>
      <c r="I1289">
        <f>VLOOKUP(B1289,Units!$A$2:$G$1646,5,FALSE)</f>
        <v/>
      </c>
      <c r="J1289" s="3">
        <f>G1289/I1289</f>
        <v/>
      </c>
      <c r="K1289" s="3">
        <f>G1289*12</f>
        <v/>
      </c>
      <c r="L1289" s="3" t="n">
        <v>10650</v>
      </c>
    </row>
    <row r="1290">
      <c r="A1290" t="inlineStr">
        <is>
          <t>TA-2026-00161</t>
        </is>
      </c>
      <c r="B1290" t="inlineStr">
        <is>
          <t>U-BV271-01-05</t>
        </is>
      </c>
      <c r="C1290" t="inlineStr">
        <is>
          <t>Tian Fu Beauty &amp; Hair Pte Ltd</t>
        </is>
      </c>
      <c r="D1290" t="inlineStr">
        <is>
          <t>Hair Salon</t>
        </is>
      </c>
      <c r="E1290" s="2" t="n">
        <v>46082</v>
      </c>
      <c r="F1290" s="2" t="n">
        <v>47177</v>
      </c>
      <c r="G1290" s="3" t="n">
        <v>2300</v>
      </c>
      <c r="H1290">
        <f>VLOOKUP(B1290,Units!$A$2:$G$1646,2,FALSE)</f>
        <v/>
      </c>
      <c r="I1290">
        <f>VLOOKUP(B1290,Units!$A$2:$G$1646,5,FALSE)</f>
        <v/>
      </c>
      <c r="J1290" s="3">
        <f>G1290/I1290</f>
        <v/>
      </c>
      <c r="K1290" s="3">
        <f>G1290*12</f>
        <v/>
      </c>
      <c r="L1290" s="3" t="n">
        <v>6900</v>
      </c>
    </row>
    <row r="1291">
      <c r="A1291" t="inlineStr">
        <is>
          <t>TA-2026-00163</t>
        </is>
      </c>
      <c r="B1291" t="inlineStr">
        <is>
          <t>U-BV277-01-03</t>
        </is>
      </c>
      <c r="C1291" t="inlineStr">
        <is>
          <t>Starlight Supermarket Pte Ltd</t>
        </is>
      </c>
      <c r="D1291" t="inlineStr">
        <is>
          <t>Minimart</t>
        </is>
      </c>
      <c r="E1291" s="2" t="n">
        <v>46082</v>
      </c>
      <c r="F1291" s="2" t="n">
        <v>47177</v>
      </c>
      <c r="G1291" s="3" t="n">
        <v>3150</v>
      </c>
      <c r="H1291">
        <f>VLOOKUP(B1291,Units!$A$2:$G$1646,2,FALSE)</f>
        <v/>
      </c>
      <c r="I1291">
        <f>VLOOKUP(B1291,Units!$A$2:$G$1646,5,FALSE)</f>
        <v/>
      </c>
      <c r="J1291" s="3">
        <f>G1291/I1291</f>
        <v/>
      </c>
      <c r="K1291" s="3">
        <f>G1291*12</f>
        <v/>
      </c>
      <c r="L1291" s="3" t="n">
        <v>9450</v>
      </c>
    </row>
    <row r="1292">
      <c r="A1292" t="inlineStr">
        <is>
          <t>TA-2026-00164</t>
        </is>
      </c>
      <c r="B1292" t="inlineStr">
        <is>
          <t>U-CD108-01-10</t>
        </is>
      </c>
      <c r="C1292" t="inlineStr">
        <is>
          <t>Kopi Corner Clinic &amp; Surgery Pte Ltd</t>
        </is>
      </c>
      <c r="D1292" t="inlineStr">
        <is>
          <t>GP Clinic</t>
        </is>
      </c>
      <c r="E1292" s="2" t="n">
        <v>46082</v>
      </c>
      <c r="F1292" s="2" t="n">
        <v>47177</v>
      </c>
      <c r="G1292" s="3" t="n">
        <v>4780</v>
      </c>
      <c r="H1292">
        <f>VLOOKUP(B1292,Units!$A$2:$G$1646,2,FALSE)</f>
        <v/>
      </c>
      <c r="I1292">
        <f>VLOOKUP(B1292,Units!$A$2:$G$1646,5,FALSE)</f>
        <v/>
      </c>
      <c r="J1292" s="3">
        <f>G1292/I1292</f>
        <v/>
      </c>
      <c r="K1292" s="3">
        <f>G1292*12</f>
        <v/>
      </c>
      <c r="L1292" s="3" t="n">
        <v>14340</v>
      </c>
    </row>
    <row r="1293">
      <c r="A1293" t="inlineStr">
        <is>
          <t>TA-2026-00165</t>
        </is>
      </c>
      <c r="B1293" t="inlineStr">
        <is>
          <t>U-CD133-01-10</t>
        </is>
      </c>
      <c r="C1293" t="inlineStr">
        <is>
          <t>Joo Chiat Kueh Corner Pte Ltd</t>
        </is>
      </c>
      <c r="D1293" t="inlineStr">
        <is>
          <t>Snack Kiosk</t>
        </is>
      </c>
      <c r="E1293" s="2" t="n">
        <v>46082</v>
      </c>
      <c r="F1293" s="2" t="n">
        <v>47177</v>
      </c>
      <c r="G1293" s="3" t="n">
        <v>1590</v>
      </c>
      <c r="H1293">
        <f>VLOOKUP(B1293,Units!$A$2:$G$1646,2,FALSE)</f>
        <v/>
      </c>
      <c r="I1293">
        <f>VLOOKUP(B1293,Units!$A$2:$G$1646,5,FALSE)</f>
        <v/>
      </c>
      <c r="J1293" s="3">
        <f>G1293/I1293</f>
        <v/>
      </c>
      <c r="K1293" s="3">
        <f>G1293*12</f>
        <v/>
      </c>
      <c r="L1293" s="3" t="n">
        <v>4770</v>
      </c>
    </row>
    <row r="1294">
      <c r="A1294" t="inlineStr">
        <is>
          <t>TA-2026-00167</t>
        </is>
      </c>
      <c r="B1294" t="inlineStr">
        <is>
          <t>U-CD135-01-02</t>
        </is>
      </c>
      <c r="C1294" t="inlineStr">
        <is>
          <t>Starlight Dry Cleaners Pte Ltd</t>
        </is>
      </c>
      <c r="D1294" t="inlineStr">
        <is>
          <t>Laundry</t>
        </is>
      </c>
      <c r="E1294" s="2" t="n">
        <v>46082</v>
      </c>
      <c r="F1294" s="2" t="n">
        <v>47177</v>
      </c>
      <c r="G1294" s="3" t="n">
        <v>4940</v>
      </c>
      <c r="H1294">
        <f>VLOOKUP(B1294,Units!$A$2:$G$1646,2,FALSE)</f>
        <v/>
      </c>
      <c r="I1294">
        <f>VLOOKUP(B1294,Units!$A$2:$G$1646,5,FALSE)</f>
        <v/>
      </c>
      <c r="J1294" s="3">
        <f>G1294/I1294</f>
        <v/>
      </c>
      <c r="K1294" s="3">
        <f>G1294*12</f>
        <v/>
      </c>
      <c r="L1294" s="3" t="n">
        <v>14820</v>
      </c>
    </row>
    <row r="1295">
      <c r="A1295" t="inlineStr">
        <is>
          <t>TA-2026-00169</t>
        </is>
      </c>
      <c r="B1295" t="inlineStr">
        <is>
          <t>U-CD136-01-10</t>
        </is>
      </c>
      <c r="C1295" t="inlineStr">
        <is>
          <t>Treasure Bakery Pte Ltd</t>
        </is>
      </c>
      <c r="D1295" t="inlineStr">
        <is>
          <t>Bakery &amp; Confectionery</t>
        </is>
      </c>
      <c r="E1295" s="2" t="n">
        <v>46082</v>
      </c>
      <c r="F1295" s="2" t="n">
        <v>47177</v>
      </c>
      <c r="G1295" s="3" t="n">
        <v>2580</v>
      </c>
      <c r="H1295">
        <f>VLOOKUP(B1295,Units!$A$2:$G$1646,2,FALSE)</f>
        <v/>
      </c>
      <c r="I1295">
        <f>VLOOKUP(B1295,Units!$A$2:$G$1646,5,FALSE)</f>
        <v/>
      </c>
      <c r="J1295" s="3">
        <f>G1295/I1295</f>
        <v/>
      </c>
      <c r="K1295" s="3">
        <f>G1295*12</f>
        <v/>
      </c>
      <c r="L1295" s="3" t="n">
        <v>7740</v>
      </c>
    </row>
    <row r="1296">
      <c r="A1296" t="inlineStr">
        <is>
          <t>TA-2026-00170</t>
        </is>
      </c>
      <c r="B1296" t="inlineStr">
        <is>
          <t>U-CD142-01-04</t>
        </is>
      </c>
      <c r="C1296" t="inlineStr">
        <is>
          <t>Chop Wah Optical Pte Ltd</t>
        </is>
      </c>
      <c r="D1296" t="inlineStr">
        <is>
          <t>Optical</t>
        </is>
      </c>
      <c r="E1296" s="2" t="n">
        <v>46082</v>
      </c>
      <c r="F1296" s="2" t="n">
        <v>47177</v>
      </c>
      <c r="G1296" s="3" t="n">
        <v>3420</v>
      </c>
      <c r="H1296">
        <f>VLOOKUP(B1296,Units!$A$2:$G$1646,2,FALSE)</f>
        <v/>
      </c>
      <c r="I1296">
        <f>VLOOKUP(B1296,Units!$A$2:$G$1646,5,FALSE)</f>
        <v/>
      </c>
      <c r="J1296" s="3">
        <f>G1296/I1296</f>
        <v/>
      </c>
      <c r="K1296" s="3">
        <f>G1296*12</f>
        <v/>
      </c>
      <c r="L1296" s="3" t="n">
        <v>10260</v>
      </c>
    </row>
    <row r="1297">
      <c r="A1297" t="inlineStr">
        <is>
          <t>TA-2026-00172</t>
        </is>
      </c>
      <c r="B1297" t="inlineStr">
        <is>
          <t>U-CD160-01-06</t>
        </is>
      </c>
      <c r="C1297" t="inlineStr">
        <is>
          <t>Prima Beauty &amp; Hair Pte Ltd</t>
        </is>
      </c>
      <c r="D1297" t="inlineStr">
        <is>
          <t>Hair Salon</t>
        </is>
      </c>
      <c r="E1297" s="2" t="n">
        <v>46082</v>
      </c>
      <c r="F1297" s="2" t="n">
        <v>47177</v>
      </c>
      <c r="G1297" s="3" t="n">
        <v>3120</v>
      </c>
      <c r="H1297">
        <f>VLOOKUP(B1297,Units!$A$2:$G$1646,2,FALSE)</f>
        <v/>
      </c>
      <c r="I1297">
        <f>VLOOKUP(B1297,Units!$A$2:$G$1646,5,FALSE)</f>
        <v/>
      </c>
      <c r="J1297" s="3">
        <f>G1297/I1297</f>
        <v/>
      </c>
      <c r="K1297" s="3">
        <f>G1297*12</f>
        <v/>
      </c>
      <c r="L1297" s="3" t="n">
        <v>9360</v>
      </c>
    </row>
    <row r="1298">
      <c r="A1298" t="inlineStr">
        <is>
          <t>TA-2026-00173</t>
        </is>
      </c>
      <c r="B1298" t="inlineStr">
        <is>
          <t>U-CD165-01-08</t>
        </is>
      </c>
      <c r="C1298" t="inlineStr">
        <is>
          <t>Peng Kee Beauty &amp; Hair Pte Ltd</t>
        </is>
      </c>
      <c r="D1298" t="inlineStr">
        <is>
          <t>Hair Salon</t>
        </is>
      </c>
      <c r="E1298" s="2" t="n">
        <v>46082</v>
      </c>
      <c r="F1298" s="2" t="n">
        <v>47177</v>
      </c>
      <c r="G1298" s="3" t="n">
        <v>3370</v>
      </c>
      <c r="H1298">
        <f>VLOOKUP(B1298,Units!$A$2:$G$1646,2,FALSE)</f>
        <v/>
      </c>
      <c r="I1298">
        <f>VLOOKUP(B1298,Units!$A$2:$G$1646,5,FALSE)</f>
        <v/>
      </c>
      <c r="J1298" s="3">
        <f>G1298/I1298</f>
        <v/>
      </c>
      <c r="K1298" s="3">
        <f>G1298*12</f>
        <v/>
      </c>
      <c r="L1298" s="3" t="n">
        <v>10110</v>
      </c>
    </row>
    <row r="1299">
      <c r="A1299" t="inlineStr">
        <is>
          <t>TA-2026-00175</t>
        </is>
      </c>
      <c r="B1299" t="inlineStr">
        <is>
          <t>U-CD173-01-06</t>
        </is>
      </c>
      <c r="C1299" t="inlineStr">
        <is>
          <t>Orchid Stationery</t>
        </is>
      </c>
      <c r="D1299" t="inlineStr">
        <is>
          <t>Stationery &amp; Books</t>
        </is>
      </c>
      <c r="E1299" s="2" t="n">
        <v>46082</v>
      </c>
      <c r="F1299" s="2" t="n">
        <v>47177</v>
      </c>
      <c r="G1299" s="3" t="n">
        <v>3290</v>
      </c>
      <c r="H1299">
        <f>VLOOKUP(B1299,Units!$A$2:$G$1646,2,FALSE)</f>
        <v/>
      </c>
      <c r="I1299">
        <f>VLOOKUP(B1299,Units!$A$2:$G$1646,5,FALSE)</f>
        <v/>
      </c>
      <c r="J1299" s="3">
        <f>G1299/I1299</f>
        <v/>
      </c>
      <c r="K1299" s="3">
        <f>G1299*12</f>
        <v/>
      </c>
      <c r="L1299" s="3" t="n">
        <v>9870</v>
      </c>
    </row>
    <row r="1300">
      <c r="A1300" t="inlineStr">
        <is>
          <t>TA-2026-00177</t>
        </is>
      </c>
      <c r="B1300" t="inlineStr">
        <is>
          <t>U-CD194-01-07</t>
        </is>
      </c>
      <c r="C1300" t="inlineStr">
        <is>
          <t>Blue Pearl Mart Pte Ltd</t>
        </is>
      </c>
      <c r="D1300" t="inlineStr">
        <is>
          <t>Minimart</t>
        </is>
      </c>
      <c r="E1300" s="2" t="n">
        <v>46082</v>
      </c>
      <c r="F1300" s="2" t="n">
        <v>47177</v>
      </c>
      <c r="G1300" s="3" t="n">
        <v>3860</v>
      </c>
      <c r="H1300">
        <f>VLOOKUP(B1300,Units!$A$2:$G$1646,2,FALSE)</f>
        <v/>
      </c>
      <c r="I1300">
        <f>VLOOKUP(B1300,Units!$A$2:$G$1646,5,FALSE)</f>
        <v/>
      </c>
      <c r="J1300" s="3">
        <f>G1300/I1300</f>
        <v/>
      </c>
      <c r="K1300" s="3">
        <f>G1300*12</f>
        <v/>
      </c>
      <c r="L1300" s="3" t="n">
        <v>11580</v>
      </c>
    </row>
    <row r="1301">
      <c r="A1301" t="inlineStr">
        <is>
          <t>TA-2026-00179</t>
        </is>
      </c>
      <c r="B1301" t="inlineStr">
        <is>
          <t>U-KR305-01-05</t>
        </is>
      </c>
      <c r="C1301" t="inlineStr">
        <is>
          <t>Pinnacle Flowers &amp; Gifts Pte Ltd</t>
        </is>
      </c>
      <c r="D1301" t="inlineStr">
        <is>
          <t>Florist</t>
        </is>
      </c>
      <c r="E1301" s="2" t="n">
        <v>46082</v>
      </c>
      <c r="F1301" s="2" t="n">
        <v>47177</v>
      </c>
      <c r="G1301" s="3" t="n">
        <v>4590</v>
      </c>
      <c r="H1301">
        <f>VLOOKUP(B1301,Units!$A$2:$G$1646,2,FALSE)</f>
        <v/>
      </c>
      <c r="I1301">
        <f>VLOOKUP(B1301,Units!$A$2:$G$1646,5,FALSE)</f>
        <v/>
      </c>
      <c r="J1301" s="3">
        <f>G1301/I1301</f>
        <v/>
      </c>
      <c r="K1301" s="3">
        <f>G1301*12</f>
        <v/>
      </c>
      <c r="L1301" s="3" t="n">
        <v>13770</v>
      </c>
    </row>
    <row r="1302">
      <c r="A1302" t="inlineStr">
        <is>
          <t>TA-2026-00181</t>
        </is>
      </c>
      <c r="B1302" t="inlineStr">
        <is>
          <t>U-KR329-01-01</t>
        </is>
      </c>
      <c r="C1302" t="inlineStr">
        <is>
          <t>Jade Garden Snacks Pte Ltd</t>
        </is>
      </c>
      <c r="D1302" t="inlineStr">
        <is>
          <t>Snack Kiosk</t>
        </is>
      </c>
      <c r="E1302" s="2" t="n">
        <v>46082</v>
      </c>
      <c r="F1302" s="2" t="n">
        <v>47177</v>
      </c>
      <c r="G1302" s="3" t="n">
        <v>900</v>
      </c>
      <c r="H1302">
        <f>VLOOKUP(B1302,Units!$A$2:$G$1646,2,FALSE)</f>
        <v/>
      </c>
      <c r="I1302">
        <f>VLOOKUP(B1302,Units!$A$2:$G$1646,5,FALSE)</f>
        <v/>
      </c>
      <c r="J1302" s="3">
        <f>G1302/I1302</f>
        <v/>
      </c>
      <c r="K1302" s="3">
        <f>G1302*12</f>
        <v/>
      </c>
      <c r="L1302" s="3" t="n">
        <v>2700</v>
      </c>
    </row>
    <row r="1303">
      <c r="A1303" t="inlineStr">
        <is>
          <t>TA-2026-00183</t>
        </is>
      </c>
      <c r="B1303" t="inlineStr">
        <is>
          <t>U-KR333-02-13</t>
        </is>
      </c>
      <c r="C1303" t="inlineStr">
        <is>
          <t>Swee Heng TCM Clinic</t>
        </is>
      </c>
      <c r="D1303" t="inlineStr">
        <is>
          <t>TCM Clinic</t>
        </is>
      </c>
      <c r="E1303" s="2" t="n">
        <v>46082</v>
      </c>
      <c r="F1303" s="2" t="n">
        <v>47177</v>
      </c>
      <c r="G1303" s="3" t="n">
        <v>4290</v>
      </c>
      <c r="H1303">
        <f>VLOOKUP(B1303,Units!$A$2:$G$1646,2,FALSE)</f>
        <v/>
      </c>
      <c r="I1303">
        <f>VLOOKUP(B1303,Units!$A$2:$G$1646,5,FALSE)</f>
        <v/>
      </c>
      <c r="J1303" s="3">
        <f>G1303/I1303</f>
        <v/>
      </c>
      <c r="K1303" s="3">
        <f>G1303*12</f>
        <v/>
      </c>
      <c r="L1303" s="3" t="n">
        <v>12870</v>
      </c>
    </row>
    <row r="1304">
      <c r="A1304" t="inlineStr">
        <is>
          <t>TA-2026-00184</t>
        </is>
      </c>
      <c r="B1304" t="inlineStr">
        <is>
          <t>U-KR341-01-03</t>
        </is>
      </c>
      <c r="C1304" t="inlineStr">
        <is>
          <t>Cosy Medical Clinic</t>
        </is>
      </c>
      <c r="D1304" t="inlineStr">
        <is>
          <t>GP Clinic</t>
        </is>
      </c>
      <c r="E1304" s="2" t="n">
        <v>46082</v>
      </c>
      <c r="F1304" s="2" t="n">
        <v>47177</v>
      </c>
      <c r="G1304" s="3" t="n">
        <v>3230</v>
      </c>
      <c r="H1304">
        <f>VLOOKUP(B1304,Units!$A$2:$G$1646,2,FALSE)</f>
        <v/>
      </c>
      <c r="I1304">
        <f>VLOOKUP(B1304,Units!$A$2:$G$1646,5,FALSE)</f>
        <v/>
      </c>
      <c r="J1304" s="3">
        <f>G1304/I1304</f>
        <v/>
      </c>
      <c r="K1304" s="3">
        <f>G1304*12</f>
        <v/>
      </c>
      <c r="L1304" s="3" t="n">
        <v>9690</v>
      </c>
    </row>
    <row r="1305">
      <c r="A1305" t="inlineStr">
        <is>
          <t>TA-2026-00185</t>
        </is>
      </c>
      <c r="B1305" t="inlineStr">
        <is>
          <t>U-KR359-01-06</t>
        </is>
      </c>
      <c r="C1305" t="inlineStr">
        <is>
          <t>Orchid Medical Clinic</t>
        </is>
      </c>
      <c r="D1305" t="inlineStr">
        <is>
          <t>GP Clinic</t>
        </is>
      </c>
      <c r="E1305" s="2" t="n">
        <v>46082</v>
      </c>
      <c r="F1305" s="2" t="n">
        <v>47177</v>
      </c>
      <c r="G1305" s="3" t="n">
        <v>5440</v>
      </c>
      <c r="H1305">
        <f>VLOOKUP(B1305,Units!$A$2:$G$1646,2,FALSE)</f>
        <v/>
      </c>
      <c r="I1305">
        <f>VLOOKUP(B1305,Units!$A$2:$G$1646,5,FALSE)</f>
        <v/>
      </c>
      <c r="J1305" s="3">
        <f>G1305/I1305</f>
        <v/>
      </c>
      <c r="K1305" s="3">
        <f>G1305*12</f>
        <v/>
      </c>
      <c r="L1305" s="3" t="n">
        <v>16320</v>
      </c>
    </row>
    <row r="1306">
      <c r="A1306" t="inlineStr">
        <is>
          <t>TA-2026-00187</t>
        </is>
      </c>
      <c r="B1306" t="inlineStr">
        <is>
          <t>U-KR368-01-11</t>
        </is>
      </c>
      <c r="C1306" t="inlineStr">
        <is>
          <t>Mei Ling Medical Supplies</t>
        </is>
      </c>
      <c r="D1306" t="inlineStr">
        <is>
          <t>Pharmacy</t>
        </is>
      </c>
      <c r="E1306" s="2" t="n">
        <v>46082</v>
      </c>
      <c r="F1306" s="2" t="n">
        <v>47177</v>
      </c>
      <c r="G1306" s="3" t="n">
        <v>5530</v>
      </c>
      <c r="H1306">
        <f>VLOOKUP(B1306,Units!$A$2:$G$1646,2,FALSE)</f>
        <v/>
      </c>
      <c r="I1306">
        <f>VLOOKUP(B1306,Units!$A$2:$G$1646,5,FALSE)</f>
        <v/>
      </c>
      <c r="J1306" s="3">
        <f>G1306/I1306</f>
        <v/>
      </c>
      <c r="K1306" s="3">
        <f>G1306*12</f>
        <v/>
      </c>
      <c r="L1306" s="3" t="n">
        <v>16590</v>
      </c>
    </row>
    <row r="1307">
      <c r="A1307" t="inlineStr">
        <is>
          <t>TA-2026-00189</t>
        </is>
      </c>
      <c r="B1307" t="inlineStr">
        <is>
          <t>U-KR385-01-08</t>
        </is>
      </c>
      <c r="C1307" t="inlineStr">
        <is>
          <t>Soon Hin Clinic &amp; Surgery</t>
        </is>
      </c>
      <c r="D1307" t="inlineStr">
        <is>
          <t>GP Clinic</t>
        </is>
      </c>
      <c r="E1307" s="2" t="n">
        <v>46082</v>
      </c>
      <c r="F1307" s="2" t="n">
        <v>47177</v>
      </c>
      <c r="G1307" s="3" t="n">
        <v>4360</v>
      </c>
      <c r="H1307">
        <f>VLOOKUP(B1307,Units!$A$2:$G$1646,2,FALSE)</f>
        <v/>
      </c>
      <c r="I1307">
        <f>VLOOKUP(B1307,Units!$A$2:$G$1646,5,FALSE)</f>
        <v/>
      </c>
      <c r="J1307" s="3">
        <f>G1307/I1307</f>
        <v/>
      </c>
      <c r="K1307" s="3">
        <f>G1307*12</f>
        <v/>
      </c>
      <c r="L1307" s="3" t="n">
        <v>13080</v>
      </c>
    </row>
    <row r="1308">
      <c r="A1308" t="inlineStr">
        <is>
          <t>TA-2026-00191</t>
        </is>
      </c>
      <c r="B1308" t="inlineStr">
        <is>
          <t>U-PI615-01-02</t>
        </is>
      </c>
      <c r="C1308" t="inlineStr">
        <is>
          <t>Orchid Hair Studio Pte Ltd</t>
        </is>
      </c>
      <c r="D1308" t="inlineStr">
        <is>
          <t>Hair Salon</t>
        </is>
      </c>
      <c r="E1308" s="2" t="n">
        <v>46082</v>
      </c>
      <c r="F1308" s="2" t="n">
        <v>47177</v>
      </c>
      <c r="G1308" s="3" t="n">
        <v>5350</v>
      </c>
      <c r="H1308">
        <f>VLOOKUP(B1308,Units!$A$2:$G$1646,2,FALSE)</f>
        <v/>
      </c>
      <c r="I1308">
        <f>VLOOKUP(B1308,Units!$A$2:$G$1646,5,FALSE)</f>
        <v/>
      </c>
      <c r="J1308" s="3">
        <f>G1308/I1308</f>
        <v/>
      </c>
      <c r="K1308" s="3">
        <f>G1308*12</f>
        <v/>
      </c>
      <c r="L1308" s="3" t="n">
        <v>16050</v>
      </c>
    </row>
    <row r="1309">
      <c r="A1309" t="inlineStr">
        <is>
          <t>TA-2026-00192</t>
        </is>
      </c>
      <c r="B1309" t="inlineStr">
        <is>
          <t>U-PI627-01-30</t>
        </is>
      </c>
      <c r="C1309" t="inlineStr">
        <is>
          <t>Bayu Mobile Pte Ltd</t>
        </is>
      </c>
      <c r="D1309" t="inlineStr">
        <is>
          <t>Mobile Phone &amp; Accessories</t>
        </is>
      </c>
      <c r="E1309" s="2" t="n">
        <v>46082</v>
      </c>
      <c r="F1309" s="2" t="n">
        <v>47177</v>
      </c>
      <c r="G1309" s="3" t="n">
        <v>3370</v>
      </c>
      <c r="H1309">
        <f>VLOOKUP(B1309,Units!$A$2:$G$1646,2,FALSE)</f>
        <v/>
      </c>
      <c r="I1309">
        <f>VLOOKUP(B1309,Units!$A$2:$G$1646,5,FALSE)</f>
        <v/>
      </c>
      <c r="J1309" s="3">
        <f>G1309/I1309</f>
        <v/>
      </c>
      <c r="K1309" s="3">
        <f>G1309*12</f>
        <v/>
      </c>
      <c r="L1309" s="3" t="n">
        <v>10110</v>
      </c>
    </row>
    <row r="1310">
      <c r="A1310" t="inlineStr">
        <is>
          <t>TA-2026-00193</t>
        </is>
      </c>
      <c r="B1310" t="inlineStr">
        <is>
          <t>U-PI634-01-02</t>
        </is>
      </c>
      <c r="C1310" t="inlineStr">
        <is>
          <t>Thye Hin Eye Centre Pte Ltd</t>
        </is>
      </c>
      <c r="D1310" t="inlineStr">
        <is>
          <t>Optical</t>
        </is>
      </c>
      <c r="E1310" s="2" t="n">
        <v>46082</v>
      </c>
      <c r="F1310" s="2" t="n">
        <v>47177</v>
      </c>
      <c r="G1310" s="3" t="n">
        <v>4390</v>
      </c>
      <c r="H1310">
        <f>VLOOKUP(B1310,Units!$A$2:$G$1646,2,FALSE)</f>
        <v/>
      </c>
      <c r="I1310">
        <f>VLOOKUP(B1310,Units!$A$2:$G$1646,5,FALSE)</f>
        <v/>
      </c>
      <c r="J1310" s="3">
        <f>G1310/I1310</f>
        <v/>
      </c>
      <c r="K1310" s="3">
        <f>G1310*12</f>
        <v/>
      </c>
      <c r="L1310" s="3" t="n">
        <v>13170</v>
      </c>
    </row>
    <row r="1311">
      <c r="A1311" t="inlineStr">
        <is>
          <t>TA-2026-00194</t>
        </is>
      </c>
      <c r="B1311" t="inlineStr">
        <is>
          <t>U-PI646-01-03</t>
        </is>
      </c>
      <c r="C1311" t="inlineStr">
        <is>
          <t>Seri Murni Provision Shop</t>
        </is>
      </c>
      <c r="D1311" t="inlineStr">
        <is>
          <t>Provision Shop</t>
        </is>
      </c>
      <c r="E1311" s="2" t="n">
        <v>46082</v>
      </c>
      <c r="F1311" s="2" t="n">
        <v>47177</v>
      </c>
      <c r="G1311" s="3" t="n">
        <v>2940</v>
      </c>
      <c r="H1311">
        <f>VLOOKUP(B1311,Units!$A$2:$G$1646,2,FALSE)</f>
        <v/>
      </c>
      <c r="I1311">
        <f>VLOOKUP(B1311,Units!$A$2:$G$1646,5,FALSE)</f>
        <v/>
      </c>
      <c r="J1311" s="3">
        <f>G1311/I1311</f>
        <v/>
      </c>
      <c r="K1311" s="3">
        <f>G1311*12</f>
        <v/>
      </c>
      <c r="L1311" s="3" t="n">
        <v>8820</v>
      </c>
    </row>
    <row r="1312">
      <c r="A1312" t="inlineStr">
        <is>
          <t>TA-2026-00195</t>
        </is>
      </c>
      <c r="B1312" t="inlineStr">
        <is>
          <t>U-PI657-01-02</t>
        </is>
      </c>
      <c r="C1312" t="inlineStr">
        <is>
          <t>Blue Pearl Hardware Pte Ltd</t>
        </is>
      </c>
      <c r="D1312" t="inlineStr">
        <is>
          <t>Hardware</t>
        </is>
      </c>
      <c r="E1312" s="2" t="n">
        <v>46082</v>
      </c>
      <c r="F1312" s="2" t="n">
        <v>47177</v>
      </c>
      <c r="G1312" s="3" t="n">
        <v>1870</v>
      </c>
      <c r="H1312">
        <f>VLOOKUP(B1312,Units!$A$2:$G$1646,2,FALSE)</f>
        <v/>
      </c>
      <c r="I1312">
        <f>VLOOKUP(B1312,Units!$A$2:$G$1646,5,FALSE)</f>
        <v/>
      </c>
      <c r="J1312" s="3">
        <f>G1312/I1312</f>
        <v/>
      </c>
      <c r="K1312" s="3">
        <f>G1312*12</f>
        <v/>
      </c>
      <c r="L1312" s="3" t="n">
        <v>5610</v>
      </c>
    </row>
    <row r="1313">
      <c r="A1313" t="inlineStr">
        <is>
          <t>TA-2026-00197</t>
        </is>
      </c>
      <c r="B1313" t="inlineStr">
        <is>
          <t>U-PI675-01-14</t>
        </is>
      </c>
      <c r="C1313" t="inlineStr">
        <is>
          <t>Nanyang Hair Salon</t>
        </is>
      </c>
      <c r="D1313" t="inlineStr">
        <is>
          <t>Hair Salon</t>
        </is>
      </c>
      <c r="E1313" s="2" t="n">
        <v>46082</v>
      </c>
      <c r="F1313" s="2" t="n">
        <v>47177</v>
      </c>
      <c r="G1313" s="3" t="n">
        <v>2450</v>
      </c>
      <c r="H1313">
        <f>VLOOKUP(B1313,Units!$A$2:$G$1646,2,FALSE)</f>
        <v/>
      </c>
      <c r="I1313">
        <f>VLOOKUP(B1313,Units!$A$2:$G$1646,5,FALSE)</f>
        <v/>
      </c>
      <c r="J1313" s="3">
        <f>G1313/I1313</f>
        <v/>
      </c>
      <c r="K1313" s="3">
        <f>G1313*12</f>
        <v/>
      </c>
      <c r="L1313" s="3" t="n">
        <v>7350</v>
      </c>
    </row>
    <row r="1314">
      <c r="A1314" t="inlineStr">
        <is>
          <t>TA-2026-00198</t>
        </is>
      </c>
      <c r="B1314" t="inlineStr">
        <is>
          <t>U-RH434-01-03</t>
        </is>
      </c>
      <c r="C1314" t="inlineStr">
        <is>
          <t>Hup Seng Beauty &amp; Hair</t>
        </is>
      </c>
      <c r="D1314" t="inlineStr">
        <is>
          <t>Hair Salon</t>
        </is>
      </c>
      <c r="E1314" s="2" t="n">
        <v>46082</v>
      </c>
      <c r="F1314" s="2" t="n">
        <v>47177</v>
      </c>
      <c r="G1314" s="3" t="n">
        <v>2990</v>
      </c>
      <c r="H1314">
        <f>VLOOKUP(B1314,Units!$A$2:$G$1646,2,FALSE)</f>
        <v/>
      </c>
      <c r="I1314">
        <f>VLOOKUP(B1314,Units!$A$2:$G$1646,5,FALSE)</f>
        <v/>
      </c>
      <c r="J1314" s="3">
        <f>G1314/I1314</f>
        <v/>
      </c>
      <c r="K1314" s="3">
        <f>G1314*12</f>
        <v/>
      </c>
      <c r="L1314" s="3" t="n">
        <v>8970</v>
      </c>
    </row>
    <row r="1315">
      <c r="A1315" t="inlineStr">
        <is>
          <t>TA-2026-00199</t>
        </is>
      </c>
      <c r="B1315" t="inlineStr">
        <is>
          <t>U-RH438-01-04</t>
        </is>
      </c>
      <c r="C1315" t="inlineStr">
        <is>
          <t>Bright Path Medical Hall</t>
        </is>
      </c>
      <c r="D1315" t="inlineStr">
        <is>
          <t>TCM Clinic</t>
        </is>
      </c>
      <c r="E1315" s="2" t="n">
        <v>46082</v>
      </c>
      <c r="F1315" s="2" t="n">
        <v>47177</v>
      </c>
      <c r="G1315" s="3" t="n">
        <v>2240</v>
      </c>
      <c r="H1315">
        <f>VLOOKUP(B1315,Units!$A$2:$G$1646,2,FALSE)</f>
        <v/>
      </c>
      <c r="I1315">
        <f>VLOOKUP(B1315,Units!$A$2:$G$1646,5,FALSE)</f>
        <v/>
      </c>
      <c r="J1315" s="3">
        <f>G1315/I1315</f>
        <v/>
      </c>
      <c r="K1315" s="3">
        <f>G1315*12</f>
        <v/>
      </c>
      <c r="L1315" s="3" t="n">
        <v>6720</v>
      </c>
    </row>
    <row r="1316">
      <c r="A1316" t="inlineStr">
        <is>
          <t>TA-2026-00201</t>
        </is>
      </c>
      <c r="B1316" t="inlineStr">
        <is>
          <t>U-RH455-01-09</t>
        </is>
      </c>
      <c r="C1316" t="inlineStr">
        <is>
          <t>Kampung Mart</t>
        </is>
      </c>
      <c r="D1316" t="inlineStr">
        <is>
          <t>Minimart</t>
        </is>
      </c>
      <c r="E1316" s="2" t="n">
        <v>46082</v>
      </c>
      <c r="F1316" s="2" t="n">
        <v>47177</v>
      </c>
      <c r="G1316" s="3" t="n">
        <v>3300</v>
      </c>
      <c r="H1316">
        <f>VLOOKUP(B1316,Units!$A$2:$G$1646,2,FALSE)</f>
        <v/>
      </c>
      <c r="I1316">
        <f>VLOOKUP(B1316,Units!$A$2:$G$1646,5,FALSE)</f>
        <v/>
      </c>
      <c r="J1316" s="3">
        <f>G1316/I1316</f>
        <v/>
      </c>
      <c r="K1316" s="3">
        <f>G1316*12</f>
        <v/>
      </c>
      <c r="L1316" s="3" t="n">
        <v>9900</v>
      </c>
    </row>
    <row r="1317">
      <c r="A1317" t="inlineStr">
        <is>
          <t>TA-2026-00202</t>
        </is>
      </c>
      <c r="B1317" t="inlineStr">
        <is>
          <t>U-RH463-01-05</t>
        </is>
      </c>
      <c r="C1317" t="inlineStr">
        <is>
          <t>Kopi Corner Money Changer</t>
        </is>
      </c>
      <c r="D1317" t="inlineStr">
        <is>
          <t>Remittance &amp; Money Changer</t>
        </is>
      </c>
      <c r="E1317" s="2" t="n">
        <v>46082</v>
      </c>
      <c r="F1317" s="2" t="n">
        <v>47177</v>
      </c>
      <c r="G1317" s="3" t="n">
        <v>3530</v>
      </c>
      <c r="H1317">
        <f>VLOOKUP(B1317,Units!$A$2:$G$1646,2,FALSE)</f>
        <v/>
      </c>
      <c r="I1317">
        <f>VLOOKUP(B1317,Units!$A$2:$G$1646,5,FALSE)</f>
        <v/>
      </c>
      <c r="J1317" s="3">
        <f>G1317/I1317</f>
        <v/>
      </c>
      <c r="K1317" s="3">
        <f>G1317*12</f>
        <v/>
      </c>
      <c r="L1317" s="3" t="n">
        <v>10590</v>
      </c>
    </row>
    <row r="1318">
      <c r="A1318" t="inlineStr">
        <is>
          <t>TA-2026-00204</t>
        </is>
      </c>
      <c r="B1318" t="inlineStr">
        <is>
          <t>U-RH464-01-01</t>
        </is>
      </c>
      <c r="C1318" t="inlineStr">
        <is>
          <t>Unity Telecom</t>
        </is>
      </c>
      <c r="D1318" t="inlineStr">
        <is>
          <t>Mobile Phone &amp; Accessories</t>
        </is>
      </c>
      <c r="E1318" s="2" t="n">
        <v>46082</v>
      </c>
      <c r="F1318" s="2" t="n">
        <v>47177</v>
      </c>
      <c r="G1318" s="3" t="n">
        <v>1680</v>
      </c>
      <c r="H1318">
        <f>VLOOKUP(B1318,Units!$A$2:$G$1646,2,FALSE)</f>
        <v/>
      </c>
      <c r="I1318">
        <f>VLOOKUP(B1318,Units!$A$2:$G$1646,5,FALSE)</f>
        <v/>
      </c>
      <c r="J1318" s="3">
        <f>G1318/I1318</f>
        <v/>
      </c>
      <c r="K1318" s="3">
        <f>G1318*12</f>
        <v/>
      </c>
      <c r="L1318" s="3" t="n">
        <v>5040</v>
      </c>
    </row>
    <row r="1319">
      <c r="A1319" t="inlineStr">
        <is>
          <t>TA-2026-00206</t>
        </is>
      </c>
      <c r="B1319" t="inlineStr">
        <is>
          <t>U-RH473-01-07</t>
        </is>
      </c>
      <c r="C1319" t="inlineStr">
        <is>
          <t>Mutiara Hardware &amp; Electrical Pte Ltd</t>
        </is>
      </c>
      <c r="D1319" t="inlineStr">
        <is>
          <t>Hardware</t>
        </is>
      </c>
      <c r="E1319" s="2" t="n">
        <v>46082</v>
      </c>
      <c r="F1319" s="2" t="n">
        <v>47177</v>
      </c>
      <c r="G1319" s="3" t="n">
        <v>3010</v>
      </c>
      <c r="H1319">
        <f>VLOOKUP(B1319,Units!$A$2:$G$1646,2,FALSE)</f>
        <v/>
      </c>
      <c r="I1319">
        <f>VLOOKUP(B1319,Units!$A$2:$G$1646,5,FALSE)</f>
        <v/>
      </c>
      <c r="J1319" s="3">
        <f>G1319/I1319</f>
        <v/>
      </c>
      <c r="K1319" s="3">
        <f>G1319*12</f>
        <v/>
      </c>
      <c r="L1319" s="3" t="n">
        <v>9030</v>
      </c>
    </row>
    <row r="1320">
      <c r="A1320" t="inlineStr">
        <is>
          <t>TA-2026-00208</t>
        </is>
      </c>
      <c r="B1320" t="inlineStr">
        <is>
          <t>U-RH476-01-08</t>
        </is>
      </c>
      <c r="C1320" t="inlineStr">
        <is>
          <t>Lotus Trading Pte Ltd</t>
        </is>
      </c>
      <c r="D1320" t="inlineStr">
        <is>
          <t>Provision Shop</t>
        </is>
      </c>
      <c r="E1320" s="2" t="n">
        <v>46082</v>
      </c>
      <c r="F1320" s="2" t="n">
        <v>47177</v>
      </c>
      <c r="G1320" s="3" t="n">
        <v>3500</v>
      </c>
      <c r="H1320">
        <f>VLOOKUP(B1320,Units!$A$2:$G$1646,2,FALSE)</f>
        <v/>
      </c>
      <c r="I1320">
        <f>VLOOKUP(B1320,Units!$A$2:$G$1646,5,FALSE)</f>
        <v/>
      </c>
      <c r="J1320" s="3">
        <f>G1320/I1320</f>
        <v/>
      </c>
      <c r="K1320" s="3">
        <f>G1320*12</f>
        <v/>
      </c>
      <c r="L1320" s="3" t="n">
        <v>10500</v>
      </c>
    </row>
    <row r="1321">
      <c r="A1321" t="inlineStr">
        <is>
          <t>TA-2026-00210</t>
        </is>
      </c>
      <c r="B1321" t="inlineStr">
        <is>
          <t>U-ST501-01-11</t>
        </is>
      </c>
      <c r="C1321" t="inlineStr">
        <is>
          <t>Seri Murni Tuition Centre Pte Ltd</t>
        </is>
      </c>
      <c r="D1321" t="inlineStr">
        <is>
          <t>Tuition Centre</t>
        </is>
      </c>
      <c r="E1321" s="2" t="n">
        <v>46082</v>
      </c>
      <c r="F1321" s="2" t="n">
        <v>47177</v>
      </c>
      <c r="G1321" s="3" t="n">
        <v>2330</v>
      </c>
      <c r="H1321">
        <f>VLOOKUP(B1321,Units!$A$2:$G$1646,2,FALSE)</f>
        <v/>
      </c>
      <c r="I1321">
        <f>VLOOKUP(B1321,Units!$A$2:$G$1646,5,FALSE)</f>
        <v/>
      </c>
      <c r="J1321" s="3">
        <f>G1321/I1321</f>
        <v/>
      </c>
      <c r="K1321" s="3">
        <f>G1321*12</f>
        <v/>
      </c>
      <c r="L1321" s="3" t="n">
        <v>6990</v>
      </c>
    </row>
    <row r="1322">
      <c r="A1322" t="inlineStr">
        <is>
          <t>TA-2026-00212</t>
        </is>
      </c>
      <c r="B1322" t="inlineStr">
        <is>
          <t>U-ST501-01-14</t>
        </is>
      </c>
      <c r="C1322" t="inlineStr">
        <is>
          <t>Sin Hock Mart</t>
        </is>
      </c>
      <c r="D1322" t="inlineStr">
        <is>
          <t>Minimart</t>
        </is>
      </c>
      <c r="E1322" s="2" t="n">
        <v>46082</v>
      </c>
      <c r="F1322" s="2" t="n">
        <v>47177</v>
      </c>
      <c r="G1322" s="3" t="n">
        <v>2870</v>
      </c>
      <c r="H1322">
        <f>VLOOKUP(B1322,Units!$A$2:$G$1646,2,FALSE)</f>
        <v/>
      </c>
      <c r="I1322">
        <f>VLOOKUP(B1322,Units!$A$2:$G$1646,5,FALSE)</f>
        <v/>
      </c>
      <c r="J1322" s="3">
        <f>G1322/I1322</f>
        <v/>
      </c>
      <c r="K1322" s="3">
        <f>G1322*12</f>
        <v/>
      </c>
      <c r="L1322" s="3" t="n">
        <v>8610</v>
      </c>
    </row>
    <row r="1323">
      <c r="A1323" t="inlineStr">
        <is>
          <t>TA-2026-00213</t>
        </is>
      </c>
      <c r="B1323" t="inlineStr">
        <is>
          <t>U-ST507-01-05</t>
        </is>
      </c>
      <c r="C1323" t="inlineStr">
        <is>
          <t>Wellcare Mobile</t>
        </is>
      </c>
      <c r="D1323" t="inlineStr">
        <is>
          <t>Mobile Phone &amp; Accessories</t>
        </is>
      </c>
      <c r="E1323" s="2" t="n">
        <v>46082</v>
      </c>
      <c r="F1323" s="2" t="n">
        <v>47177</v>
      </c>
      <c r="G1323" s="3" t="n">
        <v>1250</v>
      </c>
      <c r="H1323">
        <f>VLOOKUP(B1323,Units!$A$2:$G$1646,2,FALSE)</f>
        <v/>
      </c>
      <c r="I1323">
        <f>VLOOKUP(B1323,Units!$A$2:$G$1646,5,FALSE)</f>
        <v/>
      </c>
      <c r="J1323" s="3">
        <f>G1323/I1323</f>
        <v/>
      </c>
      <c r="K1323" s="3">
        <f>G1323*12</f>
        <v/>
      </c>
      <c r="L1323" s="3" t="n">
        <v>3750</v>
      </c>
    </row>
    <row r="1324">
      <c r="A1324" t="inlineStr">
        <is>
          <t>TA-2026-00215</t>
        </is>
      </c>
      <c r="B1324" t="inlineStr">
        <is>
          <t>U-ST507-02-04</t>
        </is>
      </c>
      <c r="C1324" t="inlineStr">
        <is>
          <t>Evergreen Tuition Centre Pte Ltd</t>
        </is>
      </c>
      <c r="D1324" t="inlineStr">
        <is>
          <t>Tuition Centre</t>
        </is>
      </c>
      <c r="E1324" s="2" t="n">
        <v>46082</v>
      </c>
      <c r="F1324" s="2" t="n">
        <v>47177</v>
      </c>
      <c r="G1324" s="3" t="n">
        <v>1260</v>
      </c>
      <c r="H1324">
        <f>VLOOKUP(B1324,Units!$A$2:$G$1646,2,FALSE)</f>
        <v/>
      </c>
      <c r="I1324">
        <f>VLOOKUP(B1324,Units!$A$2:$G$1646,5,FALSE)</f>
        <v/>
      </c>
      <c r="J1324" s="3">
        <f>G1324/I1324</f>
        <v/>
      </c>
      <c r="K1324" s="3">
        <f>G1324*12</f>
        <v/>
      </c>
      <c r="L1324" s="3" t="n">
        <v>3780</v>
      </c>
    </row>
    <row r="1325">
      <c r="A1325" t="inlineStr">
        <is>
          <t>TA-2026-00216</t>
        </is>
      </c>
      <c r="B1325" t="inlineStr">
        <is>
          <t>U-ST512-01-02</t>
        </is>
      </c>
      <c r="C1325" t="inlineStr">
        <is>
          <t>Nanyang TCM Clinic</t>
        </is>
      </c>
      <c r="D1325" t="inlineStr">
        <is>
          <t>TCM Clinic</t>
        </is>
      </c>
      <c r="E1325" s="2" t="n">
        <v>46082</v>
      </c>
      <c r="F1325" s="2" t="n">
        <v>47177</v>
      </c>
      <c r="G1325" s="3" t="n">
        <v>2010</v>
      </c>
      <c r="H1325">
        <f>VLOOKUP(B1325,Units!$A$2:$G$1646,2,FALSE)</f>
        <v/>
      </c>
      <c r="I1325">
        <f>VLOOKUP(B1325,Units!$A$2:$G$1646,5,FALSE)</f>
        <v/>
      </c>
      <c r="J1325" s="3">
        <f>G1325/I1325</f>
        <v/>
      </c>
      <c r="K1325" s="3">
        <f>G1325*12</f>
        <v/>
      </c>
      <c r="L1325" s="3" t="n">
        <v>6030</v>
      </c>
    </row>
    <row r="1326">
      <c r="A1326" t="inlineStr">
        <is>
          <t>TA-2026-00217</t>
        </is>
      </c>
      <c r="B1326" t="inlineStr">
        <is>
          <t>U-ST512-01-04</t>
        </is>
      </c>
      <c r="C1326" t="inlineStr">
        <is>
          <t>Soon Hin Hair Salon Pte Ltd</t>
        </is>
      </c>
      <c r="D1326" t="inlineStr">
        <is>
          <t>Hair Salon</t>
        </is>
      </c>
      <c r="E1326" s="2" t="n">
        <v>46082</v>
      </c>
      <c r="F1326" s="2" t="n">
        <v>47177</v>
      </c>
      <c r="G1326" s="3" t="n">
        <v>3890</v>
      </c>
      <c r="H1326">
        <f>VLOOKUP(B1326,Units!$A$2:$G$1646,2,FALSE)</f>
        <v/>
      </c>
      <c r="I1326">
        <f>VLOOKUP(B1326,Units!$A$2:$G$1646,5,FALSE)</f>
        <v/>
      </c>
      <c r="J1326" s="3">
        <f>G1326/I1326</f>
        <v/>
      </c>
      <c r="K1326" s="3">
        <f>G1326*12</f>
        <v/>
      </c>
      <c r="L1326" s="3" t="n">
        <v>11670</v>
      </c>
    </row>
    <row r="1327">
      <c r="A1327" t="inlineStr">
        <is>
          <t>TA-2026-00219</t>
        </is>
      </c>
      <c r="B1327" t="inlineStr">
        <is>
          <t>U-ST512-01-12</t>
        </is>
      </c>
      <c r="C1327" t="inlineStr">
        <is>
          <t>Kampung Trading Pte Ltd</t>
        </is>
      </c>
      <c r="D1327" t="inlineStr">
        <is>
          <t>Provision Shop</t>
        </is>
      </c>
      <c r="E1327" s="2" t="n">
        <v>46082</v>
      </c>
      <c r="F1327" s="2" t="n">
        <v>47177</v>
      </c>
      <c r="G1327" s="3" t="n">
        <v>2850</v>
      </c>
      <c r="H1327">
        <f>VLOOKUP(B1327,Units!$A$2:$G$1646,2,FALSE)</f>
        <v/>
      </c>
      <c r="I1327">
        <f>VLOOKUP(B1327,Units!$A$2:$G$1646,5,FALSE)</f>
        <v/>
      </c>
      <c r="J1327" s="3">
        <f>G1327/I1327</f>
        <v/>
      </c>
      <c r="K1327" s="3">
        <f>G1327*12</f>
        <v/>
      </c>
      <c r="L1327" s="3" t="n">
        <v>8550</v>
      </c>
    </row>
    <row r="1328">
      <c r="A1328" t="inlineStr">
        <is>
          <t>TA-2026-00221</t>
        </is>
      </c>
      <c r="B1328" t="inlineStr">
        <is>
          <t>U-ST512-01-29</t>
        </is>
      </c>
      <c r="C1328" t="inlineStr">
        <is>
          <t>Seri Murni Supermarket Pte Ltd</t>
        </is>
      </c>
      <c r="D1328" t="inlineStr">
        <is>
          <t>Minimart</t>
        </is>
      </c>
      <c r="E1328" s="2" t="n">
        <v>46082</v>
      </c>
      <c r="F1328" s="2" t="n">
        <v>47177</v>
      </c>
      <c r="G1328" s="3" t="n">
        <v>2720</v>
      </c>
      <c r="H1328">
        <f>VLOOKUP(B1328,Units!$A$2:$G$1646,2,FALSE)</f>
        <v/>
      </c>
      <c r="I1328">
        <f>VLOOKUP(B1328,Units!$A$2:$G$1646,5,FALSE)</f>
        <v/>
      </c>
      <c r="J1328" s="3">
        <f>G1328/I1328</f>
        <v/>
      </c>
      <c r="K1328" s="3">
        <f>G1328*12</f>
        <v/>
      </c>
      <c r="L1328" s="3" t="n">
        <v>8160</v>
      </c>
    </row>
    <row r="1329">
      <c r="A1329" t="inlineStr">
        <is>
          <t>TA-2026-00223</t>
        </is>
      </c>
      <c r="B1329" t="inlineStr">
        <is>
          <t>U-ST513-01-06</t>
        </is>
      </c>
      <c r="C1329" t="inlineStr">
        <is>
          <t>Lotus Hardware &amp; Electrical</t>
        </is>
      </c>
      <c r="D1329" t="inlineStr">
        <is>
          <t>Hardware</t>
        </is>
      </c>
      <c r="E1329" s="2" t="n">
        <v>46082</v>
      </c>
      <c r="F1329" s="2" t="n">
        <v>47177</v>
      </c>
      <c r="G1329" s="3" t="n">
        <v>3770</v>
      </c>
      <c r="H1329">
        <f>VLOOKUP(B1329,Units!$A$2:$G$1646,2,FALSE)</f>
        <v/>
      </c>
      <c r="I1329">
        <f>VLOOKUP(B1329,Units!$A$2:$G$1646,5,FALSE)</f>
        <v/>
      </c>
      <c r="J1329" s="3">
        <f>G1329/I1329</f>
        <v/>
      </c>
      <c r="K1329" s="3">
        <f>G1329*12</f>
        <v/>
      </c>
      <c r="L1329" s="3" t="n">
        <v>11310</v>
      </c>
    </row>
    <row r="1330">
      <c r="A1330" t="inlineStr">
        <is>
          <t>TA-2026-00224</t>
        </is>
      </c>
      <c r="B1330" t="inlineStr">
        <is>
          <t>U-ST522-01-01</t>
        </is>
      </c>
      <c r="C1330" t="inlineStr">
        <is>
          <t>Everbright Trading Pte Ltd</t>
        </is>
      </c>
      <c r="D1330" t="inlineStr">
        <is>
          <t>Provision Shop</t>
        </is>
      </c>
      <c r="E1330" s="2" t="n">
        <v>46082</v>
      </c>
      <c r="F1330" s="2" t="n">
        <v>47177</v>
      </c>
      <c r="G1330" s="3" t="n">
        <v>2730</v>
      </c>
      <c r="H1330">
        <f>VLOOKUP(B1330,Units!$A$2:$G$1646,2,FALSE)</f>
        <v/>
      </c>
      <c r="I1330">
        <f>VLOOKUP(B1330,Units!$A$2:$G$1646,5,FALSE)</f>
        <v/>
      </c>
      <c r="J1330" s="3">
        <f>G1330/I1330</f>
        <v/>
      </c>
      <c r="K1330" s="3">
        <f>G1330*12</f>
        <v/>
      </c>
      <c r="L1330" s="3" t="n">
        <v>8190</v>
      </c>
    </row>
    <row r="1331">
      <c r="A1331" t="inlineStr">
        <is>
          <t>TA-2026-00225</t>
        </is>
      </c>
      <c r="B1331" t="inlineStr">
        <is>
          <t>U-ST522-01-04</t>
        </is>
      </c>
      <c r="C1331" t="inlineStr">
        <is>
          <t>Heng Ann Education Hub Pte Ltd</t>
        </is>
      </c>
      <c r="D1331" t="inlineStr">
        <is>
          <t>Tuition Centre</t>
        </is>
      </c>
      <c r="E1331" s="2" t="n">
        <v>46082</v>
      </c>
      <c r="F1331" s="2" t="n">
        <v>47177</v>
      </c>
      <c r="G1331" s="3" t="n">
        <v>2660</v>
      </c>
      <c r="H1331">
        <f>VLOOKUP(B1331,Units!$A$2:$G$1646,2,FALSE)</f>
        <v/>
      </c>
      <c r="I1331">
        <f>VLOOKUP(B1331,Units!$A$2:$G$1646,5,FALSE)</f>
        <v/>
      </c>
      <c r="J1331" s="3">
        <f>G1331/I1331</f>
        <v/>
      </c>
      <c r="K1331" s="3">
        <f>G1331*12</f>
        <v/>
      </c>
      <c r="L1331" s="3" t="n">
        <v>7980</v>
      </c>
    </row>
    <row r="1332">
      <c r="A1332" t="inlineStr">
        <is>
          <t>TA-2026-00227</t>
        </is>
      </c>
      <c r="B1332" t="inlineStr">
        <is>
          <t>U-ST537-01-05</t>
        </is>
      </c>
      <c r="C1332" t="inlineStr">
        <is>
          <t>Starlight Provision Shop</t>
        </is>
      </c>
      <c r="D1332" t="inlineStr">
        <is>
          <t>Provision Shop</t>
        </is>
      </c>
      <c r="E1332" s="2" t="n">
        <v>46082</v>
      </c>
      <c r="F1332" s="2" t="n">
        <v>47177</v>
      </c>
      <c r="G1332" s="3" t="n">
        <v>2330</v>
      </c>
      <c r="H1332">
        <f>VLOOKUP(B1332,Units!$A$2:$G$1646,2,FALSE)</f>
        <v/>
      </c>
      <c r="I1332">
        <f>VLOOKUP(B1332,Units!$A$2:$G$1646,5,FALSE)</f>
        <v/>
      </c>
      <c r="J1332" s="3">
        <f>G1332/I1332</f>
        <v/>
      </c>
      <c r="K1332" s="3">
        <f>G1332*12</f>
        <v/>
      </c>
      <c r="L1332" s="3" t="n">
        <v>6990</v>
      </c>
    </row>
    <row r="1333">
      <c r="A1333" t="inlineStr">
        <is>
          <t>TA-2026-00228</t>
        </is>
      </c>
      <c r="B1333" t="inlineStr">
        <is>
          <t>U-ST545-01-10</t>
        </is>
      </c>
      <c r="C1333" t="inlineStr">
        <is>
          <t>Kumar Trading</t>
        </is>
      </c>
      <c r="D1333" t="inlineStr">
        <is>
          <t>Provision Shop</t>
        </is>
      </c>
      <c r="E1333" s="2" t="n">
        <v>46082</v>
      </c>
      <c r="F1333" s="2" t="n">
        <v>47177</v>
      </c>
      <c r="G1333" s="3" t="n">
        <v>3160</v>
      </c>
      <c r="H1333">
        <f>VLOOKUP(B1333,Units!$A$2:$G$1646,2,FALSE)</f>
        <v/>
      </c>
      <c r="I1333">
        <f>VLOOKUP(B1333,Units!$A$2:$G$1646,5,FALSE)</f>
        <v/>
      </c>
      <c r="J1333" s="3">
        <f>G1333/I1333</f>
        <v/>
      </c>
      <c r="K1333" s="3">
        <f>G1333*12</f>
        <v/>
      </c>
      <c r="L1333" s="3" t="n">
        <v>9480</v>
      </c>
    </row>
    <row r="1334">
      <c r="A1334" t="inlineStr">
        <is>
          <t>TA-2026-00229</t>
        </is>
      </c>
      <c r="B1334" t="inlineStr">
        <is>
          <t>U-ST566-01-10</t>
        </is>
      </c>
      <c r="C1334" t="inlineStr">
        <is>
          <t>Sunflower Kueh Corner</t>
        </is>
      </c>
      <c r="D1334" t="inlineStr">
        <is>
          <t>Snack Kiosk</t>
        </is>
      </c>
      <c r="E1334" s="2" t="n">
        <v>46082</v>
      </c>
      <c r="F1334" s="2" t="n">
        <v>47177</v>
      </c>
      <c r="G1334" s="3" t="n">
        <v>900</v>
      </c>
      <c r="H1334">
        <f>VLOOKUP(B1334,Units!$A$2:$G$1646,2,FALSE)</f>
        <v/>
      </c>
      <c r="I1334">
        <f>VLOOKUP(B1334,Units!$A$2:$G$1646,5,FALSE)</f>
        <v/>
      </c>
      <c r="J1334" s="3">
        <f>G1334/I1334</f>
        <v/>
      </c>
      <c r="K1334" s="3">
        <f>G1334*12</f>
        <v/>
      </c>
      <c r="L1334" s="3" t="n">
        <v>2700</v>
      </c>
    </row>
    <row r="1335">
      <c r="A1335" t="inlineStr">
        <is>
          <t>TA-2026-00230</t>
        </is>
      </c>
      <c r="B1335" t="inlineStr">
        <is>
          <t>U-ST589-01-06</t>
        </is>
      </c>
      <c r="C1335" t="inlineStr">
        <is>
          <t>Ah Seng Bubble Tea Pte Ltd</t>
        </is>
      </c>
      <c r="D1335" t="inlineStr">
        <is>
          <t>Bubble Tea</t>
        </is>
      </c>
      <c r="E1335" s="2" t="n">
        <v>46082</v>
      </c>
      <c r="F1335" s="2" t="n">
        <v>47177</v>
      </c>
      <c r="G1335" s="3" t="n">
        <v>2440</v>
      </c>
      <c r="H1335">
        <f>VLOOKUP(B1335,Units!$A$2:$G$1646,2,FALSE)</f>
        <v/>
      </c>
      <c r="I1335">
        <f>VLOOKUP(B1335,Units!$A$2:$G$1646,5,FALSE)</f>
        <v/>
      </c>
      <c r="J1335" s="3">
        <f>G1335/I1335</f>
        <v/>
      </c>
      <c r="K1335" s="3">
        <f>G1335*12</f>
        <v/>
      </c>
      <c r="L1335" s="3" t="n">
        <v>7320</v>
      </c>
    </row>
    <row r="1336">
      <c r="A1336" t="inlineStr">
        <is>
          <t>TA-2026-00232</t>
        </is>
      </c>
      <c r="B1336" t="inlineStr">
        <is>
          <t>U-ST596-02-06</t>
        </is>
      </c>
      <c r="C1336" t="inlineStr">
        <is>
          <t>Bayu Clinic &amp; Surgery</t>
        </is>
      </c>
      <c r="D1336" t="inlineStr">
        <is>
          <t>GP Clinic</t>
        </is>
      </c>
      <c r="E1336" s="2" t="n">
        <v>46082</v>
      </c>
      <c r="F1336" s="2" t="n">
        <v>47177</v>
      </c>
      <c r="G1336" s="3" t="n">
        <v>2110</v>
      </c>
      <c r="H1336">
        <f>VLOOKUP(B1336,Units!$A$2:$G$1646,2,FALSE)</f>
        <v/>
      </c>
      <c r="I1336">
        <f>VLOOKUP(B1336,Units!$A$2:$G$1646,5,FALSE)</f>
        <v/>
      </c>
      <c r="J1336" s="3">
        <f>G1336/I1336</f>
        <v/>
      </c>
      <c r="K1336" s="3">
        <f>G1336*12</f>
        <v/>
      </c>
      <c r="L1336" s="3" t="n">
        <v>6330</v>
      </c>
    </row>
    <row r="1337">
      <c r="A1337" t="inlineStr">
        <is>
          <t>TA-2026-00234</t>
        </is>
      </c>
      <c r="B1337" t="inlineStr">
        <is>
          <t>U-BV214-02-34</t>
        </is>
      </c>
      <c r="C1337" t="inlineStr">
        <is>
          <t>Chop Wah Clinic &amp; Surgery Pte Ltd</t>
        </is>
      </c>
      <c r="D1337" t="inlineStr">
        <is>
          <t>GP Clinic</t>
        </is>
      </c>
      <c r="E1337" s="2" t="n">
        <v>46113</v>
      </c>
      <c r="F1337" s="2" t="n">
        <v>47208</v>
      </c>
      <c r="G1337" s="3" t="n">
        <v>4130</v>
      </c>
      <c r="H1337">
        <f>VLOOKUP(B1337,Units!$A$2:$G$1646,2,FALSE)</f>
        <v/>
      </c>
      <c r="I1337">
        <f>VLOOKUP(B1337,Units!$A$2:$G$1646,5,FALSE)</f>
        <v/>
      </c>
      <c r="J1337" s="3">
        <f>G1337/I1337</f>
        <v/>
      </c>
      <c r="K1337" s="3">
        <f>G1337*12</f>
        <v/>
      </c>
      <c r="L1337" s="3" t="n">
        <v>12390</v>
      </c>
    </row>
    <row r="1338">
      <c r="A1338" t="inlineStr">
        <is>
          <t>TA-2026-00236</t>
        </is>
      </c>
      <c r="B1338" t="inlineStr">
        <is>
          <t>U-BV230-01-07</t>
        </is>
      </c>
      <c r="C1338" t="inlineStr">
        <is>
          <t>Hometown Flowers &amp; Gifts</t>
        </is>
      </c>
      <c r="D1338" t="inlineStr">
        <is>
          <t>Florist</t>
        </is>
      </c>
      <c r="E1338" s="2" t="n">
        <v>46113</v>
      </c>
      <c r="F1338" s="2" t="n">
        <v>47208</v>
      </c>
      <c r="G1338" s="3" t="n">
        <v>1220</v>
      </c>
      <c r="H1338">
        <f>VLOOKUP(B1338,Units!$A$2:$G$1646,2,FALSE)</f>
        <v/>
      </c>
      <c r="I1338">
        <f>VLOOKUP(B1338,Units!$A$2:$G$1646,5,FALSE)</f>
        <v/>
      </c>
      <c r="J1338" s="3">
        <f>G1338/I1338</f>
        <v/>
      </c>
      <c r="K1338" s="3">
        <f>G1338*12</f>
        <v/>
      </c>
      <c r="L1338" s="3" t="n">
        <v>3660</v>
      </c>
    </row>
    <row r="1339">
      <c r="A1339" t="inlineStr">
        <is>
          <t>TA-2026-00238</t>
        </is>
      </c>
      <c r="B1339" t="inlineStr">
        <is>
          <t>U-BV231-01-12</t>
        </is>
      </c>
      <c r="C1339" t="inlineStr">
        <is>
          <t>Bloom Clinic &amp; Surgery</t>
        </is>
      </c>
      <c r="D1339" t="inlineStr">
        <is>
          <t>GP Clinic</t>
        </is>
      </c>
      <c r="E1339" s="2" t="n">
        <v>46113</v>
      </c>
      <c r="F1339" s="2" t="n">
        <v>47208</v>
      </c>
      <c r="G1339" s="3" t="n">
        <v>3380</v>
      </c>
      <c r="H1339">
        <f>VLOOKUP(B1339,Units!$A$2:$G$1646,2,FALSE)</f>
        <v/>
      </c>
      <c r="I1339">
        <f>VLOOKUP(B1339,Units!$A$2:$G$1646,5,FALSE)</f>
        <v/>
      </c>
      <c r="J1339" s="3">
        <f>G1339/I1339</f>
        <v/>
      </c>
      <c r="K1339" s="3">
        <f>G1339*12</f>
        <v/>
      </c>
      <c r="L1339" s="3" t="n">
        <v>10140</v>
      </c>
    </row>
    <row r="1340">
      <c r="A1340" t="inlineStr">
        <is>
          <t>TA-2026-00240</t>
        </is>
      </c>
      <c r="B1340" t="inlineStr">
        <is>
          <t>U-BV233-01-05</t>
        </is>
      </c>
      <c r="C1340" t="inlineStr">
        <is>
          <t>Gold Coin Hardware</t>
        </is>
      </c>
      <c r="D1340" t="inlineStr">
        <is>
          <t>Hardware</t>
        </is>
      </c>
      <c r="E1340" s="2" t="n">
        <v>46113</v>
      </c>
      <c r="F1340" s="2" t="n">
        <v>47208</v>
      </c>
      <c r="G1340" s="3" t="n">
        <v>4370</v>
      </c>
      <c r="H1340">
        <f>VLOOKUP(B1340,Units!$A$2:$G$1646,2,FALSE)</f>
        <v/>
      </c>
      <c r="I1340">
        <f>VLOOKUP(B1340,Units!$A$2:$G$1646,5,FALSE)</f>
        <v/>
      </c>
      <c r="J1340" s="3">
        <f>G1340/I1340</f>
        <v/>
      </c>
      <c r="K1340" s="3">
        <f>G1340*12</f>
        <v/>
      </c>
      <c r="L1340" s="3" t="n">
        <v>13110</v>
      </c>
    </row>
    <row r="1341">
      <c r="A1341" t="inlineStr">
        <is>
          <t>TA-2026-00241</t>
        </is>
      </c>
      <c r="B1341" t="inlineStr">
        <is>
          <t>U-BV273-01-04</t>
        </is>
      </c>
      <c r="C1341" t="inlineStr">
        <is>
          <t>Ananda Mart Pte Ltd</t>
        </is>
      </c>
      <c r="D1341" t="inlineStr">
        <is>
          <t>Minimart</t>
        </is>
      </c>
      <c r="E1341" s="2" t="n">
        <v>46113</v>
      </c>
      <c r="F1341" s="2" t="n">
        <v>47208</v>
      </c>
      <c r="G1341" s="3" t="n">
        <v>3730</v>
      </c>
      <c r="H1341">
        <f>VLOOKUP(B1341,Units!$A$2:$G$1646,2,FALSE)</f>
        <v/>
      </c>
      <c r="I1341">
        <f>VLOOKUP(B1341,Units!$A$2:$G$1646,5,FALSE)</f>
        <v/>
      </c>
      <c r="J1341" s="3">
        <f>G1341/I1341</f>
        <v/>
      </c>
      <c r="K1341" s="3">
        <f>G1341*12</f>
        <v/>
      </c>
      <c r="L1341" s="3" t="n">
        <v>11190</v>
      </c>
    </row>
    <row r="1342">
      <c r="A1342" t="inlineStr">
        <is>
          <t>TA-2026-00242</t>
        </is>
      </c>
      <c r="B1342" t="inlineStr">
        <is>
          <t>U-BV277-01-12</t>
        </is>
      </c>
      <c r="C1342" t="inlineStr">
        <is>
          <t>Wong's Medical Supplies</t>
        </is>
      </c>
      <c r="D1342" t="inlineStr">
        <is>
          <t>Pharmacy</t>
        </is>
      </c>
      <c r="E1342" s="2" t="n">
        <v>46113</v>
      </c>
      <c r="F1342" s="2" t="n">
        <v>47208</v>
      </c>
      <c r="G1342" s="3" t="n">
        <v>3150</v>
      </c>
      <c r="H1342">
        <f>VLOOKUP(B1342,Units!$A$2:$G$1646,2,FALSE)</f>
        <v/>
      </c>
      <c r="I1342">
        <f>VLOOKUP(B1342,Units!$A$2:$G$1646,5,FALSE)</f>
        <v/>
      </c>
      <c r="J1342" s="3">
        <f>G1342/I1342</f>
        <v/>
      </c>
      <c r="K1342" s="3">
        <f>G1342*12</f>
        <v/>
      </c>
      <c r="L1342" s="3" t="n">
        <v>9450</v>
      </c>
    </row>
    <row r="1343">
      <c r="A1343" t="inlineStr">
        <is>
          <t>TA-2026-00244</t>
        </is>
      </c>
      <c r="B1343" t="inlineStr">
        <is>
          <t>U-BV297-02-05</t>
        </is>
      </c>
      <c r="C1343" t="inlineStr">
        <is>
          <t>Bright Path Accounting Services</t>
        </is>
      </c>
      <c r="D1343" t="inlineStr">
        <is>
          <t>Professional Services Office</t>
        </is>
      </c>
      <c r="E1343" s="2" t="n">
        <v>46113</v>
      </c>
      <c r="F1343" s="2" t="n">
        <v>47208</v>
      </c>
      <c r="G1343" s="3" t="n">
        <v>3300</v>
      </c>
      <c r="H1343">
        <f>VLOOKUP(B1343,Units!$A$2:$G$1646,2,FALSE)</f>
        <v/>
      </c>
      <c r="I1343">
        <f>VLOOKUP(B1343,Units!$A$2:$G$1646,5,FALSE)</f>
        <v/>
      </c>
      <c r="J1343" s="3">
        <f>G1343/I1343</f>
        <v/>
      </c>
      <c r="K1343" s="3">
        <f>G1343*12</f>
        <v/>
      </c>
      <c r="L1343" s="3" t="n">
        <v>9900</v>
      </c>
    </row>
    <row r="1344">
      <c r="A1344" t="inlineStr">
        <is>
          <t>TA-2026-00245</t>
        </is>
      </c>
      <c r="B1344" t="inlineStr">
        <is>
          <t>U-CD170-01-10</t>
        </is>
      </c>
      <c r="C1344" t="inlineStr">
        <is>
          <t>Chop Wah Trading Pte Ltd</t>
        </is>
      </c>
      <c r="D1344" t="inlineStr">
        <is>
          <t>Provision Shop</t>
        </is>
      </c>
      <c r="E1344" s="2" t="n">
        <v>46113</v>
      </c>
      <c r="F1344" s="2" t="n">
        <v>47208</v>
      </c>
      <c r="G1344" s="3" t="n">
        <v>4840</v>
      </c>
      <c r="H1344">
        <f>VLOOKUP(B1344,Units!$A$2:$G$1646,2,FALSE)</f>
        <v/>
      </c>
      <c r="I1344">
        <f>VLOOKUP(B1344,Units!$A$2:$G$1646,5,FALSE)</f>
        <v/>
      </c>
      <c r="J1344" s="3">
        <f>G1344/I1344</f>
        <v/>
      </c>
      <c r="K1344" s="3">
        <f>G1344*12</f>
        <v/>
      </c>
      <c r="L1344" s="3" t="n">
        <v>14520</v>
      </c>
    </row>
    <row r="1345">
      <c r="A1345" t="inlineStr">
        <is>
          <t>TA-2026-00246</t>
        </is>
      </c>
      <c r="B1345" t="inlineStr">
        <is>
          <t>U-CD185-01-01</t>
        </is>
      </c>
      <c r="C1345" t="inlineStr">
        <is>
          <t>Unity Snacks</t>
        </is>
      </c>
      <c r="D1345" t="inlineStr">
        <is>
          <t>Snack Kiosk</t>
        </is>
      </c>
      <c r="E1345" s="2" t="n">
        <v>46113</v>
      </c>
      <c r="F1345" s="2" t="n">
        <v>47208</v>
      </c>
      <c r="G1345" s="3" t="n">
        <v>950</v>
      </c>
      <c r="H1345">
        <f>VLOOKUP(B1345,Units!$A$2:$G$1646,2,FALSE)</f>
        <v/>
      </c>
      <c r="I1345">
        <f>VLOOKUP(B1345,Units!$A$2:$G$1646,5,FALSE)</f>
        <v/>
      </c>
      <c r="J1345" s="3">
        <f>G1345/I1345</f>
        <v/>
      </c>
      <c r="K1345" s="3">
        <f>G1345*12</f>
        <v/>
      </c>
      <c r="L1345" s="3" t="n">
        <v>2850</v>
      </c>
    </row>
    <row r="1346">
      <c r="A1346" t="inlineStr">
        <is>
          <t>TA-2026-00248</t>
        </is>
      </c>
      <c r="B1346" t="inlineStr">
        <is>
          <t>U-KR330-01-09</t>
        </is>
      </c>
      <c r="C1346" t="inlineStr">
        <is>
          <t>Raja Telecom</t>
        </is>
      </c>
      <c r="D1346" t="inlineStr">
        <is>
          <t>Mobile Phone &amp; Accessories</t>
        </is>
      </c>
      <c r="E1346" s="2" t="n">
        <v>46113</v>
      </c>
      <c r="F1346" s="2" t="n">
        <v>47208</v>
      </c>
      <c r="G1346" s="3" t="n">
        <v>960</v>
      </c>
      <c r="H1346">
        <f>VLOOKUP(B1346,Units!$A$2:$G$1646,2,FALSE)</f>
        <v/>
      </c>
      <c r="I1346">
        <f>VLOOKUP(B1346,Units!$A$2:$G$1646,5,FALSE)</f>
        <v/>
      </c>
      <c r="J1346" s="3">
        <f>G1346/I1346</f>
        <v/>
      </c>
      <c r="K1346" s="3">
        <f>G1346*12</f>
        <v/>
      </c>
      <c r="L1346" s="3" t="n">
        <v>2880</v>
      </c>
    </row>
    <row r="1347">
      <c r="A1347" t="inlineStr">
        <is>
          <t>TA-2026-00249</t>
        </is>
      </c>
      <c r="B1347" t="inlineStr">
        <is>
          <t>U-KR333-01-06</t>
        </is>
      </c>
      <c r="C1347" t="inlineStr">
        <is>
          <t>Lakshmi Supermarket</t>
        </is>
      </c>
      <c r="D1347" t="inlineStr">
        <is>
          <t>Minimart</t>
        </is>
      </c>
      <c r="E1347" s="2" t="n">
        <v>46113</v>
      </c>
      <c r="F1347" s="2" t="n">
        <v>47208</v>
      </c>
      <c r="G1347" s="3" t="n">
        <v>2630</v>
      </c>
      <c r="H1347">
        <f>VLOOKUP(B1347,Units!$A$2:$G$1646,2,FALSE)</f>
        <v/>
      </c>
      <c r="I1347">
        <f>VLOOKUP(B1347,Units!$A$2:$G$1646,5,FALSE)</f>
        <v/>
      </c>
      <c r="J1347" s="3">
        <f>G1347/I1347</f>
        <v/>
      </c>
      <c r="K1347" s="3">
        <f>G1347*12</f>
        <v/>
      </c>
      <c r="L1347" s="3" t="n">
        <v>7890</v>
      </c>
    </row>
    <row r="1348">
      <c r="A1348" t="inlineStr">
        <is>
          <t>TA-2026-00251</t>
        </is>
      </c>
      <c r="B1348" t="inlineStr">
        <is>
          <t>U-KR345-01-10</t>
        </is>
      </c>
      <c r="C1348" t="inlineStr">
        <is>
          <t>Pinnacle Bookstore Pte Ltd</t>
        </is>
      </c>
      <c r="D1348" t="inlineStr">
        <is>
          <t>Stationery &amp; Books</t>
        </is>
      </c>
      <c r="E1348" s="2" t="n">
        <v>46113</v>
      </c>
      <c r="F1348" s="2" t="n">
        <v>47208</v>
      </c>
      <c r="G1348" s="3" t="n">
        <v>4330</v>
      </c>
      <c r="H1348">
        <f>VLOOKUP(B1348,Units!$A$2:$G$1646,2,FALSE)</f>
        <v/>
      </c>
      <c r="I1348">
        <f>VLOOKUP(B1348,Units!$A$2:$G$1646,5,FALSE)</f>
        <v/>
      </c>
      <c r="J1348" s="3">
        <f>G1348/I1348</f>
        <v/>
      </c>
      <c r="K1348" s="3">
        <f>G1348*12</f>
        <v/>
      </c>
      <c r="L1348" s="3" t="n">
        <v>12990</v>
      </c>
    </row>
    <row r="1349">
      <c r="A1349" t="inlineStr">
        <is>
          <t>TA-2026-00252</t>
        </is>
      </c>
      <c r="B1349" t="inlineStr">
        <is>
          <t>U-KR356-01-08</t>
        </is>
      </c>
      <c r="C1349" t="inlineStr">
        <is>
          <t>Peng Kee Bubble Tea Pte Ltd</t>
        </is>
      </c>
      <c r="D1349" t="inlineStr">
        <is>
          <t>Bubble Tea</t>
        </is>
      </c>
      <c r="E1349" s="2" t="n">
        <v>46113</v>
      </c>
      <c r="F1349" s="2" t="n">
        <v>47208</v>
      </c>
      <c r="G1349" s="3" t="n">
        <v>970</v>
      </c>
      <c r="H1349">
        <f>VLOOKUP(B1349,Units!$A$2:$G$1646,2,FALSE)</f>
        <v/>
      </c>
      <c r="I1349">
        <f>VLOOKUP(B1349,Units!$A$2:$G$1646,5,FALSE)</f>
        <v/>
      </c>
      <c r="J1349" s="3">
        <f>G1349/I1349</f>
        <v/>
      </c>
      <c r="K1349" s="3">
        <f>G1349*12</f>
        <v/>
      </c>
      <c r="L1349" s="3" t="n">
        <v>2910</v>
      </c>
    </row>
    <row r="1350">
      <c r="A1350" t="inlineStr">
        <is>
          <t>TA-2026-00254</t>
        </is>
      </c>
      <c r="B1350" t="inlineStr">
        <is>
          <t>U-KR359-01-04</t>
        </is>
      </c>
      <c r="C1350" t="inlineStr">
        <is>
          <t>Green Leaf Optical</t>
        </is>
      </c>
      <c r="D1350" t="inlineStr">
        <is>
          <t>Optical</t>
        </is>
      </c>
      <c r="E1350" s="2" t="n">
        <v>46113</v>
      </c>
      <c r="F1350" s="2" t="n">
        <v>47208</v>
      </c>
      <c r="G1350" s="3" t="n">
        <v>3670</v>
      </c>
      <c r="H1350">
        <f>VLOOKUP(B1350,Units!$A$2:$G$1646,2,FALSE)</f>
        <v/>
      </c>
      <c r="I1350">
        <f>VLOOKUP(B1350,Units!$A$2:$G$1646,5,FALSE)</f>
        <v/>
      </c>
      <c r="J1350" s="3">
        <f>G1350/I1350</f>
        <v/>
      </c>
      <c r="K1350" s="3">
        <f>G1350*12</f>
        <v/>
      </c>
      <c r="L1350" s="3" t="n">
        <v>11010</v>
      </c>
    </row>
    <row r="1351">
      <c r="A1351" t="inlineStr">
        <is>
          <t>TA-2026-00256</t>
        </is>
      </c>
      <c r="B1351" t="inlineStr">
        <is>
          <t>U-KR368-01-03</t>
        </is>
      </c>
      <c r="C1351" t="inlineStr">
        <is>
          <t>Hometown Bakery</t>
        </is>
      </c>
      <c r="D1351" t="inlineStr">
        <is>
          <t>Bakery &amp; Confectionery</t>
        </is>
      </c>
      <c r="E1351" s="2" t="n">
        <v>46113</v>
      </c>
      <c r="F1351" s="2" t="n">
        <v>47208</v>
      </c>
      <c r="G1351" s="3" t="n">
        <v>4470</v>
      </c>
      <c r="H1351">
        <f>VLOOKUP(B1351,Units!$A$2:$G$1646,2,FALSE)</f>
        <v/>
      </c>
      <c r="I1351">
        <f>VLOOKUP(B1351,Units!$A$2:$G$1646,5,FALSE)</f>
        <v/>
      </c>
      <c r="J1351" s="3">
        <f>G1351/I1351</f>
        <v/>
      </c>
      <c r="K1351" s="3">
        <f>G1351*12</f>
        <v/>
      </c>
      <c r="L1351" s="3" t="n">
        <v>13410</v>
      </c>
    </row>
    <row r="1352">
      <c r="A1352" t="inlineStr">
        <is>
          <t>TA-2026-00257</t>
        </is>
      </c>
      <c r="B1352" t="inlineStr">
        <is>
          <t>U-KR369-01-03</t>
        </is>
      </c>
      <c r="C1352" t="inlineStr">
        <is>
          <t>Joo Chiat Supermarket</t>
        </is>
      </c>
      <c r="D1352" t="inlineStr">
        <is>
          <t>Minimart</t>
        </is>
      </c>
      <c r="E1352" s="2" t="n">
        <v>46113</v>
      </c>
      <c r="F1352" s="2" t="n">
        <v>47208</v>
      </c>
      <c r="G1352" s="3" t="n">
        <v>3150</v>
      </c>
      <c r="H1352">
        <f>VLOOKUP(B1352,Units!$A$2:$G$1646,2,FALSE)</f>
        <v/>
      </c>
      <c r="I1352">
        <f>VLOOKUP(B1352,Units!$A$2:$G$1646,5,FALSE)</f>
        <v/>
      </c>
      <c r="J1352" s="3">
        <f>G1352/I1352</f>
        <v/>
      </c>
      <c r="K1352" s="3">
        <f>G1352*12</f>
        <v/>
      </c>
      <c r="L1352" s="3" t="n">
        <v>9450</v>
      </c>
    </row>
    <row r="1353">
      <c r="A1353" t="inlineStr">
        <is>
          <t>TA-2026-00259</t>
        </is>
      </c>
      <c r="B1353" t="inlineStr">
        <is>
          <t>U-KR371-01-07</t>
        </is>
      </c>
      <c r="C1353" t="inlineStr">
        <is>
          <t>Raja Family Clinic Pte Ltd</t>
        </is>
      </c>
      <c r="D1353" t="inlineStr">
        <is>
          <t>GP Clinic</t>
        </is>
      </c>
      <c r="E1353" s="2" t="n">
        <v>46113</v>
      </c>
      <c r="F1353" s="2" t="n">
        <v>47208</v>
      </c>
      <c r="G1353" s="3" t="n">
        <v>2260</v>
      </c>
      <c r="H1353">
        <f>VLOOKUP(B1353,Units!$A$2:$G$1646,2,FALSE)</f>
        <v/>
      </c>
      <c r="I1353">
        <f>VLOOKUP(B1353,Units!$A$2:$G$1646,5,FALSE)</f>
        <v/>
      </c>
      <c r="J1353" s="3">
        <f>G1353/I1353</f>
        <v/>
      </c>
      <c r="K1353" s="3">
        <f>G1353*12</f>
        <v/>
      </c>
      <c r="L1353" s="3" t="n">
        <v>6780</v>
      </c>
    </row>
    <row r="1354">
      <c r="A1354" t="inlineStr">
        <is>
          <t>TA-2026-00260</t>
        </is>
      </c>
      <c r="B1354" t="inlineStr">
        <is>
          <t>U-KR386-01-02</t>
        </is>
      </c>
      <c r="C1354" t="inlineStr">
        <is>
          <t>Bayu Cake House</t>
        </is>
      </c>
      <c r="D1354" t="inlineStr">
        <is>
          <t>Bakery &amp; Confectionery</t>
        </is>
      </c>
      <c r="E1354" s="2" t="n">
        <v>46113</v>
      </c>
      <c r="F1354" s="2" t="n">
        <v>47208</v>
      </c>
      <c r="G1354" s="3" t="n">
        <v>3140</v>
      </c>
      <c r="H1354">
        <f>VLOOKUP(B1354,Units!$A$2:$G$1646,2,FALSE)</f>
        <v/>
      </c>
      <c r="I1354">
        <f>VLOOKUP(B1354,Units!$A$2:$G$1646,5,FALSE)</f>
        <v/>
      </c>
      <c r="J1354" s="3">
        <f>G1354/I1354</f>
        <v/>
      </c>
      <c r="K1354" s="3">
        <f>G1354*12</f>
        <v/>
      </c>
      <c r="L1354" s="3" t="n">
        <v>9420</v>
      </c>
    </row>
    <row r="1355">
      <c r="A1355" t="inlineStr">
        <is>
          <t>TA-2026-00262</t>
        </is>
      </c>
      <c r="B1355" t="inlineStr">
        <is>
          <t>U-PI605-01-02</t>
        </is>
      </c>
      <c r="C1355" t="inlineStr">
        <is>
          <t>Jade Garden Fruit Trading Pte Ltd</t>
        </is>
      </c>
      <c r="D1355" t="inlineStr">
        <is>
          <t>Fruit Shop</t>
        </is>
      </c>
      <c r="E1355" s="2" t="n">
        <v>46113</v>
      </c>
      <c r="F1355" s="2" t="n">
        <v>47208</v>
      </c>
      <c r="G1355" s="3" t="n">
        <v>3070</v>
      </c>
      <c r="H1355">
        <f>VLOOKUP(B1355,Units!$A$2:$G$1646,2,FALSE)</f>
        <v/>
      </c>
      <c r="I1355">
        <f>VLOOKUP(B1355,Units!$A$2:$G$1646,5,FALSE)</f>
        <v/>
      </c>
      <c r="J1355" s="3">
        <f>G1355/I1355</f>
        <v/>
      </c>
      <c r="K1355" s="3">
        <f>G1355*12</f>
        <v/>
      </c>
      <c r="L1355" s="3" t="n">
        <v>9210</v>
      </c>
    </row>
    <row r="1356">
      <c r="A1356" t="inlineStr">
        <is>
          <t>TA-2026-00264</t>
        </is>
      </c>
      <c r="B1356" t="inlineStr">
        <is>
          <t>U-PI606-01-05</t>
        </is>
      </c>
      <c r="C1356" t="inlineStr">
        <is>
          <t>Mei Ling Cake House</t>
        </is>
      </c>
      <c r="D1356" t="inlineStr">
        <is>
          <t>Bakery &amp; Confectionery</t>
        </is>
      </c>
      <c r="E1356" s="2" t="n">
        <v>46113</v>
      </c>
      <c r="F1356" s="2" t="n">
        <v>47208</v>
      </c>
      <c r="G1356" s="3" t="n">
        <v>3230</v>
      </c>
      <c r="H1356">
        <f>VLOOKUP(B1356,Units!$A$2:$G$1646,2,FALSE)</f>
        <v/>
      </c>
      <c r="I1356">
        <f>VLOOKUP(B1356,Units!$A$2:$G$1646,5,FALSE)</f>
        <v/>
      </c>
      <c r="J1356" s="3">
        <f>G1356/I1356</f>
        <v/>
      </c>
      <c r="K1356" s="3">
        <f>G1356*12</f>
        <v/>
      </c>
      <c r="L1356" s="3" t="n">
        <v>9690</v>
      </c>
    </row>
    <row r="1357">
      <c r="A1357" t="inlineStr">
        <is>
          <t>TA-2026-00265</t>
        </is>
      </c>
      <c r="B1357" t="inlineStr">
        <is>
          <t>U-PI614-01-08</t>
        </is>
      </c>
      <c r="C1357" t="inlineStr">
        <is>
          <t>Starlight Hair Salon</t>
        </is>
      </c>
      <c r="D1357" t="inlineStr">
        <is>
          <t>Hair Salon</t>
        </is>
      </c>
      <c r="E1357" s="2" t="n">
        <v>46113</v>
      </c>
      <c r="F1357" s="2" t="n">
        <v>47208</v>
      </c>
      <c r="G1357" s="3" t="n">
        <v>1960</v>
      </c>
      <c r="H1357">
        <f>VLOOKUP(B1357,Units!$A$2:$G$1646,2,FALSE)</f>
        <v/>
      </c>
      <c r="I1357">
        <f>VLOOKUP(B1357,Units!$A$2:$G$1646,5,FALSE)</f>
        <v/>
      </c>
      <c r="J1357" s="3">
        <f>G1357/I1357</f>
        <v/>
      </c>
      <c r="K1357" s="3">
        <f>G1357*12</f>
        <v/>
      </c>
      <c r="L1357" s="3" t="n">
        <v>5880</v>
      </c>
    </row>
    <row r="1358">
      <c r="A1358" t="inlineStr">
        <is>
          <t>TA-2026-00267</t>
        </is>
      </c>
      <c r="B1358" t="inlineStr">
        <is>
          <t>U-PI615-02-01</t>
        </is>
      </c>
      <c r="C1358" t="inlineStr">
        <is>
          <t>Everbright TCM Clinic Pte Ltd</t>
        </is>
      </c>
      <c r="D1358" t="inlineStr">
        <is>
          <t>TCM Clinic</t>
        </is>
      </c>
      <c r="E1358" s="2" t="n">
        <v>46113</v>
      </c>
      <c r="F1358" s="2" t="n">
        <v>47208</v>
      </c>
      <c r="G1358" s="3" t="n">
        <v>2930</v>
      </c>
      <c r="H1358">
        <f>VLOOKUP(B1358,Units!$A$2:$G$1646,2,FALSE)</f>
        <v/>
      </c>
      <c r="I1358">
        <f>VLOOKUP(B1358,Units!$A$2:$G$1646,5,FALSE)</f>
        <v/>
      </c>
      <c r="J1358" s="3">
        <f>G1358/I1358</f>
        <v/>
      </c>
      <c r="K1358" s="3">
        <f>G1358*12</f>
        <v/>
      </c>
      <c r="L1358" s="3" t="n">
        <v>8790</v>
      </c>
    </row>
    <row r="1359">
      <c r="A1359" t="inlineStr">
        <is>
          <t>TA-2026-00269</t>
        </is>
      </c>
      <c r="B1359" t="inlineStr">
        <is>
          <t>U-PI626-01-07</t>
        </is>
      </c>
      <c r="C1359" t="inlineStr">
        <is>
          <t>Gold Coin Minimart</t>
        </is>
      </c>
      <c r="D1359" t="inlineStr">
        <is>
          <t>Minimart</t>
        </is>
      </c>
      <c r="E1359" s="2" t="n">
        <v>46113</v>
      </c>
      <c r="F1359" s="2" t="n">
        <v>47208</v>
      </c>
      <c r="G1359" s="3" t="n">
        <v>3330</v>
      </c>
      <c r="H1359">
        <f>VLOOKUP(B1359,Units!$A$2:$G$1646,2,FALSE)</f>
        <v/>
      </c>
      <c r="I1359">
        <f>VLOOKUP(B1359,Units!$A$2:$G$1646,5,FALSE)</f>
        <v/>
      </c>
      <c r="J1359" s="3">
        <f>G1359/I1359</f>
        <v/>
      </c>
      <c r="K1359" s="3">
        <f>G1359*12</f>
        <v/>
      </c>
      <c r="L1359" s="3" t="n">
        <v>9990</v>
      </c>
    </row>
    <row r="1360">
      <c r="A1360" t="inlineStr">
        <is>
          <t>TA-2026-00271</t>
        </is>
      </c>
      <c r="B1360" t="inlineStr">
        <is>
          <t>U-PI648-01-02</t>
        </is>
      </c>
      <c r="C1360" t="inlineStr">
        <is>
          <t>Harmony Optical</t>
        </is>
      </c>
      <c r="D1360" t="inlineStr">
        <is>
          <t>Optical</t>
        </is>
      </c>
      <c r="E1360" s="2" t="n">
        <v>46113</v>
      </c>
      <c r="F1360" s="2" t="n">
        <v>47208</v>
      </c>
      <c r="G1360" s="3" t="n">
        <v>2290</v>
      </c>
      <c r="H1360">
        <f>VLOOKUP(B1360,Units!$A$2:$G$1646,2,FALSE)</f>
        <v/>
      </c>
      <c r="I1360">
        <f>VLOOKUP(B1360,Units!$A$2:$G$1646,5,FALSE)</f>
        <v/>
      </c>
      <c r="J1360" s="3">
        <f>G1360/I1360</f>
        <v/>
      </c>
      <c r="K1360" s="3">
        <f>G1360*12</f>
        <v/>
      </c>
      <c r="L1360" s="3" t="n">
        <v>6870</v>
      </c>
    </row>
    <row r="1361">
      <c r="A1361" t="inlineStr">
        <is>
          <t>TA-2026-00273</t>
        </is>
      </c>
      <c r="B1361" t="inlineStr">
        <is>
          <t>U-RH428-02-06</t>
        </is>
      </c>
      <c r="C1361" t="inlineStr">
        <is>
          <t>Evergreen Dental Care</t>
        </is>
      </c>
      <c r="D1361" t="inlineStr">
        <is>
          <t>Dental Clinic</t>
        </is>
      </c>
      <c r="E1361" s="2" t="n">
        <v>46113</v>
      </c>
      <c r="F1361" s="2" t="n">
        <v>47208</v>
      </c>
      <c r="G1361" s="3" t="n">
        <v>2580</v>
      </c>
      <c r="H1361">
        <f>VLOOKUP(B1361,Units!$A$2:$G$1646,2,FALSE)</f>
        <v/>
      </c>
      <c r="I1361">
        <f>VLOOKUP(B1361,Units!$A$2:$G$1646,5,FALSE)</f>
        <v/>
      </c>
      <c r="J1361" s="3">
        <f>G1361/I1361</f>
        <v/>
      </c>
      <c r="K1361" s="3">
        <f>G1361*12</f>
        <v/>
      </c>
      <c r="L1361" s="3" t="n">
        <v>7740</v>
      </c>
    </row>
    <row r="1362">
      <c r="A1362" t="inlineStr">
        <is>
          <t>TA-2026-00274</t>
        </is>
      </c>
      <c r="B1362" t="inlineStr">
        <is>
          <t>U-RH437-01-04</t>
        </is>
      </c>
      <c r="C1362" t="inlineStr">
        <is>
          <t>Happy Paws Tea House</t>
        </is>
      </c>
      <c r="D1362" t="inlineStr">
        <is>
          <t>Bubble Tea</t>
        </is>
      </c>
      <c r="E1362" s="2" t="n">
        <v>46113</v>
      </c>
      <c r="F1362" s="2" t="n">
        <v>47208</v>
      </c>
      <c r="G1362" s="3" t="n">
        <v>1180</v>
      </c>
      <c r="H1362">
        <f>VLOOKUP(B1362,Units!$A$2:$G$1646,2,FALSE)</f>
        <v/>
      </c>
      <c r="I1362">
        <f>VLOOKUP(B1362,Units!$A$2:$G$1646,5,FALSE)</f>
        <v/>
      </c>
      <c r="J1362" s="3">
        <f>G1362/I1362</f>
        <v/>
      </c>
      <c r="K1362" s="3">
        <f>G1362*12</f>
        <v/>
      </c>
      <c r="L1362" s="3" t="n">
        <v>3540</v>
      </c>
    </row>
    <row r="1363">
      <c r="A1363" t="inlineStr">
        <is>
          <t>TA-2026-00276</t>
        </is>
      </c>
      <c r="B1363" t="inlineStr">
        <is>
          <t>U-RH460-01-13</t>
        </is>
      </c>
      <c r="C1363" t="inlineStr">
        <is>
          <t>Value Mart Pte Ltd</t>
        </is>
      </c>
      <c r="D1363" t="inlineStr">
        <is>
          <t>Minimart</t>
        </is>
      </c>
      <c r="E1363" s="2" t="n">
        <v>46113</v>
      </c>
      <c r="F1363" s="2" t="n">
        <v>47208</v>
      </c>
      <c r="G1363" s="3" t="n">
        <v>2300</v>
      </c>
      <c r="H1363">
        <f>VLOOKUP(B1363,Units!$A$2:$G$1646,2,FALSE)</f>
        <v/>
      </c>
      <c r="I1363">
        <f>VLOOKUP(B1363,Units!$A$2:$G$1646,5,FALSE)</f>
        <v/>
      </c>
      <c r="J1363" s="3">
        <f>G1363/I1363</f>
        <v/>
      </c>
      <c r="K1363" s="3">
        <f>G1363*12</f>
        <v/>
      </c>
      <c r="L1363" s="3" t="n">
        <v>6900</v>
      </c>
    </row>
    <row r="1364">
      <c r="A1364" t="inlineStr">
        <is>
          <t>TA-2026-00277</t>
        </is>
      </c>
      <c r="B1364" t="inlineStr">
        <is>
          <t>U-RH471-01-01</t>
        </is>
      </c>
      <c r="C1364" t="inlineStr">
        <is>
          <t>Kumar Eye Centre Pte Ltd</t>
        </is>
      </c>
      <c r="D1364" t="inlineStr">
        <is>
          <t>Optical</t>
        </is>
      </c>
      <c r="E1364" s="2" t="n">
        <v>46113</v>
      </c>
      <c r="F1364" s="2" t="n">
        <v>47208</v>
      </c>
      <c r="G1364" s="3" t="n">
        <v>3150</v>
      </c>
      <c r="H1364">
        <f>VLOOKUP(B1364,Units!$A$2:$G$1646,2,FALSE)</f>
        <v/>
      </c>
      <c r="I1364">
        <f>VLOOKUP(B1364,Units!$A$2:$G$1646,5,FALSE)</f>
        <v/>
      </c>
      <c r="J1364" s="3">
        <f>G1364/I1364</f>
        <v/>
      </c>
      <c r="K1364" s="3">
        <f>G1364*12</f>
        <v/>
      </c>
      <c r="L1364" s="3" t="n">
        <v>9450</v>
      </c>
    </row>
    <row r="1365">
      <c r="A1365" t="inlineStr">
        <is>
          <t>TA-2026-00279</t>
        </is>
      </c>
      <c r="B1365" t="inlineStr">
        <is>
          <t>U-RH471-01-06</t>
        </is>
      </c>
      <c r="C1365" t="inlineStr">
        <is>
          <t>Al-Ameen Flowers &amp; Gifts</t>
        </is>
      </c>
      <c r="D1365" t="inlineStr">
        <is>
          <t>Florist</t>
        </is>
      </c>
      <c r="E1365" s="2" t="n">
        <v>46113</v>
      </c>
      <c r="F1365" s="2" t="n">
        <v>47208</v>
      </c>
      <c r="G1365" s="3" t="n">
        <v>900</v>
      </c>
      <c r="H1365">
        <f>VLOOKUP(B1365,Units!$A$2:$G$1646,2,FALSE)</f>
        <v/>
      </c>
      <c r="I1365">
        <f>VLOOKUP(B1365,Units!$A$2:$G$1646,5,FALSE)</f>
        <v/>
      </c>
      <c r="J1365" s="3">
        <f>G1365/I1365</f>
        <v/>
      </c>
      <c r="K1365" s="3">
        <f>G1365*12</f>
        <v/>
      </c>
      <c r="L1365" s="3" t="n">
        <v>2700</v>
      </c>
    </row>
    <row r="1366">
      <c r="A1366" t="inlineStr">
        <is>
          <t>TA-2026-00280</t>
        </is>
      </c>
      <c r="B1366" t="inlineStr">
        <is>
          <t>U-RH484-01-10</t>
        </is>
      </c>
      <c r="C1366" t="inlineStr">
        <is>
          <t>Bright Path Money Changer</t>
        </is>
      </c>
      <c r="D1366" t="inlineStr">
        <is>
          <t>Remittance &amp; Money Changer</t>
        </is>
      </c>
      <c r="E1366" s="2" t="n">
        <v>46113</v>
      </c>
      <c r="F1366" s="2" t="n">
        <v>47208</v>
      </c>
      <c r="G1366" s="3" t="n">
        <v>3220</v>
      </c>
      <c r="H1366">
        <f>VLOOKUP(B1366,Units!$A$2:$G$1646,2,FALSE)</f>
        <v/>
      </c>
      <c r="I1366">
        <f>VLOOKUP(B1366,Units!$A$2:$G$1646,5,FALSE)</f>
        <v/>
      </c>
      <c r="J1366" s="3">
        <f>G1366/I1366</f>
        <v/>
      </c>
      <c r="K1366" s="3">
        <f>G1366*12</f>
        <v/>
      </c>
      <c r="L1366" s="3" t="n">
        <v>9660</v>
      </c>
    </row>
    <row r="1367">
      <c r="A1367" t="inlineStr">
        <is>
          <t>TA-2026-00281</t>
        </is>
      </c>
      <c r="B1367" t="inlineStr">
        <is>
          <t>U-ST506-01-05</t>
        </is>
      </c>
      <c r="C1367" t="inlineStr">
        <is>
          <t>Thye Hin Minimart</t>
        </is>
      </c>
      <c r="D1367" t="inlineStr">
        <is>
          <t>Minimart</t>
        </is>
      </c>
      <c r="E1367" s="2" t="n">
        <v>46113</v>
      </c>
      <c r="F1367" s="2" t="n">
        <v>47208</v>
      </c>
      <c r="G1367" s="3" t="n">
        <v>3510</v>
      </c>
      <c r="H1367">
        <f>VLOOKUP(B1367,Units!$A$2:$G$1646,2,FALSE)</f>
        <v/>
      </c>
      <c r="I1367">
        <f>VLOOKUP(B1367,Units!$A$2:$G$1646,5,FALSE)</f>
        <v/>
      </c>
      <c r="J1367" s="3">
        <f>G1367/I1367</f>
        <v/>
      </c>
      <c r="K1367" s="3">
        <f>G1367*12</f>
        <v/>
      </c>
      <c r="L1367" s="3" t="n">
        <v>10530</v>
      </c>
    </row>
    <row r="1368">
      <c r="A1368" t="inlineStr">
        <is>
          <t>TA-2026-00282</t>
        </is>
      </c>
      <c r="B1368" t="inlineStr">
        <is>
          <t>U-ST512-01-32</t>
        </is>
      </c>
      <c r="C1368" t="inlineStr">
        <is>
          <t>Lakshmi Pet Shop Pte Ltd</t>
        </is>
      </c>
      <c r="D1368" t="inlineStr">
        <is>
          <t>Pet Shop</t>
        </is>
      </c>
      <c r="E1368" s="2" t="n">
        <v>46113</v>
      </c>
      <c r="F1368" s="2" t="n">
        <v>47208</v>
      </c>
      <c r="G1368" s="3" t="n">
        <v>4790</v>
      </c>
      <c r="H1368">
        <f>VLOOKUP(B1368,Units!$A$2:$G$1646,2,FALSE)</f>
        <v/>
      </c>
      <c r="I1368">
        <f>VLOOKUP(B1368,Units!$A$2:$G$1646,5,FALSE)</f>
        <v/>
      </c>
      <c r="J1368" s="3">
        <f>G1368/I1368</f>
        <v/>
      </c>
      <c r="K1368" s="3">
        <f>G1368*12</f>
        <v/>
      </c>
      <c r="L1368" s="3" t="n">
        <v>14370</v>
      </c>
    </row>
    <row r="1369">
      <c r="A1369" t="inlineStr">
        <is>
          <t>TA-2026-00283</t>
        </is>
      </c>
      <c r="B1369" t="inlineStr">
        <is>
          <t>U-ST534-01-09</t>
        </is>
      </c>
      <c r="C1369" t="inlineStr">
        <is>
          <t>Amanah Tea House</t>
        </is>
      </c>
      <c r="D1369" t="inlineStr">
        <is>
          <t>Bubble Tea</t>
        </is>
      </c>
      <c r="E1369" s="2" t="n">
        <v>46113</v>
      </c>
      <c r="F1369" s="2" t="n">
        <v>47208</v>
      </c>
      <c r="G1369" s="3" t="n">
        <v>4630</v>
      </c>
      <c r="H1369">
        <f>VLOOKUP(B1369,Units!$A$2:$G$1646,2,FALSE)</f>
        <v/>
      </c>
      <c r="I1369">
        <f>VLOOKUP(B1369,Units!$A$2:$G$1646,5,FALSE)</f>
        <v/>
      </c>
      <c r="J1369" s="3">
        <f>G1369/I1369</f>
        <v/>
      </c>
      <c r="K1369" s="3">
        <f>G1369*12</f>
        <v/>
      </c>
      <c r="L1369" s="3" t="n">
        <v>13890</v>
      </c>
    </row>
    <row r="1370">
      <c r="A1370" t="inlineStr">
        <is>
          <t>TA-2026-00284</t>
        </is>
      </c>
      <c r="B1370" t="inlineStr">
        <is>
          <t>U-ST538-01-03</t>
        </is>
      </c>
      <c r="C1370" t="inlineStr">
        <is>
          <t>Cosy Supermarket Pte Ltd</t>
        </is>
      </c>
      <c r="D1370" t="inlineStr">
        <is>
          <t>Minimart</t>
        </is>
      </c>
      <c r="E1370" s="2" t="n">
        <v>46113</v>
      </c>
      <c r="F1370" s="2" t="n">
        <v>47208</v>
      </c>
      <c r="G1370" s="3" t="n">
        <v>3670</v>
      </c>
      <c r="H1370">
        <f>VLOOKUP(B1370,Units!$A$2:$G$1646,2,FALSE)</f>
        <v/>
      </c>
      <c r="I1370">
        <f>VLOOKUP(B1370,Units!$A$2:$G$1646,5,FALSE)</f>
        <v/>
      </c>
      <c r="J1370" s="3">
        <f>G1370/I1370</f>
        <v/>
      </c>
      <c r="K1370" s="3">
        <f>G1370*12</f>
        <v/>
      </c>
      <c r="L1370" s="3" t="n">
        <v>11010</v>
      </c>
    </row>
    <row r="1371">
      <c r="A1371" t="inlineStr">
        <is>
          <t>TA-2026-00285</t>
        </is>
      </c>
      <c r="B1371" t="inlineStr">
        <is>
          <t>U-ST564-01-10</t>
        </is>
      </c>
      <c r="C1371" t="inlineStr">
        <is>
          <t>Little Sprouts Mobile Pte Ltd</t>
        </is>
      </c>
      <c r="D1371" t="inlineStr">
        <is>
          <t>Mobile Phone &amp; Accessories</t>
        </is>
      </c>
      <c r="E1371" s="2" t="n">
        <v>46113</v>
      </c>
      <c r="F1371" s="2" t="n">
        <v>47208</v>
      </c>
      <c r="G1371" s="3" t="n">
        <v>1070</v>
      </c>
      <c r="H1371">
        <f>VLOOKUP(B1371,Units!$A$2:$G$1646,2,FALSE)</f>
        <v/>
      </c>
      <c r="I1371">
        <f>VLOOKUP(B1371,Units!$A$2:$G$1646,5,FALSE)</f>
        <v/>
      </c>
      <c r="J1371" s="3">
        <f>G1371/I1371</f>
        <v/>
      </c>
      <c r="K1371" s="3">
        <f>G1371*12</f>
        <v/>
      </c>
      <c r="L1371" s="3" t="n">
        <v>3210</v>
      </c>
    </row>
    <row r="1372">
      <c r="A1372" t="inlineStr">
        <is>
          <t>TA-2026-00287</t>
        </is>
      </c>
      <c r="B1372" t="inlineStr">
        <is>
          <t>U-ST566-01-07</t>
        </is>
      </c>
      <c r="C1372" t="inlineStr">
        <is>
          <t>Lim's Store Pte Ltd</t>
        </is>
      </c>
      <c r="D1372" t="inlineStr">
        <is>
          <t>Provision Shop</t>
        </is>
      </c>
      <c r="E1372" s="2" t="n">
        <v>46113</v>
      </c>
      <c r="F1372" s="2" t="n">
        <v>47208</v>
      </c>
      <c r="G1372" s="3" t="n">
        <v>3740</v>
      </c>
      <c r="H1372">
        <f>VLOOKUP(B1372,Units!$A$2:$G$1646,2,FALSE)</f>
        <v/>
      </c>
      <c r="I1372">
        <f>VLOOKUP(B1372,Units!$A$2:$G$1646,5,FALSE)</f>
        <v/>
      </c>
      <c r="J1372" s="3">
        <f>G1372/I1372</f>
        <v/>
      </c>
      <c r="K1372" s="3">
        <f>G1372*12</f>
        <v/>
      </c>
      <c r="L1372" s="3" t="n">
        <v>11220</v>
      </c>
    </row>
    <row r="1373">
      <c r="A1373" t="inlineStr">
        <is>
          <t>TA-2026-00288</t>
        </is>
      </c>
      <c r="B1373" t="inlineStr">
        <is>
          <t>U-ST566-01-08</t>
        </is>
      </c>
      <c r="C1373" t="inlineStr">
        <is>
          <t>Thye Hin Pharmacy Pte Ltd</t>
        </is>
      </c>
      <c r="D1373" t="inlineStr">
        <is>
          <t>Pharmacy</t>
        </is>
      </c>
      <c r="E1373" s="2" t="n">
        <v>46113</v>
      </c>
      <c r="F1373" s="2" t="n">
        <v>47208</v>
      </c>
      <c r="G1373" s="3" t="n">
        <v>2270</v>
      </c>
      <c r="H1373">
        <f>VLOOKUP(B1373,Units!$A$2:$G$1646,2,FALSE)</f>
        <v/>
      </c>
      <c r="I1373">
        <f>VLOOKUP(B1373,Units!$A$2:$G$1646,5,FALSE)</f>
        <v/>
      </c>
      <c r="J1373" s="3">
        <f>G1373/I1373</f>
        <v/>
      </c>
      <c r="K1373" s="3">
        <f>G1373*12</f>
        <v/>
      </c>
      <c r="L1373" s="3" t="n">
        <v>6810</v>
      </c>
    </row>
    <row r="1374">
      <c r="A1374" t="inlineStr">
        <is>
          <t>TA-2026-00290</t>
        </is>
      </c>
      <c r="B1374" t="inlineStr">
        <is>
          <t>U-ST590-01-07</t>
        </is>
      </c>
      <c r="C1374" t="inlineStr">
        <is>
          <t>Smart Kids Medical Hall</t>
        </is>
      </c>
      <c r="D1374" t="inlineStr">
        <is>
          <t>TCM Clinic</t>
        </is>
      </c>
      <c r="E1374" s="2" t="n">
        <v>46113</v>
      </c>
      <c r="F1374" s="2" t="n">
        <v>47208</v>
      </c>
      <c r="G1374" s="3" t="n">
        <v>1850</v>
      </c>
      <c r="H1374">
        <f>VLOOKUP(B1374,Units!$A$2:$G$1646,2,FALSE)</f>
        <v/>
      </c>
      <c r="I1374">
        <f>VLOOKUP(B1374,Units!$A$2:$G$1646,5,FALSE)</f>
        <v/>
      </c>
      <c r="J1374" s="3">
        <f>G1374/I1374</f>
        <v/>
      </c>
      <c r="K1374" s="3">
        <f>G1374*12</f>
        <v/>
      </c>
      <c r="L1374" s="3" t="n">
        <v>5550</v>
      </c>
    </row>
    <row r="1375">
      <c r="A1375" t="inlineStr">
        <is>
          <t>TA-2026-00291</t>
        </is>
      </c>
      <c r="B1375" t="inlineStr">
        <is>
          <t>U-ST596-01-07</t>
        </is>
      </c>
      <c r="C1375" t="inlineStr">
        <is>
          <t>Ever Joy Tuition Centre</t>
        </is>
      </c>
      <c r="D1375" t="inlineStr">
        <is>
          <t>Tuition Centre</t>
        </is>
      </c>
      <c r="E1375" s="2" t="n">
        <v>46113</v>
      </c>
      <c r="F1375" s="2" t="n">
        <v>47208</v>
      </c>
      <c r="G1375" s="3" t="n">
        <v>3220</v>
      </c>
      <c r="H1375">
        <f>VLOOKUP(B1375,Units!$A$2:$G$1646,2,FALSE)</f>
        <v/>
      </c>
      <c r="I1375">
        <f>VLOOKUP(B1375,Units!$A$2:$G$1646,5,FALSE)</f>
        <v/>
      </c>
      <c r="J1375" s="3">
        <f>G1375/I1375</f>
        <v/>
      </c>
      <c r="K1375" s="3">
        <f>G1375*12</f>
        <v/>
      </c>
      <c r="L1375" s="3" t="n">
        <v>9660</v>
      </c>
    </row>
    <row r="1376">
      <c r="A1376" t="inlineStr">
        <is>
          <t>TA-2026-00293</t>
        </is>
      </c>
      <c r="B1376" t="inlineStr">
        <is>
          <t>U-BV233-01-01</t>
        </is>
      </c>
      <c r="C1376" t="inlineStr">
        <is>
          <t>Kian Huat Education Hub</t>
        </is>
      </c>
      <c r="D1376" t="inlineStr">
        <is>
          <t>Tuition Centre</t>
        </is>
      </c>
      <c r="E1376" s="2" t="n">
        <v>46143</v>
      </c>
      <c r="F1376" s="2" t="n">
        <v>47238</v>
      </c>
      <c r="G1376" s="3" t="n">
        <v>6150</v>
      </c>
      <c r="H1376">
        <f>VLOOKUP(B1376,Units!$A$2:$G$1646,2,FALSE)</f>
        <v/>
      </c>
      <c r="I1376">
        <f>VLOOKUP(B1376,Units!$A$2:$G$1646,5,FALSE)</f>
        <v/>
      </c>
      <c r="J1376" s="3">
        <f>G1376/I1376</f>
        <v/>
      </c>
      <c r="K1376" s="3">
        <f>G1376*12</f>
        <v/>
      </c>
      <c r="L1376" s="3" t="n">
        <v>18450</v>
      </c>
    </row>
    <row r="1377">
      <c r="A1377" t="inlineStr">
        <is>
          <t>TA-2026-00294</t>
        </is>
      </c>
      <c r="B1377" t="inlineStr">
        <is>
          <t>U-BV237-01-03</t>
        </is>
      </c>
      <c r="C1377" t="inlineStr">
        <is>
          <t>Kampung Minimart</t>
        </is>
      </c>
      <c r="D1377" t="inlineStr">
        <is>
          <t>Minimart</t>
        </is>
      </c>
      <c r="E1377" s="2" t="n">
        <v>46143</v>
      </c>
      <c r="F1377" s="2" t="n">
        <v>47238</v>
      </c>
      <c r="G1377" s="3" t="n">
        <v>2900</v>
      </c>
      <c r="H1377">
        <f>VLOOKUP(B1377,Units!$A$2:$G$1646,2,FALSE)</f>
        <v/>
      </c>
      <c r="I1377">
        <f>VLOOKUP(B1377,Units!$A$2:$G$1646,5,FALSE)</f>
        <v/>
      </c>
      <c r="J1377" s="3">
        <f>G1377/I1377</f>
        <v/>
      </c>
      <c r="K1377" s="3">
        <f>G1377*12</f>
        <v/>
      </c>
      <c r="L1377" s="3" t="n">
        <v>8700</v>
      </c>
    </row>
    <row r="1378">
      <c r="A1378" t="inlineStr">
        <is>
          <t>TA-2026-00296</t>
        </is>
      </c>
      <c r="B1378" t="inlineStr">
        <is>
          <t>U-BV256-01-05</t>
        </is>
      </c>
      <c r="C1378" t="inlineStr">
        <is>
          <t>Suria Restaurant Pte Ltd</t>
        </is>
      </c>
      <c r="D1378" t="inlineStr">
        <is>
          <t>Restaurant</t>
        </is>
      </c>
      <c r="E1378" s="2" t="n">
        <v>46143</v>
      </c>
      <c r="F1378" s="2" t="n">
        <v>47238</v>
      </c>
      <c r="G1378" s="3" t="n">
        <v>5970</v>
      </c>
      <c r="H1378">
        <f>VLOOKUP(B1378,Units!$A$2:$G$1646,2,FALSE)</f>
        <v/>
      </c>
      <c r="I1378">
        <f>VLOOKUP(B1378,Units!$A$2:$G$1646,5,FALSE)</f>
        <v/>
      </c>
      <c r="J1378" s="3">
        <f>G1378/I1378</f>
        <v/>
      </c>
      <c r="K1378" s="3">
        <f>G1378*12</f>
        <v/>
      </c>
      <c r="L1378" s="3" t="n">
        <v>17910</v>
      </c>
    </row>
    <row r="1379">
      <c r="A1379" t="inlineStr">
        <is>
          <t>TA-2026-00297</t>
        </is>
      </c>
      <c r="B1379" t="inlineStr">
        <is>
          <t>U-BV271-01-08</t>
        </is>
      </c>
      <c r="C1379" t="inlineStr">
        <is>
          <t>Lim's Florist</t>
        </is>
      </c>
      <c r="D1379" t="inlineStr">
        <is>
          <t>Florist</t>
        </is>
      </c>
      <c r="E1379" s="2" t="n">
        <v>46143</v>
      </c>
      <c r="F1379" s="2" t="n">
        <v>47238</v>
      </c>
      <c r="G1379" s="3" t="n">
        <v>2470</v>
      </c>
      <c r="H1379">
        <f>VLOOKUP(B1379,Units!$A$2:$G$1646,2,FALSE)</f>
        <v/>
      </c>
      <c r="I1379">
        <f>VLOOKUP(B1379,Units!$A$2:$G$1646,5,FALSE)</f>
        <v/>
      </c>
      <c r="J1379" s="3">
        <f>G1379/I1379</f>
        <v/>
      </c>
      <c r="K1379" s="3">
        <f>G1379*12</f>
        <v/>
      </c>
      <c r="L1379" s="3" t="n">
        <v>7410</v>
      </c>
    </row>
    <row r="1380">
      <c r="A1380" t="inlineStr">
        <is>
          <t>TA-2026-00298</t>
        </is>
      </c>
      <c r="B1380" t="inlineStr">
        <is>
          <t>U-BV277-01-10</t>
        </is>
      </c>
      <c r="C1380" t="inlineStr">
        <is>
          <t>Evergreen Clinic &amp; Surgery</t>
        </is>
      </c>
      <c r="D1380" t="inlineStr">
        <is>
          <t>GP Clinic</t>
        </is>
      </c>
      <c r="E1380" s="2" t="n">
        <v>46143</v>
      </c>
      <c r="F1380" s="2" t="n">
        <v>47238</v>
      </c>
      <c r="G1380" s="3" t="n">
        <v>2710</v>
      </c>
      <c r="H1380">
        <f>VLOOKUP(B1380,Units!$A$2:$G$1646,2,FALSE)</f>
        <v/>
      </c>
      <c r="I1380">
        <f>VLOOKUP(B1380,Units!$A$2:$G$1646,5,FALSE)</f>
        <v/>
      </c>
      <c r="J1380" s="3">
        <f>G1380/I1380</f>
        <v/>
      </c>
      <c r="K1380" s="3">
        <f>G1380*12</f>
        <v/>
      </c>
      <c r="L1380" s="3" t="n">
        <v>8130</v>
      </c>
    </row>
    <row r="1381">
      <c r="A1381" t="inlineStr">
        <is>
          <t>TA-2026-00300</t>
        </is>
      </c>
      <c r="B1381" t="inlineStr">
        <is>
          <t>U-BV279-01-08</t>
        </is>
      </c>
      <c r="C1381" t="inlineStr">
        <is>
          <t>Prima Eye Centre Pte Ltd</t>
        </is>
      </c>
      <c r="D1381" t="inlineStr">
        <is>
          <t>Optical</t>
        </is>
      </c>
      <c r="E1381" s="2" t="n">
        <v>46143</v>
      </c>
      <c r="F1381" s="2" t="n">
        <v>47238</v>
      </c>
      <c r="G1381" s="3" t="n">
        <v>5360</v>
      </c>
      <c r="H1381">
        <f>VLOOKUP(B1381,Units!$A$2:$G$1646,2,FALSE)</f>
        <v/>
      </c>
      <c r="I1381">
        <f>VLOOKUP(B1381,Units!$A$2:$G$1646,5,FALSE)</f>
        <v/>
      </c>
      <c r="J1381" s="3">
        <f>G1381/I1381</f>
        <v/>
      </c>
      <c r="K1381" s="3">
        <f>G1381*12</f>
        <v/>
      </c>
      <c r="L1381" s="3" t="n">
        <v>16080</v>
      </c>
    </row>
    <row r="1382">
      <c r="A1382" t="inlineStr">
        <is>
          <t>TA-2026-00302</t>
        </is>
      </c>
      <c r="B1382" t="inlineStr">
        <is>
          <t>U-CD105-01-08</t>
        </is>
      </c>
      <c r="C1382" t="inlineStr">
        <is>
          <t>Harmony Hair Salon</t>
        </is>
      </c>
      <c r="D1382" t="inlineStr">
        <is>
          <t>Hair Salon</t>
        </is>
      </c>
      <c r="E1382" s="2" t="n">
        <v>46143</v>
      </c>
      <c r="F1382" s="2" t="n">
        <v>47238</v>
      </c>
      <c r="G1382" s="3" t="n">
        <v>5600</v>
      </c>
      <c r="H1382">
        <f>VLOOKUP(B1382,Units!$A$2:$G$1646,2,FALSE)</f>
        <v/>
      </c>
      <c r="I1382">
        <f>VLOOKUP(B1382,Units!$A$2:$G$1646,5,FALSE)</f>
        <v/>
      </c>
      <c r="J1382" s="3">
        <f>G1382/I1382</f>
        <v/>
      </c>
      <c r="K1382" s="3">
        <f>G1382*12</f>
        <v/>
      </c>
      <c r="L1382" s="3" t="n">
        <v>16800</v>
      </c>
    </row>
    <row r="1383">
      <c r="A1383" t="inlineStr">
        <is>
          <t>TA-2026-00304</t>
        </is>
      </c>
      <c r="B1383" t="inlineStr">
        <is>
          <t>U-CD118-01-02</t>
        </is>
      </c>
      <c r="C1383" t="inlineStr">
        <is>
          <t>Chin Lee Dental Surgery</t>
        </is>
      </c>
      <c r="D1383" t="inlineStr">
        <is>
          <t>Dental Clinic</t>
        </is>
      </c>
      <c r="E1383" s="2" t="n">
        <v>46143</v>
      </c>
      <c r="F1383" s="2" t="n">
        <v>47238</v>
      </c>
      <c r="G1383" s="3" t="n">
        <v>3930</v>
      </c>
      <c r="H1383">
        <f>VLOOKUP(B1383,Units!$A$2:$G$1646,2,FALSE)</f>
        <v/>
      </c>
      <c r="I1383">
        <f>VLOOKUP(B1383,Units!$A$2:$G$1646,5,FALSE)</f>
        <v/>
      </c>
      <c r="J1383" s="3">
        <f>G1383/I1383</f>
        <v/>
      </c>
      <c r="K1383" s="3">
        <f>G1383*12</f>
        <v/>
      </c>
      <c r="L1383" s="3" t="n">
        <v>11790</v>
      </c>
    </row>
    <row r="1384">
      <c r="A1384" t="inlineStr">
        <is>
          <t>TA-2026-00306</t>
        </is>
      </c>
      <c r="B1384" t="inlineStr">
        <is>
          <t>U-CD118-01-22</t>
        </is>
      </c>
      <c r="C1384" t="inlineStr">
        <is>
          <t>Tan Brothers TCM Clinic</t>
        </is>
      </c>
      <c r="D1384" t="inlineStr">
        <is>
          <t>TCM Clinic</t>
        </is>
      </c>
      <c r="E1384" s="2" t="n">
        <v>46143</v>
      </c>
      <c r="F1384" s="2" t="n">
        <v>47238</v>
      </c>
      <c r="G1384" s="3" t="n">
        <v>4060</v>
      </c>
      <c r="H1384">
        <f>VLOOKUP(B1384,Units!$A$2:$G$1646,2,FALSE)</f>
        <v/>
      </c>
      <c r="I1384">
        <f>VLOOKUP(B1384,Units!$A$2:$G$1646,5,FALSE)</f>
        <v/>
      </c>
      <c r="J1384" s="3">
        <f>G1384/I1384</f>
        <v/>
      </c>
      <c r="K1384" s="3">
        <f>G1384*12</f>
        <v/>
      </c>
      <c r="L1384" s="3" t="n">
        <v>12180</v>
      </c>
    </row>
    <row r="1385">
      <c r="A1385" t="inlineStr">
        <is>
          <t>TA-2026-00307</t>
        </is>
      </c>
      <c r="B1385" t="inlineStr">
        <is>
          <t>U-CD118-01-27</t>
        </is>
      </c>
      <c r="C1385" t="inlineStr">
        <is>
          <t>Golden Leaf Trading Pte Ltd</t>
        </is>
      </c>
      <c r="D1385" t="inlineStr">
        <is>
          <t>Provision Shop</t>
        </is>
      </c>
      <c r="E1385" s="2" t="n">
        <v>46143</v>
      </c>
      <c r="F1385" s="2" t="n">
        <v>47238</v>
      </c>
      <c r="G1385" s="3" t="n">
        <v>5590</v>
      </c>
      <c r="H1385">
        <f>VLOOKUP(B1385,Units!$A$2:$G$1646,2,FALSE)</f>
        <v/>
      </c>
      <c r="I1385">
        <f>VLOOKUP(B1385,Units!$A$2:$G$1646,5,FALSE)</f>
        <v/>
      </c>
      <c r="J1385" s="3">
        <f>G1385/I1385</f>
        <v/>
      </c>
      <c r="K1385" s="3">
        <f>G1385*12</f>
        <v/>
      </c>
      <c r="L1385" s="3" t="n">
        <v>16770</v>
      </c>
    </row>
    <row r="1386">
      <c r="A1386" t="inlineStr">
        <is>
          <t>TA-2026-00308</t>
        </is>
      </c>
      <c r="B1386" t="inlineStr">
        <is>
          <t>U-CD129-01-04</t>
        </is>
      </c>
      <c r="C1386" t="inlineStr">
        <is>
          <t>Raja Clinic &amp; Surgery</t>
        </is>
      </c>
      <c r="D1386" t="inlineStr">
        <is>
          <t>GP Clinic</t>
        </is>
      </c>
      <c r="E1386" s="2" t="n">
        <v>46143</v>
      </c>
      <c r="F1386" s="2" t="n">
        <v>47238</v>
      </c>
      <c r="G1386" s="3" t="n">
        <v>5390</v>
      </c>
      <c r="H1386">
        <f>VLOOKUP(B1386,Units!$A$2:$G$1646,2,FALSE)</f>
        <v/>
      </c>
      <c r="I1386">
        <f>VLOOKUP(B1386,Units!$A$2:$G$1646,5,FALSE)</f>
        <v/>
      </c>
      <c r="J1386" s="3">
        <f>G1386/I1386</f>
        <v/>
      </c>
      <c r="K1386" s="3">
        <f>G1386*12</f>
        <v/>
      </c>
      <c r="L1386" s="3" t="n">
        <v>16170</v>
      </c>
    </row>
    <row r="1387">
      <c r="A1387" t="inlineStr">
        <is>
          <t>TA-2026-00309</t>
        </is>
      </c>
      <c r="B1387" t="inlineStr">
        <is>
          <t>U-CD136-01-12</t>
        </is>
      </c>
      <c r="C1387" t="inlineStr">
        <is>
          <t>Kampung Fruits</t>
        </is>
      </c>
      <c r="D1387" t="inlineStr">
        <is>
          <t>Fruit Shop</t>
        </is>
      </c>
      <c r="E1387" s="2" t="n">
        <v>46143</v>
      </c>
      <c r="F1387" s="2" t="n">
        <v>47238</v>
      </c>
      <c r="G1387" s="3" t="n">
        <v>5930</v>
      </c>
      <c r="H1387">
        <f>VLOOKUP(B1387,Units!$A$2:$G$1646,2,FALSE)</f>
        <v/>
      </c>
      <c r="I1387">
        <f>VLOOKUP(B1387,Units!$A$2:$G$1646,5,FALSE)</f>
        <v/>
      </c>
      <c r="J1387" s="3">
        <f>G1387/I1387</f>
        <v/>
      </c>
      <c r="K1387" s="3">
        <f>G1387*12</f>
        <v/>
      </c>
      <c r="L1387" s="3" t="n">
        <v>17790</v>
      </c>
    </row>
    <row r="1388">
      <c r="A1388" t="inlineStr">
        <is>
          <t>TA-2026-00310</t>
        </is>
      </c>
      <c r="B1388" t="inlineStr">
        <is>
          <t>U-CD136-01-13</t>
        </is>
      </c>
      <c r="C1388" t="inlineStr">
        <is>
          <t>Nanyang Telecom</t>
        </is>
      </c>
      <c r="D1388" t="inlineStr">
        <is>
          <t>Mobile Phone &amp; Accessories</t>
        </is>
      </c>
      <c r="E1388" s="2" t="n">
        <v>46143</v>
      </c>
      <c r="F1388" s="2" t="n">
        <v>47238</v>
      </c>
      <c r="G1388" s="3" t="n">
        <v>6140</v>
      </c>
      <c r="H1388">
        <f>VLOOKUP(B1388,Units!$A$2:$G$1646,2,FALSE)</f>
        <v/>
      </c>
      <c r="I1388">
        <f>VLOOKUP(B1388,Units!$A$2:$G$1646,5,FALSE)</f>
        <v/>
      </c>
      <c r="J1388" s="3">
        <f>G1388/I1388</f>
        <v/>
      </c>
      <c r="K1388" s="3">
        <f>G1388*12</f>
        <v/>
      </c>
      <c r="L1388" s="3" t="n">
        <v>18420</v>
      </c>
    </row>
    <row r="1389">
      <c r="A1389" t="inlineStr">
        <is>
          <t>TA-2026-00312</t>
        </is>
      </c>
      <c r="B1389" t="inlineStr">
        <is>
          <t>U-CD152-01-12</t>
        </is>
      </c>
      <c r="C1389" t="inlineStr">
        <is>
          <t>Evergreen Clinic &amp; Surgery Pte Ltd</t>
        </is>
      </c>
      <c r="D1389" t="inlineStr">
        <is>
          <t>GP Clinic</t>
        </is>
      </c>
      <c r="E1389" s="2" t="n">
        <v>46143</v>
      </c>
      <c r="F1389" s="2" t="n">
        <v>47238</v>
      </c>
      <c r="G1389" s="3" t="n">
        <v>2390</v>
      </c>
      <c r="H1389">
        <f>VLOOKUP(B1389,Units!$A$2:$G$1646,2,FALSE)</f>
        <v/>
      </c>
      <c r="I1389">
        <f>VLOOKUP(B1389,Units!$A$2:$G$1646,5,FALSE)</f>
        <v/>
      </c>
      <c r="J1389" s="3">
        <f>G1389/I1389</f>
        <v/>
      </c>
      <c r="K1389" s="3">
        <f>G1389*12</f>
        <v/>
      </c>
      <c r="L1389" s="3" t="n">
        <v>7170</v>
      </c>
    </row>
    <row r="1390">
      <c r="A1390" t="inlineStr">
        <is>
          <t>TA-2026-00314</t>
        </is>
      </c>
      <c r="B1390" t="inlineStr">
        <is>
          <t>U-CD160-01-01</t>
        </is>
      </c>
      <c r="C1390" t="inlineStr">
        <is>
          <t>PrimeValue Mart Pte Ltd</t>
        </is>
      </c>
      <c r="D1390" t="inlineStr">
        <is>
          <t>Minimart</t>
        </is>
      </c>
      <c r="E1390" s="2" t="n">
        <v>46143</v>
      </c>
      <c r="F1390" s="2" t="n">
        <v>47238</v>
      </c>
      <c r="G1390" s="3" t="n">
        <v>4890</v>
      </c>
      <c r="H1390">
        <f>VLOOKUP(B1390,Units!$A$2:$G$1646,2,FALSE)</f>
        <v/>
      </c>
      <c r="I1390">
        <f>VLOOKUP(B1390,Units!$A$2:$G$1646,5,FALSE)</f>
        <v/>
      </c>
      <c r="J1390" s="3">
        <f>G1390/I1390</f>
        <v/>
      </c>
      <c r="K1390" s="3">
        <f>G1390*12</f>
        <v/>
      </c>
      <c r="L1390" s="3" t="n">
        <v>14670</v>
      </c>
    </row>
    <row r="1391">
      <c r="A1391" t="inlineStr">
        <is>
          <t>TA-2026-00316</t>
        </is>
      </c>
      <c r="B1391" t="inlineStr">
        <is>
          <t>U-CD165-01-03</t>
        </is>
      </c>
      <c r="C1391" t="inlineStr">
        <is>
          <t>Red Lantern Laundry Pte Ltd</t>
        </is>
      </c>
      <c r="D1391" t="inlineStr">
        <is>
          <t>Laundry</t>
        </is>
      </c>
      <c r="E1391" s="2" t="n">
        <v>46143</v>
      </c>
      <c r="F1391" s="2" t="n">
        <v>47238</v>
      </c>
      <c r="G1391" s="3" t="n">
        <v>5830</v>
      </c>
      <c r="H1391">
        <f>VLOOKUP(B1391,Units!$A$2:$G$1646,2,FALSE)</f>
        <v/>
      </c>
      <c r="I1391">
        <f>VLOOKUP(B1391,Units!$A$2:$G$1646,5,FALSE)</f>
        <v/>
      </c>
      <c r="J1391" s="3">
        <f>G1391/I1391</f>
        <v/>
      </c>
      <c r="K1391" s="3">
        <f>G1391*12</f>
        <v/>
      </c>
      <c r="L1391" s="3" t="n">
        <v>17490</v>
      </c>
    </row>
    <row r="1392">
      <c r="A1392" t="inlineStr">
        <is>
          <t>TA-2026-00318</t>
        </is>
      </c>
      <c r="B1392" t="inlineStr">
        <is>
          <t>U-CD165-02-01</t>
        </is>
      </c>
      <c r="C1392" t="inlineStr">
        <is>
          <t>Ah Seng Learning Centre Pte Ltd</t>
        </is>
      </c>
      <c r="D1392" t="inlineStr">
        <is>
          <t>Tuition Centre</t>
        </is>
      </c>
      <c r="E1392" s="2" t="n">
        <v>46143</v>
      </c>
      <c r="F1392" s="2" t="n">
        <v>47238</v>
      </c>
      <c r="G1392" s="3" t="n">
        <v>2800</v>
      </c>
      <c r="H1392">
        <f>VLOOKUP(B1392,Units!$A$2:$G$1646,2,FALSE)</f>
        <v/>
      </c>
      <c r="I1392">
        <f>VLOOKUP(B1392,Units!$A$2:$G$1646,5,FALSE)</f>
        <v/>
      </c>
      <c r="J1392" s="3">
        <f>G1392/I1392</f>
        <v/>
      </c>
      <c r="K1392" s="3">
        <f>G1392*12</f>
        <v/>
      </c>
      <c r="L1392" s="3" t="n">
        <v>8400</v>
      </c>
    </row>
    <row r="1393">
      <c r="A1393" t="inlineStr">
        <is>
          <t>TA-2026-00320</t>
        </is>
      </c>
      <c r="B1393" t="inlineStr">
        <is>
          <t>U-CD174-01-03</t>
        </is>
      </c>
      <c r="C1393" t="inlineStr">
        <is>
          <t>Tan Brothers Telecom Pte Ltd</t>
        </is>
      </c>
      <c r="D1393" t="inlineStr">
        <is>
          <t>Mobile Phone &amp; Accessories</t>
        </is>
      </c>
      <c r="E1393" s="2" t="n">
        <v>46143</v>
      </c>
      <c r="F1393" s="2" t="n">
        <v>47238</v>
      </c>
      <c r="G1393" s="3" t="n">
        <v>3490</v>
      </c>
      <c r="H1393">
        <f>VLOOKUP(B1393,Units!$A$2:$G$1646,2,FALSE)</f>
        <v/>
      </c>
      <c r="I1393">
        <f>VLOOKUP(B1393,Units!$A$2:$G$1646,5,FALSE)</f>
        <v/>
      </c>
      <c r="J1393" s="3">
        <f>G1393/I1393</f>
        <v/>
      </c>
      <c r="K1393" s="3">
        <f>G1393*12</f>
        <v/>
      </c>
      <c r="L1393" s="3" t="n">
        <v>10470</v>
      </c>
    </row>
    <row r="1394">
      <c r="A1394" t="inlineStr">
        <is>
          <t>TA-2026-00322</t>
        </is>
      </c>
      <c r="B1394" t="inlineStr">
        <is>
          <t>U-CD174-01-08</t>
        </is>
      </c>
      <c r="C1394" t="inlineStr">
        <is>
          <t>Sri Ganesh Pharmacy</t>
        </is>
      </c>
      <c r="D1394" t="inlineStr">
        <is>
          <t>Pharmacy</t>
        </is>
      </c>
      <c r="E1394" s="2" t="n">
        <v>46143</v>
      </c>
      <c r="F1394" s="2" t="n">
        <v>47238</v>
      </c>
      <c r="G1394" s="3" t="n">
        <v>3010</v>
      </c>
      <c r="H1394">
        <f>VLOOKUP(B1394,Units!$A$2:$G$1646,2,FALSE)</f>
        <v/>
      </c>
      <c r="I1394">
        <f>VLOOKUP(B1394,Units!$A$2:$G$1646,5,FALSE)</f>
        <v/>
      </c>
      <c r="J1394" s="3">
        <f>G1394/I1394</f>
        <v/>
      </c>
      <c r="K1394" s="3">
        <f>G1394*12</f>
        <v/>
      </c>
      <c r="L1394" s="3" t="n">
        <v>9030</v>
      </c>
    </row>
    <row r="1395">
      <c r="A1395" t="inlineStr">
        <is>
          <t>TA-2026-00324</t>
        </is>
      </c>
      <c r="B1395" t="inlineStr">
        <is>
          <t>U-KR305-01-02</t>
        </is>
      </c>
      <c r="C1395" t="inlineStr">
        <is>
          <t>Harmony Bakery Pte Ltd</t>
        </is>
      </c>
      <c r="D1395" t="inlineStr">
        <is>
          <t>Bakery &amp; Confectionery</t>
        </is>
      </c>
      <c r="E1395" s="2" t="n">
        <v>46143</v>
      </c>
      <c r="F1395" s="2" t="n">
        <v>47238</v>
      </c>
      <c r="G1395" s="3" t="n">
        <v>3550</v>
      </c>
      <c r="H1395">
        <f>VLOOKUP(B1395,Units!$A$2:$G$1646,2,FALSE)</f>
        <v/>
      </c>
      <c r="I1395">
        <f>VLOOKUP(B1395,Units!$A$2:$G$1646,5,FALSE)</f>
        <v/>
      </c>
      <c r="J1395" s="3">
        <f>G1395/I1395</f>
        <v/>
      </c>
      <c r="K1395" s="3">
        <f>G1395*12</f>
        <v/>
      </c>
      <c r="L1395" s="3" t="n">
        <v>10650</v>
      </c>
    </row>
    <row r="1396">
      <c r="A1396" t="inlineStr">
        <is>
          <t>TA-2026-00325</t>
        </is>
      </c>
      <c r="B1396" t="inlineStr">
        <is>
          <t>U-KR318-01-05</t>
        </is>
      </c>
      <c r="C1396" t="inlineStr">
        <is>
          <t>Wong's Aquarium &amp; Pets Pte Ltd</t>
        </is>
      </c>
      <c r="D1396" t="inlineStr">
        <is>
          <t>Pet Shop</t>
        </is>
      </c>
      <c r="E1396" s="2" t="n">
        <v>46143</v>
      </c>
      <c r="F1396" s="2" t="n">
        <v>47238</v>
      </c>
      <c r="G1396" s="3" t="n">
        <v>4530</v>
      </c>
      <c r="H1396">
        <f>VLOOKUP(B1396,Units!$A$2:$G$1646,2,FALSE)</f>
        <v/>
      </c>
      <c r="I1396">
        <f>VLOOKUP(B1396,Units!$A$2:$G$1646,5,FALSE)</f>
        <v/>
      </c>
      <c r="J1396" s="3">
        <f>G1396/I1396</f>
        <v/>
      </c>
      <c r="K1396" s="3">
        <f>G1396*12</f>
        <v/>
      </c>
      <c r="L1396" s="3" t="n">
        <v>13590</v>
      </c>
    </row>
    <row r="1397">
      <c r="A1397" t="inlineStr">
        <is>
          <t>TA-2026-00327</t>
        </is>
      </c>
      <c r="B1397" t="inlineStr">
        <is>
          <t>U-KR359-01-08</t>
        </is>
      </c>
      <c r="C1397" t="inlineStr">
        <is>
          <t>Sri Ganesh Store</t>
        </is>
      </c>
      <c r="D1397" t="inlineStr">
        <is>
          <t>Provision Shop</t>
        </is>
      </c>
      <c r="E1397" s="2" t="n">
        <v>46143</v>
      </c>
      <c r="F1397" s="2" t="n">
        <v>47238</v>
      </c>
      <c r="G1397" s="3" t="n">
        <v>4060</v>
      </c>
      <c r="H1397">
        <f>VLOOKUP(B1397,Units!$A$2:$G$1646,2,FALSE)</f>
        <v/>
      </c>
      <c r="I1397">
        <f>VLOOKUP(B1397,Units!$A$2:$G$1646,5,FALSE)</f>
        <v/>
      </c>
      <c r="J1397" s="3">
        <f>G1397/I1397</f>
        <v/>
      </c>
      <c r="K1397" s="3">
        <f>G1397*12</f>
        <v/>
      </c>
      <c r="L1397" s="3" t="n">
        <v>12180</v>
      </c>
    </row>
    <row r="1398">
      <c r="A1398" t="inlineStr">
        <is>
          <t>TA-2026-00329</t>
        </is>
      </c>
      <c r="B1398" t="inlineStr">
        <is>
          <t>U-KR385-01-01</t>
        </is>
      </c>
      <c r="C1398" t="inlineStr">
        <is>
          <t>Thye Hin Medical Hall</t>
        </is>
      </c>
      <c r="D1398" t="inlineStr">
        <is>
          <t>TCM Clinic</t>
        </is>
      </c>
      <c r="E1398" s="2" t="n">
        <v>46143</v>
      </c>
      <c r="F1398" s="2" t="n">
        <v>47238</v>
      </c>
      <c r="G1398" s="3" t="n">
        <v>6080</v>
      </c>
      <c r="H1398">
        <f>VLOOKUP(B1398,Units!$A$2:$G$1646,2,FALSE)</f>
        <v/>
      </c>
      <c r="I1398">
        <f>VLOOKUP(B1398,Units!$A$2:$G$1646,5,FALSE)</f>
        <v/>
      </c>
      <c r="J1398" s="3">
        <f>G1398/I1398</f>
        <v/>
      </c>
      <c r="K1398" s="3">
        <f>G1398*12</f>
        <v/>
      </c>
      <c r="L1398" s="3" t="n">
        <v>18240</v>
      </c>
    </row>
    <row r="1399">
      <c r="A1399" t="inlineStr">
        <is>
          <t>TA-2026-00330</t>
        </is>
      </c>
      <c r="B1399" t="inlineStr">
        <is>
          <t>U-PI601-01-07</t>
        </is>
      </c>
      <c r="C1399" t="inlineStr">
        <is>
          <t>Swee Heng Education Hub Pte Ltd</t>
        </is>
      </c>
      <c r="D1399" t="inlineStr">
        <is>
          <t>Tuition Centre</t>
        </is>
      </c>
      <c r="E1399" s="2" t="n">
        <v>46143</v>
      </c>
      <c r="F1399" s="2" t="n">
        <v>47238</v>
      </c>
      <c r="G1399" s="3" t="n">
        <v>4930</v>
      </c>
      <c r="H1399">
        <f>VLOOKUP(B1399,Units!$A$2:$G$1646,2,FALSE)</f>
        <v/>
      </c>
      <c r="I1399">
        <f>VLOOKUP(B1399,Units!$A$2:$G$1646,5,FALSE)</f>
        <v/>
      </c>
      <c r="J1399" s="3">
        <f>G1399/I1399</f>
        <v/>
      </c>
      <c r="K1399" s="3">
        <f>G1399*12</f>
        <v/>
      </c>
      <c r="L1399" s="3" t="n">
        <v>14790</v>
      </c>
    </row>
    <row r="1400">
      <c r="A1400" t="inlineStr">
        <is>
          <t>TA-2026-00331</t>
        </is>
      </c>
      <c r="B1400" t="inlineStr">
        <is>
          <t>U-PI605-01-06</t>
        </is>
      </c>
      <c r="C1400" t="inlineStr">
        <is>
          <t>Lakshmi Tuition Centre</t>
        </is>
      </c>
      <c r="D1400" t="inlineStr">
        <is>
          <t>Tuition Centre</t>
        </is>
      </c>
      <c r="E1400" s="2" t="n">
        <v>46143</v>
      </c>
      <c r="F1400" s="2" t="n">
        <v>47238</v>
      </c>
      <c r="G1400" s="3" t="n">
        <v>1890</v>
      </c>
      <c r="H1400">
        <f>VLOOKUP(B1400,Units!$A$2:$G$1646,2,FALSE)</f>
        <v/>
      </c>
      <c r="I1400">
        <f>VLOOKUP(B1400,Units!$A$2:$G$1646,5,FALSE)</f>
        <v/>
      </c>
      <c r="J1400" s="3">
        <f>G1400/I1400</f>
        <v/>
      </c>
      <c r="K1400" s="3">
        <f>G1400*12</f>
        <v/>
      </c>
      <c r="L1400" s="3" t="n">
        <v>5670</v>
      </c>
    </row>
    <row r="1401">
      <c r="A1401" t="inlineStr">
        <is>
          <t>TA-2026-00332</t>
        </is>
      </c>
      <c r="B1401" t="inlineStr">
        <is>
          <t>U-PI606-01-04</t>
        </is>
      </c>
      <c r="C1401" t="inlineStr">
        <is>
          <t>Smart Kids Mart Pte Ltd</t>
        </is>
      </c>
      <c r="D1401" t="inlineStr">
        <is>
          <t>Minimart</t>
        </is>
      </c>
      <c r="E1401" s="2" t="n">
        <v>46143</v>
      </c>
      <c r="F1401" s="2" t="n">
        <v>47238</v>
      </c>
      <c r="G1401" s="3" t="n">
        <v>3320</v>
      </c>
      <c r="H1401">
        <f>VLOOKUP(B1401,Units!$A$2:$G$1646,2,FALSE)</f>
        <v/>
      </c>
      <c r="I1401">
        <f>VLOOKUP(B1401,Units!$A$2:$G$1646,5,FALSE)</f>
        <v/>
      </c>
      <c r="J1401" s="3">
        <f>G1401/I1401</f>
        <v/>
      </c>
      <c r="K1401" s="3">
        <f>G1401*12</f>
        <v/>
      </c>
      <c r="L1401" s="3" t="n">
        <v>9960</v>
      </c>
    </row>
    <row r="1402">
      <c r="A1402" t="inlineStr">
        <is>
          <t>TA-2026-00334</t>
        </is>
      </c>
      <c r="B1402" t="inlineStr">
        <is>
          <t>U-PI614-01-10</t>
        </is>
      </c>
      <c r="C1402" t="inlineStr">
        <is>
          <t>Mutiara Cake House Pte Ltd</t>
        </is>
      </c>
      <c r="D1402" t="inlineStr">
        <is>
          <t>Bakery &amp; Confectionery</t>
        </is>
      </c>
      <c r="E1402" s="2" t="n">
        <v>46143</v>
      </c>
      <c r="F1402" s="2" t="n">
        <v>47238</v>
      </c>
      <c r="G1402" s="3" t="n">
        <v>1750</v>
      </c>
      <c r="H1402">
        <f>VLOOKUP(B1402,Units!$A$2:$G$1646,2,FALSE)</f>
        <v/>
      </c>
      <c r="I1402">
        <f>VLOOKUP(B1402,Units!$A$2:$G$1646,5,FALSE)</f>
        <v/>
      </c>
      <c r="J1402" s="3">
        <f>G1402/I1402</f>
        <v/>
      </c>
      <c r="K1402" s="3">
        <f>G1402*12</f>
        <v/>
      </c>
      <c r="L1402" s="3" t="n">
        <v>5250</v>
      </c>
    </row>
    <row r="1403">
      <c r="A1403" t="inlineStr">
        <is>
          <t>TA-2026-00335</t>
        </is>
      </c>
      <c r="B1403" t="inlineStr">
        <is>
          <t>U-PI626-01-04</t>
        </is>
      </c>
      <c r="C1403" t="inlineStr">
        <is>
          <t>Chop Wah Mobile Pte Ltd</t>
        </is>
      </c>
      <c r="D1403" t="inlineStr">
        <is>
          <t>Mobile Phone &amp; Accessories</t>
        </is>
      </c>
      <c r="E1403" s="2" t="n">
        <v>46143</v>
      </c>
      <c r="F1403" s="2" t="n">
        <v>47238</v>
      </c>
      <c r="G1403" s="3" t="n">
        <v>900</v>
      </c>
      <c r="H1403">
        <f>VLOOKUP(B1403,Units!$A$2:$G$1646,2,FALSE)</f>
        <v/>
      </c>
      <c r="I1403">
        <f>VLOOKUP(B1403,Units!$A$2:$G$1646,5,FALSE)</f>
        <v/>
      </c>
      <c r="J1403" s="3">
        <f>G1403/I1403</f>
        <v/>
      </c>
      <c r="K1403" s="3">
        <f>G1403*12</f>
        <v/>
      </c>
      <c r="L1403" s="3" t="n">
        <v>2700</v>
      </c>
    </row>
    <row r="1404">
      <c r="A1404" t="inlineStr">
        <is>
          <t>TA-2026-00337</t>
        </is>
      </c>
      <c r="B1404" t="inlineStr">
        <is>
          <t>U-PI626-01-13</t>
        </is>
      </c>
      <c r="C1404" t="inlineStr">
        <is>
          <t>Mutiara Family Clinic</t>
        </is>
      </c>
      <c r="D1404" t="inlineStr">
        <is>
          <t>GP Clinic</t>
        </is>
      </c>
      <c r="E1404" s="2" t="n">
        <v>46143</v>
      </c>
      <c r="F1404" s="2" t="n">
        <v>47238</v>
      </c>
      <c r="G1404" s="3" t="n">
        <v>2100</v>
      </c>
      <c r="H1404">
        <f>VLOOKUP(B1404,Units!$A$2:$G$1646,2,FALSE)</f>
        <v/>
      </c>
      <c r="I1404">
        <f>VLOOKUP(B1404,Units!$A$2:$G$1646,5,FALSE)</f>
        <v/>
      </c>
      <c r="J1404" s="3">
        <f>G1404/I1404</f>
        <v/>
      </c>
      <c r="K1404" s="3">
        <f>G1404*12</f>
        <v/>
      </c>
      <c r="L1404" s="3" t="n">
        <v>6300</v>
      </c>
    </row>
    <row r="1405">
      <c r="A1405" t="inlineStr">
        <is>
          <t>TA-2026-00338</t>
        </is>
      </c>
      <c r="B1405" t="inlineStr">
        <is>
          <t>U-PI627-01-07</t>
        </is>
      </c>
      <c r="C1405" t="inlineStr">
        <is>
          <t>Fresh Valley Telecom</t>
        </is>
      </c>
      <c r="D1405" t="inlineStr">
        <is>
          <t>Mobile Phone &amp; Accessories</t>
        </is>
      </c>
      <c r="E1405" s="2" t="n">
        <v>46143</v>
      </c>
      <c r="F1405" s="2" t="n">
        <v>47238</v>
      </c>
      <c r="G1405" s="3" t="n">
        <v>900</v>
      </c>
      <c r="H1405">
        <f>VLOOKUP(B1405,Units!$A$2:$G$1646,2,FALSE)</f>
        <v/>
      </c>
      <c r="I1405">
        <f>VLOOKUP(B1405,Units!$A$2:$G$1646,5,FALSE)</f>
        <v/>
      </c>
      <c r="J1405" s="3">
        <f>G1405/I1405</f>
        <v/>
      </c>
      <c r="K1405" s="3">
        <f>G1405*12</f>
        <v/>
      </c>
      <c r="L1405" s="3" t="n">
        <v>2700</v>
      </c>
    </row>
    <row r="1406">
      <c r="A1406" t="inlineStr">
        <is>
          <t>TA-2026-00339</t>
        </is>
      </c>
      <c r="B1406" t="inlineStr">
        <is>
          <t>U-PI642-02-10</t>
        </is>
      </c>
      <c r="C1406" t="inlineStr">
        <is>
          <t>Wellcare TCM Clinic Pte Ltd</t>
        </is>
      </c>
      <c r="D1406" t="inlineStr">
        <is>
          <t>TCM Clinic</t>
        </is>
      </c>
      <c r="E1406" s="2" t="n">
        <v>46143</v>
      </c>
      <c r="F1406" s="2" t="n">
        <v>47238</v>
      </c>
      <c r="G1406" s="3" t="n">
        <v>2990</v>
      </c>
      <c r="H1406">
        <f>VLOOKUP(B1406,Units!$A$2:$G$1646,2,FALSE)</f>
        <v/>
      </c>
      <c r="I1406">
        <f>VLOOKUP(B1406,Units!$A$2:$G$1646,5,FALSE)</f>
        <v/>
      </c>
      <c r="J1406" s="3">
        <f>G1406/I1406</f>
        <v/>
      </c>
      <c r="K1406" s="3">
        <f>G1406*12</f>
        <v/>
      </c>
      <c r="L1406" s="3" t="n">
        <v>8970</v>
      </c>
    </row>
    <row r="1407">
      <c r="A1407" t="inlineStr">
        <is>
          <t>TA-2026-00340</t>
        </is>
      </c>
      <c r="B1407" t="inlineStr">
        <is>
          <t>U-PI657-01-04</t>
        </is>
      </c>
      <c r="C1407" t="inlineStr">
        <is>
          <t>Fresh Valley Bakery Pte Ltd</t>
        </is>
      </c>
      <c r="D1407" t="inlineStr">
        <is>
          <t>Bakery &amp; Confectionery</t>
        </is>
      </c>
      <c r="E1407" s="2" t="n">
        <v>46143</v>
      </c>
      <c r="F1407" s="2" t="n">
        <v>47238</v>
      </c>
      <c r="G1407" s="3" t="n">
        <v>2080</v>
      </c>
      <c r="H1407">
        <f>VLOOKUP(B1407,Units!$A$2:$G$1646,2,FALSE)</f>
        <v/>
      </c>
      <c r="I1407">
        <f>VLOOKUP(B1407,Units!$A$2:$G$1646,5,FALSE)</f>
        <v/>
      </c>
      <c r="J1407" s="3">
        <f>G1407/I1407</f>
        <v/>
      </c>
      <c r="K1407" s="3">
        <f>G1407*12</f>
        <v/>
      </c>
      <c r="L1407" s="3" t="n">
        <v>6240</v>
      </c>
    </row>
    <row r="1408">
      <c r="A1408" t="inlineStr">
        <is>
          <t>TA-2026-00342</t>
        </is>
      </c>
      <c r="B1408" t="inlineStr">
        <is>
          <t>U-PI667-01-12</t>
        </is>
      </c>
      <c r="C1408" t="inlineStr">
        <is>
          <t>Kopi Corner Flowers &amp; Gifts Pte Ltd</t>
        </is>
      </c>
      <c r="D1408" t="inlineStr">
        <is>
          <t>Florist</t>
        </is>
      </c>
      <c r="E1408" s="2" t="n">
        <v>46143</v>
      </c>
      <c r="F1408" s="2" t="n">
        <v>47238</v>
      </c>
      <c r="G1408" s="3" t="n">
        <v>2490</v>
      </c>
      <c r="H1408">
        <f>VLOOKUP(B1408,Units!$A$2:$G$1646,2,FALSE)</f>
        <v/>
      </c>
      <c r="I1408">
        <f>VLOOKUP(B1408,Units!$A$2:$G$1646,5,FALSE)</f>
        <v/>
      </c>
      <c r="J1408" s="3">
        <f>G1408/I1408</f>
        <v/>
      </c>
      <c r="K1408" s="3">
        <f>G1408*12</f>
        <v/>
      </c>
      <c r="L1408" s="3" t="n">
        <v>7470</v>
      </c>
    </row>
    <row r="1409">
      <c r="A1409" t="inlineStr">
        <is>
          <t>TA-2026-00344</t>
        </is>
      </c>
      <c r="B1409" t="inlineStr">
        <is>
          <t>U-PI679-01-02</t>
        </is>
      </c>
      <c r="C1409" t="inlineStr">
        <is>
          <t>Fresh Valley Bubble Tea Pte Ltd</t>
        </is>
      </c>
      <c r="D1409" t="inlineStr">
        <is>
          <t>Bubble Tea</t>
        </is>
      </c>
      <c r="E1409" s="2" t="n">
        <v>46143</v>
      </c>
      <c r="F1409" s="2" t="n">
        <v>47238</v>
      </c>
      <c r="G1409" s="3" t="n">
        <v>900</v>
      </c>
      <c r="H1409">
        <f>VLOOKUP(B1409,Units!$A$2:$G$1646,2,FALSE)</f>
        <v/>
      </c>
      <c r="I1409">
        <f>VLOOKUP(B1409,Units!$A$2:$G$1646,5,FALSE)</f>
        <v/>
      </c>
      <c r="J1409" s="3">
        <f>G1409/I1409</f>
        <v/>
      </c>
      <c r="K1409" s="3">
        <f>G1409*12</f>
        <v/>
      </c>
      <c r="L1409" s="3" t="n">
        <v>2700</v>
      </c>
    </row>
    <row r="1410">
      <c r="A1410" t="inlineStr">
        <is>
          <t>TA-2026-00345</t>
        </is>
      </c>
      <c r="B1410" t="inlineStr">
        <is>
          <t>U-PI696-01-02</t>
        </is>
      </c>
      <c r="C1410" t="inlineStr">
        <is>
          <t>Raja Fruits</t>
        </is>
      </c>
      <c r="D1410" t="inlineStr">
        <is>
          <t>Fruit Shop</t>
        </is>
      </c>
      <c r="E1410" s="2" t="n">
        <v>46143</v>
      </c>
      <c r="F1410" s="2" t="n">
        <v>47238</v>
      </c>
      <c r="G1410" s="3" t="n">
        <v>1270</v>
      </c>
      <c r="H1410">
        <f>VLOOKUP(B1410,Units!$A$2:$G$1646,2,FALSE)</f>
        <v/>
      </c>
      <c r="I1410">
        <f>VLOOKUP(B1410,Units!$A$2:$G$1646,5,FALSE)</f>
        <v/>
      </c>
      <c r="J1410" s="3">
        <f>G1410/I1410</f>
        <v/>
      </c>
      <c r="K1410" s="3">
        <f>G1410*12</f>
        <v/>
      </c>
      <c r="L1410" s="3" t="n">
        <v>3810</v>
      </c>
    </row>
    <row r="1411">
      <c r="A1411" t="inlineStr">
        <is>
          <t>TA-2026-00347</t>
        </is>
      </c>
      <c r="B1411" t="inlineStr">
        <is>
          <t>U-PI696-01-09</t>
        </is>
      </c>
      <c r="C1411" t="inlineStr">
        <is>
          <t>PrimeValue Mart Pte Ltd</t>
        </is>
      </c>
      <c r="D1411" t="inlineStr">
        <is>
          <t>Minimart</t>
        </is>
      </c>
      <c r="E1411" s="2" t="n">
        <v>46143</v>
      </c>
      <c r="F1411" s="2" t="n">
        <v>47238</v>
      </c>
      <c r="G1411" s="3" t="n">
        <v>4760</v>
      </c>
      <c r="H1411">
        <f>VLOOKUP(B1411,Units!$A$2:$G$1646,2,FALSE)</f>
        <v/>
      </c>
      <c r="I1411">
        <f>VLOOKUP(B1411,Units!$A$2:$G$1646,5,FALSE)</f>
        <v/>
      </c>
      <c r="J1411" s="3">
        <f>G1411/I1411</f>
        <v/>
      </c>
      <c r="K1411" s="3">
        <f>G1411*12</f>
        <v/>
      </c>
      <c r="L1411" s="3" t="n">
        <v>14280</v>
      </c>
    </row>
    <row r="1412">
      <c r="A1412" t="inlineStr">
        <is>
          <t>TA-2026-00348</t>
        </is>
      </c>
      <c r="B1412" t="inlineStr">
        <is>
          <t>U-RH401-01-01</t>
        </is>
      </c>
      <c r="C1412" t="inlineStr">
        <is>
          <t>Hassan Coffeeshop</t>
        </is>
      </c>
      <c r="D1412" t="inlineStr">
        <is>
          <t>Coffeeshop</t>
        </is>
      </c>
      <c r="E1412" s="2" t="n">
        <v>46143</v>
      </c>
      <c r="F1412" s="2" t="n">
        <v>47238</v>
      </c>
      <c r="G1412" s="3" t="n">
        <v>8380</v>
      </c>
      <c r="H1412">
        <f>VLOOKUP(B1412,Units!$A$2:$G$1646,2,FALSE)</f>
        <v/>
      </c>
      <c r="I1412">
        <f>VLOOKUP(B1412,Units!$A$2:$G$1646,5,FALSE)</f>
        <v/>
      </c>
      <c r="J1412" s="3">
        <f>G1412/I1412</f>
        <v/>
      </c>
      <c r="K1412" s="3">
        <f>G1412*12</f>
        <v/>
      </c>
      <c r="L1412" s="3" t="n">
        <v>25140</v>
      </c>
    </row>
    <row r="1413">
      <c r="A1413" t="inlineStr">
        <is>
          <t>TA-2026-00349</t>
        </is>
      </c>
      <c r="B1413" t="inlineStr">
        <is>
          <t>U-RH407-01-03</t>
        </is>
      </c>
      <c r="C1413" t="inlineStr">
        <is>
          <t>Blue Pearl Provision Shop</t>
        </is>
      </c>
      <c r="D1413" t="inlineStr">
        <is>
          <t>Provision Shop</t>
        </is>
      </c>
      <c r="E1413" s="2" t="n">
        <v>46143</v>
      </c>
      <c r="F1413" s="2" t="n">
        <v>47238</v>
      </c>
      <c r="G1413" s="3" t="n">
        <v>2310</v>
      </c>
      <c r="H1413">
        <f>VLOOKUP(B1413,Units!$A$2:$G$1646,2,FALSE)</f>
        <v/>
      </c>
      <c r="I1413">
        <f>VLOOKUP(B1413,Units!$A$2:$G$1646,5,FALSE)</f>
        <v/>
      </c>
      <c r="J1413" s="3">
        <f>G1413/I1413</f>
        <v/>
      </c>
      <c r="K1413" s="3">
        <f>G1413*12</f>
        <v/>
      </c>
      <c r="L1413" s="3" t="n">
        <v>6930</v>
      </c>
    </row>
    <row r="1414">
      <c r="A1414" t="inlineStr">
        <is>
          <t>TA-2026-00351</t>
        </is>
      </c>
      <c r="B1414" t="inlineStr">
        <is>
          <t>U-RH455-01-01</t>
        </is>
      </c>
      <c r="C1414" t="inlineStr">
        <is>
          <t>Treasure Supermarket Pte Ltd</t>
        </is>
      </c>
      <c r="D1414" t="inlineStr">
        <is>
          <t>Minimart</t>
        </is>
      </c>
      <c r="E1414" s="2" t="n">
        <v>46143</v>
      </c>
      <c r="F1414" s="2" t="n">
        <v>47238</v>
      </c>
      <c r="G1414" s="3" t="n">
        <v>3190</v>
      </c>
      <c r="H1414">
        <f>VLOOKUP(B1414,Units!$A$2:$G$1646,2,FALSE)</f>
        <v/>
      </c>
      <c r="I1414">
        <f>VLOOKUP(B1414,Units!$A$2:$G$1646,5,FALSE)</f>
        <v/>
      </c>
      <c r="J1414" s="3">
        <f>G1414/I1414</f>
        <v/>
      </c>
      <c r="K1414" s="3">
        <f>G1414*12</f>
        <v/>
      </c>
      <c r="L1414" s="3" t="n">
        <v>9570</v>
      </c>
    </row>
    <row r="1415">
      <c r="A1415" t="inlineStr">
        <is>
          <t>TA-2026-00352</t>
        </is>
      </c>
      <c r="B1415" t="inlineStr">
        <is>
          <t>U-RH455-01-17</t>
        </is>
      </c>
      <c r="C1415" t="inlineStr">
        <is>
          <t>Tan Brothers Eye Centre Pte Ltd</t>
        </is>
      </c>
      <c r="D1415" t="inlineStr">
        <is>
          <t>Optical</t>
        </is>
      </c>
      <c r="E1415" s="2" t="n">
        <v>46143</v>
      </c>
      <c r="F1415" s="2" t="n">
        <v>47238</v>
      </c>
      <c r="G1415" s="3" t="n">
        <v>4530</v>
      </c>
      <c r="H1415">
        <f>VLOOKUP(B1415,Units!$A$2:$G$1646,2,FALSE)</f>
        <v/>
      </c>
      <c r="I1415">
        <f>VLOOKUP(B1415,Units!$A$2:$G$1646,5,FALSE)</f>
        <v/>
      </c>
      <c r="J1415" s="3">
        <f>G1415/I1415</f>
        <v/>
      </c>
      <c r="K1415" s="3">
        <f>G1415*12</f>
        <v/>
      </c>
      <c r="L1415" s="3" t="n">
        <v>13590</v>
      </c>
    </row>
    <row r="1416">
      <c r="A1416" t="inlineStr">
        <is>
          <t>TA-2026-00353</t>
        </is>
      </c>
      <c r="B1416" t="inlineStr">
        <is>
          <t>U-RH455-01-21</t>
        </is>
      </c>
      <c r="C1416" t="inlineStr">
        <is>
          <t>Wong's Learning Centre</t>
        </is>
      </c>
      <c r="D1416" t="inlineStr">
        <is>
          <t>Tuition Centre</t>
        </is>
      </c>
      <c r="E1416" s="2" t="n">
        <v>46143</v>
      </c>
      <c r="F1416" s="2" t="n">
        <v>47238</v>
      </c>
      <c r="G1416" s="3" t="n">
        <v>2360</v>
      </c>
      <c r="H1416">
        <f>VLOOKUP(B1416,Units!$A$2:$G$1646,2,FALSE)</f>
        <v/>
      </c>
      <c r="I1416">
        <f>VLOOKUP(B1416,Units!$A$2:$G$1646,5,FALSE)</f>
        <v/>
      </c>
      <c r="J1416" s="3">
        <f>G1416/I1416</f>
        <v/>
      </c>
      <c r="K1416" s="3">
        <f>G1416*12</f>
        <v/>
      </c>
      <c r="L1416" s="3" t="n">
        <v>7080</v>
      </c>
    </row>
    <row r="1417">
      <c r="A1417" t="inlineStr">
        <is>
          <t>TA-2026-00354</t>
        </is>
      </c>
      <c r="B1417" t="inlineStr">
        <is>
          <t>U-RH455-01-23</t>
        </is>
      </c>
      <c r="C1417" t="inlineStr">
        <is>
          <t>Chop Wah Telecom</t>
        </is>
      </c>
      <c r="D1417" t="inlineStr">
        <is>
          <t>Mobile Phone &amp; Accessories</t>
        </is>
      </c>
      <c r="E1417" s="2" t="n">
        <v>46143</v>
      </c>
      <c r="F1417" s="2" t="n">
        <v>47238</v>
      </c>
      <c r="G1417" s="3" t="n">
        <v>1310</v>
      </c>
      <c r="H1417">
        <f>VLOOKUP(B1417,Units!$A$2:$G$1646,2,FALSE)</f>
        <v/>
      </c>
      <c r="I1417">
        <f>VLOOKUP(B1417,Units!$A$2:$G$1646,5,FALSE)</f>
        <v/>
      </c>
      <c r="J1417" s="3">
        <f>G1417/I1417</f>
        <v/>
      </c>
      <c r="K1417" s="3">
        <f>G1417*12</f>
        <v/>
      </c>
      <c r="L1417" s="3" t="n">
        <v>3930</v>
      </c>
    </row>
    <row r="1418">
      <c r="A1418" t="inlineStr">
        <is>
          <t>TA-2026-00356</t>
        </is>
      </c>
      <c r="B1418" t="inlineStr">
        <is>
          <t>U-RH482-01-02</t>
        </is>
      </c>
      <c r="C1418" t="inlineStr">
        <is>
          <t>Bloom Fruits</t>
        </is>
      </c>
      <c r="D1418" t="inlineStr">
        <is>
          <t>Fruit Shop</t>
        </is>
      </c>
      <c r="E1418" s="2" t="n">
        <v>46143</v>
      </c>
      <c r="F1418" s="2" t="n">
        <v>47238</v>
      </c>
      <c r="G1418" s="3" t="n">
        <v>5550</v>
      </c>
      <c r="H1418">
        <f>VLOOKUP(B1418,Units!$A$2:$G$1646,2,FALSE)</f>
        <v/>
      </c>
      <c r="I1418">
        <f>VLOOKUP(B1418,Units!$A$2:$G$1646,5,FALSE)</f>
        <v/>
      </c>
      <c r="J1418" s="3">
        <f>G1418/I1418</f>
        <v/>
      </c>
      <c r="K1418" s="3">
        <f>G1418*12</f>
        <v/>
      </c>
      <c r="L1418" s="3" t="n">
        <v>16650</v>
      </c>
    </row>
    <row r="1419">
      <c r="A1419" t="inlineStr">
        <is>
          <t>TA-2026-00357</t>
        </is>
      </c>
      <c r="B1419" t="inlineStr">
        <is>
          <t>U-ST556-01-01</t>
        </is>
      </c>
      <c r="C1419" t="inlineStr">
        <is>
          <t>Everbright Mobile Pte Ltd</t>
        </is>
      </c>
      <c r="D1419" t="inlineStr">
        <is>
          <t>Mobile Phone &amp; Accessories</t>
        </is>
      </c>
      <c r="E1419" s="2" t="n">
        <v>46143</v>
      </c>
      <c r="F1419" s="2" t="n">
        <v>47238</v>
      </c>
      <c r="G1419" s="3" t="n">
        <v>2780</v>
      </c>
      <c r="H1419">
        <f>VLOOKUP(B1419,Units!$A$2:$G$1646,2,FALSE)</f>
        <v/>
      </c>
      <c r="I1419">
        <f>VLOOKUP(B1419,Units!$A$2:$G$1646,5,FALSE)</f>
        <v/>
      </c>
      <c r="J1419" s="3">
        <f>G1419/I1419</f>
        <v/>
      </c>
      <c r="K1419" s="3">
        <f>G1419*12</f>
        <v/>
      </c>
      <c r="L1419" s="3" t="n">
        <v>8340</v>
      </c>
    </row>
    <row r="1420">
      <c r="A1420" t="inlineStr">
        <is>
          <t>TA-2026-00359</t>
        </is>
      </c>
      <c r="B1420" t="inlineStr">
        <is>
          <t>U-ST583-02-05</t>
        </is>
      </c>
      <c r="C1420" t="inlineStr">
        <is>
          <t>Kampung Kindergarten</t>
        </is>
      </c>
      <c r="D1420" t="inlineStr">
        <is>
          <t>Childcare Centre</t>
        </is>
      </c>
      <c r="E1420" s="2" t="n">
        <v>46143</v>
      </c>
      <c r="F1420" s="2" t="n">
        <v>47238</v>
      </c>
      <c r="G1420" s="3" t="n">
        <v>1960</v>
      </c>
      <c r="H1420">
        <f>VLOOKUP(B1420,Units!$A$2:$G$1646,2,FALSE)</f>
        <v/>
      </c>
      <c r="I1420">
        <f>VLOOKUP(B1420,Units!$A$2:$G$1646,5,FALSE)</f>
        <v/>
      </c>
      <c r="J1420" s="3">
        <f>G1420/I1420</f>
        <v/>
      </c>
      <c r="K1420" s="3">
        <f>G1420*12</f>
        <v/>
      </c>
      <c r="L1420" s="3" t="n">
        <v>5880</v>
      </c>
    </row>
    <row r="1421">
      <c r="A1421" t="inlineStr">
        <is>
          <t>TA-2026-00360</t>
        </is>
      </c>
      <c r="B1421" t="inlineStr">
        <is>
          <t>U-ST593-01-06</t>
        </is>
      </c>
      <c r="C1421" t="inlineStr">
        <is>
          <t>Tan Brothers Medical Supplies</t>
        </is>
      </c>
      <c r="D1421" t="inlineStr">
        <is>
          <t>Pharmacy</t>
        </is>
      </c>
      <c r="E1421" s="2" t="n">
        <v>46143</v>
      </c>
      <c r="F1421" s="2" t="n">
        <v>47238</v>
      </c>
      <c r="G1421" s="3" t="n">
        <v>3060</v>
      </c>
      <c r="H1421">
        <f>VLOOKUP(B1421,Units!$A$2:$G$1646,2,FALSE)</f>
        <v/>
      </c>
      <c r="I1421">
        <f>VLOOKUP(B1421,Units!$A$2:$G$1646,5,FALSE)</f>
        <v/>
      </c>
      <c r="J1421" s="3">
        <f>G1421/I1421</f>
        <v/>
      </c>
      <c r="K1421" s="3">
        <f>G1421*12</f>
        <v/>
      </c>
      <c r="L1421" s="3" t="n">
        <v>9180</v>
      </c>
    </row>
    <row r="1422">
      <c r="A1422" t="inlineStr">
        <is>
          <t>TA-2026-00361</t>
        </is>
      </c>
      <c r="B1422" t="inlineStr">
        <is>
          <t>U-BV204-01-06</t>
        </is>
      </c>
      <c r="C1422" t="inlineStr">
        <is>
          <t>Seri Murni Minimart Pte Ltd</t>
        </is>
      </c>
      <c r="D1422" t="inlineStr">
        <is>
          <t>Minimart</t>
        </is>
      </c>
      <c r="E1422" s="2" t="n">
        <v>46174</v>
      </c>
      <c r="F1422" s="2" t="n">
        <v>47269</v>
      </c>
      <c r="G1422" s="3" t="n">
        <v>3850</v>
      </c>
      <c r="H1422">
        <f>VLOOKUP(B1422,Units!$A$2:$G$1646,2,FALSE)</f>
        <v/>
      </c>
      <c r="I1422">
        <f>VLOOKUP(B1422,Units!$A$2:$G$1646,5,FALSE)</f>
        <v/>
      </c>
      <c r="J1422" s="3">
        <f>G1422/I1422</f>
        <v/>
      </c>
      <c r="K1422" s="3">
        <f>G1422*12</f>
        <v/>
      </c>
      <c r="L1422" s="3" t="n">
        <v>11550</v>
      </c>
    </row>
    <row r="1423">
      <c r="A1423" t="inlineStr">
        <is>
          <t>TA-2026-00362</t>
        </is>
      </c>
      <c r="B1423" t="inlineStr">
        <is>
          <t>U-BV214-01-29</t>
        </is>
      </c>
      <c r="C1423" t="inlineStr">
        <is>
          <t>PrimeValue Mart Pte Ltd</t>
        </is>
      </c>
      <c r="D1423" t="inlineStr">
        <is>
          <t>Minimart</t>
        </is>
      </c>
      <c r="E1423" s="2" t="n">
        <v>46174</v>
      </c>
      <c r="F1423" s="2" t="n">
        <v>47269</v>
      </c>
      <c r="G1423" s="3" t="n">
        <v>4780</v>
      </c>
      <c r="H1423">
        <f>VLOOKUP(B1423,Units!$A$2:$G$1646,2,FALSE)</f>
        <v/>
      </c>
      <c r="I1423">
        <f>VLOOKUP(B1423,Units!$A$2:$G$1646,5,FALSE)</f>
        <v/>
      </c>
      <c r="J1423" s="3">
        <f>G1423/I1423</f>
        <v/>
      </c>
      <c r="K1423" s="3">
        <f>G1423*12</f>
        <v/>
      </c>
      <c r="L1423" s="3" t="n">
        <v>14340</v>
      </c>
    </row>
    <row r="1424">
      <c r="A1424" t="inlineStr">
        <is>
          <t>TA-2026-00363</t>
        </is>
      </c>
      <c r="B1424" t="inlineStr">
        <is>
          <t>U-BV219-01-01</t>
        </is>
      </c>
      <c r="C1424" t="inlineStr">
        <is>
          <t>Lotus Hardware</t>
        </is>
      </c>
      <c r="D1424" t="inlineStr">
        <is>
          <t>Hardware</t>
        </is>
      </c>
      <c r="E1424" s="2" t="n">
        <v>46174</v>
      </c>
      <c r="F1424" s="2" t="n">
        <v>47269</v>
      </c>
      <c r="G1424" s="3" t="n">
        <v>3960</v>
      </c>
      <c r="H1424">
        <f>VLOOKUP(B1424,Units!$A$2:$G$1646,2,FALSE)</f>
        <v/>
      </c>
      <c r="I1424">
        <f>VLOOKUP(B1424,Units!$A$2:$G$1646,5,FALSE)</f>
        <v/>
      </c>
      <c r="J1424" s="3">
        <f>G1424/I1424</f>
        <v/>
      </c>
      <c r="K1424" s="3">
        <f>G1424*12</f>
        <v/>
      </c>
      <c r="L1424" s="3" t="n">
        <v>11880</v>
      </c>
    </row>
    <row r="1425">
      <c r="A1425" t="inlineStr">
        <is>
          <t>TA-2026-00364</t>
        </is>
      </c>
      <c r="B1425" t="inlineStr">
        <is>
          <t>U-BV219-01-02</t>
        </is>
      </c>
      <c r="C1425" t="inlineStr">
        <is>
          <t>New Life Hardware &amp; Electrical</t>
        </is>
      </c>
      <c r="D1425" t="inlineStr">
        <is>
          <t>Hardware</t>
        </is>
      </c>
      <c r="E1425" s="2" t="n">
        <v>46174</v>
      </c>
      <c r="F1425" s="2" t="n">
        <v>47269</v>
      </c>
      <c r="G1425" s="3" t="n">
        <v>5710</v>
      </c>
      <c r="H1425">
        <f>VLOOKUP(B1425,Units!$A$2:$G$1646,2,FALSE)</f>
        <v/>
      </c>
      <c r="I1425">
        <f>VLOOKUP(B1425,Units!$A$2:$G$1646,5,FALSE)</f>
        <v/>
      </c>
      <c r="J1425" s="3">
        <f>G1425/I1425</f>
        <v/>
      </c>
      <c r="K1425" s="3">
        <f>G1425*12</f>
        <v/>
      </c>
      <c r="L1425" s="3" t="n">
        <v>17130</v>
      </c>
    </row>
    <row r="1426">
      <c r="A1426" t="inlineStr">
        <is>
          <t>TA-2026-00366</t>
        </is>
      </c>
      <c r="B1426" t="inlineStr">
        <is>
          <t>U-BV271-01-10</t>
        </is>
      </c>
      <c r="C1426" t="inlineStr">
        <is>
          <t>Old Town Optical</t>
        </is>
      </c>
      <c r="D1426" t="inlineStr">
        <is>
          <t>Optical</t>
        </is>
      </c>
      <c r="E1426" s="2" t="n">
        <v>46174</v>
      </c>
      <c r="F1426" s="2" t="n">
        <v>47269</v>
      </c>
      <c r="G1426" s="3" t="n">
        <v>3960</v>
      </c>
      <c r="H1426">
        <f>VLOOKUP(B1426,Units!$A$2:$G$1646,2,FALSE)</f>
        <v/>
      </c>
      <c r="I1426">
        <f>VLOOKUP(B1426,Units!$A$2:$G$1646,5,FALSE)</f>
        <v/>
      </c>
      <c r="J1426" s="3">
        <f>G1426/I1426</f>
        <v/>
      </c>
      <c r="K1426" s="3">
        <f>G1426*12</f>
        <v/>
      </c>
      <c r="L1426" s="3" t="n">
        <v>11880</v>
      </c>
    </row>
    <row r="1427">
      <c r="A1427" t="inlineStr">
        <is>
          <t>TA-2026-00368</t>
        </is>
      </c>
      <c r="B1427" t="inlineStr">
        <is>
          <t>U-BV288-02-01</t>
        </is>
      </c>
      <c r="C1427" t="inlineStr">
        <is>
          <t>Tan Brothers Childcare Pte Ltd</t>
        </is>
      </c>
      <c r="D1427" t="inlineStr">
        <is>
          <t>Childcare Centre</t>
        </is>
      </c>
      <c r="E1427" s="2" t="n">
        <v>46174</v>
      </c>
      <c r="F1427" s="2" t="n">
        <v>47269</v>
      </c>
      <c r="G1427" s="3" t="n">
        <v>1730</v>
      </c>
      <c r="H1427">
        <f>VLOOKUP(B1427,Units!$A$2:$G$1646,2,FALSE)</f>
        <v/>
      </c>
      <c r="I1427">
        <f>VLOOKUP(B1427,Units!$A$2:$G$1646,5,FALSE)</f>
        <v/>
      </c>
      <c r="J1427" s="3">
        <f>G1427/I1427</f>
        <v/>
      </c>
      <c r="K1427" s="3">
        <f>G1427*12</f>
        <v/>
      </c>
      <c r="L1427" s="3" t="n">
        <v>5190</v>
      </c>
    </row>
    <row r="1428">
      <c r="A1428" t="inlineStr">
        <is>
          <t>TA-2026-00370</t>
        </is>
      </c>
      <c r="B1428" t="inlineStr">
        <is>
          <t>U-BV296-01-05</t>
        </is>
      </c>
      <c r="C1428" t="inlineStr">
        <is>
          <t>Smart Kids Stationery Pte Ltd</t>
        </is>
      </c>
      <c r="D1428" t="inlineStr">
        <is>
          <t>Stationery &amp; Books</t>
        </is>
      </c>
      <c r="E1428" s="2" t="n">
        <v>46174</v>
      </c>
      <c r="F1428" s="2" t="n">
        <v>47269</v>
      </c>
      <c r="G1428" s="3" t="n">
        <v>2320</v>
      </c>
      <c r="H1428">
        <f>VLOOKUP(B1428,Units!$A$2:$G$1646,2,FALSE)</f>
        <v/>
      </c>
      <c r="I1428">
        <f>VLOOKUP(B1428,Units!$A$2:$G$1646,5,FALSE)</f>
        <v/>
      </c>
      <c r="J1428" s="3">
        <f>G1428/I1428</f>
        <v/>
      </c>
      <c r="K1428" s="3">
        <f>G1428*12</f>
        <v/>
      </c>
      <c r="L1428" s="3" t="n">
        <v>6960</v>
      </c>
    </row>
    <row r="1429">
      <c r="A1429" t="inlineStr">
        <is>
          <t>TA-2026-00372</t>
        </is>
      </c>
      <c r="B1429" t="inlineStr">
        <is>
          <t>U-CD108-01-06</t>
        </is>
      </c>
      <c r="C1429" t="inlineStr">
        <is>
          <t>Hup Seng Pharmacy</t>
        </is>
      </c>
      <c r="D1429" t="inlineStr">
        <is>
          <t>Pharmacy</t>
        </is>
      </c>
      <c r="E1429" s="2" t="n">
        <v>46174</v>
      </c>
      <c r="F1429" s="2" t="n">
        <v>47269</v>
      </c>
      <c r="G1429" s="3" t="n">
        <v>4190</v>
      </c>
      <c r="H1429">
        <f>VLOOKUP(B1429,Units!$A$2:$G$1646,2,FALSE)</f>
        <v/>
      </c>
      <c r="I1429">
        <f>VLOOKUP(B1429,Units!$A$2:$G$1646,5,FALSE)</f>
        <v/>
      </c>
      <c r="J1429" s="3">
        <f>G1429/I1429</f>
        <v/>
      </c>
      <c r="K1429" s="3">
        <f>G1429*12</f>
        <v/>
      </c>
      <c r="L1429" s="3" t="n">
        <v>12570</v>
      </c>
    </row>
    <row r="1430">
      <c r="A1430" t="inlineStr">
        <is>
          <t>TA-2026-00373</t>
        </is>
      </c>
      <c r="B1430" t="inlineStr">
        <is>
          <t>U-CD118-01-03</t>
        </is>
      </c>
      <c r="C1430" t="inlineStr">
        <is>
          <t>Sri Ganesh Minimart Pte Ltd</t>
        </is>
      </c>
      <c r="D1430" t="inlineStr">
        <is>
          <t>Minimart</t>
        </is>
      </c>
      <c r="E1430" s="2" t="n">
        <v>46174</v>
      </c>
      <c r="F1430" s="2" t="n">
        <v>47269</v>
      </c>
      <c r="G1430" s="3" t="n">
        <v>2360</v>
      </c>
      <c r="H1430">
        <f>VLOOKUP(B1430,Units!$A$2:$G$1646,2,FALSE)</f>
        <v/>
      </c>
      <c r="I1430">
        <f>VLOOKUP(B1430,Units!$A$2:$G$1646,5,FALSE)</f>
        <v/>
      </c>
      <c r="J1430" s="3">
        <f>G1430/I1430</f>
        <v/>
      </c>
      <c r="K1430" s="3">
        <f>G1430*12</f>
        <v/>
      </c>
      <c r="L1430" s="3" t="n">
        <v>7080</v>
      </c>
    </row>
    <row r="1431">
      <c r="A1431" t="inlineStr">
        <is>
          <t>TA-2026-00374</t>
        </is>
      </c>
      <c r="B1431" t="inlineStr">
        <is>
          <t>U-CD119-01-04</t>
        </is>
      </c>
      <c r="C1431" t="inlineStr">
        <is>
          <t>Fortune Kitchen</t>
        </is>
      </c>
      <c r="D1431" t="inlineStr">
        <is>
          <t>Restaurant</t>
        </is>
      </c>
      <c r="E1431" s="2" t="n">
        <v>46174</v>
      </c>
      <c r="F1431" s="2" t="n">
        <v>47269</v>
      </c>
      <c r="G1431" s="3" t="n">
        <v>2540</v>
      </c>
      <c r="H1431">
        <f>VLOOKUP(B1431,Units!$A$2:$G$1646,2,FALSE)</f>
        <v/>
      </c>
      <c r="I1431">
        <f>VLOOKUP(B1431,Units!$A$2:$G$1646,5,FALSE)</f>
        <v/>
      </c>
      <c r="J1431" s="3">
        <f>G1431/I1431</f>
        <v/>
      </c>
      <c r="K1431" s="3">
        <f>G1431*12</f>
        <v/>
      </c>
      <c r="L1431" s="3" t="n">
        <v>7620</v>
      </c>
    </row>
    <row r="1432">
      <c r="A1432" t="inlineStr">
        <is>
          <t>TA-2026-00375</t>
        </is>
      </c>
      <c r="B1432" t="inlineStr">
        <is>
          <t>U-CD129-01-08</t>
        </is>
      </c>
      <c r="C1432" t="inlineStr">
        <is>
          <t>Value Hair Salon Pte Ltd</t>
        </is>
      </c>
      <c r="D1432" t="inlineStr">
        <is>
          <t>Hair Salon</t>
        </is>
      </c>
      <c r="E1432" s="2" t="n">
        <v>46174</v>
      </c>
      <c r="F1432" s="2" t="n">
        <v>47269</v>
      </c>
      <c r="G1432" s="3" t="n">
        <v>3600</v>
      </c>
      <c r="H1432">
        <f>VLOOKUP(B1432,Units!$A$2:$G$1646,2,FALSE)</f>
        <v/>
      </c>
      <c r="I1432">
        <f>VLOOKUP(B1432,Units!$A$2:$G$1646,5,FALSE)</f>
        <v/>
      </c>
      <c r="J1432" s="3">
        <f>G1432/I1432</f>
        <v/>
      </c>
      <c r="K1432" s="3">
        <f>G1432*12</f>
        <v/>
      </c>
      <c r="L1432" s="3" t="n">
        <v>10800</v>
      </c>
    </row>
    <row r="1433">
      <c r="A1433" t="inlineStr">
        <is>
          <t>TA-2026-00377</t>
        </is>
      </c>
      <c r="B1433" t="inlineStr">
        <is>
          <t>U-CD131-01-10</t>
        </is>
      </c>
      <c r="C1433" t="inlineStr">
        <is>
          <t>Swee Heng Telecom Pte Ltd</t>
        </is>
      </c>
      <c r="D1433" t="inlineStr">
        <is>
          <t>Mobile Phone &amp; Accessories</t>
        </is>
      </c>
      <c r="E1433" s="2" t="n">
        <v>46174</v>
      </c>
      <c r="F1433" s="2" t="n">
        <v>47269</v>
      </c>
      <c r="G1433" s="3" t="n">
        <v>900</v>
      </c>
      <c r="H1433">
        <f>VLOOKUP(B1433,Units!$A$2:$G$1646,2,FALSE)</f>
        <v/>
      </c>
      <c r="I1433">
        <f>VLOOKUP(B1433,Units!$A$2:$G$1646,5,FALSE)</f>
        <v/>
      </c>
      <c r="J1433" s="3">
        <f>G1433/I1433</f>
        <v/>
      </c>
      <c r="K1433" s="3">
        <f>G1433*12</f>
        <v/>
      </c>
      <c r="L1433" s="3" t="n">
        <v>2700</v>
      </c>
    </row>
    <row r="1434">
      <c r="A1434" t="inlineStr">
        <is>
          <t>TA-2026-00379</t>
        </is>
      </c>
      <c r="B1434" t="inlineStr">
        <is>
          <t>U-CD136-01-08</t>
        </is>
      </c>
      <c r="C1434" t="inlineStr">
        <is>
          <t>Teck Guan Store Pte Ltd</t>
        </is>
      </c>
      <c r="D1434" t="inlineStr">
        <is>
          <t>Provision Shop</t>
        </is>
      </c>
      <c r="E1434" s="2" t="n">
        <v>46174</v>
      </c>
      <c r="F1434" s="2" t="n">
        <v>47269</v>
      </c>
      <c r="G1434" s="3" t="n">
        <v>5060</v>
      </c>
      <c r="H1434">
        <f>VLOOKUP(B1434,Units!$A$2:$G$1646,2,FALSE)</f>
        <v/>
      </c>
      <c r="I1434">
        <f>VLOOKUP(B1434,Units!$A$2:$G$1646,5,FALSE)</f>
        <v/>
      </c>
      <c r="J1434" s="3">
        <f>G1434/I1434</f>
        <v/>
      </c>
      <c r="K1434" s="3">
        <f>G1434*12</f>
        <v/>
      </c>
      <c r="L1434" s="3" t="n">
        <v>15180</v>
      </c>
    </row>
    <row r="1435">
      <c r="A1435" t="inlineStr">
        <is>
          <t>TA-2026-00381</t>
        </is>
      </c>
      <c r="B1435" t="inlineStr">
        <is>
          <t>U-CD152-01-04</t>
        </is>
      </c>
      <c r="C1435" t="inlineStr">
        <is>
          <t>Old Town Laundry</t>
        </is>
      </c>
      <c r="D1435" t="inlineStr">
        <is>
          <t>Laundry</t>
        </is>
      </c>
      <c r="E1435" s="2" t="n">
        <v>46174</v>
      </c>
      <c r="F1435" s="2" t="n">
        <v>47269</v>
      </c>
      <c r="G1435" s="3" t="n">
        <v>5010</v>
      </c>
      <c r="H1435">
        <f>VLOOKUP(B1435,Units!$A$2:$G$1646,2,FALSE)</f>
        <v/>
      </c>
      <c r="I1435">
        <f>VLOOKUP(B1435,Units!$A$2:$G$1646,5,FALSE)</f>
        <v/>
      </c>
      <c r="J1435" s="3">
        <f>G1435/I1435</f>
        <v/>
      </c>
      <c r="K1435" s="3">
        <f>G1435*12</f>
        <v/>
      </c>
      <c r="L1435" s="3" t="n">
        <v>15030</v>
      </c>
    </row>
    <row r="1436">
      <c r="A1436" t="inlineStr">
        <is>
          <t>TA-2026-00382</t>
        </is>
      </c>
      <c r="B1436" t="inlineStr">
        <is>
          <t>U-CD181-01-07</t>
        </is>
      </c>
      <c r="C1436" t="inlineStr">
        <is>
          <t>New Life Hair Studio</t>
        </is>
      </c>
      <c r="D1436" t="inlineStr">
        <is>
          <t>Hair Salon</t>
        </is>
      </c>
      <c r="E1436" s="2" t="n">
        <v>46174</v>
      </c>
      <c r="F1436" s="2" t="n">
        <v>47269</v>
      </c>
      <c r="G1436" s="3" t="n">
        <v>5860</v>
      </c>
      <c r="H1436">
        <f>VLOOKUP(B1436,Units!$A$2:$G$1646,2,FALSE)</f>
        <v/>
      </c>
      <c r="I1436">
        <f>VLOOKUP(B1436,Units!$A$2:$G$1646,5,FALSE)</f>
        <v/>
      </c>
      <c r="J1436" s="3">
        <f>G1436/I1436</f>
        <v/>
      </c>
      <c r="K1436" s="3">
        <f>G1436*12</f>
        <v/>
      </c>
      <c r="L1436" s="3" t="n">
        <v>17580</v>
      </c>
    </row>
    <row r="1437">
      <c r="A1437" t="inlineStr">
        <is>
          <t>TA-2026-00383</t>
        </is>
      </c>
      <c r="B1437" t="inlineStr">
        <is>
          <t>U-CD181-02-05</t>
        </is>
      </c>
      <c r="C1437" t="inlineStr">
        <is>
          <t>Chin Lee Learning Centre</t>
        </is>
      </c>
      <c r="D1437" t="inlineStr">
        <is>
          <t>Tuition Centre</t>
        </is>
      </c>
      <c r="E1437" s="2" t="n">
        <v>46174</v>
      </c>
      <c r="F1437" s="2" t="n">
        <v>47269</v>
      </c>
      <c r="G1437" s="3" t="n">
        <v>3910</v>
      </c>
      <c r="H1437">
        <f>VLOOKUP(B1437,Units!$A$2:$G$1646,2,FALSE)</f>
        <v/>
      </c>
      <c r="I1437">
        <f>VLOOKUP(B1437,Units!$A$2:$G$1646,5,FALSE)</f>
        <v/>
      </c>
      <c r="J1437" s="3">
        <f>G1437/I1437</f>
        <v/>
      </c>
      <c r="K1437" s="3">
        <f>G1437*12</f>
        <v/>
      </c>
      <c r="L1437" s="3" t="n">
        <v>11730</v>
      </c>
    </row>
    <row r="1438">
      <c r="A1438" t="inlineStr">
        <is>
          <t>TA-2026-00384</t>
        </is>
      </c>
      <c r="B1438" t="inlineStr">
        <is>
          <t>U-CD190-01-11</t>
        </is>
      </c>
      <c r="C1438" t="inlineStr">
        <is>
          <t>Wong's Eye Centre Pte Ltd</t>
        </is>
      </c>
      <c r="D1438" t="inlineStr">
        <is>
          <t>Optical</t>
        </is>
      </c>
      <c r="E1438" s="2" t="n">
        <v>46174</v>
      </c>
      <c r="F1438" s="2" t="n">
        <v>47269</v>
      </c>
      <c r="G1438" s="3" t="n">
        <v>5340</v>
      </c>
      <c r="H1438">
        <f>VLOOKUP(B1438,Units!$A$2:$G$1646,2,FALSE)</f>
        <v/>
      </c>
      <c r="I1438">
        <f>VLOOKUP(B1438,Units!$A$2:$G$1646,5,FALSE)</f>
        <v/>
      </c>
      <c r="J1438" s="3">
        <f>G1438/I1438</f>
        <v/>
      </c>
      <c r="K1438" s="3">
        <f>G1438*12</f>
        <v/>
      </c>
      <c r="L1438" s="3" t="n">
        <v>16020</v>
      </c>
    </row>
    <row r="1439">
      <c r="A1439" t="inlineStr">
        <is>
          <t>TA-2026-00386</t>
        </is>
      </c>
      <c r="B1439" t="inlineStr">
        <is>
          <t>U-KR305-01-21</t>
        </is>
      </c>
      <c r="C1439" t="inlineStr">
        <is>
          <t>Raja Remittance Pte Ltd</t>
        </is>
      </c>
      <c r="D1439" t="inlineStr">
        <is>
          <t>Remittance &amp; Money Changer</t>
        </is>
      </c>
      <c r="E1439" s="2" t="n">
        <v>46174</v>
      </c>
      <c r="F1439" s="2" t="n">
        <v>47269</v>
      </c>
      <c r="G1439" s="3" t="n">
        <v>900</v>
      </c>
      <c r="H1439">
        <f>VLOOKUP(B1439,Units!$A$2:$G$1646,2,FALSE)</f>
        <v/>
      </c>
      <c r="I1439">
        <f>VLOOKUP(B1439,Units!$A$2:$G$1646,5,FALSE)</f>
        <v/>
      </c>
      <c r="J1439" s="3">
        <f>G1439/I1439</f>
        <v/>
      </c>
      <c r="K1439" s="3">
        <f>G1439*12</f>
        <v/>
      </c>
      <c r="L1439" s="3" t="n">
        <v>2700</v>
      </c>
    </row>
    <row r="1440">
      <c r="A1440" t="inlineStr">
        <is>
          <t>TA-2026-00387</t>
        </is>
      </c>
      <c r="B1440" t="inlineStr">
        <is>
          <t>U-KR305-01-26</t>
        </is>
      </c>
      <c r="C1440" t="inlineStr">
        <is>
          <t>Tan Brothers Beauty &amp; Hair</t>
        </is>
      </c>
      <c r="D1440" t="inlineStr">
        <is>
          <t>Hair Salon</t>
        </is>
      </c>
      <c r="E1440" s="2" t="n">
        <v>46174</v>
      </c>
      <c r="F1440" s="2" t="n">
        <v>47269</v>
      </c>
      <c r="G1440" s="3" t="n">
        <v>3270</v>
      </c>
      <c r="H1440">
        <f>VLOOKUP(B1440,Units!$A$2:$G$1646,2,FALSE)</f>
        <v/>
      </c>
      <c r="I1440">
        <f>VLOOKUP(B1440,Units!$A$2:$G$1646,5,FALSE)</f>
        <v/>
      </c>
      <c r="J1440" s="3">
        <f>G1440/I1440</f>
        <v/>
      </c>
      <c r="K1440" s="3">
        <f>G1440*12</f>
        <v/>
      </c>
      <c r="L1440" s="3" t="n">
        <v>9810</v>
      </c>
    </row>
    <row r="1441">
      <c r="A1441" t="inlineStr">
        <is>
          <t>TA-2026-00388</t>
        </is>
      </c>
      <c r="B1441" t="inlineStr">
        <is>
          <t>U-KR317-01-02</t>
        </is>
      </c>
      <c r="C1441" t="inlineStr">
        <is>
          <t>Kumar Supermarket</t>
        </is>
      </c>
      <c r="D1441" t="inlineStr">
        <is>
          <t>Minimart</t>
        </is>
      </c>
      <c r="E1441" s="2" t="n">
        <v>46174</v>
      </c>
      <c r="F1441" s="2" t="n">
        <v>47269</v>
      </c>
      <c r="G1441" s="3" t="n">
        <v>2460</v>
      </c>
      <c r="H1441">
        <f>VLOOKUP(B1441,Units!$A$2:$G$1646,2,FALSE)</f>
        <v/>
      </c>
      <c r="I1441">
        <f>VLOOKUP(B1441,Units!$A$2:$G$1646,5,FALSE)</f>
        <v/>
      </c>
      <c r="J1441" s="3">
        <f>G1441/I1441</f>
        <v/>
      </c>
      <c r="K1441" s="3">
        <f>G1441*12</f>
        <v/>
      </c>
      <c r="L1441" s="3" t="n">
        <v>7380</v>
      </c>
    </row>
    <row r="1442">
      <c r="A1442" t="inlineStr">
        <is>
          <t>TA-2026-00389</t>
        </is>
      </c>
      <c r="B1442" t="inlineStr">
        <is>
          <t>U-KR318-01-06</t>
        </is>
      </c>
      <c r="C1442" t="inlineStr">
        <is>
          <t>Brilliant Education Hub</t>
        </is>
      </c>
      <c r="D1442" t="inlineStr">
        <is>
          <t>Tuition Centre</t>
        </is>
      </c>
      <c r="E1442" s="2" t="n">
        <v>46174</v>
      </c>
      <c r="F1442" s="2" t="n">
        <v>47269</v>
      </c>
      <c r="G1442" s="3" t="n">
        <v>1690</v>
      </c>
      <c r="H1442">
        <f>VLOOKUP(B1442,Units!$A$2:$G$1646,2,FALSE)</f>
        <v/>
      </c>
      <c r="I1442">
        <f>VLOOKUP(B1442,Units!$A$2:$G$1646,5,FALSE)</f>
        <v/>
      </c>
      <c r="J1442" s="3">
        <f>G1442/I1442</f>
        <v/>
      </c>
      <c r="K1442" s="3">
        <f>G1442*12</f>
        <v/>
      </c>
      <c r="L1442" s="3" t="n">
        <v>5070</v>
      </c>
    </row>
    <row r="1443">
      <c r="A1443" t="inlineStr">
        <is>
          <t>TA-2026-00391</t>
        </is>
      </c>
      <c r="B1443" t="inlineStr">
        <is>
          <t>U-KR323-01-08</t>
        </is>
      </c>
      <c r="C1443" t="inlineStr">
        <is>
          <t>Cosy Family Clinic</t>
        </is>
      </c>
      <c r="D1443" t="inlineStr">
        <is>
          <t>GP Clinic</t>
        </is>
      </c>
      <c r="E1443" s="2" t="n">
        <v>46174</v>
      </c>
      <c r="F1443" s="2" t="n">
        <v>47269</v>
      </c>
      <c r="G1443" s="3" t="n">
        <v>2710</v>
      </c>
      <c r="H1443">
        <f>VLOOKUP(B1443,Units!$A$2:$G$1646,2,FALSE)</f>
        <v/>
      </c>
      <c r="I1443">
        <f>VLOOKUP(B1443,Units!$A$2:$G$1646,5,FALSE)</f>
        <v/>
      </c>
      <c r="J1443" s="3">
        <f>G1443/I1443</f>
        <v/>
      </c>
      <c r="K1443" s="3">
        <f>G1443*12</f>
        <v/>
      </c>
      <c r="L1443" s="3" t="n">
        <v>8130</v>
      </c>
    </row>
    <row r="1444">
      <c r="A1444" t="inlineStr">
        <is>
          <t>TA-2026-00393</t>
        </is>
      </c>
      <c r="B1444" t="inlineStr">
        <is>
          <t>U-KR327-01-04</t>
        </is>
      </c>
      <c r="C1444" t="inlineStr">
        <is>
          <t>Silver Moon Beauty &amp; Hair</t>
        </is>
      </c>
      <c r="D1444" t="inlineStr">
        <is>
          <t>Hair Salon</t>
        </is>
      </c>
      <c r="E1444" s="2" t="n">
        <v>46174</v>
      </c>
      <c r="F1444" s="2" t="n">
        <v>47269</v>
      </c>
      <c r="G1444" s="3" t="n">
        <v>2850</v>
      </c>
      <c r="H1444">
        <f>VLOOKUP(B1444,Units!$A$2:$G$1646,2,FALSE)</f>
        <v/>
      </c>
      <c r="I1444">
        <f>VLOOKUP(B1444,Units!$A$2:$G$1646,5,FALSE)</f>
        <v/>
      </c>
      <c r="J1444" s="3">
        <f>G1444/I1444</f>
        <v/>
      </c>
      <c r="K1444" s="3">
        <f>G1444*12</f>
        <v/>
      </c>
      <c r="L1444" s="3" t="n">
        <v>8550</v>
      </c>
    </row>
    <row r="1445">
      <c r="A1445" t="inlineStr">
        <is>
          <t>TA-2026-00394</t>
        </is>
      </c>
      <c r="B1445" t="inlineStr">
        <is>
          <t>U-KR333-01-03</t>
        </is>
      </c>
      <c r="C1445" t="inlineStr">
        <is>
          <t>Cosy Education Hub Pte Ltd</t>
        </is>
      </c>
      <c r="D1445" t="inlineStr">
        <is>
          <t>Tuition Centre</t>
        </is>
      </c>
      <c r="E1445" s="2" t="n">
        <v>46174</v>
      </c>
      <c r="F1445" s="2" t="n">
        <v>47269</v>
      </c>
      <c r="G1445" s="3" t="n">
        <v>3890</v>
      </c>
      <c r="H1445">
        <f>VLOOKUP(B1445,Units!$A$2:$G$1646,2,FALSE)</f>
        <v/>
      </c>
      <c r="I1445">
        <f>VLOOKUP(B1445,Units!$A$2:$G$1646,5,FALSE)</f>
        <v/>
      </c>
      <c r="J1445" s="3">
        <f>G1445/I1445</f>
        <v/>
      </c>
      <c r="K1445" s="3">
        <f>G1445*12</f>
        <v/>
      </c>
      <c r="L1445" s="3" t="n">
        <v>11670</v>
      </c>
    </row>
    <row r="1446">
      <c r="A1446" t="inlineStr">
        <is>
          <t>TA-2026-00395</t>
        </is>
      </c>
      <c r="B1446" t="inlineStr">
        <is>
          <t>U-KR353-01-01</t>
        </is>
      </c>
      <c r="C1446" t="inlineStr">
        <is>
          <t>Golden Leaf Dental Surgery Pte Ltd</t>
        </is>
      </c>
      <c r="D1446" t="inlineStr">
        <is>
          <t>Dental Clinic</t>
        </is>
      </c>
      <c r="E1446" s="2" t="n">
        <v>46174</v>
      </c>
      <c r="F1446" s="2" t="n">
        <v>47269</v>
      </c>
      <c r="G1446" s="3" t="n">
        <v>5240</v>
      </c>
      <c r="H1446">
        <f>VLOOKUP(B1446,Units!$A$2:$G$1646,2,FALSE)</f>
        <v/>
      </c>
      <c r="I1446">
        <f>VLOOKUP(B1446,Units!$A$2:$G$1646,5,FALSE)</f>
        <v/>
      </c>
      <c r="J1446" s="3">
        <f>G1446/I1446</f>
        <v/>
      </c>
      <c r="K1446" s="3">
        <f>G1446*12</f>
        <v/>
      </c>
      <c r="L1446" s="3" t="n">
        <v>15720</v>
      </c>
    </row>
    <row r="1447">
      <c r="A1447" t="inlineStr">
        <is>
          <t>TA-2026-00396</t>
        </is>
      </c>
      <c r="B1447" t="inlineStr">
        <is>
          <t>U-KR356-01-05</t>
        </is>
      </c>
      <c r="C1447" t="inlineStr">
        <is>
          <t>Kian Huat Beauty &amp; Hair</t>
        </is>
      </c>
      <c r="D1447" t="inlineStr">
        <is>
          <t>Hair Salon</t>
        </is>
      </c>
      <c r="E1447" s="2" t="n">
        <v>46174</v>
      </c>
      <c r="F1447" s="2" t="n">
        <v>47269</v>
      </c>
      <c r="G1447" s="3" t="n">
        <v>2890</v>
      </c>
      <c r="H1447">
        <f>VLOOKUP(B1447,Units!$A$2:$G$1646,2,FALSE)</f>
        <v/>
      </c>
      <c r="I1447">
        <f>VLOOKUP(B1447,Units!$A$2:$G$1646,5,FALSE)</f>
        <v/>
      </c>
      <c r="J1447" s="3">
        <f>G1447/I1447</f>
        <v/>
      </c>
      <c r="K1447" s="3">
        <f>G1447*12</f>
        <v/>
      </c>
      <c r="L1447" s="3" t="n">
        <v>8670</v>
      </c>
    </row>
    <row r="1448">
      <c r="A1448" t="inlineStr">
        <is>
          <t>TA-2026-00398</t>
        </is>
      </c>
      <c r="B1448" t="inlineStr">
        <is>
          <t>U-KR359-01-13</t>
        </is>
      </c>
      <c r="C1448" t="inlineStr">
        <is>
          <t>PrimeValue Mart Pte Ltd</t>
        </is>
      </c>
      <c r="D1448" t="inlineStr">
        <is>
          <t>Minimart</t>
        </is>
      </c>
      <c r="E1448" s="2" t="n">
        <v>46174</v>
      </c>
      <c r="F1448" s="2" t="n">
        <v>47269</v>
      </c>
      <c r="G1448" s="3" t="n">
        <v>3520</v>
      </c>
      <c r="H1448">
        <f>VLOOKUP(B1448,Units!$A$2:$G$1646,2,FALSE)</f>
        <v/>
      </c>
      <c r="I1448">
        <f>VLOOKUP(B1448,Units!$A$2:$G$1646,5,FALSE)</f>
        <v/>
      </c>
      <c r="J1448" s="3">
        <f>G1448/I1448</f>
        <v/>
      </c>
      <c r="K1448" s="3">
        <f>G1448*12</f>
        <v/>
      </c>
      <c r="L1448" s="3" t="n">
        <v>10560</v>
      </c>
    </row>
    <row r="1449">
      <c r="A1449" t="inlineStr">
        <is>
          <t>TA-2026-00400</t>
        </is>
      </c>
      <c r="B1449" t="inlineStr">
        <is>
          <t>U-KR368-01-13</t>
        </is>
      </c>
      <c r="C1449" t="inlineStr">
        <is>
          <t>Jade Garden Hair Salon Pte Ltd</t>
        </is>
      </c>
      <c r="D1449" t="inlineStr">
        <is>
          <t>Hair Salon</t>
        </is>
      </c>
      <c r="E1449" s="2" t="n">
        <v>46174</v>
      </c>
      <c r="F1449" s="2" t="n">
        <v>47269</v>
      </c>
      <c r="G1449" s="3" t="n">
        <v>4810</v>
      </c>
      <c r="H1449">
        <f>VLOOKUP(B1449,Units!$A$2:$G$1646,2,FALSE)</f>
        <v/>
      </c>
      <c r="I1449">
        <f>VLOOKUP(B1449,Units!$A$2:$G$1646,5,FALSE)</f>
        <v/>
      </c>
      <c r="J1449" s="3">
        <f>G1449/I1449</f>
        <v/>
      </c>
      <c r="K1449" s="3">
        <f>G1449*12</f>
        <v/>
      </c>
      <c r="L1449" s="3" t="n">
        <v>14430</v>
      </c>
    </row>
    <row r="1450">
      <c r="A1450" t="inlineStr">
        <is>
          <t>TA-2026-00401</t>
        </is>
      </c>
      <c r="B1450" t="inlineStr">
        <is>
          <t>U-PI614-01-07</t>
        </is>
      </c>
      <c r="C1450" t="inlineStr">
        <is>
          <t>PrimeValue Mart Pte Ltd</t>
        </is>
      </c>
      <c r="D1450" t="inlineStr">
        <is>
          <t>Minimart</t>
        </is>
      </c>
      <c r="E1450" s="2" t="n">
        <v>46174</v>
      </c>
      <c r="F1450" s="2" t="n">
        <v>47269</v>
      </c>
      <c r="G1450" s="3" t="n">
        <v>4350</v>
      </c>
      <c r="H1450">
        <f>VLOOKUP(B1450,Units!$A$2:$G$1646,2,FALSE)</f>
        <v/>
      </c>
      <c r="I1450">
        <f>VLOOKUP(B1450,Units!$A$2:$G$1646,5,FALSE)</f>
        <v/>
      </c>
      <c r="J1450" s="3">
        <f>G1450/I1450</f>
        <v/>
      </c>
      <c r="K1450" s="3">
        <f>G1450*12</f>
        <v/>
      </c>
      <c r="L1450" s="3" t="n">
        <v>13050</v>
      </c>
    </row>
    <row r="1451">
      <c r="A1451" t="inlineStr">
        <is>
          <t>TA-2026-00402</t>
        </is>
      </c>
      <c r="B1451" t="inlineStr">
        <is>
          <t>U-PI625-01-04</t>
        </is>
      </c>
      <c r="C1451" t="inlineStr">
        <is>
          <t>Tan Brothers Laundry Pte Ltd</t>
        </is>
      </c>
      <c r="D1451" t="inlineStr">
        <is>
          <t>Laundry</t>
        </is>
      </c>
      <c r="E1451" s="2" t="n">
        <v>46174</v>
      </c>
      <c r="F1451" s="2" t="n">
        <v>47269</v>
      </c>
      <c r="G1451" s="3" t="n">
        <v>5110</v>
      </c>
      <c r="H1451">
        <f>VLOOKUP(B1451,Units!$A$2:$G$1646,2,FALSE)</f>
        <v/>
      </c>
      <c r="I1451">
        <f>VLOOKUP(B1451,Units!$A$2:$G$1646,5,FALSE)</f>
        <v/>
      </c>
      <c r="J1451" s="3">
        <f>G1451/I1451</f>
        <v/>
      </c>
      <c r="K1451" s="3">
        <f>G1451*12</f>
        <v/>
      </c>
      <c r="L1451" s="3" t="n">
        <v>15330</v>
      </c>
    </row>
    <row r="1452">
      <c r="A1452" t="inlineStr">
        <is>
          <t>TA-2026-00403</t>
        </is>
      </c>
      <c r="B1452" t="inlineStr">
        <is>
          <t>U-PI626-01-10</t>
        </is>
      </c>
      <c r="C1452" t="inlineStr">
        <is>
          <t>Sin Hock Snacks</t>
        </is>
      </c>
      <c r="D1452" t="inlineStr">
        <is>
          <t>Snack Kiosk</t>
        </is>
      </c>
      <c r="E1452" s="2" t="n">
        <v>46174</v>
      </c>
      <c r="F1452" s="2" t="n">
        <v>47269</v>
      </c>
      <c r="G1452" s="3" t="n">
        <v>930</v>
      </c>
      <c r="H1452">
        <f>VLOOKUP(B1452,Units!$A$2:$G$1646,2,FALSE)</f>
        <v/>
      </c>
      <c r="I1452">
        <f>VLOOKUP(B1452,Units!$A$2:$G$1646,5,FALSE)</f>
        <v/>
      </c>
      <c r="J1452" s="3">
        <f>G1452/I1452</f>
        <v/>
      </c>
      <c r="K1452" s="3">
        <f>G1452*12</f>
        <v/>
      </c>
      <c r="L1452" s="3" t="n">
        <v>2790</v>
      </c>
    </row>
    <row r="1453">
      <c r="A1453" t="inlineStr">
        <is>
          <t>TA-2026-00405</t>
        </is>
      </c>
      <c r="B1453" t="inlineStr">
        <is>
          <t>U-PI642-01-02</t>
        </is>
      </c>
      <c r="C1453" t="inlineStr">
        <is>
          <t>Chin Lee Mart</t>
        </is>
      </c>
      <c r="D1453" t="inlineStr">
        <is>
          <t>Minimart</t>
        </is>
      </c>
      <c r="E1453" s="2" t="n">
        <v>46174</v>
      </c>
      <c r="F1453" s="2" t="n">
        <v>47269</v>
      </c>
      <c r="G1453" s="3" t="n">
        <v>2230</v>
      </c>
      <c r="H1453">
        <f>VLOOKUP(B1453,Units!$A$2:$G$1646,2,FALSE)</f>
        <v/>
      </c>
      <c r="I1453">
        <f>VLOOKUP(B1453,Units!$A$2:$G$1646,5,FALSE)</f>
        <v/>
      </c>
      <c r="J1453" s="3">
        <f>G1453/I1453</f>
        <v/>
      </c>
      <c r="K1453" s="3">
        <f>G1453*12</f>
        <v/>
      </c>
      <c r="L1453" s="3" t="n">
        <v>6690</v>
      </c>
    </row>
    <row r="1454">
      <c r="A1454" t="inlineStr">
        <is>
          <t>TA-2026-00406</t>
        </is>
      </c>
      <c r="B1454" t="inlineStr">
        <is>
          <t>U-PI644-01-10</t>
        </is>
      </c>
      <c r="C1454" t="inlineStr">
        <is>
          <t>Lim's Mart</t>
        </is>
      </c>
      <c r="D1454" t="inlineStr">
        <is>
          <t>Minimart</t>
        </is>
      </c>
      <c r="E1454" s="2" t="n">
        <v>46174</v>
      </c>
      <c r="F1454" s="2" t="n">
        <v>47269</v>
      </c>
      <c r="G1454" s="3" t="n">
        <v>4140</v>
      </c>
      <c r="H1454">
        <f>VLOOKUP(B1454,Units!$A$2:$G$1646,2,FALSE)</f>
        <v/>
      </c>
      <c r="I1454">
        <f>VLOOKUP(B1454,Units!$A$2:$G$1646,5,FALSE)</f>
        <v/>
      </c>
      <c r="J1454" s="3">
        <f>G1454/I1454</f>
        <v/>
      </c>
      <c r="K1454" s="3">
        <f>G1454*12</f>
        <v/>
      </c>
      <c r="L1454" s="3" t="n">
        <v>12420</v>
      </c>
    </row>
    <row r="1455">
      <c r="A1455" t="inlineStr">
        <is>
          <t>TA-2026-00408</t>
        </is>
      </c>
      <c r="B1455" t="inlineStr">
        <is>
          <t>U-PI684-01-07</t>
        </is>
      </c>
      <c r="C1455" t="inlineStr">
        <is>
          <t>Jade Garden Dental Surgery Pte Ltd</t>
        </is>
      </c>
      <c r="D1455" t="inlineStr">
        <is>
          <t>Dental Clinic</t>
        </is>
      </c>
      <c r="E1455" s="2" t="n">
        <v>46174</v>
      </c>
      <c r="F1455" s="2" t="n">
        <v>47269</v>
      </c>
      <c r="G1455" s="3" t="n">
        <v>3830</v>
      </c>
      <c r="H1455">
        <f>VLOOKUP(B1455,Units!$A$2:$G$1646,2,FALSE)</f>
        <v/>
      </c>
      <c r="I1455">
        <f>VLOOKUP(B1455,Units!$A$2:$G$1646,5,FALSE)</f>
        <v/>
      </c>
      <c r="J1455" s="3">
        <f>G1455/I1455</f>
        <v/>
      </c>
      <c r="K1455" s="3">
        <f>G1455*12</f>
        <v/>
      </c>
      <c r="L1455" s="3" t="n">
        <v>11490</v>
      </c>
    </row>
    <row r="1456">
      <c r="A1456" t="inlineStr">
        <is>
          <t>TA-2026-00410</t>
        </is>
      </c>
      <c r="B1456" t="inlineStr">
        <is>
          <t>U-PI684-01-11</t>
        </is>
      </c>
      <c r="C1456" t="inlineStr">
        <is>
          <t>Rainbow Beauty &amp; Hair</t>
        </is>
      </c>
      <c r="D1456" t="inlineStr">
        <is>
          <t>Hair Salon</t>
        </is>
      </c>
      <c r="E1456" s="2" t="n">
        <v>46174</v>
      </c>
      <c r="F1456" s="2" t="n">
        <v>47269</v>
      </c>
      <c r="G1456" s="3" t="n">
        <v>4640</v>
      </c>
      <c r="H1456">
        <f>VLOOKUP(B1456,Units!$A$2:$G$1646,2,FALSE)</f>
        <v/>
      </c>
      <c r="I1456">
        <f>VLOOKUP(B1456,Units!$A$2:$G$1646,5,FALSE)</f>
        <v/>
      </c>
      <c r="J1456" s="3">
        <f>G1456/I1456</f>
        <v/>
      </c>
      <c r="K1456" s="3">
        <f>G1456*12</f>
        <v/>
      </c>
      <c r="L1456" s="3" t="n">
        <v>13920</v>
      </c>
    </row>
    <row r="1457">
      <c r="A1457" t="inlineStr">
        <is>
          <t>TA-2026-00412</t>
        </is>
      </c>
      <c r="B1457" t="inlineStr">
        <is>
          <t>U-PI696-01-08</t>
        </is>
      </c>
      <c r="C1457" t="inlineStr">
        <is>
          <t>Mei Ling Hair Studio Pte Ltd</t>
        </is>
      </c>
      <c r="D1457" t="inlineStr">
        <is>
          <t>Hair Salon</t>
        </is>
      </c>
      <c r="E1457" s="2" t="n">
        <v>46174</v>
      </c>
      <c r="F1457" s="2" t="n">
        <v>47269</v>
      </c>
      <c r="G1457" s="3" t="n">
        <v>1970</v>
      </c>
      <c r="H1457">
        <f>VLOOKUP(B1457,Units!$A$2:$G$1646,2,FALSE)</f>
        <v/>
      </c>
      <c r="I1457">
        <f>VLOOKUP(B1457,Units!$A$2:$G$1646,5,FALSE)</f>
        <v/>
      </c>
      <c r="J1457" s="3">
        <f>G1457/I1457</f>
        <v/>
      </c>
      <c r="K1457" s="3">
        <f>G1457*12</f>
        <v/>
      </c>
      <c r="L1457" s="3" t="n">
        <v>5910</v>
      </c>
    </row>
    <row r="1458">
      <c r="A1458" t="inlineStr">
        <is>
          <t>TA-2026-00414</t>
        </is>
      </c>
      <c r="B1458" t="inlineStr">
        <is>
          <t>U-RH438-01-02</t>
        </is>
      </c>
      <c r="C1458" t="inlineStr">
        <is>
          <t>PrimeValue Mart Pte Ltd</t>
        </is>
      </c>
      <c r="D1458" t="inlineStr">
        <is>
          <t>Minimart</t>
        </is>
      </c>
      <c r="E1458" s="2" t="n">
        <v>46174</v>
      </c>
      <c r="F1458" s="2" t="n">
        <v>47269</v>
      </c>
      <c r="G1458" s="3" t="n">
        <v>3860</v>
      </c>
      <c r="H1458">
        <f>VLOOKUP(B1458,Units!$A$2:$G$1646,2,FALSE)</f>
        <v/>
      </c>
      <c r="I1458">
        <f>VLOOKUP(B1458,Units!$A$2:$G$1646,5,FALSE)</f>
        <v/>
      </c>
      <c r="J1458" s="3">
        <f>G1458/I1458</f>
        <v/>
      </c>
      <c r="K1458" s="3">
        <f>G1458*12</f>
        <v/>
      </c>
      <c r="L1458" s="3" t="n">
        <v>11580</v>
      </c>
    </row>
    <row r="1459">
      <c r="A1459" t="inlineStr">
        <is>
          <t>TA-2026-00415</t>
        </is>
      </c>
      <c r="B1459" t="inlineStr">
        <is>
          <t>U-RH455-01-18</t>
        </is>
      </c>
      <c r="C1459" t="inlineStr">
        <is>
          <t>Sejahtera Learning Centre Pte Ltd</t>
        </is>
      </c>
      <c r="D1459" t="inlineStr">
        <is>
          <t>Tuition Centre</t>
        </is>
      </c>
      <c r="E1459" s="2" t="n">
        <v>46174</v>
      </c>
      <c r="F1459" s="2" t="n">
        <v>47269</v>
      </c>
      <c r="G1459" s="3" t="n">
        <v>3160</v>
      </c>
      <c r="H1459">
        <f>VLOOKUP(B1459,Units!$A$2:$G$1646,2,FALSE)</f>
        <v/>
      </c>
      <c r="I1459">
        <f>VLOOKUP(B1459,Units!$A$2:$G$1646,5,FALSE)</f>
        <v/>
      </c>
      <c r="J1459" s="3">
        <f>G1459/I1459</f>
        <v/>
      </c>
      <c r="K1459" s="3">
        <f>G1459*12</f>
        <v/>
      </c>
      <c r="L1459" s="3" t="n">
        <v>9480</v>
      </c>
    </row>
    <row r="1460">
      <c r="A1460" t="inlineStr">
        <is>
          <t>TA-2026-00417</t>
        </is>
      </c>
      <c r="B1460" t="inlineStr">
        <is>
          <t>U-RH464-01-05</t>
        </is>
      </c>
      <c r="C1460" t="inlineStr">
        <is>
          <t>Smart Kids Education Hub</t>
        </is>
      </c>
      <c r="D1460" t="inlineStr">
        <is>
          <t>Tuition Centre</t>
        </is>
      </c>
      <c r="E1460" s="2" t="n">
        <v>46174</v>
      </c>
      <c r="F1460" s="2" t="n">
        <v>47269</v>
      </c>
      <c r="G1460" s="3" t="n">
        <v>3490</v>
      </c>
      <c r="H1460">
        <f>VLOOKUP(B1460,Units!$A$2:$G$1646,2,FALSE)</f>
        <v/>
      </c>
      <c r="I1460">
        <f>VLOOKUP(B1460,Units!$A$2:$G$1646,5,FALSE)</f>
        <v/>
      </c>
      <c r="J1460" s="3">
        <f>G1460/I1460</f>
        <v/>
      </c>
      <c r="K1460" s="3">
        <f>G1460*12</f>
        <v/>
      </c>
      <c r="L1460" s="3" t="n">
        <v>10470</v>
      </c>
    </row>
    <row r="1461">
      <c r="A1461" t="inlineStr">
        <is>
          <t>TA-2026-00419</t>
        </is>
      </c>
      <c r="B1461" t="inlineStr">
        <is>
          <t>U-RH471-01-03</t>
        </is>
      </c>
      <c r="C1461" t="inlineStr">
        <is>
          <t>Daily Fresh Minimart</t>
        </is>
      </c>
      <c r="D1461" t="inlineStr">
        <is>
          <t>Minimart</t>
        </is>
      </c>
      <c r="E1461" s="2" t="n">
        <v>46174</v>
      </c>
      <c r="F1461" s="2" t="n">
        <v>47269</v>
      </c>
      <c r="G1461" s="3" t="n">
        <v>3250</v>
      </c>
      <c r="H1461">
        <f>VLOOKUP(B1461,Units!$A$2:$G$1646,2,FALSE)</f>
        <v/>
      </c>
      <c r="I1461">
        <f>VLOOKUP(B1461,Units!$A$2:$G$1646,5,FALSE)</f>
        <v/>
      </c>
      <c r="J1461" s="3">
        <f>G1461/I1461</f>
        <v/>
      </c>
      <c r="K1461" s="3">
        <f>G1461*12</f>
        <v/>
      </c>
      <c r="L1461" s="3" t="n">
        <v>9750</v>
      </c>
    </row>
    <row r="1462">
      <c r="A1462" t="inlineStr">
        <is>
          <t>TA-2026-00421</t>
        </is>
      </c>
      <c r="B1462" t="inlineStr">
        <is>
          <t>U-ST501-01-12</t>
        </is>
      </c>
      <c r="C1462" t="inlineStr">
        <is>
          <t>Teck Guan Dental Care Pte Ltd</t>
        </is>
      </c>
      <c r="D1462" t="inlineStr">
        <is>
          <t>Dental Clinic</t>
        </is>
      </c>
      <c r="E1462" s="2" t="n">
        <v>46174</v>
      </c>
      <c r="F1462" s="2" t="n">
        <v>47269</v>
      </c>
      <c r="G1462" s="3" t="n">
        <v>2410</v>
      </c>
      <c r="H1462">
        <f>VLOOKUP(B1462,Units!$A$2:$G$1646,2,FALSE)</f>
        <v/>
      </c>
      <c r="I1462">
        <f>VLOOKUP(B1462,Units!$A$2:$G$1646,5,FALSE)</f>
        <v/>
      </c>
      <c r="J1462" s="3">
        <f>G1462/I1462</f>
        <v/>
      </c>
      <c r="K1462" s="3">
        <f>G1462*12</f>
        <v/>
      </c>
      <c r="L1462" s="3" t="n">
        <v>7230</v>
      </c>
    </row>
    <row r="1463">
      <c r="A1463" t="inlineStr">
        <is>
          <t>TA-2026-00423</t>
        </is>
      </c>
      <c r="B1463" t="inlineStr">
        <is>
          <t>U-ST596-01-02</t>
        </is>
      </c>
      <c r="C1463" t="inlineStr">
        <is>
          <t>Mei Ling Kitchen</t>
        </is>
      </c>
      <c r="D1463" t="inlineStr">
        <is>
          <t>Restaurant</t>
        </is>
      </c>
      <c r="E1463" s="2" t="n">
        <v>46174</v>
      </c>
      <c r="F1463" s="2" t="n">
        <v>47269</v>
      </c>
      <c r="G1463" s="3" t="n">
        <v>3810</v>
      </c>
      <c r="H1463">
        <f>VLOOKUP(B1463,Units!$A$2:$G$1646,2,FALSE)</f>
        <v/>
      </c>
      <c r="I1463">
        <f>VLOOKUP(B1463,Units!$A$2:$G$1646,5,FALSE)</f>
        <v/>
      </c>
      <c r="J1463" s="3">
        <f>G1463/I1463</f>
        <v/>
      </c>
      <c r="K1463" s="3">
        <f>G1463*12</f>
        <v/>
      </c>
      <c r="L1463" s="3" t="n">
        <v>11430</v>
      </c>
    </row>
    <row r="1464">
      <c r="A1464" t="inlineStr">
        <is>
          <t>TA-2026-00425</t>
        </is>
      </c>
      <c r="B1464" t="inlineStr">
        <is>
          <t>U-BV204-01-04</t>
        </is>
      </c>
      <c r="C1464" t="inlineStr">
        <is>
          <t>Sejahtera Family Clinic Pte Ltd</t>
        </is>
      </c>
      <c r="D1464" t="inlineStr">
        <is>
          <t>GP Clinic</t>
        </is>
      </c>
      <c r="E1464" s="2" t="n">
        <v>46204</v>
      </c>
      <c r="F1464" s="2" t="n">
        <v>47299</v>
      </c>
      <c r="G1464" s="3" t="n">
        <v>5210</v>
      </c>
      <c r="H1464">
        <f>VLOOKUP(B1464,Units!$A$2:$G$1646,2,FALSE)</f>
        <v/>
      </c>
      <c r="I1464">
        <f>VLOOKUP(B1464,Units!$A$2:$G$1646,5,FALSE)</f>
        <v/>
      </c>
      <c r="J1464" s="3">
        <f>G1464/I1464</f>
        <v/>
      </c>
      <c r="K1464" s="3">
        <f>G1464*12</f>
        <v/>
      </c>
      <c r="L1464" s="3" t="n">
        <v>15630</v>
      </c>
    </row>
    <row r="1465">
      <c r="A1465" t="inlineStr">
        <is>
          <t>TA-2026-00427</t>
        </is>
      </c>
      <c r="B1465" t="inlineStr">
        <is>
          <t>U-BV205-01-05</t>
        </is>
      </c>
      <c r="C1465" t="inlineStr">
        <is>
          <t>Kim Hiap TCM Clinic Pte Ltd</t>
        </is>
      </c>
      <c r="D1465" t="inlineStr">
        <is>
          <t>TCM Clinic</t>
        </is>
      </c>
      <c r="E1465" s="2" t="n">
        <v>46204</v>
      </c>
      <c r="F1465" s="2" t="n">
        <v>47299</v>
      </c>
      <c r="G1465" s="3" t="n">
        <v>2910</v>
      </c>
      <c r="H1465">
        <f>VLOOKUP(B1465,Units!$A$2:$G$1646,2,FALSE)</f>
        <v/>
      </c>
      <c r="I1465">
        <f>VLOOKUP(B1465,Units!$A$2:$G$1646,5,FALSE)</f>
        <v/>
      </c>
      <c r="J1465" s="3">
        <f>G1465/I1465</f>
        <v/>
      </c>
      <c r="K1465" s="3">
        <f>G1465*12</f>
        <v/>
      </c>
      <c r="L1465" s="3" t="n">
        <v>8730</v>
      </c>
    </row>
    <row r="1466">
      <c r="A1466" t="inlineStr">
        <is>
          <t>TA-2026-00429</t>
        </is>
      </c>
      <c r="B1466" t="inlineStr">
        <is>
          <t>U-BV214-01-02</t>
        </is>
      </c>
      <c r="C1466" t="inlineStr">
        <is>
          <t>Golden Leaf Telecom</t>
        </is>
      </c>
      <c r="D1466" t="inlineStr">
        <is>
          <t>Mobile Phone &amp; Accessories</t>
        </is>
      </c>
      <c r="E1466" s="2" t="n">
        <v>46204</v>
      </c>
      <c r="F1466" s="2" t="n">
        <v>47299</v>
      </c>
      <c r="G1466" s="3" t="n">
        <v>2710</v>
      </c>
      <c r="H1466">
        <f>VLOOKUP(B1466,Units!$A$2:$G$1646,2,FALSE)</f>
        <v/>
      </c>
      <c r="I1466">
        <f>VLOOKUP(B1466,Units!$A$2:$G$1646,5,FALSE)</f>
        <v/>
      </c>
      <c r="J1466" s="3">
        <f>G1466/I1466</f>
        <v/>
      </c>
      <c r="K1466" s="3">
        <f>G1466*12</f>
        <v/>
      </c>
      <c r="L1466" s="3" t="n">
        <v>8130</v>
      </c>
    </row>
    <row r="1467">
      <c r="A1467" t="inlineStr">
        <is>
          <t>TA-2026-00431</t>
        </is>
      </c>
      <c r="B1467" t="inlineStr">
        <is>
          <t>U-BV214-01-12</t>
        </is>
      </c>
      <c r="C1467" t="inlineStr">
        <is>
          <t>Swee Heng Hair Salon</t>
        </is>
      </c>
      <c r="D1467" t="inlineStr">
        <is>
          <t>Hair Salon</t>
        </is>
      </c>
      <c r="E1467" s="2" t="n">
        <v>46204</v>
      </c>
      <c r="F1467" s="2" t="n">
        <v>47299</v>
      </c>
      <c r="G1467" s="3" t="n">
        <v>2270</v>
      </c>
      <c r="H1467">
        <f>VLOOKUP(B1467,Units!$A$2:$G$1646,2,FALSE)</f>
        <v/>
      </c>
      <c r="I1467">
        <f>VLOOKUP(B1467,Units!$A$2:$G$1646,5,FALSE)</f>
        <v/>
      </c>
      <c r="J1467" s="3">
        <f>G1467/I1467</f>
        <v/>
      </c>
      <c r="K1467" s="3">
        <f>G1467*12</f>
        <v/>
      </c>
      <c r="L1467" s="3" t="n">
        <v>6810</v>
      </c>
    </row>
    <row r="1468">
      <c r="A1468" t="inlineStr">
        <is>
          <t>TA-2026-00432</t>
        </is>
      </c>
      <c r="B1468" t="inlineStr">
        <is>
          <t>U-BV231-01-07</t>
        </is>
      </c>
      <c r="C1468" t="inlineStr">
        <is>
          <t>Kopi Corner Stationery Pte Ltd</t>
        </is>
      </c>
      <c r="D1468" t="inlineStr">
        <is>
          <t>Stationery &amp; Books</t>
        </is>
      </c>
      <c r="E1468" s="2" t="n">
        <v>46204</v>
      </c>
      <c r="F1468" s="2" t="n">
        <v>47299</v>
      </c>
      <c r="G1468" s="3" t="n">
        <v>4600</v>
      </c>
      <c r="H1468">
        <f>VLOOKUP(B1468,Units!$A$2:$G$1646,2,FALSE)</f>
        <v/>
      </c>
      <c r="I1468">
        <f>VLOOKUP(B1468,Units!$A$2:$G$1646,5,FALSE)</f>
        <v/>
      </c>
      <c r="J1468" s="3">
        <f>G1468/I1468</f>
        <v/>
      </c>
      <c r="K1468" s="3">
        <f>G1468*12</f>
        <v/>
      </c>
      <c r="L1468" s="3" t="n">
        <v>13800</v>
      </c>
    </row>
    <row r="1469">
      <c r="A1469" t="inlineStr">
        <is>
          <t>TA-2026-00433</t>
        </is>
      </c>
      <c r="B1469" t="inlineStr">
        <is>
          <t>U-CD118-01-15</t>
        </is>
      </c>
      <c r="C1469" t="inlineStr">
        <is>
          <t>Chop Wah Hardware Pte Ltd</t>
        </is>
      </c>
      <c r="D1469" t="inlineStr">
        <is>
          <t>Hardware</t>
        </is>
      </c>
      <c r="E1469" s="2" t="n">
        <v>46204</v>
      </c>
      <c r="F1469" s="2" t="n">
        <v>47299</v>
      </c>
      <c r="G1469" s="3" t="n">
        <v>3060</v>
      </c>
      <c r="H1469">
        <f>VLOOKUP(B1469,Units!$A$2:$G$1646,2,FALSE)</f>
        <v/>
      </c>
      <c r="I1469">
        <f>VLOOKUP(B1469,Units!$A$2:$G$1646,5,FALSE)</f>
        <v/>
      </c>
      <c r="J1469" s="3">
        <f>G1469/I1469</f>
        <v/>
      </c>
      <c r="K1469" s="3">
        <f>G1469*12</f>
        <v/>
      </c>
      <c r="L1469" s="3" t="n">
        <v>9180</v>
      </c>
    </row>
    <row r="1470">
      <c r="A1470" t="inlineStr">
        <is>
          <t>TA-2026-00435</t>
        </is>
      </c>
      <c r="B1470" t="inlineStr">
        <is>
          <t>U-CD118-01-32</t>
        </is>
      </c>
      <c r="C1470" t="inlineStr">
        <is>
          <t>Harmony TCM Clinic Pte Ltd</t>
        </is>
      </c>
      <c r="D1470" t="inlineStr">
        <is>
          <t>TCM Clinic</t>
        </is>
      </c>
      <c r="E1470" s="2" t="n">
        <v>46204</v>
      </c>
      <c r="F1470" s="2" t="n">
        <v>47299</v>
      </c>
      <c r="G1470" s="3" t="n">
        <v>2410</v>
      </c>
      <c r="H1470">
        <f>VLOOKUP(B1470,Units!$A$2:$G$1646,2,FALSE)</f>
        <v/>
      </c>
      <c r="I1470">
        <f>VLOOKUP(B1470,Units!$A$2:$G$1646,5,FALSE)</f>
        <v/>
      </c>
      <c r="J1470" s="3">
        <f>G1470/I1470</f>
        <v/>
      </c>
      <c r="K1470" s="3">
        <f>G1470*12</f>
        <v/>
      </c>
      <c r="L1470" s="3" t="n">
        <v>7230</v>
      </c>
    </row>
    <row r="1471">
      <c r="A1471" t="inlineStr">
        <is>
          <t>TA-2026-00436</t>
        </is>
      </c>
      <c r="B1471" t="inlineStr">
        <is>
          <t>U-CD153-01-03</t>
        </is>
      </c>
      <c r="C1471" t="inlineStr">
        <is>
          <t>Thye Hin Provision Shop</t>
        </is>
      </c>
      <c r="D1471" t="inlineStr">
        <is>
          <t>Provision Shop</t>
        </is>
      </c>
      <c r="E1471" s="2" t="n">
        <v>46204</v>
      </c>
      <c r="F1471" s="2" t="n">
        <v>47299</v>
      </c>
      <c r="G1471" s="3" t="n">
        <v>2090</v>
      </c>
      <c r="H1471">
        <f>VLOOKUP(B1471,Units!$A$2:$G$1646,2,FALSE)</f>
        <v/>
      </c>
      <c r="I1471">
        <f>VLOOKUP(B1471,Units!$A$2:$G$1646,5,FALSE)</f>
        <v/>
      </c>
      <c r="J1471" s="3">
        <f>G1471/I1471</f>
        <v/>
      </c>
      <c r="K1471" s="3">
        <f>G1471*12</f>
        <v/>
      </c>
      <c r="L1471" s="3" t="n">
        <v>6270</v>
      </c>
    </row>
    <row r="1472">
      <c r="A1472" t="inlineStr">
        <is>
          <t>TA-2026-00437</t>
        </is>
      </c>
      <c r="B1472" t="inlineStr">
        <is>
          <t>U-CD153-02-09</t>
        </is>
      </c>
      <c r="C1472" t="inlineStr">
        <is>
          <t>Mei Ling Learning Centre Pte Ltd</t>
        </is>
      </c>
      <c r="D1472" t="inlineStr">
        <is>
          <t>Tuition Centre</t>
        </is>
      </c>
      <c r="E1472" s="2" t="n">
        <v>46204</v>
      </c>
      <c r="F1472" s="2" t="n">
        <v>47299</v>
      </c>
      <c r="G1472" s="3" t="n">
        <v>1880</v>
      </c>
      <c r="H1472">
        <f>VLOOKUP(B1472,Units!$A$2:$G$1646,2,FALSE)</f>
        <v/>
      </c>
      <c r="I1472">
        <f>VLOOKUP(B1472,Units!$A$2:$G$1646,5,FALSE)</f>
        <v/>
      </c>
      <c r="J1472" s="3">
        <f>G1472/I1472</f>
        <v/>
      </c>
      <c r="K1472" s="3">
        <f>G1472*12</f>
        <v/>
      </c>
      <c r="L1472" s="3" t="n">
        <v>5640</v>
      </c>
    </row>
    <row r="1473">
      <c r="A1473" t="inlineStr">
        <is>
          <t>TA-2026-00438</t>
        </is>
      </c>
      <c r="B1473" t="inlineStr">
        <is>
          <t>U-CD160-02-04</t>
        </is>
      </c>
      <c r="C1473" t="inlineStr">
        <is>
          <t>Mutiara TCM Clinic</t>
        </is>
      </c>
      <c r="D1473" t="inlineStr">
        <is>
          <t>TCM Clinic</t>
        </is>
      </c>
      <c r="E1473" s="2" t="n">
        <v>46204</v>
      </c>
      <c r="F1473" s="2" t="n">
        <v>47299</v>
      </c>
      <c r="G1473" s="3" t="n">
        <v>2580</v>
      </c>
      <c r="H1473">
        <f>VLOOKUP(B1473,Units!$A$2:$G$1646,2,FALSE)</f>
        <v/>
      </c>
      <c r="I1473">
        <f>VLOOKUP(B1473,Units!$A$2:$G$1646,5,FALSE)</f>
        <v/>
      </c>
      <c r="J1473" s="3">
        <f>G1473/I1473</f>
        <v/>
      </c>
      <c r="K1473" s="3">
        <f>G1473*12</f>
        <v/>
      </c>
      <c r="L1473" s="3" t="n">
        <v>7740</v>
      </c>
    </row>
    <row r="1474">
      <c r="A1474" t="inlineStr">
        <is>
          <t>TA-2026-00440</t>
        </is>
      </c>
      <c r="B1474" t="inlineStr">
        <is>
          <t>U-CD170-02-07</t>
        </is>
      </c>
      <c r="C1474" t="inlineStr">
        <is>
          <t>Nur Accounting Services</t>
        </is>
      </c>
      <c r="D1474" t="inlineStr">
        <is>
          <t>Professional Services Office</t>
        </is>
      </c>
      <c r="E1474" s="2" t="n">
        <v>46204</v>
      </c>
      <c r="F1474" s="2" t="n">
        <v>47299</v>
      </c>
      <c r="G1474" s="3" t="n">
        <v>1730</v>
      </c>
      <c r="H1474">
        <f>VLOOKUP(B1474,Units!$A$2:$G$1646,2,FALSE)</f>
        <v/>
      </c>
      <c r="I1474">
        <f>VLOOKUP(B1474,Units!$A$2:$G$1646,5,FALSE)</f>
        <v/>
      </c>
      <c r="J1474" s="3">
        <f>G1474/I1474</f>
        <v/>
      </c>
      <c r="K1474" s="3">
        <f>G1474*12</f>
        <v/>
      </c>
      <c r="L1474" s="3" t="n">
        <v>5190</v>
      </c>
    </row>
    <row r="1475">
      <c r="A1475" t="inlineStr">
        <is>
          <t>TA-2026-00442</t>
        </is>
      </c>
      <c r="B1475" t="inlineStr">
        <is>
          <t>U-CD173-01-07</t>
        </is>
      </c>
      <c r="C1475" t="inlineStr">
        <is>
          <t>Murugan Hardware Pte Ltd</t>
        </is>
      </c>
      <c r="D1475" t="inlineStr">
        <is>
          <t>Hardware</t>
        </is>
      </c>
      <c r="E1475" s="2" t="n">
        <v>46204</v>
      </c>
      <c r="F1475" s="2" t="n">
        <v>47299</v>
      </c>
      <c r="G1475" s="3" t="n">
        <v>3900</v>
      </c>
      <c r="H1475">
        <f>VLOOKUP(B1475,Units!$A$2:$G$1646,2,FALSE)</f>
        <v/>
      </c>
      <c r="I1475">
        <f>VLOOKUP(B1475,Units!$A$2:$G$1646,5,FALSE)</f>
        <v/>
      </c>
      <c r="J1475" s="3">
        <f>G1475/I1475</f>
        <v/>
      </c>
      <c r="K1475" s="3">
        <f>G1475*12</f>
        <v/>
      </c>
      <c r="L1475" s="3" t="n">
        <v>11700</v>
      </c>
    </row>
    <row r="1476">
      <c r="A1476" t="inlineStr">
        <is>
          <t>TA-2026-00443</t>
        </is>
      </c>
      <c r="B1476" t="inlineStr">
        <is>
          <t>U-CD181-01-04</t>
        </is>
      </c>
      <c r="C1476" t="inlineStr">
        <is>
          <t>Fortune Hardware &amp; Electrical Pte Ltd</t>
        </is>
      </c>
      <c r="D1476" t="inlineStr">
        <is>
          <t>Hardware</t>
        </is>
      </c>
      <c r="E1476" s="2" t="n">
        <v>46204</v>
      </c>
      <c r="F1476" s="2" t="n">
        <v>47299</v>
      </c>
      <c r="G1476" s="3" t="n">
        <v>3750</v>
      </c>
      <c r="H1476">
        <f>VLOOKUP(B1476,Units!$A$2:$G$1646,2,FALSE)</f>
        <v/>
      </c>
      <c r="I1476">
        <f>VLOOKUP(B1476,Units!$A$2:$G$1646,5,FALSE)</f>
        <v/>
      </c>
      <c r="J1476" s="3">
        <f>G1476/I1476</f>
        <v/>
      </c>
      <c r="K1476" s="3">
        <f>G1476*12</f>
        <v/>
      </c>
      <c r="L1476" s="3" t="n">
        <v>11250</v>
      </c>
    </row>
    <row r="1477">
      <c r="A1477" t="inlineStr">
        <is>
          <t>TA-2026-00445</t>
        </is>
      </c>
      <c r="B1477" t="inlineStr">
        <is>
          <t>U-CD185-01-02</t>
        </is>
      </c>
      <c r="C1477" t="inlineStr">
        <is>
          <t>Ananda Minimart Pte Ltd</t>
        </is>
      </c>
      <c r="D1477" t="inlineStr">
        <is>
          <t>Minimart</t>
        </is>
      </c>
      <c r="E1477" s="2" t="n">
        <v>46204</v>
      </c>
      <c r="F1477" s="2" t="n">
        <v>47299</v>
      </c>
      <c r="G1477" s="3" t="n">
        <v>4210</v>
      </c>
      <c r="H1477">
        <f>VLOOKUP(B1477,Units!$A$2:$G$1646,2,FALSE)</f>
        <v/>
      </c>
      <c r="I1477">
        <f>VLOOKUP(B1477,Units!$A$2:$G$1646,5,FALSE)</f>
        <v/>
      </c>
      <c r="J1477" s="3">
        <f>G1477/I1477</f>
        <v/>
      </c>
      <c r="K1477" s="3">
        <f>G1477*12</f>
        <v/>
      </c>
      <c r="L1477" s="3" t="n">
        <v>12630</v>
      </c>
    </row>
    <row r="1478">
      <c r="A1478" t="inlineStr">
        <is>
          <t>TA-2026-00447</t>
        </is>
      </c>
      <c r="B1478" t="inlineStr">
        <is>
          <t>U-KR305-01-25</t>
        </is>
      </c>
      <c r="C1478" t="inlineStr">
        <is>
          <t>Bayu Bakery</t>
        </is>
      </c>
      <c r="D1478" t="inlineStr">
        <is>
          <t>Bakery &amp; Confectionery</t>
        </is>
      </c>
      <c r="E1478" s="2" t="n">
        <v>46204</v>
      </c>
      <c r="F1478" s="2" t="n">
        <v>47299</v>
      </c>
      <c r="G1478" s="3" t="n">
        <v>4560</v>
      </c>
      <c r="H1478">
        <f>VLOOKUP(B1478,Units!$A$2:$G$1646,2,FALSE)</f>
        <v/>
      </c>
      <c r="I1478">
        <f>VLOOKUP(B1478,Units!$A$2:$G$1646,5,FALSE)</f>
        <v/>
      </c>
      <c r="J1478" s="3">
        <f>G1478/I1478</f>
        <v/>
      </c>
      <c r="K1478" s="3">
        <f>G1478*12</f>
        <v/>
      </c>
      <c r="L1478" s="3" t="n">
        <v>13680</v>
      </c>
    </row>
    <row r="1479">
      <c r="A1479" t="inlineStr">
        <is>
          <t>TA-2026-00448</t>
        </is>
      </c>
      <c r="B1479" t="inlineStr">
        <is>
          <t>U-KR323-01-05</t>
        </is>
      </c>
      <c r="C1479" t="inlineStr">
        <is>
          <t>Teck Guan Money Changer Pte Ltd</t>
        </is>
      </c>
      <c r="D1479" t="inlineStr">
        <is>
          <t>Remittance &amp; Money Changer</t>
        </is>
      </c>
      <c r="E1479" s="2" t="n">
        <v>46204</v>
      </c>
      <c r="F1479" s="2" t="n">
        <v>47299</v>
      </c>
      <c r="G1479" s="3" t="n">
        <v>1150</v>
      </c>
      <c r="H1479">
        <f>VLOOKUP(B1479,Units!$A$2:$G$1646,2,FALSE)</f>
        <v/>
      </c>
      <c r="I1479">
        <f>VLOOKUP(B1479,Units!$A$2:$G$1646,5,FALSE)</f>
        <v/>
      </c>
      <c r="J1479" s="3">
        <f>G1479/I1479</f>
        <v/>
      </c>
      <c r="K1479" s="3">
        <f>G1479*12</f>
        <v/>
      </c>
      <c r="L1479" s="3" t="n">
        <v>3450</v>
      </c>
    </row>
    <row r="1480">
      <c r="A1480" t="inlineStr">
        <is>
          <t>TA-2026-00450</t>
        </is>
      </c>
      <c r="B1480" t="inlineStr">
        <is>
          <t>U-KR329-01-08</t>
        </is>
      </c>
      <c r="C1480" t="inlineStr">
        <is>
          <t>Tian Fu Kitchen Pte Ltd</t>
        </is>
      </c>
      <c r="D1480" t="inlineStr">
        <is>
          <t>Restaurant</t>
        </is>
      </c>
      <c r="E1480" s="2" t="n">
        <v>46204</v>
      </c>
      <c r="F1480" s="2" t="n">
        <v>47299</v>
      </c>
      <c r="G1480" s="3" t="n">
        <v>5290</v>
      </c>
      <c r="H1480">
        <f>VLOOKUP(B1480,Units!$A$2:$G$1646,2,FALSE)</f>
        <v/>
      </c>
      <c r="I1480">
        <f>VLOOKUP(B1480,Units!$A$2:$G$1646,5,FALSE)</f>
        <v/>
      </c>
      <c r="J1480" s="3">
        <f>G1480/I1480</f>
        <v/>
      </c>
      <c r="K1480" s="3">
        <f>G1480*12</f>
        <v/>
      </c>
      <c r="L1480" s="3" t="n">
        <v>15870</v>
      </c>
    </row>
    <row r="1481">
      <c r="A1481" t="inlineStr">
        <is>
          <t>TA-2026-00451</t>
        </is>
      </c>
      <c r="B1481" t="inlineStr">
        <is>
          <t>U-KR333-01-05</t>
        </is>
      </c>
      <c r="C1481" t="inlineStr">
        <is>
          <t>Little Sprouts Minimart Pte Ltd</t>
        </is>
      </c>
      <c r="D1481" t="inlineStr">
        <is>
          <t>Minimart</t>
        </is>
      </c>
      <c r="E1481" s="2" t="n">
        <v>46204</v>
      </c>
      <c r="F1481" s="2" t="n">
        <v>47299</v>
      </c>
      <c r="G1481" s="3" t="n">
        <v>2730</v>
      </c>
      <c r="H1481">
        <f>VLOOKUP(B1481,Units!$A$2:$G$1646,2,FALSE)</f>
        <v/>
      </c>
      <c r="I1481">
        <f>VLOOKUP(B1481,Units!$A$2:$G$1646,5,FALSE)</f>
        <v/>
      </c>
      <c r="J1481" s="3">
        <f>G1481/I1481</f>
        <v/>
      </c>
      <c r="K1481" s="3">
        <f>G1481*12</f>
        <v/>
      </c>
      <c r="L1481" s="3" t="n">
        <v>8190</v>
      </c>
    </row>
    <row r="1482">
      <c r="A1482" t="inlineStr">
        <is>
          <t>TA-2026-00452</t>
        </is>
      </c>
      <c r="B1482" t="inlineStr">
        <is>
          <t>U-KR349-01-02</t>
        </is>
      </c>
      <c r="C1482" t="inlineStr">
        <is>
          <t>Lotus Telecom</t>
        </is>
      </c>
      <c r="D1482" t="inlineStr">
        <is>
          <t>Mobile Phone &amp; Accessories</t>
        </is>
      </c>
      <c r="E1482" s="2" t="n">
        <v>46204</v>
      </c>
      <c r="F1482" s="2" t="n">
        <v>47299</v>
      </c>
      <c r="G1482" s="3" t="n">
        <v>900</v>
      </c>
      <c r="H1482">
        <f>VLOOKUP(B1482,Units!$A$2:$G$1646,2,FALSE)</f>
        <v/>
      </c>
      <c r="I1482">
        <f>VLOOKUP(B1482,Units!$A$2:$G$1646,5,FALSE)</f>
        <v/>
      </c>
      <c r="J1482" s="3">
        <f>G1482/I1482</f>
        <v/>
      </c>
      <c r="K1482" s="3">
        <f>G1482*12</f>
        <v/>
      </c>
      <c r="L1482" s="3" t="n">
        <v>2700</v>
      </c>
    </row>
    <row r="1483">
      <c r="A1483" t="inlineStr">
        <is>
          <t>TA-2026-00454</t>
        </is>
      </c>
      <c r="B1483" t="inlineStr">
        <is>
          <t>U-KR356-01-02</t>
        </is>
      </c>
      <c r="C1483" t="inlineStr">
        <is>
          <t>Rainbow Mobile Pte Ltd</t>
        </is>
      </c>
      <c r="D1483" t="inlineStr">
        <is>
          <t>Mobile Phone &amp; Accessories</t>
        </is>
      </c>
      <c r="E1483" s="2" t="n">
        <v>46204</v>
      </c>
      <c r="F1483" s="2" t="n">
        <v>47299</v>
      </c>
      <c r="G1483" s="3" t="n">
        <v>3040</v>
      </c>
      <c r="H1483">
        <f>VLOOKUP(B1483,Units!$A$2:$G$1646,2,FALSE)</f>
        <v/>
      </c>
      <c r="I1483">
        <f>VLOOKUP(B1483,Units!$A$2:$G$1646,5,FALSE)</f>
        <v/>
      </c>
      <c r="J1483" s="3">
        <f>G1483/I1483</f>
        <v/>
      </c>
      <c r="K1483" s="3">
        <f>G1483*12</f>
        <v/>
      </c>
      <c r="L1483" s="3" t="n">
        <v>9120</v>
      </c>
    </row>
    <row r="1484">
      <c r="A1484" t="inlineStr">
        <is>
          <t>TA-2026-00456</t>
        </is>
      </c>
      <c r="B1484" t="inlineStr">
        <is>
          <t>U-KR358-01-03</t>
        </is>
      </c>
      <c r="C1484" t="inlineStr">
        <is>
          <t>Happy Paws Education Hub Pte Ltd</t>
        </is>
      </c>
      <c r="D1484" t="inlineStr">
        <is>
          <t>Tuition Centre</t>
        </is>
      </c>
      <c r="E1484" s="2" t="n">
        <v>46204</v>
      </c>
      <c r="F1484" s="2" t="n">
        <v>47299</v>
      </c>
      <c r="G1484" s="3" t="n">
        <v>3270</v>
      </c>
      <c r="H1484">
        <f>VLOOKUP(B1484,Units!$A$2:$G$1646,2,FALSE)</f>
        <v/>
      </c>
      <c r="I1484">
        <f>VLOOKUP(B1484,Units!$A$2:$G$1646,5,FALSE)</f>
        <v/>
      </c>
      <c r="J1484" s="3">
        <f>G1484/I1484</f>
        <v/>
      </c>
      <c r="K1484" s="3">
        <f>G1484*12</f>
        <v/>
      </c>
      <c r="L1484" s="3" t="n">
        <v>9810</v>
      </c>
    </row>
    <row r="1485">
      <c r="A1485" t="inlineStr">
        <is>
          <t>TA-2026-00457</t>
        </is>
      </c>
      <c r="B1485" t="inlineStr">
        <is>
          <t>U-KR368-01-02</t>
        </is>
      </c>
      <c r="C1485" t="inlineStr">
        <is>
          <t>Sin Hock Flowers &amp; Gifts Pte Ltd</t>
        </is>
      </c>
      <c r="D1485" t="inlineStr">
        <is>
          <t>Florist</t>
        </is>
      </c>
      <c r="E1485" s="2" t="n">
        <v>46204</v>
      </c>
      <c r="F1485" s="2" t="n">
        <v>47299</v>
      </c>
      <c r="G1485" s="3" t="n">
        <v>970</v>
      </c>
      <c r="H1485">
        <f>VLOOKUP(B1485,Units!$A$2:$G$1646,2,FALSE)</f>
        <v/>
      </c>
      <c r="I1485">
        <f>VLOOKUP(B1485,Units!$A$2:$G$1646,5,FALSE)</f>
        <v/>
      </c>
      <c r="J1485" s="3">
        <f>G1485/I1485</f>
        <v/>
      </c>
      <c r="K1485" s="3">
        <f>G1485*12</f>
        <v/>
      </c>
      <c r="L1485" s="3" t="n">
        <v>2910</v>
      </c>
    </row>
    <row r="1486">
      <c r="A1486" t="inlineStr">
        <is>
          <t>TA-2026-00459</t>
        </is>
      </c>
      <c r="B1486" t="inlineStr">
        <is>
          <t>U-KR372-01-04</t>
        </is>
      </c>
      <c r="C1486" t="inlineStr">
        <is>
          <t>Murugan Provision Shop Pte Ltd</t>
        </is>
      </c>
      <c r="D1486" t="inlineStr">
        <is>
          <t>Provision Shop</t>
        </is>
      </c>
      <c r="E1486" s="2" t="n">
        <v>46204</v>
      </c>
      <c r="F1486" s="2" t="n">
        <v>47299</v>
      </c>
      <c r="G1486" s="3" t="n">
        <v>3430</v>
      </c>
      <c r="H1486">
        <f>VLOOKUP(B1486,Units!$A$2:$G$1646,2,FALSE)</f>
        <v/>
      </c>
      <c r="I1486">
        <f>VLOOKUP(B1486,Units!$A$2:$G$1646,5,FALSE)</f>
        <v/>
      </c>
      <c r="J1486" s="3">
        <f>G1486/I1486</f>
        <v/>
      </c>
      <c r="K1486" s="3">
        <f>G1486*12</f>
        <v/>
      </c>
      <c r="L1486" s="3" t="n">
        <v>10290</v>
      </c>
    </row>
    <row r="1487">
      <c r="A1487" t="inlineStr">
        <is>
          <t>TA-2026-00461</t>
        </is>
      </c>
      <c r="B1487" t="inlineStr">
        <is>
          <t>U-KR386-01-05</t>
        </is>
      </c>
      <c r="C1487" t="inlineStr">
        <is>
          <t>Ong &amp; Sons Medical Hall Pte Ltd</t>
        </is>
      </c>
      <c r="D1487" t="inlineStr">
        <is>
          <t>TCM Clinic</t>
        </is>
      </c>
      <c r="E1487" s="2" t="n">
        <v>46204</v>
      </c>
      <c r="F1487" s="2" t="n">
        <v>47299</v>
      </c>
      <c r="G1487" s="3" t="n">
        <v>2830</v>
      </c>
      <c r="H1487">
        <f>VLOOKUP(B1487,Units!$A$2:$G$1646,2,FALSE)</f>
        <v/>
      </c>
      <c r="I1487">
        <f>VLOOKUP(B1487,Units!$A$2:$G$1646,5,FALSE)</f>
        <v/>
      </c>
      <c r="J1487" s="3">
        <f>G1487/I1487</f>
        <v/>
      </c>
      <c r="K1487" s="3">
        <f>G1487*12</f>
        <v/>
      </c>
      <c r="L1487" s="3" t="n">
        <v>8490</v>
      </c>
    </row>
    <row r="1488">
      <c r="A1488" t="inlineStr">
        <is>
          <t>TA-2026-00463</t>
        </is>
      </c>
      <c r="B1488" t="inlineStr">
        <is>
          <t>U-PI615-01-07</t>
        </is>
      </c>
      <c r="C1488" t="inlineStr">
        <is>
          <t>Treasure Provision Shop</t>
        </is>
      </c>
      <c r="D1488" t="inlineStr">
        <is>
          <t>Provision Shop</t>
        </is>
      </c>
      <c r="E1488" s="2" t="n">
        <v>46204</v>
      </c>
      <c r="F1488" s="2" t="n">
        <v>47299</v>
      </c>
      <c r="G1488" s="3" t="n">
        <v>3370</v>
      </c>
      <c r="H1488">
        <f>VLOOKUP(B1488,Units!$A$2:$G$1646,2,FALSE)</f>
        <v/>
      </c>
      <c r="I1488">
        <f>VLOOKUP(B1488,Units!$A$2:$G$1646,5,FALSE)</f>
        <v/>
      </c>
      <c r="J1488" s="3">
        <f>G1488/I1488</f>
        <v/>
      </c>
      <c r="K1488" s="3">
        <f>G1488*12</f>
        <v/>
      </c>
      <c r="L1488" s="3" t="n">
        <v>10110</v>
      </c>
    </row>
    <row r="1489">
      <c r="A1489" t="inlineStr">
        <is>
          <t>TA-2026-00465</t>
        </is>
      </c>
      <c r="B1489" t="inlineStr">
        <is>
          <t>U-PI627-01-15</t>
        </is>
      </c>
      <c r="C1489" t="inlineStr">
        <is>
          <t>Lakshmi Hardware</t>
        </is>
      </c>
      <c r="D1489" t="inlineStr">
        <is>
          <t>Hardware</t>
        </is>
      </c>
      <c r="E1489" s="2" t="n">
        <v>46204</v>
      </c>
      <c r="F1489" s="2" t="n">
        <v>47299</v>
      </c>
      <c r="G1489" s="3" t="n">
        <v>2260</v>
      </c>
      <c r="H1489">
        <f>VLOOKUP(B1489,Units!$A$2:$G$1646,2,FALSE)</f>
        <v/>
      </c>
      <c r="I1489">
        <f>VLOOKUP(B1489,Units!$A$2:$G$1646,5,FALSE)</f>
        <v/>
      </c>
      <c r="J1489" s="3">
        <f>G1489/I1489</f>
        <v/>
      </c>
      <c r="K1489" s="3">
        <f>G1489*12</f>
        <v/>
      </c>
      <c r="L1489" s="3" t="n">
        <v>6780</v>
      </c>
    </row>
    <row r="1490">
      <c r="A1490" t="inlineStr">
        <is>
          <t>TA-2026-00466</t>
        </is>
      </c>
      <c r="B1490" t="inlineStr">
        <is>
          <t>U-PI627-01-25</t>
        </is>
      </c>
      <c r="C1490" t="inlineStr">
        <is>
          <t>Sunflower Cake House Pte Ltd</t>
        </is>
      </c>
      <c r="D1490" t="inlineStr">
        <is>
          <t>Bakery &amp; Confectionery</t>
        </is>
      </c>
      <c r="E1490" s="2" t="n">
        <v>46204</v>
      </c>
      <c r="F1490" s="2" t="n">
        <v>47299</v>
      </c>
      <c r="G1490" s="3" t="n">
        <v>3720</v>
      </c>
      <c r="H1490">
        <f>VLOOKUP(B1490,Units!$A$2:$G$1646,2,FALSE)</f>
        <v/>
      </c>
      <c r="I1490">
        <f>VLOOKUP(B1490,Units!$A$2:$G$1646,5,FALSE)</f>
        <v/>
      </c>
      <c r="J1490" s="3">
        <f>G1490/I1490</f>
        <v/>
      </c>
      <c r="K1490" s="3">
        <f>G1490*12</f>
        <v/>
      </c>
      <c r="L1490" s="3" t="n">
        <v>11160</v>
      </c>
    </row>
    <row r="1491">
      <c r="A1491" t="inlineStr">
        <is>
          <t>TA-2026-00467</t>
        </is>
      </c>
      <c r="B1491" t="inlineStr">
        <is>
          <t>U-PI634-01-07</t>
        </is>
      </c>
      <c r="C1491" t="inlineStr">
        <is>
          <t>Sunflower TCM Clinic Pte Ltd</t>
        </is>
      </c>
      <c r="D1491" t="inlineStr">
        <is>
          <t>TCM Clinic</t>
        </is>
      </c>
      <c r="E1491" s="2" t="n">
        <v>46204</v>
      </c>
      <c r="F1491" s="2" t="n">
        <v>47299</v>
      </c>
      <c r="G1491" s="3" t="n">
        <v>4180</v>
      </c>
      <c r="H1491">
        <f>VLOOKUP(B1491,Units!$A$2:$G$1646,2,FALSE)</f>
        <v/>
      </c>
      <c r="I1491">
        <f>VLOOKUP(B1491,Units!$A$2:$G$1646,5,FALSE)</f>
        <v/>
      </c>
      <c r="J1491" s="3">
        <f>G1491/I1491</f>
        <v/>
      </c>
      <c r="K1491" s="3">
        <f>G1491*12</f>
        <v/>
      </c>
      <c r="L1491" s="3" t="n">
        <v>12540</v>
      </c>
    </row>
    <row r="1492">
      <c r="A1492" t="inlineStr">
        <is>
          <t>TA-2026-00468</t>
        </is>
      </c>
      <c r="B1492" t="inlineStr">
        <is>
          <t>U-PI642-01-03</t>
        </is>
      </c>
      <c r="C1492" t="inlineStr">
        <is>
          <t>Phoenix Dry Cleaners Pte Ltd</t>
        </is>
      </c>
      <c r="D1492" t="inlineStr">
        <is>
          <t>Laundry</t>
        </is>
      </c>
      <c r="E1492" s="2" t="n">
        <v>46204</v>
      </c>
      <c r="F1492" s="2" t="n">
        <v>47299</v>
      </c>
      <c r="G1492" s="3" t="n">
        <v>5050</v>
      </c>
      <c r="H1492">
        <f>VLOOKUP(B1492,Units!$A$2:$G$1646,2,FALSE)</f>
        <v/>
      </c>
      <c r="I1492">
        <f>VLOOKUP(B1492,Units!$A$2:$G$1646,5,FALSE)</f>
        <v/>
      </c>
      <c r="J1492" s="3">
        <f>G1492/I1492</f>
        <v/>
      </c>
      <c r="K1492" s="3">
        <f>G1492*12</f>
        <v/>
      </c>
      <c r="L1492" s="3" t="n">
        <v>15150</v>
      </c>
    </row>
    <row r="1493">
      <c r="A1493" t="inlineStr">
        <is>
          <t>TA-2026-00469</t>
        </is>
      </c>
      <c r="B1493" t="inlineStr">
        <is>
          <t>U-PI642-01-04</t>
        </is>
      </c>
      <c r="C1493" t="inlineStr">
        <is>
          <t>Sunflower Florist Pte Ltd</t>
        </is>
      </c>
      <c r="D1493" t="inlineStr">
        <is>
          <t>Florist</t>
        </is>
      </c>
      <c r="E1493" s="2" t="n">
        <v>46204</v>
      </c>
      <c r="F1493" s="2" t="n">
        <v>47299</v>
      </c>
      <c r="G1493" s="3" t="n">
        <v>5140</v>
      </c>
      <c r="H1493">
        <f>VLOOKUP(B1493,Units!$A$2:$G$1646,2,FALSE)</f>
        <v/>
      </c>
      <c r="I1493">
        <f>VLOOKUP(B1493,Units!$A$2:$G$1646,5,FALSE)</f>
        <v/>
      </c>
      <c r="J1493" s="3">
        <f>G1493/I1493</f>
        <v/>
      </c>
      <c r="K1493" s="3">
        <f>G1493*12</f>
        <v/>
      </c>
      <c r="L1493" s="3" t="n">
        <v>15420</v>
      </c>
    </row>
    <row r="1494">
      <c r="A1494" t="inlineStr">
        <is>
          <t>TA-2026-00470</t>
        </is>
      </c>
      <c r="B1494" t="inlineStr">
        <is>
          <t>U-PI644-01-04</t>
        </is>
      </c>
      <c r="C1494" t="inlineStr">
        <is>
          <t>Cahaya Supermarket</t>
        </is>
      </c>
      <c r="D1494" t="inlineStr">
        <is>
          <t>Minimart</t>
        </is>
      </c>
      <c r="E1494" s="2" t="n">
        <v>46204</v>
      </c>
      <c r="F1494" s="2" t="n">
        <v>47299</v>
      </c>
      <c r="G1494" s="3" t="n">
        <v>4270</v>
      </c>
      <c r="H1494">
        <f>VLOOKUP(B1494,Units!$A$2:$G$1646,2,FALSE)</f>
        <v/>
      </c>
      <c r="I1494">
        <f>VLOOKUP(B1494,Units!$A$2:$G$1646,5,FALSE)</f>
        <v/>
      </c>
      <c r="J1494" s="3">
        <f>G1494/I1494</f>
        <v/>
      </c>
      <c r="K1494" s="3">
        <f>G1494*12</f>
        <v/>
      </c>
      <c r="L1494" s="3" t="n">
        <v>12810</v>
      </c>
    </row>
    <row r="1495">
      <c r="A1495" t="inlineStr">
        <is>
          <t>TA-2026-00471</t>
        </is>
      </c>
      <c r="B1495" t="inlineStr">
        <is>
          <t>U-PI670-01-03</t>
        </is>
      </c>
      <c r="C1495" t="inlineStr">
        <is>
          <t>Phoenix Confectionery Pte Ltd</t>
        </is>
      </c>
      <c r="D1495" t="inlineStr">
        <is>
          <t>Bakery &amp; Confectionery</t>
        </is>
      </c>
      <c r="E1495" s="2" t="n">
        <v>46204</v>
      </c>
      <c r="F1495" s="2" t="n">
        <v>47299</v>
      </c>
      <c r="G1495" s="3" t="n">
        <v>2870</v>
      </c>
      <c r="H1495">
        <f>VLOOKUP(B1495,Units!$A$2:$G$1646,2,FALSE)</f>
        <v/>
      </c>
      <c r="I1495">
        <f>VLOOKUP(B1495,Units!$A$2:$G$1646,5,FALSE)</f>
        <v/>
      </c>
      <c r="J1495" s="3">
        <f>G1495/I1495</f>
        <v/>
      </c>
      <c r="K1495" s="3">
        <f>G1495*12</f>
        <v/>
      </c>
      <c r="L1495" s="3" t="n">
        <v>8610</v>
      </c>
    </row>
    <row r="1496">
      <c r="A1496" t="inlineStr">
        <is>
          <t>TA-2026-00473</t>
        </is>
      </c>
      <c r="B1496" t="inlineStr">
        <is>
          <t>U-PI693-02-09</t>
        </is>
      </c>
      <c r="C1496" t="inlineStr">
        <is>
          <t>Prima Family Clinic Pte Ltd</t>
        </is>
      </c>
      <c r="D1496" t="inlineStr">
        <is>
          <t>GP Clinic</t>
        </is>
      </c>
      <c r="E1496" s="2" t="n">
        <v>46204</v>
      </c>
      <c r="F1496" s="2" t="n">
        <v>47299</v>
      </c>
      <c r="G1496" s="3" t="n">
        <v>2760</v>
      </c>
      <c r="H1496">
        <f>VLOOKUP(B1496,Units!$A$2:$G$1646,2,FALSE)</f>
        <v/>
      </c>
      <c r="I1496">
        <f>VLOOKUP(B1496,Units!$A$2:$G$1646,5,FALSE)</f>
        <v/>
      </c>
      <c r="J1496" s="3">
        <f>G1496/I1496</f>
        <v/>
      </c>
      <c r="K1496" s="3">
        <f>G1496*12</f>
        <v/>
      </c>
      <c r="L1496" s="3" t="n">
        <v>8280</v>
      </c>
    </row>
    <row r="1497">
      <c r="A1497" t="inlineStr">
        <is>
          <t>TA-2026-00474</t>
        </is>
      </c>
      <c r="B1497" t="inlineStr">
        <is>
          <t>U-PI696-01-05</t>
        </is>
      </c>
      <c r="C1497" t="inlineStr">
        <is>
          <t>Value Provision Shop</t>
        </is>
      </c>
      <c r="D1497" t="inlineStr">
        <is>
          <t>Provision Shop</t>
        </is>
      </c>
      <c r="E1497" s="2" t="n">
        <v>46204</v>
      </c>
      <c r="F1497" s="2" t="n">
        <v>47299</v>
      </c>
      <c r="G1497" s="3" t="n">
        <v>2860</v>
      </c>
      <c r="H1497">
        <f>VLOOKUP(B1497,Units!$A$2:$G$1646,2,FALSE)</f>
        <v/>
      </c>
      <c r="I1497">
        <f>VLOOKUP(B1497,Units!$A$2:$G$1646,5,FALSE)</f>
        <v/>
      </c>
      <c r="J1497" s="3">
        <f>G1497/I1497</f>
        <v/>
      </c>
      <c r="K1497" s="3">
        <f>G1497*12</f>
        <v/>
      </c>
      <c r="L1497" s="3" t="n">
        <v>8580</v>
      </c>
    </row>
    <row r="1498">
      <c r="A1498" t="inlineStr">
        <is>
          <t>TA-2026-00475</t>
        </is>
      </c>
      <c r="B1498" t="inlineStr">
        <is>
          <t>U-RH401-02-04</t>
        </is>
      </c>
      <c r="C1498" t="inlineStr">
        <is>
          <t>Raja Clinic &amp; Surgery Pte Ltd</t>
        </is>
      </c>
      <c r="D1498" t="inlineStr">
        <is>
          <t>GP Clinic</t>
        </is>
      </c>
      <c r="E1498" s="2" t="n">
        <v>46204</v>
      </c>
      <c r="F1498" s="2" t="n">
        <v>47299</v>
      </c>
      <c r="G1498" s="3" t="n">
        <v>2950</v>
      </c>
      <c r="H1498">
        <f>VLOOKUP(B1498,Units!$A$2:$G$1646,2,FALSE)</f>
        <v/>
      </c>
      <c r="I1498">
        <f>VLOOKUP(B1498,Units!$A$2:$G$1646,5,FALSE)</f>
        <v/>
      </c>
      <c r="J1498" s="3">
        <f>G1498/I1498</f>
        <v/>
      </c>
      <c r="K1498" s="3">
        <f>G1498*12</f>
        <v/>
      </c>
      <c r="L1498" s="3" t="n">
        <v>8850</v>
      </c>
    </row>
    <row r="1499">
      <c r="A1499" t="inlineStr">
        <is>
          <t>TA-2026-00476</t>
        </is>
      </c>
      <c r="B1499" t="inlineStr">
        <is>
          <t>U-RH407-01-01</t>
        </is>
      </c>
      <c r="C1499" t="inlineStr">
        <is>
          <t>Cahaya Optical Pte Ltd</t>
        </is>
      </c>
      <c r="D1499" t="inlineStr">
        <is>
          <t>Optical</t>
        </is>
      </c>
      <c r="E1499" s="2" t="n">
        <v>46204</v>
      </c>
      <c r="F1499" s="2" t="n">
        <v>47299</v>
      </c>
      <c r="G1499" s="3" t="n">
        <v>3970</v>
      </c>
      <c r="H1499">
        <f>VLOOKUP(B1499,Units!$A$2:$G$1646,2,FALSE)</f>
        <v/>
      </c>
      <c r="I1499">
        <f>VLOOKUP(B1499,Units!$A$2:$G$1646,5,FALSE)</f>
        <v/>
      </c>
      <c r="J1499" s="3">
        <f>G1499/I1499</f>
        <v/>
      </c>
      <c r="K1499" s="3">
        <f>G1499*12</f>
        <v/>
      </c>
      <c r="L1499" s="3" t="n">
        <v>11910</v>
      </c>
    </row>
    <row r="1500">
      <c r="A1500" t="inlineStr">
        <is>
          <t>TA-2026-00478</t>
        </is>
      </c>
      <c r="B1500" t="inlineStr">
        <is>
          <t>U-RH425-01-05</t>
        </is>
      </c>
      <c r="C1500" t="inlineStr">
        <is>
          <t>Lakshmi Money Changer</t>
        </is>
      </c>
      <c r="D1500" t="inlineStr">
        <is>
          <t>Remittance &amp; Money Changer</t>
        </is>
      </c>
      <c r="E1500" s="2" t="n">
        <v>46204</v>
      </c>
      <c r="F1500" s="2" t="n">
        <v>47299</v>
      </c>
      <c r="G1500" s="3" t="n">
        <v>4290</v>
      </c>
      <c r="H1500">
        <f>VLOOKUP(B1500,Units!$A$2:$G$1646,2,FALSE)</f>
        <v/>
      </c>
      <c r="I1500">
        <f>VLOOKUP(B1500,Units!$A$2:$G$1646,5,FALSE)</f>
        <v/>
      </c>
      <c r="J1500" s="3">
        <f>G1500/I1500</f>
        <v/>
      </c>
      <c r="K1500" s="3">
        <f>G1500*12</f>
        <v/>
      </c>
      <c r="L1500" s="3" t="n">
        <v>12870</v>
      </c>
    </row>
    <row r="1501">
      <c r="A1501" t="inlineStr">
        <is>
          <t>TA-2026-00479</t>
        </is>
      </c>
      <c r="B1501" t="inlineStr">
        <is>
          <t>U-RH437-02-08</t>
        </is>
      </c>
      <c r="C1501" t="inlineStr">
        <is>
          <t>Hometown Tuition Centre</t>
        </is>
      </c>
      <c r="D1501" t="inlineStr">
        <is>
          <t>Tuition Centre</t>
        </is>
      </c>
      <c r="E1501" s="2" t="n">
        <v>46204</v>
      </c>
      <c r="F1501" s="2" t="n">
        <v>47299</v>
      </c>
      <c r="G1501" s="3" t="n">
        <v>2750</v>
      </c>
      <c r="H1501">
        <f>VLOOKUP(B1501,Units!$A$2:$G$1646,2,FALSE)</f>
        <v/>
      </c>
      <c r="I1501">
        <f>VLOOKUP(B1501,Units!$A$2:$G$1646,5,FALSE)</f>
        <v/>
      </c>
      <c r="J1501" s="3">
        <f>G1501/I1501</f>
        <v/>
      </c>
      <c r="K1501" s="3">
        <f>G1501*12</f>
        <v/>
      </c>
      <c r="L1501" s="3" t="n">
        <v>8250</v>
      </c>
    </row>
    <row r="1502">
      <c r="A1502" t="inlineStr">
        <is>
          <t>TA-2026-00480</t>
        </is>
      </c>
      <c r="B1502" t="inlineStr">
        <is>
          <t>U-RH466-01-07</t>
        </is>
      </c>
      <c r="C1502" t="inlineStr">
        <is>
          <t>Smart Kids Bakery</t>
        </is>
      </c>
      <c r="D1502" t="inlineStr">
        <is>
          <t>Bakery &amp; Confectionery</t>
        </is>
      </c>
      <c r="E1502" s="2" t="n">
        <v>46204</v>
      </c>
      <c r="F1502" s="2" t="n">
        <v>47299</v>
      </c>
      <c r="G1502" s="3" t="n">
        <v>4570</v>
      </c>
      <c r="H1502">
        <f>VLOOKUP(B1502,Units!$A$2:$G$1646,2,FALSE)</f>
        <v/>
      </c>
      <c r="I1502">
        <f>VLOOKUP(B1502,Units!$A$2:$G$1646,5,FALSE)</f>
        <v/>
      </c>
      <c r="J1502" s="3">
        <f>G1502/I1502</f>
        <v/>
      </c>
      <c r="K1502" s="3">
        <f>G1502*12</f>
        <v/>
      </c>
      <c r="L1502" s="3" t="n">
        <v>13710</v>
      </c>
    </row>
    <row r="1503">
      <c r="A1503" t="inlineStr">
        <is>
          <t>TA-2026-00482</t>
        </is>
      </c>
      <c r="B1503" t="inlineStr">
        <is>
          <t>U-RH476-01-03</t>
        </is>
      </c>
      <c r="C1503" t="inlineStr">
        <is>
          <t>Fresh Valley Trading</t>
        </is>
      </c>
      <c r="D1503" t="inlineStr">
        <is>
          <t>Provision Shop</t>
        </is>
      </c>
      <c r="E1503" s="2" t="n">
        <v>46204</v>
      </c>
      <c r="F1503" s="2" t="n">
        <v>47299</v>
      </c>
      <c r="G1503" s="3" t="n">
        <v>3180</v>
      </c>
      <c r="H1503">
        <f>VLOOKUP(B1503,Units!$A$2:$G$1646,2,FALSE)</f>
        <v/>
      </c>
      <c r="I1503">
        <f>VLOOKUP(B1503,Units!$A$2:$G$1646,5,FALSE)</f>
        <v/>
      </c>
      <c r="J1503" s="3">
        <f>G1503/I1503</f>
        <v/>
      </c>
      <c r="K1503" s="3">
        <f>G1503*12</f>
        <v/>
      </c>
      <c r="L1503" s="3" t="n">
        <v>9540</v>
      </c>
    </row>
    <row r="1504">
      <c r="A1504" t="inlineStr">
        <is>
          <t>TA-2026-00483</t>
        </is>
      </c>
      <c r="B1504" t="inlineStr">
        <is>
          <t>U-RH484-01-06</t>
        </is>
      </c>
      <c r="C1504" t="inlineStr">
        <is>
          <t>Gold Coin Boba Bar</t>
        </is>
      </c>
      <c r="D1504" t="inlineStr">
        <is>
          <t>Bubble Tea</t>
        </is>
      </c>
      <c r="E1504" s="2" t="n">
        <v>46204</v>
      </c>
      <c r="F1504" s="2" t="n">
        <v>47299</v>
      </c>
      <c r="G1504" s="3" t="n">
        <v>2810</v>
      </c>
      <c r="H1504">
        <f>VLOOKUP(B1504,Units!$A$2:$G$1646,2,FALSE)</f>
        <v/>
      </c>
      <c r="I1504">
        <f>VLOOKUP(B1504,Units!$A$2:$G$1646,5,FALSE)</f>
        <v/>
      </c>
      <c r="J1504" s="3">
        <f>G1504/I1504</f>
        <v/>
      </c>
      <c r="K1504" s="3">
        <f>G1504*12</f>
        <v/>
      </c>
      <c r="L1504" s="3" t="n">
        <v>8430</v>
      </c>
    </row>
    <row r="1505">
      <c r="A1505" t="inlineStr">
        <is>
          <t>TA-2026-00485</t>
        </is>
      </c>
      <c r="B1505" t="inlineStr">
        <is>
          <t>U-RH491-01-03</t>
        </is>
      </c>
      <c r="C1505" t="inlineStr">
        <is>
          <t>New Life Clinic &amp; Surgery</t>
        </is>
      </c>
      <c r="D1505" t="inlineStr">
        <is>
          <t>GP Clinic</t>
        </is>
      </c>
      <c r="E1505" s="2" t="n">
        <v>46204</v>
      </c>
      <c r="F1505" s="2" t="n">
        <v>47299</v>
      </c>
      <c r="G1505" s="3" t="n">
        <v>5140</v>
      </c>
      <c r="H1505">
        <f>VLOOKUP(B1505,Units!$A$2:$G$1646,2,FALSE)</f>
        <v/>
      </c>
      <c r="I1505">
        <f>VLOOKUP(B1505,Units!$A$2:$G$1646,5,FALSE)</f>
        <v/>
      </c>
      <c r="J1505" s="3">
        <f>G1505/I1505</f>
        <v/>
      </c>
      <c r="K1505" s="3">
        <f>G1505*12</f>
        <v/>
      </c>
      <c r="L1505" s="3" t="n">
        <v>15420</v>
      </c>
    </row>
    <row r="1506">
      <c r="A1506" t="inlineStr">
        <is>
          <t>TA-2026-00487</t>
        </is>
      </c>
      <c r="B1506" t="inlineStr">
        <is>
          <t>U-ST518-01-03</t>
        </is>
      </c>
      <c r="C1506" t="inlineStr">
        <is>
          <t>Little Sprouts Trading Pte Ltd</t>
        </is>
      </c>
      <c r="D1506" t="inlineStr">
        <is>
          <t>Provision Shop</t>
        </is>
      </c>
      <c r="E1506" s="2" t="n">
        <v>46204</v>
      </c>
      <c r="F1506" s="2" t="n">
        <v>47299</v>
      </c>
      <c r="G1506" s="3" t="n">
        <v>5370</v>
      </c>
      <c r="H1506">
        <f>VLOOKUP(B1506,Units!$A$2:$G$1646,2,FALSE)</f>
        <v/>
      </c>
      <c r="I1506">
        <f>VLOOKUP(B1506,Units!$A$2:$G$1646,5,FALSE)</f>
        <v/>
      </c>
      <c r="J1506" s="3">
        <f>G1506/I1506</f>
        <v/>
      </c>
      <c r="K1506" s="3">
        <f>G1506*12</f>
        <v/>
      </c>
      <c r="L1506" s="3" t="n">
        <v>16110</v>
      </c>
    </row>
    <row r="1507">
      <c r="A1507" t="inlineStr">
        <is>
          <t>TA-2026-00488</t>
        </is>
      </c>
      <c r="B1507" t="inlineStr">
        <is>
          <t>U-ST545-01-01</t>
        </is>
      </c>
      <c r="C1507" t="inlineStr">
        <is>
          <t>Happy Paws Mobile</t>
        </is>
      </c>
      <c r="D1507" t="inlineStr">
        <is>
          <t>Mobile Phone &amp; Accessories</t>
        </is>
      </c>
      <c r="E1507" s="2" t="n">
        <v>46204</v>
      </c>
      <c r="F1507" s="2" t="n">
        <v>47299</v>
      </c>
      <c r="G1507" s="3" t="n">
        <v>900</v>
      </c>
      <c r="H1507">
        <f>VLOOKUP(B1507,Units!$A$2:$G$1646,2,FALSE)</f>
        <v/>
      </c>
      <c r="I1507">
        <f>VLOOKUP(B1507,Units!$A$2:$G$1646,5,FALSE)</f>
        <v/>
      </c>
      <c r="J1507" s="3">
        <f>G1507/I1507</f>
        <v/>
      </c>
      <c r="K1507" s="3">
        <f>G1507*12</f>
        <v/>
      </c>
      <c r="L1507" s="3" t="n">
        <v>2700</v>
      </c>
    </row>
    <row r="1508">
      <c r="A1508" t="inlineStr">
        <is>
          <t>TA-2026-00489</t>
        </is>
      </c>
      <c r="B1508" t="inlineStr">
        <is>
          <t>U-ST556-01-09</t>
        </is>
      </c>
      <c r="C1508" t="inlineStr">
        <is>
          <t>Ananda TCM Clinic Pte Ltd</t>
        </is>
      </c>
      <c r="D1508" t="inlineStr">
        <is>
          <t>TCM Clinic</t>
        </is>
      </c>
      <c r="E1508" s="2" t="n">
        <v>46204</v>
      </c>
      <c r="F1508" s="2" t="n">
        <v>47299</v>
      </c>
      <c r="G1508" s="3" t="n">
        <v>2760</v>
      </c>
      <c r="H1508">
        <f>VLOOKUP(B1508,Units!$A$2:$G$1646,2,FALSE)</f>
        <v/>
      </c>
      <c r="I1508">
        <f>VLOOKUP(B1508,Units!$A$2:$G$1646,5,FALSE)</f>
        <v/>
      </c>
      <c r="J1508" s="3">
        <f>G1508/I1508</f>
        <v/>
      </c>
      <c r="K1508" s="3">
        <f>G1508*12</f>
        <v/>
      </c>
      <c r="L1508" s="3" t="n">
        <v>8280</v>
      </c>
    </row>
    <row r="1509">
      <c r="A1509" t="inlineStr">
        <is>
          <t>TA-2026-00490</t>
        </is>
      </c>
      <c r="B1509" t="inlineStr">
        <is>
          <t>U-ST564-01-03</t>
        </is>
      </c>
      <c r="C1509" t="inlineStr">
        <is>
          <t>Mutiara Restaurant Pte Ltd</t>
        </is>
      </c>
      <c r="D1509" t="inlineStr">
        <is>
          <t>Restaurant</t>
        </is>
      </c>
      <c r="E1509" s="2" t="n">
        <v>46204</v>
      </c>
      <c r="F1509" s="2" t="n">
        <v>47299</v>
      </c>
      <c r="G1509" s="3" t="n">
        <v>4520</v>
      </c>
      <c r="H1509">
        <f>VLOOKUP(B1509,Units!$A$2:$G$1646,2,FALSE)</f>
        <v/>
      </c>
      <c r="I1509">
        <f>VLOOKUP(B1509,Units!$A$2:$G$1646,5,FALSE)</f>
        <v/>
      </c>
      <c r="J1509" s="3">
        <f>G1509/I1509</f>
        <v/>
      </c>
      <c r="K1509" s="3">
        <f>G1509*12</f>
        <v/>
      </c>
      <c r="L1509" s="3" t="n">
        <v>13560</v>
      </c>
    </row>
    <row r="1510">
      <c r="A1510" t="inlineStr">
        <is>
          <t>TA-2026-00492</t>
        </is>
      </c>
      <c r="B1510" t="inlineStr">
        <is>
          <t>U-ST589-01-05</t>
        </is>
      </c>
      <c r="C1510" t="inlineStr">
        <is>
          <t>Hup Seng Mart Pte Ltd</t>
        </is>
      </c>
      <c r="D1510" t="inlineStr">
        <is>
          <t>Minimart</t>
        </is>
      </c>
      <c r="E1510" s="2" t="n">
        <v>46204</v>
      </c>
      <c r="F1510" s="2" t="n">
        <v>47299</v>
      </c>
      <c r="G1510" s="3" t="n">
        <v>1890</v>
      </c>
      <c r="H1510">
        <f>VLOOKUP(B1510,Units!$A$2:$G$1646,2,FALSE)</f>
        <v/>
      </c>
      <c r="I1510">
        <f>VLOOKUP(B1510,Units!$A$2:$G$1646,5,FALSE)</f>
        <v/>
      </c>
      <c r="J1510" s="3">
        <f>G1510/I1510</f>
        <v/>
      </c>
      <c r="K1510" s="3">
        <f>G1510*12</f>
        <v/>
      </c>
      <c r="L1510" s="3" t="n">
        <v>5670</v>
      </c>
    </row>
    <row r="1511">
      <c r="A1511" t="inlineStr">
        <is>
          <t>TA-2026-00494</t>
        </is>
      </c>
      <c r="B1511" t="inlineStr">
        <is>
          <t>U-ST590-01-06</t>
        </is>
      </c>
      <c r="C1511" t="inlineStr">
        <is>
          <t>Barakah Eye Centre</t>
        </is>
      </c>
      <c r="D1511" t="inlineStr">
        <is>
          <t>Optical</t>
        </is>
      </c>
      <c r="E1511" s="2" t="n">
        <v>46204</v>
      </c>
      <c r="F1511" s="2" t="n">
        <v>47299</v>
      </c>
      <c r="G1511" s="3" t="n">
        <v>2140</v>
      </c>
      <c r="H1511">
        <f>VLOOKUP(B1511,Units!$A$2:$G$1646,2,FALSE)</f>
        <v/>
      </c>
      <c r="I1511">
        <f>VLOOKUP(B1511,Units!$A$2:$G$1646,5,FALSE)</f>
        <v/>
      </c>
      <c r="J1511" s="3">
        <f>G1511/I1511</f>
        <v/>
      </c>
      <c r="K1511" s="3">
        <f>G1511*12</f>
        <v/>
      </c>
      <c r="L1511" s="3" t="n">
        <v>6420</v>
      </c>
    </row>
    <row r="1512">
      <c r="A1512" t="inlineStr">
        <is>
          <t>TA-2026-00495</t>
        </is>
      </c>
      <c r="B1512" t="inlineStr">
        <is>
          <t>U-ST590-02-11</t>
        </is>
      </c>
      <c r="C1512" t="inlineStr">
        <is>
          <t>Lucky Star Childcare</t>
        </is>
      </c>
      <c r="D1512" t="inlineStr">
        <is>
          <t>Childcare Centre</t>
        </is>
      </c>
      <c r="E1512" s="2" t="n">
        <v>46204</v>
      </c>
      <c r="F1512" s="2" t="n">
        <v>47299</v>
      </c>
      <c r="G1512" s="3" t="n">
        <v>2780</v>
      </c>
      <c r="H1512">
        <f>VLOOKUP(B1512,Units!$A$2:$G$1646,2,FALSE)</f>
        <v/>
      </c>
      <c r="I1512">
        <f>VLOOKUP(B1512,Units!$A$2:$G$1646,5,FALSE)</f>
        <v/>
      </c>
      <c r="J1512" s="3">
        <f>G1512/I1512</f>
        <v/>
      </c>
      <c r="K1512" s="3">
        <f>G1512*12</f>
        <v/>
      </c>
      <c r="L1512" s="3" t="n">
        <v>8340</v>
      </c>
    </row>
    <row r="1513">
      <c r="A1513" t="inlineStr">
        <is>
          <t>TA-2026-00497</t>
        </is>
      </c>
      <c r="B1513" t="inlineStr">
        <is>
          <t>U-ST591-01-02</t>
        </is>
      </c>
      <c r="C1513" t="inlineStr">
        <is>
          <t>Thye Hin Tuition Centre Pte Ltd</t>
        </is>
      </c>
      <c r="D1513" t="inlineStr">
        <is>
          <t>Tuition Centre</t>
        </is>
      </c>
      <c r="E1513" s="2" t="n">
        <v>46204</v>
      </c>
      <c r="F1513" s="2" t="n">
        <v>47299</v>
      </c>
      <c r="G1513" s="3" t="n">
        <v>3880</v>
      </c>
      <c r="H1513">
        <f>VLOOKUP(B1513,Units!$A$2:$G$1646,2,FALSE)</f>
        <v/>
      </c>
      <c r="I1513">
        <f>VLOOKUP(B1513,Units!$A$2:$G$1646,5,FALSE)</f>
        <v/>
      </c>
      <c r="J1513" s="3">
        <f>G1513/I1513</f>
        <v/>
      </c>
      <c r="K1513" s="3">
        <f>G1513*12</f>
        <v/>
      </c>
      <c r="L1513" s="3" t="n">
        <v>11640</v>
      </c>
    </row>
    <row r="1514">
      <c r="A1514" t="inlineStr">
        <is>
          <t>TA-2026-00499</t>
        </is>
      </c>
      <c r="B1514" t="inlineStr">
        <is>
          <t>U-BV205-01-03</t>
        </is>
      </c>
      <c r="C1514" t="inlineStr">
        <is>
          <t>Peng Kee Minimart</t>
        </is>
      </c>
      <c r="D1514" t="inlineStr">
        <is>
          <t>Minimart</t>
        </is>
      </c>
      <c r="E1514" s="2" t="n">
        <v>46235</v>
      </c>
      <c r="F1514" s="2" t="n">
        <v>47330</v>
      </c>
      <c r="G1514" s="3" t="n">
        <v>4070</v>
      </c>
      <c r="H1514">
        <f>VLOOKUP(B1514,Units!$A$2:$G$1646,2,FALSE)</f>
        <v/>
      </c>
      <c r="I1514">
        <f>VLOOKUP(B1514,Units!$A$2:$G$1646,5,FALSE)</f>
        <v/>
      </c>
      <c r="J1514" s="3">
        <f>G1514/I1514</f>
        <v/>
      </c>
      <c r="K1514" s="3">
        <f>G1514*12</f>
        <v/>
      </c>
      <c r="L1514" s="3" t="n">
        <v>12210</v>
      </c>
    </row>
    <row r="1515">
      <c r="A1515" t="inlineStr">
        <is>
          <t>TA-2026-00501</t>
        </is>
      </c>
      <c r="B1515" t="inlineStr">
        <is>
          <t>U-BV212-01-01</t>
        </is>
      </c>
      <c r="C1515" t="inlineStr">
        <is>
          <t>Brilliant Mobile</t>
        </is>
      </c>
      <c r="D1515" t="inlineStr">
        <is>
          <t>Mobile Phone &amp; Accessories</t>
        </is>
      </c>
      <c r="E1515" s="2" t="n">
        <v>46235</v>
      </c>
      <c r="F1515" s="2" t="n">
        <v>47330</v>
      </c>
      <c r="G1515" s="3" t="n">
        <v>2420</v>
      </c>
      <c r="H1515">
        <f>VLOOKUP(B1515,Units!$A$2:$G$1646,2,FALSE)</f>
        <v/>
      </c>
      <c r="I1515">
        <f>VLOOKUP(B1515,Units!$A$2:$G$1646,5,FALSE)</f>
        <v/>
      </c>
      <c r="J1515" s="3">
        <f>G1515/I1515</f>
        <v/>
      </c>
      <c r="K1515" s="3">
        <f>G1515*12</f>
        <v/>
      </c>
      <c r="L1515" s="3" t="n">
        <v>7260</v>
      </c>
    </row>
    <row r="1516">
      <c r="A1516" t="inlineStr">
        <is>
          <t>TA-2026-00502</t>
        </is>
      </c>
      <c r="B1516" t="inlineStr">
        <is>
          <t>U-BV214-01-10</t>
        </is>
      </c>
      <c r="C1516" t="inlineStr">
        <is>
          <t>Hometown Store Pte Ltd</t>
        </is>
      </c>
      <c r="D1516" t="inlineStr">
        <is>
          <t>Provision Shop</t>
        </is>
      </c>
      <c r="E1516" s="2" t="n">
        <v>46235</v>
      </c>
      <c r="F1516" s="2" t="n">
        <v>47330</v>
      </c>
      <c r="G1516" s="3" t="n">
        <v>3600</v>
      </c>
      <c r="H1516">
        <f>VLOOKUP(B1516,Units!$A$2:$G$1646,2,FALSE)</f>
        <v/>
      </c>
      <c r="I1516">
        <f>VLOOKUP(B1516,Units!$A$2:$G$1646,5,FALSE)</f>
        <v/>
      </c>
      <c r="J1516" s="3">
        <f>G1516/I1516</f>
        <v/>
      </c>
      <c r="K1516" s="3">
        <f>G1516*12</f>
        <v/>
      </c>
      <c r="L1516" s="3" t="n">
        <v>10800</v>
      </c>
    </row>
    <row r="1517">
      <c r="A1517" t="inlineStr">
        <is>
          <t>TA-2026-00503</t>
        </is>
      </c>
      <c r="B1517" t="inlineStr">
        <is>
          <t>U-BV214-01-15</t>
        </is>
      </c>
      <c r="C1517" t="inlineStr">
        <is>
          <t>Siva Hair Studio Pte Ltd</t>
        </is>
      </c>
      <c r="D1517" t="inlineStr">
        <is>
          <t>Hair Salon</t>
        </is>
      </c>
      <c r="E1517" s="2" t="n">
        <v>46235</v>
      </c>
      <c r="F1517" s="2" t="n">
        <v>47330</v>
      </c>
      <c r="G1517" s="3" t="n">
        <v>5740</v>
      </c>
      <c r="H1517">
        <f>VLOOKUP(B1517,Units!$A$2:$G$1646,2,FALSE)</f>
        <v/>
      </c>
      <c r="I1517">
        <f>VLOOKUP(B1517,Units!$A$2:$G$1646,5,FALSE)</f>
        <v/>
      </c>
      <c r="J1517" s="3">
        <f>G1517/I1517</f>
        <v/>
      </c>
      <c r="K1517" s="3">
        <f>G1517*12</f>
        <v/>
      </c>
      <c r="L1517" s="3" t="n">
        <v>17220</v>
      </c>
    </row>
    <row r="1518">
      <c r="A1518" t="inlineStr">
        <is>
          <t>TA-2026-00504</t>
        </is>
      </c>
      <c r="B1518" t="inlineStr">
        <is>
          <t>U-BV215-01-07</t>
        </is>
      </c>
      <c r="C1518" t="inlineStr">
        <is>
          <t>Soon Hin Confectionery Pte Ltd</t>
        </is>
      </c>
      <c r="D1518" t="inlineStr">
        <is>
          <t>Bakery &amp; Confectionery</t>
        </is>
      </c>
      <c r="E1518" s="2" t="n">
        <v>46235</v>
      </c>
      <c r="F1518" s="2" t="n">
        <v>47330</v>
      </c>
      <c r="G1518" s="3" t="n">
        <v>3340</v>
      </c>
      <c r="H1518">
        <f>VLOOKUP(B1518,Units!$A$2:$G$1646,2,FALSE)</f>
        <v/>
      </c>
      <c r="I1518">
        <f>VLOOKUP(B1518,Units!$A$2:$G$1646,5,FALSE)</f>
        <v/>
      </c>
      <c r="J1518" s="3">
        <f>G1518/I1518</f>
        <v/>
      </c>
      <c r="K1518" s="3">
        <f>G1518*12</f>
        <v/>
      </c>
      <c r="L1518" s="3" t="n">
        <v>10020</v>
      </c>
    </row>
    <row r="1519">
      <c r="A1519" t="inlineStr">
        <is>
          <t>TA-2026-00505</t>
        </is>
      </c>
      <c r="B1519" t="inlineStr">
        <is>
          <t>U-BV229-01-09</t>
        </is>
      </c>
      <c r="C1519" t="inlineStr">
        <is>
          <t>Sejahtera Supermarket</t>
        </is>
      </c>
      <c r="D1519" t="inlineStr">
        <is>
          <t>Minimart</t>
        </is>
      </c>
      <c r="E1519" s="2" t="n">
        <v>46235</v>
      </c>
      <c r="F1519" s="2" t="n">
        <v>47330</v>
      </c>
      <c r="G1519" s="3" t="n">
        <v>2430</v>
      </c>
      <c r="H1519">
        <f>VLOOKUP(B1519,Units!$A$2:$G$1646,2,FALSE)</f>
        <v/>
      </c>
      <c r="I1519">
        <f>VLOOKUP(B1519,Units!$A$2:$G$1646,5,FALSE)</f>
        <v/>
      </c>
      <c r="J1519" s="3">
        <f>G1519/I1519</f>
        <v/>
      </c>
      <c r="K1519" s="3">
        <f>G1519*12</f>
        <v/>
      </c>
      <c r="L1519" s="3" t="n">
        <v>7290</v>
      </c>
    </row>
    <row r="1520">
      <c r="A1520" t="inlineStr">
        <is>
          <t>TA-2026-00507</t>
        </is>
      </c>
      <c r="B1520" t="inlineStr">
        <is>
          <t>U-BV233-01-04</t>
        </is>
      </c>
      <c r="C1520" t="inlineStr">
        <is>
          <t>Bayu Remittance</t>
        </is>
      </c>
      <c r="D1520" t="inlineStr">
        <is>
          <t>Remittance &amp; Money Changer</t>
        </is>
      </c>
      <c r="E1520" s="2" t="n">
        <v>46235</v>
      </c>
      <c r="F1520" s="2" t="n">
        <v>47330</v>
      </c>
      <c r="G1520" s="3" t="n">
        <v>6420</v>
      </c>
      <c r="H1520">
        <f>VLOOKUP(B1520,Units!$A$2:$G$1646,2,FALSE)</f>
        <v/>
      </c>
      <c r="I1520">
        <f>VLOOKUP(B1520,Units!$A$2:$G$1646,5,FALSE)</f>
        <v/>
      </c>
      <c r="J1520" s="3">
        <f>G1520/I1520</f>
        <v/>
      </c>
      <c r="K1520" s="3">
        <f>G1520*12</f>
        <v/>
      </c>
      <c r="L1520" s="3" t="n">
        <v>19260</v>
      </c>
    </row>
    <row r="1521">
      <c r="A1521" t="inlineStr">
        <is>
          <t>TA-2026-00508</t>
        </is>
      </c>
      <c r="B1521" t="inlineStr">
        <is>
          <t>U-BV266-01-04</t>
        </is>
      </c>
      <c r="C1521" t="inlineStr">
        <is>
          <t>Ever Joy Education Hub</t>
        </is>
      </c>
      <c r="D1521" t="inlineStr">
        <is>
          <t>Tuition Centre</t>
        </is>
      </c>
      <c r="E1521" s="2" t="n">
        <v>46235</v>
      </c>
      <c r="F1521" s="2" t="n">
        <v>47330</v>
      </c>
      <c r="G1521" s="3" t="n">
        <v>4500</v>
      </c>
      <c r="H1521">
        <f>VLOOKUP(B1521,Units!$A$2:$G$1646,2,FALSE)</f>
        <v/>
      </c>
      <c r="I1521">
        <f>VLOOKUP(B1521,Units!$A$2:$G$1646,5,FALSE)</f>
        <v/>
      </c>
      <c r="J1521" s="3">
        <f>G1521/I1521</f>
        <v/>
      </c>
      <c r="K1521" s="3">
        <f>G1521*12</f>
        <v/>
      </c>
      <c r="L1521" s="3" t="n">
        <v>13500</v>
      </c>
    </row>
    <row r="1522">
      <c r="A1522" t="inlineStr">
        <is>
          <t>TA-2026-00510</t>
        </is>
      </c>
      <c r="B1522" t="inlineStr">
        <is>
          <t>U-BV277-01-02</t>
        </is>
      </c>
      <c r="C1522" t="inlineStr">
        <is>
          <t>PrimeValue Mart Pte Ltd</t>
        </is>
      </c>
      <c r="D1522" t="inlineStr">
        <is>
          <t>Minimart</t>
        </is>
      </c>
      <c r="E1522" s="2" t="n">
        <v>46235</v>
      </c>
      <c r="F1522" s="2" t="n">
        <v>47330</v>
      </c>
      <c r="G1522" s="3" t="n">
        <v>6380</v>
      </c>
      <c r="H1522">
        <f>VLOOKUP(B1522,Units!$A$2:$G$1646,2,FALSE)</f>
        <v/>
      </c>
      <c r="I1522">
        <f>VLOOKUP(B1522,Units!$A$2:$G$1646,5,FALSE)</f>
        <v/>
      </c>
      <c r="J1522" s="3">
        <f>G1522/I1522</f>
        <v/>
      </c>
      <c r="K1522" s="3">
        <f>G1522*12</f>
        <v/>
      </c>
      <c r="L1522" s="3" t="n">
        <v>19140</v>
      </c>
    </row>
    <row r="1523">
      <c r="A1523" t="inlineStr">
        <is>
          <t>TA-2026-00511</t>
        </is>
      </c>
      <c r="B1523" t="inlineStr">
        <is>
          <t>U-CD105-01-11</t>
        </is>
      </c>
      <c r="C1523" t="inlineStr">
        <is>
          <t>Starlight Laundry</t>
        </is>
      </c>
      <c r="D1523" t="inlineStr">
        <is>
          <t>Laundry</t>
        </is>
      </c>
      <c r="E1523" s="2" t="n">
        <v>46235</v>
      </c>
      <c r="F1523" s="2" t="n">
        <v>47330</v>
      </c>
      <c r="G1523" s="3" t="n">
        <v>4860</v>
      </c>
      <c r="H1523">
        <f>VLOOKUP(B1523,Units!$A$2:$G$1646,2,FALSE)</f>
        <v/>
      </c>
      <c r="I1523">
        <f>VLOOKUP(B1523,Units!$A$2:$G$1646,5,FALSE)</f>
        <v/>
      </c>
      <c r="J1523" s="3">
        <f>G1523/I1523</f>
        <v/>
      </c>
      <c r="K1523" s="3">
        <f>G1523*12</f>
        <v/>
      </c>
      <c r="L1523" s="3" t="n">
        <v>14580</v>
      </c>
    </row>
    <row r="1524">
      <c r="A1524" t="inlineStr">
        <is>
          <t>TA-2026-00512</t>
        </is>
      </c>
      <c r="B1524" t="inlineStr">
        <is>
          <t>U-CD108-01-04</t>
        </is>
      </c>
      <c r="C1524" t="inlineStr">
        <is>
          <t>Rainbow Provision Shop Pte Ltd</t>
        </is>
      </c>
      <c r="D1524" t="inlineStr">
        <is>
          <t>Provision Shop</t>
        </is>
      </c>
      <c r="E1524" s="2" t="n">
        <v>46235</v>
      </c>
      <c r="F1524" s="2" t="n">
        <v>47330</v>
      </c>
      <c r="G1524" s="3" t="n">
        <v>1960</v>
      </c>
      <c r="H1524">
        <f>VLOOKUP(B1524,Units!$A$2:$G$1646,2,FALSE)</f>
        <v/>
      </c>
      <c r="I1524">
        <f>VLOOKUP(B1524,Units!$A$2:$G$1646,5,FALSE)</f>
        <v/>
      </c>
      <c r="J1524" s="3">
        <f>G1524/I1524</f>
        <v/>
      </c>
      <c r="K1524" s="3">
        <f>G1524*12</f>
        <v/>
      </c>
      <c r="L1524" s="3" t="n">
        <v>5880</v>
      </c>
    </row>
    <row r="1525">
      <c r="A1525" t="inlineStr">
        <is>
          <t>TA-2026-00513</t>
        </is>
      </c>
      <c r="B1525" t="inlineStr">
        <is>
          <t>U-CD108-01-07</t>
        </is>
      </c>
      <c r="C1525" t="inlineStr">
        <is>
          <t>Suria Bookstore Pte Ltd</t>
        </is>
      </c>
      <c r="D1525" t="inlineStr">
        <is>
          <t>Stationery &amp; Books</t>
        </is>
      </c>
      <c r="E1525" s="2" t="n">
        <v>46235</v>
      </c>
      <c r="F1525" s="2" t="n">
        <v>47330</v>
      </c>
      <c r="G1525" s="3" t="n">
        <v>2970</v>
      </c>
      <c r="H1525">
        <f>VLOOKUP(B1525,Units!$A$2:$G$1646,2,FALSE)</f>
        <v/>
      </c>
      <c r="I1525">
        <f>VLOOKUP(B1525,Units!$A$2:$G$1646,5,FALSE)</f>
        <v/>
      </c>
      <c r="J1525" s="3">
        <f>G1525/I1525</f>
        <v/>
      </c>
      <c r="K1525" s="3">
        <f>G1525*12</f>
        <v/>
      </c>
      <c r="L1525" s="3" t="n">
        <v>8910</v>
      </c>
    </row>
    <row r="1526">
      <c r="A1526" t="inlineStr">
        <is>
          <t>TA-2026-00515</t>
        </is>
      </c>
      <c r="B1526" t="inlineStr">
        <is>
          <t>U-CD108-01-11</t>
        </is>
      </c>
      <c r="C1526" t="inlineStr">
        <is>
          <t>Lim's Hair Salon Pte Ltd</t>
        </is>
      </c>
      <c r="D1526" t="inlineStr">
        <is>
          <t>Hair Salon</t>
        </is>
      </c>
      <c r="E1526" s="2" t="n">
        <v>46235</v>
      </c>
      <c r="F1526" s="2" t="n">
        <v>47330</v>
      </c>
      <c r="G1526" s="3" t="n">
        <v>3190</v>
      </c>
      <c r="H1526">
        <f>VLOOKUP(B1526,Units!$A$2:$G$1646,2,FALSE)</f>
        <v/>
      </c>
      <c r="I1526">
        <f>VLOOKUP(B1526,Units!$A$2:$G$1646,5,FALSE)</f>
        <v/>
      </c>
      <c r="J1526" s="3">
        <f>G1526/I1526</f>
        <v/>
      </c>
      <c r="K1526" s="3">
        <f>G1526*12</f>
        <v/>
      </c>
      <c r="L1526" s="3" t="n">
        <v>9570</v>
      </c>
    </row>
    <row r="1527">
      <c r="A1527" t="inlineStr">
        <is>
          <t>TA-2026-00516</t>
        </is>
      </c>
      <c r="B1527" t="inlineStr">
        <is>
          <t>U-CD108-02-03</t>
        </is>
      </c>
      <c r="C1527" t="inlineStr">
        <is>
          <t>Cosy Dental Surgery Pte Ltd</t>
        </is>
      </c>
      <c r="D1527" t="inlineStr">
        <is>
          <t>Dental Clinic</t>
        </is>
      </c>
      <c r="E1527" s="2" t="n">
        <v>46235</v>
      </c>
      <c r="F1527" s="2" t="n">
        <v>47330</v>
      </c>
      <c r="G1527" s="3" t="n">
        <v>3590</v>
      </c>
      <c r="H1527">
        <f>VLOOKUP(B1527,Units!$A$2:$G$1646,2,FALSE)</f>
        <v/>
      </c>
      <c r="I1527">
        <f>VLOOKUP(B1527,Units!$A$2:$G$1646,5,FALSE)</f>
        <v/>
      </c>
      <c r="J1527" s="3">
        <f>G1527/I1527</f>
        <v/>
      </c>
      <c r="K1527" s="3">
        <f>G1527*12</f>
        <v/>
      </c>
      <c r="L1527" s="3" t="n">
        <v>10770</v>
      </c>
    </row>
    <row r="1528">
      <c r="A1528" t="inlineStr">
        <is>
          <t>TA-2026-00518</t>
        </is>
      </c>
      <c r="B1528" t="inlineStr">
        <is>
          <t>U-CD109-01-02</t>
        </is>
      </c>
      <c r="C1528" t="inlineStr">
        <is>
          <t>Bright Path Laundry</t>
        </is>
      </c>
      <c r="D1528" t="inlineStr">
        <is>
          <t>Laundry</t>
        </is>
      </c>
      <c r="E1528" s="2" t="n">
        <v>46235</v>
      </c>
      <c r="F1528" s="2" t="n">
        <v>47330</v>
      </c>
      <c r="G1528" s="3" t="n">
        <v>2520</v>
      </c>
      <c r="H1528">
        <f>VLOOKUP(B1528,Units!$A$2:$G$1646,2,FALSE)</f>
        <v/>
      </c>
      <c r="I1528">
        <f>VLOOKUP(B1528,Units!$A$2:$G$1646,5,FALSE)</f>
        <v/>
      </c>
      <c r="J1528" s="3">
        <f>G1528/I1528</f>
        <v/>
      </c>
      <c r="K1528" s="3">
        <f>G1528*12</f>
        <v/>
      </c>
      <c r="L1528" s="3" t="n">
        <v>7560</v>
      </c>
    </row>
    <row r="1529">
      <c r="A1529" t="inlineStr">
        <is>
          <t>TA-2026-00520</t>
        </is>
      </c>
      <c r="B1529" t="inlineStr">
        <is>
          <t>U-CD133-01-06</t>
        </is>
      </c>
      <c r="C1529" t="inlineStr">
        <is>
          <t>Brilliant Money Changer</t>
        </is>
      </c>
      <c r="D1529" t="inlineStr">
        <is>
          <t>Remittance &amp; Money Changer</t>
        </is>
      </c>
      <c r="E1529" s="2" t="n">
        <v>46235</v>
      </c>
      <c r="F1529" s="2" t="n">
        <v>47330</v>
      </c>
      <c r="G1529" s="3" t="n">
        <v>3170</v>
      </c>
      <c r="H1529">
        <f>VLOOKUP(B1529,Units!$A$2:$G$1646,2,FALSE)</f>
        <v/>
      </c>
      <c r="I1529">
        <f>VLOOKUP(B1529,Units!$A$2:$G$1646,5,FALSE)</f>
        <v/>
      </c>
      <c r="J1529" s="3">
        <f>G1529/I1529</f>
        <v/>
      </c>
      <c r="K1529" s="3">
        <f>G1529*12</f>
        <v/>
      </c>
      <c r="L1529" s="3" t="n">
        <v>9510</v>
      </c>
    </row>
    <row r="1530">
      <c r="A1530" t="inlineStr">
        <is>
          <t>TA-2026-00521</t>
        </is>
      </c>
      <c r="B1530" t="inlineStr">
        <is>
          <t>U-CD142-01-09</t>
        </is>
      </c>
      <c r="C1530" t="inlineStr">
        <is>
          <t>Hup Seng Remittance</t>
        </is>
      </c>
      <c r="D1530" t="inlineStr">
        <is>
          <t>Remittance &amp; Money Changer</t>
        </is>
      </c>
      <c r="E1530" s="2" t="n">
        <v>46235</v>
      </c>
      <c r="F1530" s="2" t="n">
        <v>47330</v>
      </c>
      <c r="G1530" s="3" t="n">
        <v>920</v>
      </c>
      <c r="H1530">
        <f>VLOOKUP(B1530,Units!$A$2:$G$1646,2,FALSE)</f>
        <v/>
      </c>
      <c r="I1530">
        <f>VLOOKUP(B1530,Units!$A$2:$G$1646,5,FALSE)</f>
        <v/>
      </c>
      <c r="J1530" s="3">
        <f>G1530/I1530</f>
        <v/>
      </c>
      <c r="K1530" s="3">
        <f>G1530*12</f>
        <v/>
      </c>
      <c r="L1530" s="3" t="n">
        <v>2760</v>
      </c>
    </row>
    <row r="1531">
      <c r="A1531" t="inlineStr">
        <is>
          <t>TA-2026-00522</t>
        </is>
      </c>
      <c r="B1531" t="inlineStr">
        <is>
          <t>U-CD143-01-10</t>
        </is>
      </c>
      <c r="C1531" t="inlineStr">
        <is>
          <t>Silver Moon Supermarket Pte Ltd</t>
        </is>
      </c>
      <c r="D1531" t="inlineStr">
        <is>
          <t>Minimart</t>
        </is>
      </c>
      <c r="E1531" s="2" t="n">
        <v>46235</v>
      </c>
      <c r="F1531" s="2" t="n">
        <v>47330</v>
      </c>
      <c r="G1531" s="3" t="n">
        <v>3520</v>
      </c>
      <c r="H1531">
        <f>VLOOKUP(B1531,Units!$A$2:$G$1646,2,FALSE)</f>
        <v/>
      </c>
      <c r="I1531">
        <f>VLOOKUP(B1531,Units!$A$2:$G$1646,5,FALSE)</f>
        <v/>
      </c>
      <c r="J1531" s="3">
        <f>G1531/I1531</f>
        <v/>
      </c>
      <c r="K1531" s="3">
        <f>G1531*12</f>
        <v/>
      </c>
      <c r="L1531" s="3" t="n">
        <v>10560</v>
      </c>
    </row>
    <row r="1532">
      <c r="A1532" t="inlineStr">
        <is>
          <t>TA-2026-00523</t>
        </is>
      </c>
      <c r="B1532" t="inlineStr">
        <is>
          <t>U-CD160-01-13</t>
        </is>
      </c>
      <c r="C1532" t="inlineStr">
        <is>
          <t>PrimeValue Mart Pte Ltd</t>
        </is>
      </c>
      <c r="D1532" t="inlineStr">
        <is>
          <t>Minimart</t>
        </is>
      </c>
      <c r="E1532" s="2" t="n">
        <v>46235</v>
      </c>
      <c r="F1532" s="2" t="n">
        <v>47330</v>
      </c>
      <c r="G1532" s="3" t="n">
        <v>3460</v>
      </c>
      <c r="H1532">
        <f>VLOOKUP(B1532,Units!$A$2:$G$1646,2,FALSE)</f>
        <v/>
      </c>
      <c r="I1532">
        <f>VLOOKUP(B1532,Units!$A$2:$G$1646,5,FALSE)</f>
        <v/>
      </c>
      <c r="J1532" s="3">
        <f>G1532/I1532</f>
        <v/>
      </c>
      <c r="K1532" s="3">
        <f>G1532*12</f>
        <v/>
      </c>
      <c r="L1532" s="3" t="n">
        <v>10380</v>
      </c>
    </row>
    <row r="1533">
      <c r="A1533" t="inlineStr">
        <is>
          <t>TA-2026-00525</t>
        </is>
      </c>
      <c r="B1533" t="inlineStr">
        <is>
          <t>U-CD170-01-12</t>
        </is>
      </c>
      <c r="C1533" t="inlineStr">
        <is>
          <t>Lucky Star Supermarket</t>
        </is>
      </c>
      <c r="D1533" t="inlineStr">
        <is>
          <t>Minimart</t>
        </is>
      </c>
      <c r="E1533" s="2" t="n">
        <v>46235</v>
      </c>
      <c r="F1533" s="2" t="n">
        <v>47330</v>
      </c>
      <c r="G1533" s="3" t="n">
        <v>3020</v>
      </c>
      <c r="H1533">
        <f>VLOOKUP(B1533,Units!$A$2:$G$1646,2,FALSE)</f>
        <v/>
      </c>
      <c r="I1533">
        <f>VLOOKUP(B1533,Units!$A$2:$G$1646,5,FALSE)</f>
        <v/>
      </c>
      <c r="J1533" s="3">
        <f>G1533/I1533</f>
        <v/>
      </c>
      <c r="K1533" s="3">
        <f>G1533*12</f>
        <v/>
      </c>
      <c r="L1533" s="3" t="n">
        <v>9060</v>
      </c>
    </row>
    <row r="1534">
      <c r="A1534" t="inlineStr">
        <is>
          <t>TA-2026-00526</t>
        </is>
      </c>
      <c r="B1534" t="inlineStr">
        <is>
          <t>U-CD170-02-02</t>
        </is>
      </c>
      <c r="C1534" t="inlineStr">
        <is>
          <t>Fortune Education Hub</t>
        </is>
      </c>
      <c r="D1534" t="inlineStr">
        <is>
          <t>Tuition Centre</t>
        </is>
      </c>
      <c r="E1534" s="2" t="n">
        <v>46235</v>
      </c>
      <c r="F1534" s="2" t="n">
        <v>47330</v>
      </c>
      <c r="G1534" s="3" t="n">
        <v>1970</v>
      </c>
      <c r="H1534">
        <f>VLOOKUP(B1534,Units!$A$2:$G$1646,2,FALSE)</f>
        <v/>
      </c>
      <c r="I1534">
        <f>VLOOKUP(B1534,Units!$A$2:$G$1646,5,FALSE)</f>
        <v/>
      </c>
      <c r="J1534" s="3">
        <f>G1534/I1534</f>
        <v/>
      </c>
      <c r="K1534" s="3">
        <f>G1534*12</f>
        <v/>
      </c>
      <c r="L1534" s="3" t="n">
        <v>5910</v>
      </c>
    </row>
    <row r="1535">
      <c r="A1535" t="inlineStr">
        <is>
          <t>TA-2026-00528</t>
        </is>
      </c>
      <c r="B1535" t="inlineStr">
        <is>
          <t>U-CD174-01-12</t>
        </is>
      </c>
      <c r="C1535" t="inlineStr">
        <is>
          <t>Wisdom Minimart Pte Ltd</t>
        </is>
      </c>
      <c r="D1535" t="inlineStr">
        <is>
          <t>Minimart</t>
        </is>
      </c>
      <c r="E1535" s="2" t="n">
        <v>46235</v>
      </c>
      <c r="F1535" s="2" t="n">
        <v>47330</v>
      </c>
      <c r="G1535" s="3" t="n">
        <v>3910</v>
      </c>
      <c r="H1535">
        <f>VLOOKUP(B1535,Units!$A$2:$G$1646,2,FALSE)</f>
        <v/>
      </c>
      <c r="I1535">
        <f>VLOOKUP(B1535,Units!$A$2:$G$1646,5,FALSE)</f>
        <v/>
      </c>
      <c r="J1535" s="3">
        <f>G1535/I1535</f>
        <v/>
      </c>
      <c r="K1535" s="3">
        <f>G1535*12</f>
        <v/>
      </c>
      <c r="L1535" s="3" t="n">
        <v>11730</v>
      </c>
    </row>
    <row r="1536">
      <c r="A1536" t="inlineStr">
        <is>
          <t>TA-2026-00530</t>
        </is>
      </c>
      <c r="B1536" t="inlineStr">
        <is>
          <t>U-KR305-01-04</t>
        </is>
      </c>
      <c r="C1536" t="inlineStr">
        <is>
          <t>Chin Lee Remittance</t>
        </is>
      </c>
      <c r="D1536" t="inlineStr">
        <is>
          <t>Remittance &amp; Money Changer</t>
        </is>
      </c>
      <c r="E1536" s="2" t="n">
        <v>46235</v>
      </c>
      <c r="F1536" s="2" t="n">
        <v>47330</v>
      </c>
      <c r="G1536" s="3" t="n">
        <v>920</v>
      </c>
      <c r="H1536">
        <f>VLOOKUP(B1536,Units!$A$2:$G$1646,2,FALSE)</f>
        <v/>
      </c>
      <c r="I1536">
        <f>VLOOKUP(B1536,Units!$A$2:$G$1646,5,FALSE)</f>
        <v/>
      </c>
      <c r="J1536" s="3">
        <f>G1536/I1536</f>
        <v/>
      </c>
      <c r="K1536" s="3">
        <f>G1536*12</f>
        <v/>
      </c>
      <c r="L1536" s="3" t="n">
        <v>2760</v>
      </c>
    </row>
    <row r="1537">
      <c r="A1537" t="inlineStr">
        <is>
          <t>TA-2026-00532</t>
        </is>
      </c>
      <c r="B1537" t="inlineStr">
        <is>
          <t>U-KR305-01-20</t>
        </is>
      </c>
      <c r="C1537" t="inlineStr">
        <is>
          <t>Smart Kids Bubble Tea</t>
        </is>
      </c>
      <c r="D1537" t="inlineStr">
        <is>
          <t>Bubble Tea</t>
        </is>
      </c>
      <c r="E1537" s="2" t="n">
        <v>46235</v>
      </c>
      <c r="F1537" s="2" t="n">
        <v>47330</v>
      </c>
      <c r="G1537" s="3" t="n">
        <v>2450</v>
      </c>
      <c r="H1537">
        <f>VLOOKUP(B1537,Units!$A$2:$G$1646,2,FALSE)</f>
        <v/>
      </c>
      <c r="I1537">
        <f>VLOOKUP(B1537,Units!$A$2:$G$1646,5,FALSE)</f>
        <v/>
      </c>
      <c r="J1537" s="3">
        <f>G1537/I1537</f>
        <v/>
      </c>
      <c r="K1537" s="3">
        <f>G1537*12</f>
        <v/>
      </c>
      <c r="L1537" s="3" t="n">
        <v>7350</v>
      </c>
    </row>
    <row r="1538">
      <c r="A1538" t="inlineStr">
        <is>
          <t>TA-2026-00534</t>
        </is>
      </c>
      <c r="B1538" t="inlineStr">
        <is>
          <t>U-KR305-01-23</t>
        </is>
      </c>
      <c r="C1538" t="inlineStr">
        <is>
          <t>Golden Leaf Learning Centre</t>
        </is>
      </c>
      <c r="D1538" t="inlineStr">
        <is>
          <t>Tuition Centre</t>
        </is>
      </c>
      <c r="E1538" s="2" t="n">
        <v>46235</v>
      </c>
      <c r="F1538" s="2" t="n">
        <v>47330</v>
      </c>
      <c r="G1538" s="3" t="n">
        <v>1680</v>
      </c>
      <c r="H1538">
        <f>VLOOKUP(B1538,Units!$A$2:$G$1646,2,FALSE)</f>
        <v/>
      </c>
      <c r="I1538">
        <f>VLOOKUP(B1538,Units!$A$2:$G$1646,5,FALSE)</f>
        <v/>
      </c>
      <c r="J1538" s="3">
        <f>G1538/I1538</f>
        <v/>
      </c>
      <c r="K1538" s="3">
        <f>G1538*12</f>
        <v/>
      </c>
      <c r="L1538" s="3" t="n">
        <v>5040</v>
      </c>
    </row>
    <row r="1539">
      <c r="A1539" t="inlineStr">
        <is>
          <t>TA-2026-00535</t>
        </is>
      </c>
      <c r="B1539" t="inlineStr">
        <is>
          <t>U-KR329-01-09</t>
        </is>
      </c>
      <c r="C1539" t="inlineStr">
        <is>
          <t>Amanah Hair Studio Pte Ltd</t>
        </is>
      </c>
      <c r="D1539" t="inlineStr">
        <is>
          <t>Hair Salon</t>
        </is>
      </c>
      <c r="E1539" s="2" t="n">
        <v>46235</v>
      </c>
      <c r="F1539" s="2" t="n">
        <v>47330</v>
      </c>
      <c r="G1539" s="3" t="n">
        <v>2850</v>
      </c>
      <c r="H1539">
        <f>VLOOKUP(B1539,Units!$A$2:$G$1646,2,FALSE)</f>
        <v/>
      </c>
      <c r="I1539">
        <f>VLOOKUP(B1539,Units!$A$2:$G$1646,5,FALSE)</f>
        <v/>
      </c>
      <c r="J1539" s="3">
        <f>G1539/I1539</f>
        <v/>
      </c>
      <c r="K1539" s="3">
        <f>G1539*12</f>
        <v/>
      </c>
      <c r="L1539" s="3" t="n">
        <v>8550</v>
      </c>
    </row>
    <row r="1540">
      <c r="A1540" t="inlineStr">
        <is>
          <t>TA-2026-00537</t>
        </is>
      </c>
      <c r="B1540" t="inlineStr">
        <is>
          <t>U-KR333-01-07</t>
        </is>
      </c>
      <c r="C1540" t="inlineStr">
        <is>
          <t>Hometown Tea House Pte Ltd</t>
        </is>
      </c>
      <c r="D1540" t="inlineStr">
        <is>
          <t>Bubble Tea</t>
        </is>
      </c>
      <c r="E1540" s="2" t="n">
        <v>46235</v>
      </c>
      <c r="F1540" s="2" t="n">
        <v>47330</v>
      </c>
      <c r="G1540" s="3" t="n">
        <v>3010</v>
      </c>
      <c r="H1540">
        <f>VLOOKUP(B1540,Units!$A$2:$G$1646,2,FALSE)</f>
        <v/>
      </c>
      <c r="I1540">
        <f>VLOOKUP(B1540,Units!$A$2:$G$1646,5,FALSE)</f>
        <v/>
      </c>
      <c r="J1540" s="3">
        <f>G1540/I1540</f>
        <v/>
      </c>
      <c r="K1540" s="3">
        <f>G1540*12</f>
        <v/>
      </c>
      <c r="L1540" s="3" t="n">
        <v>9030</v>
      </c>
    </row>
    <row r="1541">
      <c r="A1541" t="inlineStr">
        <is>
          <t>TA-2026-00538</t>
        </is>
      </c>
      <c r="B1541" t="inlineStr">
        <is>
          <t>U-KR345-01-13</t>
        </is>
      </c>
      <c r="C1541" t="inlineStr">
        <is>
          <t>Swee Heng Optical Pte Ltd</t>
        </is>
      </c>
      <c r="D1541" t="inlineStr">
        <is>
          <t>Optical</t>
        </is>
      </c>
      <c r="E1541" s="2" t="n">
        <v>46235</v>
      </c>
      <c r="F1541" s="2" t="n">
        <v>47330</v>
      </c>
      <c r="G1541" s="3" t="n">
        <v>2370</v>
      </c>
      <c r="H1541">
        <f>VLOOKUP(B1541,Units!$A$2:$G$1646,2,FALSE)</f>
        <v/>
      </c>
      <c r="I1541">
        <f>VLOOKUP(B1541,Units!$A$2:$G$1646,5,FALSE)</f>
        <v/>
      </c>
      <c r="J1541" s="3">
        <f>G1541/I1541</f>
        <v/>
      </c>
      <c r="K1541" s="3">
        <f>G1541*12</f>
        <v/>
      </c>
      <c r="L1541" s="3" t="n">
        <v>7110</v>
      </c>
    </row>
    <row r="1542">
      <c r="A1542" t="inlineStr">
        <is>
          <t>TA-2026-00540</t>
        </is>
      </c>
      <c r="B1542" t="inlineStr">
        <is>
          <t>U-KR349-01-07</t>
        </is>
      </c>
      <c r="C1542" t="inlineStr">
        <is>
          <t>Kampung Learning Centre</t>
        </is>
      </c>
      <c r="D1542" t="inlineStr">
        <is>
          <t>Tuition Centre</t>
        </is>
      </c>
      <c r="E1542" s="2" t="n">
        <v>46235</v>
      </c>
      <c r="F1542" s="2" t="n">
        <v>47330</v>
      </c>
      <c r="G1542" s="3" t="n">
        <v>4470</v>
      </c>
      <c r="H1542">
        <f>VLOOKUP(B1542,Units!$A$2:$G$1646,2,FALSE)</f>
        <v/>
      </c>
      <c r="I1542">
        <f>VLOOKUP(B1542,Units!$A$2:$G$1646,5,FALSE)</f>
        <v/>
      </c>
      <c r="J1542" s="3">
        <f>G1542/I1542</f>
        <v/>
      </c>
      <c r="K1542" s="3">
        <f>G1542*12</f>
        <v/>
      </c>
      <c r="L1542" s="3" t="n">
        <v>13410</v>
      </c>
    </row>
    <row r="1543">
      <c r="A1543" t="inlineStr">
        <is>
          <t>TA-2026-00542</t>
        </is>
      </c>
      <c r="B1543" t="inlineStr">
        <is>
          <t>U-KR359-01-03</t>
        </is>
      </c>
      <c r="C1543" t="inlineStr">
        <is>
          <t>Cahaya Family Clinic Pte Ltd</t>
        </is>
      </c>
      <c r="D1543" t="inlineStr">
        <is>
          <t>GP Clinic</t>
        </is>
      </c>
      <c r="E1543" s="2" t="n">
        <v>46235</v>
      </c>
      <c r="F1543" s="2" t="n">
        <v>47330</v>
      </c>
      <c r="G1543" s="3" t="n">
        <v>3980</v>
      </c>
      <c r="H1543">
        <f>VLOOKUP(B1543,Units!$A$2:$G$1646,2,FALSE)</f>
        <v/>
      </c>
      <c r="I1543">
        <f>VLOOKUP(B1543,Units!$A$2:$G$1646,5,FALSE)</f>
        <v/>
      </c>
      <c r="J1543" s="3">
        <f>G1543/I1543</f>
        <v/>
      </c>
      <c r="K1543" s="3">
        <f>G1543*12</f>
        <v/>
      </c>
      <c r="L1543" s="3" t="n">
        <v>11940</v>
      </c>
    </row>
    <row r="1544">
      <c r="A1544" t="inlineStr">
        <is>
          <t>TA-2026-00543</t>
        </is>
      </c>
      <c r="B1544" t="inlineStr">
        <is>
          <t>U-KR359-01-11</t>
        </is>
      </c>
      <c r="C1544" t="inlineStr">
        <is>
          <t>Old Town Bakery Pte Ltd</t>
        </is>
      </c>
      <c r="D1544" t="inlineStr">
        <is>
          <t>Bakery &amp; Confectionery</t>
        </is>
      </c>
      <c r="E1544" s="2" t="n">
        <v>46235</v>
      </c>
      <c r="F1544" s="2" t="n">
        <v>47330</v>
      </c>
      <c r="G1544" s="3" t="n">
        <v>4180</v>
      </c>
      <c r="H1544">
        <f>VLOOKUP(B1544,Units!$A$2:$G$1646,2,FALSE)</f>
        <v/>
      </c>
      <c r="I1544">
        <f>VLOOKUP(B1544,Units!$A$2:$G$1646,5,FALSE)</f>
        <v/>
      </c>
      <c r="J1544" s="3">
        <f>G1544/I1544</f>
        <v/>
      </c>
      <c r="K1544" s="3">
        <f>G1544*12</f>
        <v/>
      </c>
      <c r="L1544" s="3" t="n">
        <v>12540</v>
      </c>
    </row>
    <row r="1545">
      <c r="A1545" t="inlineStr">
        <is>
          <t>TA-2026-00545</t>
        </is>
      </c>
      <c r="B1545" t="inlineStr">
        <is>
          <t>U-KR362-01-03</t>
        </is>
      </c>
      <c r="C1545" t="inlineStr">
        <is>
          <t>Orchid Supermarket Pte Ltd</t>
        </is>
      </c>
      <c r="D1545" t="inlineStr">
        <is>
          <t>Minimart</t>
        </is>
      </c>
      <c r="E1545" s="2" t="n">
        <v>46235</v>
      </c>
      <c r="F1545" s="2" t="n">
        <v>47330</v>
      </c>
      <c r="G1545" s="3" t="n">
        <v>4350</v>
      </c>
      <c r="H1545">
        <f>VLOOKUP(B1545,Units!$A$2:$G$1646,2,FALSE)</f>
        <v/>
      </c>
      <c r="I1545">
        <f>VLOOKUP(B1545,Units!$A$2:$G$1646,5,FALSE)</f>
        <v/>
      </c>
      <c r="J1545" s="3">
        <f>G1545/I1545</f>
        <v/>
      </c>
      <c r="K1545" s="3">
        <f>G1545*12</f>
        <v/>
      </c>
      <c r="L1545" s="3" t="n">
        <v>13050</v>
      </c>
    </row>
    <row r="1546">
      <c r="A1546" t="inlineStr">
        <is>
          <t>TA-2026-00546</t>
        </is>
      </c>
      <c r="B1546" t="inlineStr">
        <is>
          <t>U-KR368-01-06</t>
        </is>
      </c>
      <c r="C1546" t="inlineStr">
        <is>
          <t>Unity Mobile Pte Ltd</t>
        </is>
      </c>
      <c r="D1546" t="inlineStr">
        <is>
          <t>Mobile Phone &amp; Accessories</t>
        </is>
      </c>
      <c r="E1546" s="2" t="n">
        <v>46235</v>
      </c>
      <c r="F1546" s="2" t="n">
        <v>47330</v>
      </c>
      <c r="G1546" s="3" t="n">
        <v>4790</v>
      </c>
      <c r="H1546">
        <f>VLOOKUP(B1546,Units!$A$2:$G$1646,2,FALSE)</f>
        <v/>
      </c>
      <c r="I1546">
        <f>VLOOKUP(B1546,Units!$A$2:$G$1646,5,FALSE)</f>
        <v/>
      </c>
      <c r="J1546" s="3">
        <f>G1546/I1546</f>
        <v/>
      </c>
      <c r="K1546" s="3">
        <f>G1546*12</f>
        <v/>
      </c>
      <c r="L1546" s="3" t="n">
        <v>14370</v>
      </c>
    </row>
    <row r="1547">
      <c r="A1547" t="inlineStr">
        <is>
          <t>TA-2026-00547</t>
        </is>
      </c>
      <c r="B1547" t="inlineStr">
        <is>
          <t>U-KR385-01-07</t>
        </is>
      </c>
      <c r="C1547" t="inlineStr">
        <is>
          <t>Rainbow Family Clinic</t>
        </is>
      </c>
      <c r="D1547" t="inlineStr">
        <is>
          <t>GP Clinic</t>
        </is>
      </c>
      <c r="E1547" s="2" t="n">
        <v>46235</v>
      </c>
      <c r="F1547" s="2" t="n">
        <v>47330</v>
      </c>
      <c r="G1547" s="3" t="n">
        <v>3230</v>
      </c>
      <c r="H1547">
        <f>VLOOKUP(B1547,Units!$A$2:$G$1646,2,FALSE)</f>
        <v/>
      </c>
      <c r="I1547">
        <f>VLOOKUP(B1547,Units!$A$2:$G$1646,5,FALSE)</f>
        <v/>
      </c>
      <c r="J1547" s="3">
        <f>G1547/I1547</f>
        <v/>
      </c>
      <c r="K1547" s="3">
        <f>G1547*12</f>
        <v/>
      </c>
      <c r="L1547" s="3" t="n">
        <v>9690</v>
      </c>
    </row>
    <row r="1548">
      <c r="A1548" t="inlineStr">
        <is>
          <t>TA-2026-00548</t>
        </is>
      </c>
      <c r="B1548" t="inlineStr">
        <is>
          <t>U-PI601-01-08</t>
        </is>
      </c>
      <c r="C1548" t="inlineStr">
        <is>
          <t>Nur Florist Pte Ltd</t>
        </is>
      </c>
      <c r="D1548" t="inlineStr">
        <is>
          <t>Florist</t>
        </is>
      </c>
      <c r="E1548" s="2" t="n">
        <v>46235</v>
      </c>
      <c r="F1548" s="2" t="n">
        <v>47330</v>
      </c>
      <c r="G1548" s="3" t="n">
        <v>3210</v>
      </c>
      <c r="H1548">
        <f>VLOOKUP(B1548,Units!$A$2:$G$1646,2,FALSE)</f>
        <v/>
      </c>
      <c r="I1548">
        <f>VLOOKUP(B1548,Units!$A$2:$G$1646,5,FALSE)</f>
        <v/>
      </c>
      <c r="J1548" s="3">
        <f>G1548/I1548</f>
        <v/>
      </c>
      <c r="K1548" s="3">
        <f>G1548*12</f>
        <v/>
      </c>
      <c r="L1548" s="3" t="n">
        <v>9630</v>
      </c>
    </row>
    <row r="1549">
      <c r="A1549" t="inlineStr">
        <is>
          <t>TA-2026-00549</t>
        </is>
      </c>
      <c r="B1549" t="inlineStr">
        <is>
          <t>U-PI614-01-01</t>
        </is>
      </c>
      <c r="C1549" t="inlineStr">
        <is>
          <t>Siva Restaurant</t>
        </is>
      </c>
      <c r="D1549" t="inlineStr">
        <is>
          <t>Restaurant</t>
        </is>
      </c>
      <c r="E1549" s="2" t="n">
        <v>46235</v>
      </c>
      <c r="F1549" s="2" t="n">
        <v>47330</v>
      </c>
      <c r="G1549" s="3" t="n">
        <v>4920</v>
      </c>
      <c r="H1549">
        <f>VLOOKUP(B1549,Units!$A$2:$G$1646,2,FALSE)</f>
        <v/>
      </c>
      <c r="I1549">
        <f>VLOOKUP(B1549,Units!$A$2:$G$1646,5,FALSE)</f>
        <v/>
      </c>
      <c r="J1549" s="3">
        <f>G1549/I1549</f>
        <v/>
      </c>
      <c r="K1549" s="3">
        <f>G1549*12</f>
        <v/>
      </c>
      <c r="L1549" s="3" t="n">
        <v>14760</v>
      </c>
    </row>
    <row r="1550">
      <c r="A1550" t="inlineStr">
        <is>
          <t>TA-2026-00550</t>
        </is>
      </c>
      <c r="B1550" t="inlineStr">
        <is>
          <t>U-PI634-01-08</t>
        </is>
      </c>
      <c r="C1550" t="inlineStr">
        <is>
          <t>Prima Flowers &amp; Gifts</t>
        </is>
      </c>
      <c r="D1550" t="inlineStr">
        <is>
          <t>Florist</t>
        </is>
      </c>
      <c r="E1550" s="2" t="n">
        <v>46235</v>
      </c>
      <c r="F1550" s="2" t="n">
        <v>47330</v>
      </c>
      <c r="G1550" s="3" t="n">
        <v>1160</v>
      </c>
      <c r="H1550">
        <f>VLOOKUP(B1550,Units!$A$2:$G$1646,2,FALSE)</f>
        <v/>
      </c>
      <c r="I1550">
        <f>VLOOKUP(B1550,Units!$A$2:$G$1646,5,FALSE)</f>
        <v/>
      </c>
      <c r="J1550" s="3">
        <f>G1550/I1550</f>
        <v/>
      </c>
      <c r="K1550" s="3">
        <f>G1550*12</f>
        <v/>
      </c>
      <c r="L1550" s="3" t="n">
        <v>3480</v>
      </c>
    </row>
    <row r="1551">
      <c r="A1551" t="inlineStr">
        <is>
          <t>TA-2026-00552</t>
        </is>
      </c>
      <c r="B1551" t="inlineStr">
        <is>
          <t>U-PI667-01-05</t>
        </is>
      </c>
      <c r="C1551" t="inlineStr">
        <is>
          <t>PrimeValue Mart Pte Ltd</t>
        </is>
      </c>
      <c r="D1551" t="inlineStr">
        <is>
          <t>Minimart</t>
        </is>
      </c>
      <c r="E1551" s="2" t="n">
        <v>46235</v>
      </c>
      <c r="F1551" s="2" t="n">
        <v>47330</v>
      </c>
      <c r="G1551" s="3" t="n">
        <v>3890</v>
      </c>
      <c r="H1551">
        <f>VLOOKUP(B1551,Units!$A$2:$G$1646,2,FALSE)</f>
        <v/>
      </c>
      <c r="I1551">
        <f>VLOOKUP(B1551,Units!$A$2:$G$1646,5,FALSE)</f>
        <v/>
      </c>
      <c r="J1551" s="3">
        <f>G1551/I1551</f>
        <v/>
      </c>
      <c r="K1551" s="3">
        <f>G1551*12</f>
        <v/>
      </c>
      <c r="L1551" s="3" t="n">
        <v>11670</v>
      </c>
    </row>
    <row r="1552">
      <c r="A1552" t="inlineStr">
        <is>
          <t>TA-2026-00554</t>
        </is>
      </c>
      <c r="B1552" t="inlineStr">
        <is>
          <t>U-PI668-01-06</t>
        </is>
      </c>
      <c r="C1552" t="inlineStr">
        <is>
          <t>Sin Hock Medical Clinic</t>
        </is>
      </c>
      <c r="D1552" t="inlineStr">
        <is>
          <t>GP Clinic</t>
        </is>
      </c>
      <c r="E1552" s="2" t="n">
        <v>46235</v>
      </c>
      <c r="F1552" s="2" t="n">
        <v>47330</v>
      </c>
      <c r="G1552" s="3" t="n">
        <v>3430</v>
      </c>
      <c r="H1552">
        <f>VLOOKUP(B1552,Units!$A$2:$G$1646,2,FALSE)</f>
        <v/>
      </c>
      <c r="I1552">
        <f>VLOOKUP(B1552,Units!$A$2:$G$1646,5,FALSE)</f>
        <v/>
      </c>
      <c r="J1552" s="3">
        <f>G1552/I1552</f>
        <v/>
      </c>
      <c r="K1552" s="3">
        <f>G1552*12</f>
        <v/>
      </c>
      <c r="L1552" s="3" t="n">
        <v>10290</v>
      </c>
    </row>
    <row r="1553">
      <c r="A1553" t="inlineStr">
        <is>
          <t>TA-2026-00556</t>
        </is>
      </c>
      <c r="B1553" t="inlineStr">
        <is>
          <t>U-RH408-01-11</t>
        </is>
      </c>
      <c r="C1553" t="inlineStr">
        <is>
          <t>Lucky Star Telecom</t>
        </is>
      </c>
      <c r="D1553" t="inlineStr">
        <is>
          <t>Mobile Phone &amp; Accessories</t>
        </is>
      </c>
      <c r="E1553" s="2" t="n">
        <v>46235</v>
      </c>
      <c r="F1553" s="2" t="n">
        <v>47330</v>
      </c>
      <c r="G1553" s="3" t="n">
        <v>1280</v>
      </c>
      <c r="H1553">
        <f>VLOOKUP(B1553,Units!$A$2:$G$1646,2,FALSE)</f>
        <v/>
      </c>
      <c r="I1553">
        <f>VLOOKUP(B1553,Units!$A$2:$G$1646,5,FALSE)</f>
        <v/>
      </c>
      <c r="J1553" s="3">
        <f>G1553/I1553</f>
        <v/>
      </c>
      <c r="K1553" s="3">
        <f>G1553*12</f>
        <v/>
      </c>
      <c r="L1553" s="3" t="n">
        <v>3840</v>
      </c>
    </row>
    <row r="1554">
      <c r="A1554" t="inlineStr">
        <is>
          <t>TA-2026-00557</t>
        </is>
      </c>
      <c r="B1554" t="inlineStr">
        <is>
          <t>U-RH428-01-07</t>
        </is>
      </c>
      <c r="C1554" t="inlineStr">
        <is>
          <t>Lucky Star Money Changer Pte Ltd</t>
        </is>
      </c>
      <c r="D1554" t="inlineStr">
        <is>
          <t>Remittance &amp; Money Changer</t>
        </is>
      </c>
      <c r="E1554" s="2" t="n">
        <v>46235</v>
      </c>
      <c r="F1554" s="2" t="n">
        <v>47330</v>
      </c>
      <c r="G1554" s="3" t="n">
        <v>900</v>
      </c>
      <c r="H1554">
        <f>VLOOKUP(B1554,Units!$A$2:$G$1646,2,FALSE)</f>
        <v/>
      </c>
      <c r="I1554">
        <f>VLOOKUP(B1554,Units!$A$2:$G$1646,5,FALSE)</f>
        <v/>
      </c>
      <c r="J1554" s="3">
        <f>G1554/I1554</f>
        <v/>
      </c>
      <c r="K1554" s="3">
        <f>G1554*12</f>
        <v/>
      </c>
      <c r="L1554" s="3" t="n">
        <v>2700</v>
      </c>
    </row>
    <row r="1555">
      <c r="A1555" t="inlineStr">
        <is>
          <t>TA-2026-00558</t>
        </is>
      </c>
      <c r="B1555" t="inlineStr">
        <is>
          <t>U-RH455-01-14</t>
        </is>
      </c>
      <c r="C1555" t="inlineStr">
        <is>
          <t>Unity Supermarket Pte Ltd</t>
        </is>
      </c>
      <c r="D1555" t="inlineStr">
        <is>
          <t>Minimart</t>
        </is>
      </c>
      <c r="E1555" s="2" t="n">
        <v>46235</v>
      </c>
      <c r="F1555" s="2" t="n">
        <v>47330</v>
      </c>
      <c r="G1555" s="3" t="n">
        <v>3440</v>
      </c>
      <c r="H1555">
        <f>VLOOKUP(B1555,Units!$A$2:$G$1646,2,FALSE)</f>
        <v/>
      </c>
      <c r="I1555">
        <f>VLOOKUP(B1555,Units!$A$2:$G$1646,5,FALSE)</f>
        <v/>
      </c>
      <c r="J1555" s="3">
        <f>G1555/I1555</f>
        <v/>
      </c>
      <c r="K1555" s="3">
        <f>G1555*12</f>
        <v/>
      </c>
      <c r="L1555" s="3" t="n">
        <v>10320</v>
      </c>
    </row>
    <row r="1556">
      <c r="A1556" t="inlineStr">
        <is>
          <t>TA-2026-00560</t>
        </is>
      </c>
      <c r="B1556" t="inlineStr">
        <is>
          <t>U-RH463-01-06</t>
        </is>
      </c>
      <c r="C1556" t="inlineStr">
        <is>
          <t>Happy Paws Bakery</t>
        </is>
      </c>
      <c r="D1556" t="inlineStr">
        <is>
          <t>Bakery &amp; Confectionery</t>
        </is>
      </c>
      <c r="E1556" s="2" t="n">
        <v>46235</v>
      </c>
      <c r="F1556" s="2" t="n">
        <v>47330</v>
      </c>
      <c r="G1556" s="3" t="n">
        <v>4390</v>
      </c>
      <c r="H1556">
        <f>VLOOKUP(B1556,Units!$A$2:$G$1646,2,FALSE)</f>
        <v/>
      </c>
      <c r="I1556">
        <f>VLOOKUP(B1556,Units!$A$2:$G$1646,5,FALSE)</f>
        <v/>
      </c>
      <c r="J1556" s="3">
        <f>G1556/I1556</f>
        <v/>
      </c>
      <c r="K1556" s="3">
        <f>G1556*12</f>
        <v/>
      </c>
      <c r="L1556" s="3" t="n">
        <v>13170</v>
      </c>
    </row>
    <row r="1557">
      <c r="A1557" t="inlineStr">
        <is>
          <t>TA-2026-00561</t>
        </is>
      </c>
      <c r="B1557" t="inlineStr">
        <is>
          <t>U-RH491-01-01</t>
        </is>
      </c>
      <c r="C1557" t="inlineStr">
        <is>
          <t>Old Town Mart</t>
        </is>
      </c>
      <c r="D1557" t="inlineStr">
        <is>
          <t>Minimart</t>
        </is>
      </c>
      <c r="E1557" s="2" t="n">
        <v>46235</v>
      </c>
      <c r="F1557" s="2" t="n">
        <v>47330</v>
      </c>
      <c r="G1557" s="3" t="n">
        <v>1990</v>
      </c>
      <c r="H1557">
        <f>VLOOKUP(B1557,Units!$A$2:$G$1646,2,FALSE)</f>
        <v/>
      </c>
      <c r="I1557">
        <f>VLOOKUP(B1557,Units!$A$2:$G$1646,5,FALSE)</f>
        <v/>
      </c>
      <c r="J1557" s="3">
        <f>G1557/I1557</f>
        <v/>
      </c>
      <c r="K1557" s="3">
        <f>G1557*12</f>
        <v/>
      </c>
      <c r="L1557" s="3" t="n">
        <v>5970</v>
      </c>
    </row>
    <row r="1558">
      <c r="A1558" t="inlineStr">
        <is>
          <t>TA-2026-00562</t>
        </is>
      </c>
      <c r="B1558" t="inlineStr">
        <is>
          <t>U-ST534-01-01</t>
        </is>
      </c>
      <c r="C1558" t="inlineStr">
        <is>
          <t>Old Town Learning Centre Pte Ltd</t>
        </is>
      </c>
      <c r="D1558" t="inlineStr">
        <is>
          <t>Tuition Centre</t>
        </is>
      </c>
      <c r="E1558" s="2" t="n">
        <v>46235</v>
      </c>
      <c r="F1558" s="2" t="n">
        <v>47330</v>
      </c>
      <c r="G1558" s="3" t="n">
        <v>3630</v>
      </c>
      <c r="H1558">
        <f>VLOOKUP(B1558,Units!$A$2:$G$1646,2,FALSE)</f>
        <v/>
      </c>
      <c r="I1558">
        <f>VLOOKUP(B1558,Units!$A$2:$G$1646,5,FALSE)</f>
        <v/>
      </c>
      <c r="J1558" s="3">
        <f>G1558/I1558</f>
        <v/>
      </c>
      <c r="K1558" s="3">
        <f>G1558*12</f>
        <v/>
      </c>
      <c r="L1558" s="3" t="n">
        <v>10890</v>
      </c>
    </row>
    <row r="1559">
      <c r="A1559" t="inlineStr">
        <is>
          <t>TA-2026-00564</t>
        </is>
      </c>
      <c r="B1559" t="inlineStr">
        <is>
          <t>U-ST537-01-06</t>
        </is>
      </c>
      <c r="C1559" t="inlineStr">
        <is>
          <t>PrimeValue Mart Pte Ltd</t>
        </is>
      </c>
      <c r="D1559" t="inlineStr">
        <is>
          <t>Minimart</t>
        </is>
      </c>
      <c r="E1559" s="2" t="n">
        <v>46235</v>
      </c>
      <c r="F1559" s="2" t="n">
        <v>47330</v>
      </c>
      <c r="G1559" s="3" t="n">
        <v>3510</v>
      </c>
      <c r="H1559">
        <f>VLOOKUP(B1559,Units!$A$2:$G$1646,2,FALSE)</f>
        <v/>
      </c>
      <c r="I1559">
        <f>VLOOKUP(B1559,Units!$A$2:$G$1646,5,FALSE)</f>
        <v/>
      </c>
      <c r="J1559" s="3">
        <f>G1559/I1559</f>
        <v/>
      </c>
      <c r="K1559" s="3">
        <f>G1559*12</f>
        <v/>
      </c>
      <c r="L1559" s="3" t="n">
        <v>10530</v>
      </c>
    </row>
    <row r="1560">
      <c r="A1560" t="inlineStr">
        <is>
          <t>TA-2026-00566</t>
        </is>
      </c>
      <c r="B1560" t="inlineStr">
        <is>
          <t>U-ST596-01-04</t>
        </is>
      </c>
      <c r="C1560" t="inlineStr">
        <is>
          <t>PrimeValue Mart Pte Ltd</t>
        </is>
      </c>
      <c r="D1560" t="inlineStr">
        <is>
          <t>Minimart</t>
        </is>
      </c>
      <c r="E1560" s="2" t="n">
        <v>46235</v>
      </c>
      <c r="F1560" s="2" t="n">
        <v>47330</v>
      </c>
      <c r="G1560" s="3" t="n">
        <v>3520</v>
      </c>
      <c r="H1560">
        <f>VLOOKUP(B1560,Units!$A$2:$G$1646,2,FALSE)</f>
        <v/>
      </c>
      <c r="I1560">
        <f>VLOOKUP(B1560,Units!$A$2:$G$1646,5,FALSE)</f>
        <v/>
      </c>
      <c r="J1560" s="3">
        <f>G1560/I1560</f>
        <v/>
      </c>
      <c r="K1560" s="3">
        <f>G1560*12</f>
        <v/>
      </c>
      <c r="L1560" s="3" t="n">
        <v>10560</v>
      </c>
    </row>
    <row r="1561">
      <c r="A1561" t="inlineStr">
        <is>
          <t>TA-2026-00567</t>
        </is>
      </c>
      <c r="B1561" t="inlineStr">
        <is>
          <t>U-BV205-01-08</t>
        </is>
      </c>
      <c r="C1561" t="inlineStr">
        <is>
          <t>Kumar TCM Clinic</t>
        </is>
      </c>
      <c r="D1561" t="inlineStr">
        <is>
          <t>TCM Clinic</t>
        </is>
      </c>
      <c r="E1561" s="2" t="n">
        <v>46266</v>
      </c>
      <c r="F1561" s="2" t="n">
        <v>47361</v>
      </c>
      <c r="G1561" s="3" t="n">
        <v>2360</v>
      </c>
      <c r="H1561">
        <f>VLOOKUP(B1561,Units!$A$2:$G$1646,2,FALSE)</f>
        <v/>
      </c>
      <c r="I1561">
        <f>VLOOKUP(B1561,Units!$A$2:$G$1646,5,FALSE)</f>
        <v/>
      </c>
      <c r="J1561" s="3">
        <f>G1561/I1561</f>
        <v/>
      </c>
      <c r="K1561" s="3">
        <f>G1561*12</f>
        <v/>
      </c>
      <c r="L1561" s="3" t="n">
        <v>7080</v>
      </c>
    </row>
    <row r="1562">
      <c r="A1562" t="inlineStr">
        <is>
          <t>TA-2026-00569</t>
        </is>
      </c>
      <c r="B1562" t="inlineStr">
        <is>
          <t>U-BV277-01-01</t>
        </is>
      </c>
      <c r="C1562" t="inlineStr">
        <is>
          <t>Jade Garden Tea House Pte Ltd</t>
        </is>
      </c>
      <c r="D1562" t="inlineStr">
        <is>
          <t>Bubble Tea</t>
        </is>
      </c>
      <c r="E1562" s="2" t="n">
        <v>46266</v>
      </c>
      <c r="F1562" s="2" t="n">
        <v>47361</v>
      </c>
      <c r="G1562" s="3" t="n">
        <v>1110</v>
      </c>
      <c r="H1562">
        <f>VLOOKUP(B1562,Units!$A$2:$G$1646,2,FALSE)</f>
        <v/>
      </c>
      <c r="I1562">
        <f>VLOOKUP(B1562,Units!$A$2:$G$1646,5,FALSE)</f>
        <v/>
      </c>
      <c r="J1562" s="3">
        <f>G1562/I1562</f>
        <v/>
      </c>
      <c r="K1562" s="3">
        <f>G1562*12</f>
        <v/>
      </c>
      <c r="L1562" s="3" t="n">
        <v>3330</v>
      </c>
    </row>
    <row r="1563">
      <c r="A1563" t="inlineStr">
        <is>
          <t>TA-2026-00571</t>
        </is>
      </c>
      <c r="B1563" t="inlineStr">
        <is>
          <t>U-CD105-01-02</t>
        </is>
      </c>
      <c r="C1563" t="inlineStr">
        <is>
          <t>Ever Joy TCM Clinic</t>
        </is>
      </c>
      <c r="D1563" t="inlineStr">
        <is>
          <t>TCM Clinic</t>
        </is>
      </c>
      <c r="E1563" s="2" t="n">
        <v>46266</v>
      </c>
      <c r="F1563" s="2" t="n">
        <v>47361</v>
      </c>
      <c r="G1563" s="3" t="n">
        <v>4800</v>
      </c>
      <c r="H1563">
        <f>VLOOKUP(B1563,Units!$A$2:$G$1646,2,FALSE)</f>
        <v/>
      </c>
      <c r="I1563">
        <f>VLOOKUP(B1563,Units!$A$2:$G$1646,5,FALSE)</f>
        <v/>
      </c>
      <c r="J1563" s="3">
        <f>G1563/I1563</f>
        <v/>
      </c>
      <c r="K1563" s="3">
        <f>G1563*12</f>
        <v/>
      </c>
      <c r="L1563" s="3" t="n">
        <v>14400</v>
      </c>
    </row>
    <row r="1564">
      <c r="A1564" t="inlineStr">
        <is>
          <t>TA-2026-00573</t>
        </is>
      </c>
      <c r="B1564" t="inlineStr">
        <is>
          <t>U-CD170-01-09</t>
        </is>
      </c>
      <c r="C1564" t="inlineStr">
        <is>
          <t>Amanah Bubble Tea</t>
        </is>
      </c>
      <c r="D1564" t="inlineStr">
        <is>
          <t>Bubble Tea</t>
        </is>
      </c>
      <c r="E1564" s="2" t="n">
        <v>46266</v>
      </c>
      <c r="F1564" s="2" t="n">
        <v>47361</v>
      </c>
      <c r="G1564" s="3" t="n">
        <v>1500</v>
      </c>
      <c r="H1564">
        <f>VLOOKUP(B1564,Units!$A$2:$G$1646,2,FALSE)</f>
        <v/>
      </c>
      <c r="I1564">
        <f>VLOOKUP(B1564,Units!$A$2:$G$1646,5,FALSE)</f>
        <v/>
      </c>
      <c r="J1564" s="3">
        <f>G1564/I1564</f>
        <v/>
      </c>
      <c r="K1564" s="3">
        <f>G1564*12</f>
        <v/>
      </c>
      <c r="L1564" s="3" t="n">
        <v>4500</v>
      </c>
    </row>
    <row r="1565">
      <c r="A1565" t="inlineStr">
        <is>
          <t>TA-2026-00575</t>
        </is>
      </c>
      <c r="B1565" t="inlineStr">
        <is>
          <t>U-CD181-01-02</t>
        </is>
      </c>
      <c r="C1565" t="inlineStr">
        <is>
          <t>Mutiara Eye Centre</t>
        </is>
      </c>
      <c r="D1565" t="inlineStr">
        <is>
          <t>Optical</t>
        </is>
      </c>
      <c r="E1565" s="2" t="n">
        <v>46266</v>
      </c>
      <c r="F1565" s="2" t="n">
        <v>47361</v>
      </c>
      <c r="G1565" s="3" t="n">
        <v>3900</v>
      </c>
      <c r="H1565">
        <f>VLOOKUP(B1565,Units!$A$2:$G$1646,2,FALSE)</f>
        <v/>
      </c>
      <c r="I1565">
        <f>VLOOKUP(B1565,Units!$A$2:$G$1646,5,FALSE)</f>
        <v/>
      </c>
      <c r="J1565" s="3">
        <f>G1565/I1565</f>
        <v/>
      </c>
      <c r="K1565" s="3">
        <f>G1565*12</f>
        <v/>
      </c>
      <c r="L1565" s="3" t="n">
        <v>11700</v>
      </c>
    </row>
    <row r="1566">
      <c r="A1566" t="inlineStr">
        <is>
          <t>TA-2026-00577</t>
        </is>
      </c>
      <c r="B1566" t="inlineStr">
        <is>
          <t>U-CD185-01-03</t>
        </is>
      </c>
      <c r="C1566" t="inlineStr">
        <is>
          <t>Hup Seng Kitchen</t>
        </is>
      </c>
      <c r="D1566" t="inlineStr">
        <is>
          <t>Restaurant</t>
        </is>
      </c>
      <c r="E1566" s="2" t="n">
        <v>46266</v>
      </c>
      <c r="F1566" s="2" t="n">
        <v>47361</v>
      </c>
      <c r="G1566" s="3" t="n">
        <v>3190</v>
      </c>
      <c r="H1566">
        <f>VLOOKUP(B1566,Units!$A$2:$G$1646,2,FALSE)</f>
        <v/>
      </c>
      <c r="I1566">
        <f>VLOOKUP(B1566,Units!$A$2:$G$1646,5,FALSE)</f>
        <v/>
      </c>
      <c r="J1566" s="3">
        <f>G1566/I1566</f>
        <v/>
      </c>
      <c r="K1566" s="3">
        <f>G1566*12</f>
        <v/>
      </c>
      <c r="L1566" s="3" t="n">
        <v>9570</v>
      </c>
    </row>
    <row r="1567">
      <c r="A1567" t="inlineStr">
        <is>
          <t>TA-2026-00579</t>
        </is>
      </c>
      <c r="B1567" t="inlineStr">
        <is>
          <t>U-KR305-01-31</t>
        </is>
      </c>
      <c r="C1567" t="inlineStr">
        <is>
          <t>Ah Seng TCM Clinic Pte Ltd</t>
        </is>
      </c>
      <c r="D1567" t="inlineStr">
        <is>
          <t>TCM Clinic</t>
        </is>
      </c>
      <c r="E1567" s="2" t="n">
        <v>46266</v>
      </c>
      <c r="F1567" s="2" t="n">
        <v>47361</v>
      </c>
      <c r="G1567" s="3" t="n">
        <v>2700</v>
      </c>
      <c r="H1567">
        <f>VLOOKUP(B1567,Units!$A$2:$G$1646,2,FALSE)</f>
        <v/>
      </c>
      <c r="I1567">
        <f>VLOOKUP(B1567,Units!$A$2:$G$1646,5,FALSE)</f>
        <v/>
      </c>
      <c r="J1567" s="3">
        <f>G1567/I1567</f>
        <v/>
      </c>
      <c r="K1567" s="3">
        <f>G1567*12</f>
        <v/>
      </c>
      <c r="L1567" s="3" t="n">
        <v>8100</v>
      </c>
    </row>
    <row r="1568">
      <c r="A1568" t="inlineStr">
        <is>
          <t>TA-2026-00580</t>
        </is>
      </c>
      <c r="B1568" t="inlineStr">
        <is>
          <t>U-KR318-01-03</t>
        </is>
      </c>
      <c r="C1568" t="inlineStr">
        <is>
          <t>Murugan Medical Supplies Pte Ltd</t>
        </is>
      </c>
      <c r="D1568" t="inlineStr">
        <is>
          <t>Pharmacy</t>
        </is>
      </c>
      <c r="E1568" s="2" t="n">
        <v>46266</v>
      </c>
      <c r="F1568" s="2" t="n">
        <v>47361</v>
      </c>
      <c r="G1568" s="3" t="n">
        <v>4530</v>
      </c>
      <c r="H1568">
        <f>VLOOKUP(B1568,Units!$A$2:$G$1646,2,FALSE)</f>
        <v/>
      </c>
      <c r="I1568">
        <f>VLOOKUP(B1568,Units!$A$2:$G$1646,5,FALSE)</f>
        <v/>
      </c>
      <c r="J1568" s="3">
        <f>G1568/I1568</f>
        <v/>
      </c>
      <c r="K1568" s="3">
        <f>G1568*12</f>
        <v/>
      </c>
      <c r="L1568" s="3" t="n">
        <v>13590</v>
      </c>
    </row>
    <row r="1569">
      <c r="A1569" t="inlineStr">
        <is>
          <t>TA-2026-00582</t>
        </is>
      </c>
      <c r="B1569" t="inlineStr">
        <is>
          <t>U-KR349-01-06</t>
        </is>
      </c>
      <c r="C1569" t="inlineStr">
        <is>
          <t>Murugan Money Changer Pte Ltd</t>
        </is>
      </c>
      <c r="D1569" t="inlineStr">
        <is>
          <t>Remittance &amp; Money Changer</t>
        </is>
      </c>
      <c r="E1569" s="2" t="n">
        <v>46266</v>
      </c>
      <c r="F1569" s="2" t="n">
        <v>47361</v>
      </c>
      <c r="G1569" s="3" t="n">
        <v>1240</v>
      </c>
      <c r="H1569">
        <f>VLOOKUP(B1569,Units!$A$2:$G$1646,2,FALSE)</f>
        <v/>
      </c>
      <c r="I1569">
        <f>VLOOKUP(B1569,Units!$A$2:$G$1646,5,FALSE)</f>
        <v/>
      </c>
      <c r="J1569" s="3">
        <f>G1569/I1569</f>
        <v/>
      </c>
      <c r="K1569" s="3">
        <f>G1569*12</f>
        <v/>
      </c>
      <c r="L1569" s="3" t="n">
        <v>3720</v>
      </c>
    </row>
    <row r="1570">
      <c r="A1570" t="inlineStr">
        <is>
          <t>TA-2026-00583</t>
        </is>
      </c>
      <c r="B1570" t="inlineStr">
        <is>
          <t>U-PI614-01-09</t>
        </is>
      </c>
      <c r="C1570" t="inlineStr">
        <is>
          <t>Treasure Minimart Pte Ltd</t>
        </is>
      </c>
      <c r="D1570" t="inlineStr">
        <is>
          <t>Minimart</t>
        </is>
      </c>
      <c r="E1570" s="2" t="n">
        <v>46266</v>
      </c>
      <c r="F1570" s="2" t="n">
        <v>47361</v>
      </c>
      <c r="G1570" s="3" t="n">
        <v>4620</v>
      </c>
      <c r="H1570">
        <f>VLOOKUP(B1570,Units!$A$2:$G$1646,2,FALSE)</f>
        <v/>
      </c>
      <c r="I1570">
        <f>VLOOKUP(B1570,Units!$A$2:$G$1646,5,FALSE)</f>
        <v/>
      </c>
      <c r="J1570" s="3">
        <f>G1570/I1570</f>
        <v/>
      </c>
      <c r="K1570" s="3">
        <f>G1570*12</f>
        <v/>
      </c>
      <c r="L1570" s="3" t="n">
        <v>13860</v>
      </c>
    </row>
    <row r="1571">
      <c r="A1571" t="inlineStr">
        <is>
          <t>TA-2026-00584</t>
        </is>
      </c>
      <c r="B1571" t="inlineStr">
        <is>
          <t>U-PI615-01-03</t>
        </is>
      </c>
      <c r="C1571" t="inlineStr">
        <is>
          <t>Pinnacle Education Hub</t>
        </is>
      </c>
      <c r="D1571" t="inlineStr">
        <is>
          <t>Tuition Centre</t>
        </is>
      </c>
      <c r="E1571" s="2" t="n">
        <v>46266</v>
      </c>
      <c r="F1571" s="2" t="n">
        <v>47361</v>
      </c>
      <c r="G1571" s="3" t="n">
        <v>2440</v>
      </c>
      <c r="H1571">
        <f>VLOOKUP(B1571,Units!$A$2:$G$1646,2,FALSE)</f>
        <v/>
      </c>
      <c r="I1571">
        <f>VLOOKUP(B1571,Units!$A$2:$G$1646,5,FALSE)</f>
        <v/>
      </c>
      <c r="J1571" s="3">
        <f>G1571/I1571</f>
        <v/>
      </c>
      <c r="K1571" s="3">
        <f>G1571*12</f>
        <v/>
      </c>
      <c r="L1571" s="3" t="n">
        <v>7320</v>
      </c>
    </row>
    <row r="1572">
      <c r="A1572" t="inlineStr">
        <is>
          <t>TA-2026-00586</t>
        </is>
      </c>
      <c r="B1572" t="inlineStr">
        <is>
          <t>U-PI626-01-11</t>
        </is>
      </c>
      <c r="C1572" t="inlineStr">
        <is>
          <t>New Life Store</t>
        </is>
      </c>
      <c r="D1572" t="inlineStr">
        <is>
          <t>Provision Shop</t>
        </is>
      </c>
      <c r="E1572" s="2" t="n">
        <v>46266</v>
      </c>
      <c r="F1572" s="2" t="n">
        <v>47361</v>
      </c>
      <c r="G1572" s="3" t="n">
        <v>5030</v>
      </c>
      <c r="H1572">
        <f>VLOOKUP(B1572,Units!$A$2:$G$1646,2,FALSE)</f>
        <v/>
      </c>
      <c r="I1572">
        <f>VLOOKUP(B1572,Units!$A$2:$G$1646,5,FALSE)</f>
        <v/>
      </c>
      <c r="J1572" s="3">
        <f>G1572/I1572</f>
        <v/>
      </c>
      <c r="K1572" s="3">
        <f>G1572*12</f>
        <v/>
      </c>
      <c r="L1572" s="3" t="n">
        <v>15090</v>
      </c>
    </row>
    <row r="1573">
      <c r="A1573" t="inlineStr">
        <is>
          <t>TA-2026-00588</t>
        </is>
      </c>
      <c r="B1573" t="inlineStr">
        <is>
          <t>U-PI627-01-21</t>
        </is>
      </c>
      <c r="C1573" t="inlineStr">
        <is>
          <t>Hometown Eating Place</t>
        </is>
      </c>
      <c r="D1573" t="inlineStr">
        <is>
          <t>Restaurant</t>
        </is>
      </c>
      <c r="E1573" s="2" t="n">
        <v>46266</v>
      </c>
      <c r="F1573" s="2" t="n">
        <v>47361</v>
      </c>
      <c r="G1573" s="3" t="n">
        <v>4580</v>
      </c>
      <c r="H1573">
        <f>VLOOKUP(B1573,Units!$A$2:$G$1646,2,FALSE)</f>
        <v/>
      </c>
      <c r="I1573">
        <f>VLOOKUP(B1573,Units!$A$2:$G$1646,5,FALSE)</f>
        <v/>
      </c>
      <c r="J1573" s="3">
        <f>G1573/I1573</f>
        <v/>
      </c>
      <c r="K1573" s="3">
        <f>G1573*12</f>
        <v/>
      </c>
      <c r="L1573" s="3" t="n">
        <v>13740</v>
      </c>
    </row>
    <row r="1574">
      <c r="A1574" t="inlineStr">
        <is>
          <t>TA-2026-00590</t>
        </is>
      </c>
      <c r="B1574" t="inlineStr">
        <is>
          <t>U-PI642-02-13</t>
        </is>
      </c>
      <c r="C1574" t="inlineStr">
        <is>
          <t>Silver Moon Agency</t>
        </is>
      </c>
      <c r="D1574" t="inlineStr">
        <is>
          <t>Professional Services Office</t>
        </is>
      </c>
      <c r="E1574" s="2" t="n">
        <v>46266</v>
      </c>
      <c r="F1574" s="2" t="n">
        <v>47361</v>
      </c>
      <c r="G1574" s="3" t="n">
        <v>2110</v>
      </c>
      <c r="H1574">
        <f>VLOOKUP(B1574,Units!$A$2:$G$1646,2,FALSE)</f>
        <v/>
      </c>
      <c r="I1574">
        <f>VLOOKUP(B1574,Units!$A$2:$G$1646,5,FALSE)</f>
        <v/>
      </c>
      <c r="J1574" s="3">
        <f>G1574/I1574</f>
        <v/>
      </c>
      <c r="K1574" s="3">
        <f>G1574*12</f>
        <v/>
      </c>
      <c r="L1574" s="3" t="n">
        <v>6330</v>
      </c>
    </row>
    <row r="1575">
      <c r="A1575" t="inlineStr">
        <is>
          <t>TA-2026-00592</t>
        </is>
      </c>
      <c r="B1575" t="inlineStr">
        <is>
          <t>U-PI648-01-03</t>
        </is>
      </c>
      <c r="C1575" t="inlineStr">
        <is>
          <t>Red Lantern Stationery Pte Ltd</t>
        </is>
      </c>
      <c r="D1575" t="inlineStr">
        <is>
          <t>Stationery &amp; Books</t>
        </is>
      </c>
      <c r="E1575" s="2" t="n">
        <v>46266</v>
      </c>
      <c r="F1575" s="2" t="n">
        <v>47361</v>
      </c>
      <c r="G1575" s="3" t="n">
        <v>4990</v>
      </c>
      <c r="H1575">
        <f>VLOOKUP(B1575,Units!$A$2:$G$1646,2,FALSE)</f>
        <v/>
      </c>
      <c r="I1575">
        <f>VLOOKUP(B1575,Units!$A$2:$G$1646,5,FALSE)</f>
        <v/>
      </c>
      <c r="J1575" s="3">
        <f>G1575/I1575</f>
        <v/>
      </c>
      <c r="K1575" s="3">
        <f>G1575*12</f>
        <v/>
      </c>
      <c r="L1575" s="3" t="n">
        <v>14970</v>
      </c>
    </row>
    <row r="1576">
      <c r="A1576" t="inlineStr">
        <is>
          <t>TA-2026-00594</t>
        </is>
      </c>
      <c r="B1576" t="inlineStr">
        <is>
          <t>U-PI668-01-09</t>
        </is>
      </c>
      <c r="C1576" t="inlineStr">
        <is>
          <t>Phoenix Provision Shop Pte Ltd</t>
        </is>
      </c>
      <c r="D1576" t="inlineStr">
        <is>
          <t>Provision Shop</t>
        </is>
      </c>
      <c r="E1576" s="2" t="n">
        <v>46266</v>
      </c>
      <c r="F1576" s="2" t="n">
        <v>47361</v>
      </c>
      <c r="G1576" s="3" t="n">
        <v>4010</v>
      </c>
      <c r="H1576">
        <f>VLOOKUP(B1576,Units!$A$2:$G$1646,2,FALSE)</f>
        <v/>
      </c>
      <c r="I1576">
        <f>VLOOKUP(B1576,Units!$A$2:$G$1646,5,FALSE)</f>
        <v/>
      </c>
      <c r="J1576" s="3">
        <f>G1576/I1576</f>
        <v/>
      </c>
      <c r="K1576" s="3">
        <f>G1576*12</f>
        <v/>
      </c>
      <c r="L1576" s="3" t="n">
        <v>12030</v>
      </c>
    </row>
    <row r="1577">
      <c r="A1577" t="inlineStr">
        <is>
          <t>TA-2026-00596</t>
        </is>
      </c>
      <c r="B1577" t="inlineStr">
        <is>
          <t>U-PI684-01-05</t>
        </is>
      </c>
      <c r="C1577" t="inlineStr">
        <is>
          <t>Mei Ling Medical Hall</t>
        </is>
      </c>
      <c r="D1577" t="inlineStr">
        <is>
          <t>TCM Clinic</t>
        </is>
      </c>
      <c r="E1577" s="2" t="n">
        <v>46266</v>
      </c>
      <c r="F1577" s="2" t="n">
        <v>47361</v>
      </c>
      <c r="G1577" s="3" t="n">
        <v>4800</v>
      </c>
      <c r="H1577">
        <f>VLOOKUP(B1577,Units!$A$2:$G$1646,2,FALSE)</f>
        <v/>
      </c>
      <c r="I1577">
        <f>VLOOKUP(B1577,Units!$A$2:$G$1646,5,FALSE)</f>
        <v/>
      </c>
      <c r="J1577" s="3">
        <f>G1577/I1577</f>
        <v/>
      </c>
      <c r="K1577" s="3">
        <f>G1577*12</f>
        <v/>
      </c>
      <c r="L1577" s="3" t="n">
        <v>14400</v>
      </c>
    </row>
    <row r="1578">
      <c r="A1578" t="inlineStr">
        <is>
          <t>TA-2026-00597</t>
        </is>
      </c>
      <c r="B1578" t="inlineStr">
        <is>
          <t>U-PI693-02-05</t>
        </is>
      </c>
      <c r="C1578" t="inlineStr">
        <is>
          <t>Daily Fresh Dental Care</t>
        </is>
      </c>
      <c r="D1578" t="inlineStr">
        <is>
          <t>Dental Clinic</t>
        </is>
      </c>
      <c r="E1578" s="2" t="n">
        <v>46266</v>
      </c>
      <c r="F1578" s="2" t="n">
        <v>47361</v>
      </c>
      <c r="G1578" s="3" t="n">
        <v>3850</v>
      </c>
      <c r="H1578">
        <f>VLOOKUP(B1578,Units!$A$2:$G$1646,2,FALSE)</f>
        <v/>
      </c>
      <c r="I1578">
        <f>VLOOKUP(B1578,Units!$A$2:$G$1646,5,FALSE)</f>
        <v/>
      </c>
      <c r="J1578" s="3">
        <f>G1578/I1578</f>
        <v/>
      </c>
      <c r="K1578" s="3">
        <f>G1578*12</f>
        <v/>
      </c>
      <c r="L1578" s="3" t="n">
        <v>11550</v>
      </c>
    </row>
    <row r="1579">
      <c r="A1579" t="inlineStr">
        <is>
          <t>TA-2026-00599</t>
        </is>
      </c>
      <c r="B1579" t="inlineStr">
        <is>
          <t>U-RH428-01-02</t>
        </is>
      </c>
      <c r="C1579" t="inlineStr">
        <is>
          <t>Cosy Dental Care Pte Ltd</t>
        </is>
      </c>
      <c r="D1579" t="inlineStr">
        <is>
          <t>Dental Clinic</t>
        </is>
      </c>
      <c r="E1579" s="2" t="n">
        <v>46266</v>
      </c>
      <c r="F1579" s="2" t="n">
        <v>47361</v>
      </c>
      <c r="G1579" s="3" t="n">
        <v>2220</v>
      </c>
      <c r="H1579">
        <f>VLOOKUP(B1579,Units!$A$2:$G$1646,2,FALSE)</f>
        <v/>
      </c>
      <c r="I1579">
        <f>VLOOKUP(B1579,Units!$A$2:$G$1646,5,FALSE)</f>
        <v/>
      </c>
      <c r="J1579" s="3">
        <f>G1579/I1579</f>
        <v/>
      </c>
      <c r="K1579" s="3">
        <f>G1579*12</f>
        <v/>
      </c>
      <c r="L1579" s="3" t="n">
        <v>6660</v>
      </c>
    </row>
    <row r="1580">
      <c r="A1580" t="inlineStr">
        <is>
          <t>TA-2026-00600</t>
        </is>
      </c>
      <c r="B1580" t="inlineStr">
        <is>
          <t>U-RH476-01-07</t>
        </is>
      </c>
      <c r="C1580" t="inlineStr">
        <is>
          <t>Sunflower Telecom</t>
        </is>
      </c>
      <c r="D1580" t="inlineStr">
        <is>
          <t>Mobile Phone &amp; Accessories</t>
        </is>
      </c>
      <c r="E1580" s="2" t="n">
        <v>46266</v>
      </c>
      <c r="F1580" s="2" t="n">
        <v>47361</v>
      </c>
      <c r="G1580" s="3" t="n">
        <v>2920</v>
      </c>
      <c r="H1580">
        <f>VLOOKUP(B1580,Units!$A$2:$G$1646,2,FALSE)</f>
        <v/>
      </c>
      <c r="I1580">
        <f>VLOOKUP(B1580,Units!$A$2:$G$1646,5,FALSE)</f>
        <v/>
      </c>
      <c r="J1580" s="3">
        <f>G1580/I1580</f>
        <v/>
      </c>
      <c r="K1580" s="3">
        <f>G1580*12</f>
        <v/>
      </c>
      <c r="L1580" s="3" t="n">
        <v>8760</v>
      </c>
    </row>
    <row r="1581">
      <c r="A1581" t="inlineStr">
        <is>
          <t>TA-2026-00602</t>
        </is>
      </c>
      <c r="B1581" t="inlineStr">
        <is>
          <t>U-RH486-01-04</t>
        </is>
      </c>
      <c r="C1581" t="inlineStr">
        <is>
          <t>Bayu Learning Centre</t>
        </is>
      </c>
      <c r="D1581" t="inlineStr">
        <is>
          <t>Tuition Centre</t>
        </is>
      </c>
      <c r="E1581" s="2" t="n">
        <v>46266</v>
      </c>
      <c r="F1581" s="2" t="n">
        <v>47361</v>
      </c>
      <c r="G1581" s="3" t="n">
        <v>4070</v>
      </c>
      <c r="H1581">
        <f>VLOOKUP(B1581,Units!$A$2:$G$1646,2,FALSE)</f>
        <v/>
      </c>
      <c r="I1581">
        <f>VLOOKUP(B1581,Units!$A$2:$G$1646,5,FALSE)</f>
        <v/>
      </c>
      <c r="J1581" s="3">
        <f>G1581/I1581</f>
        <v/>
      </c>
      <c r="K1581" s="3">
        <f>G1581*12</f>
        <v/>
      </c>
      <c r="L1581" s="3" t="n">
        <v>12210</v>
      </c>
    </row>
    <row r="1582">
      <c r="A1582" t="inlineStr">
        <is>
          <t>TA-2026-00604</t>
        </is>
      </c>
      <c r="B1582" t="inlineStr">
        <is>
          <t>U-RH491-01-02</t>
        </is>
      </c>
      <c r="C1582" t="inlineStr">
        <is>
          <t>Barakah Provision Shop</t>
        </is>
      </c>
      <c r="D1582" t="inlineStr">
        <is>
          <t>Provision Shop</t>
        </is>
      </c>
      <c r="E1582" s="2" t="n">
        <v>46266</v>
      </c>
      <c r="F1582" s="2" t="n">
        <v>47361</v>
      </c>
      <c r="G1582" s="3" t="n">
        <v>3510</v>
      </c>
      <c r="H1582">
        <f>VLOOKUP(B1582,Units!$A$2:$G$1646,2,FALSE)</f>
        <v/>
      </c>
      <c r="I1582">
        <f>VLOOKUP(B1582,Units!$A$2:$G$1646,5,FALSE)</f>
        <v/>
      </c>
      <c r="J1582" s="3">
        <f>G1582/I1582</f>
        <v/>
      </c>
      <c r="K1582" s="3">
        <f>G1582*12</f>
        <v/>
      </c>
      <c r="L1582" s="3" t="n">
        <v>10530</v>
      </c>
    </row>
    <row r="1583">
      <c r="A1583" t="inlineStr">
        <is>
          <t>TA-2026-00605</t>
        </is>
      </c>
      <c r="B1583" t="inlineStr">
        <is>
          <t>U-RH491-01-06</t>
        </is>
      </c>
      <c r="C1583" t="inlineStr">
        <is>
          <t>Red Lantern Florist Pte Ltd</t>
        </is>
      </c>
      <c r="D1583" t="inlineStr">
        <is>
          <t>Florist</t>
        </is>
      </c>
      <c r="E1583" s="2" t="n">
        <v>46266</v>
      </c>
      <c r="F1583" s="2" t="n">
        <v>47361</v>
      </c>
      <c r="G1583" s="3" t="n">
        <v>2800</v>
      </c>
      <c r="H1583">
        <f>VLOOKUP(B1583,Units!$A$2:$G$1646,2,FALSE)</f>
        <v/>
      </c>
      <c r="I1583">
        <f>VLOOKUP(B1583,Units!$A$2:$G$1646,5,FALSE)</f>
        <v/>
      </c>
      <c r="J1583" s="3">
        <f>G1583/I1583</f>
        <v/>
      </c>
      <c r="K1583" s="3">
        <f>G1583*12</f>
        <v/>
      </c>
      <c r="L1583" s="3" t="n">
        <v>8400</v>
      </c>
    </row>
    <row r="1584">
      <c r="A1584" t="inlineStr">
        <is>
          <t>TA-2026-00606</t>
        </is>
      </c>
      <c r="B1584" t="inlineStr">
        <is>
          <t>U-ST512-01-24</t>
        </is>
      </c>
      <c r="C1584" t="inlineStr">
        <is>
          <t>Blue Pearl Clinic &amp; Surgery</t>
        </is>
      </c>
      <c r="D1584" t="inlineStr">
        <is>
          <t>GP Clinic</t>
        </is>
      </c>
      <c r="E1584" s="2" t="n">
        <v>46266</v>
      </c>
      <c r="F1584" s="2" t="n">
        <v>47361</v>
      </c>
      <c r="G1584" s="3" t="n">
        <v>3130</v>
      </c>
      <c r="H1584">
        <f>VLOOKUP(B1584,Units!$A$2:$G$1646,2,FALSE)</f>
        <v/>
      </c>
      <c r="I1584">
        <f>VLOOKUP(B1584,Units!$A$2:$G$1646,5,FALSE)</f>
        <v/>
      </c>
      <c r="J1584" s="3">
        <f>G1584/I1584</f>
        <v/>
      </c>
      <c r="K1584" s="3">
        <f>G1584*12</f>
        <v/>
      </c>
      <c r="L1584" s="3" t="n">
        <v>9390</v>
      </c>
    </row>
    <row r="1585">
      <c r="A1585" t="inlineStr">
        <is>
          <t>TA-2026-00608</t>
        </is>
      </c>
      <c r="B1585" t="inlineStr">
        <is>
          <t>U-ST512-01-26</t>
        </is>
      </c>
      <c r="C1585" t="inlineStr">
        <is>
          <t>Hock Lee Flowers &amp; Gifts Pte Ltd</t>
        </is>
      </c>
      <c r="D1585" t="inlineStr">
        <is>
          <t>Florist</t>
        </is>
      </c>
      <c r="E1585" s="2" t="n">
        <v>46266</v>
      </c>
      <c r="F1585" s="2" t="n">
        <v>47361</v>
      </c>
      <c r="G1585" s="3" t="n">
        <v>900</v>
      </c>
      <c r="H1585">
        <f>VLOOKUP(B1585,Units!$A$2:$G$1646,2,FALSE)</f>
        <v/>
      </c>
      <c r="I1585">
        <f>VLOOKUP(B1585,Units!$A$2:$G$1646,5,FALSE)</f>
        <v/>
      </c>
      <c r="J1585" s="3">
        <f>G1585/I1585</f>
        <v/>
      </c>
      <c r="K1585" s="3">
        <f>G1585*12</f>
        <v/>
      </c>
      <c r="L1585" s="3" t="n">
        <v>2700</v>
      </c>
    </row>
    <row r="1586">
      <c r="A1586" t="inlineStr">
        <is>
          <t>TA-2026-00609</t>
        </is>
      </c>
      <c r="B1586" t="inlineStr">
        <is>
          <t>U-ST518-01-04</t>
        </is>
      </c>
      <c r="C1586" t="inlineStr">
        <is>
          <t>Gold Coin Dry Cleaners Pte Ltd</t>
        </is>
      </c>
      <c r="D1586" t="inlineStr">
        <is>
          <t>Laundry</t>
        </is>
      </c>
      <c r="E1586" s="2" t="n">
        <v>46266</v>
      </c>
      <c r="F1586" s="2" t="n">
        <v>47361</v>
      </c>
      <c r="G1586" s="3" t="n">
        <v>2940</v>
      </c>
      <c r="H1586">
        <f>VLOOKUP(B1586,Units!$A$2:$G$1646,2,FALSE)</f>
        <v/>
      </c>
      <c r="I1586">
        <f>VLOOKUP(B1586,Units!$A$2:$G$1646,5,FALSE)</f>
        <v/>
      </c>
      <c r="J1586" s="3">
        <f>G1586/I1586</f>
        <v/>
      </c>
      <c r="K1586" s="3">
        <f>G1586*12</f>
        <v/>
      </c>
      <c r="L1586" s="3" t="n">
        <v>8820</v>
      </c>
    </row>
    <row r="1587">
      <c r="A1587" t="inlineStr">
        <is>
          <t>TA-2026-00611</t>
        </is>
      </c>
      <c r="B1587" t="inlineStr">
        <is>
          <t>U-ST537-01-02</t>
        </is>
      </c>
      <c r="C1587" t="inlineStr">
        <is>
          <t>Golden Leaf Florist Pte Ltd</t>
        </is>
      </c>
      <c r="D1587" t="inlineStr">
        <is>
          <t>Florist</t>
        </is>
      </c>
      <c r="E1587" s="2" t="n">
        <v>46266</v>
      </c>
      <c r="F1587" s="2" t="n">
        <v>47361</v>
      </c>
      <c r="G1587" s="3" t="n">
        <v>900</v>
      </c>
      <c r="H1587">
        <f>VLOOKUP(B1587,Units!$A$2:$G$1646,2,FALSE)</f>
        <v/>
      </c>
      <c r="I1587">
        <f>VLOOKUP(B1587,Units!$A$2:$G$1646,5,FALSE)</f>
        <v/>
      </c>
      <c r="J1587" s="3">
        <f>G1587/I1587</f>
        <v/>
      </c>
      <c r="K1587" s="3">
        <f>G1587*12</f>
        <v/>
      </c>
      <c r="L1587" s="3" t="n">
        <v>2700</v>
      </c>
    </row>
    <row r="1588">
      <c r="A1588" t="inlineStr">
        <is>
          <t>TA-2026-00613</t>
        </is>
      </c>
      <c r="B1588" t="inlineStr">
        <is>
          <t>U-ST564-01-11</t>
        </is>
      </c>
      <c r="C1588" t="inlineStr">
        <is>
          <t>PrimeValue Mart Pte Ltd</t>
        </is>
      </c>
      <c r="D1588" t="inlineStr">
        <is>
          <t>Minimart</t>
        </is>
      </c>
      <c r="E1588" s="2" t="n">
        <v>46266</v>
      </c>
      <c r="F1588" s="2" t="n">
        <v>47361</v>
      </c>
      <c r="G1588" s="3" t="n">
        <v>3570</v>
      </c>
      <c r="H1588">
        <f>VLOOKUP(B1588,Units!$A$2:$G$1646,2,FALSE)</f>
        <v/>
      </c>
      <c r="I1588">
        <f>VLOOKUP(B1588,Units!$A$2:$G$1646,5,FALSE)</f>
        <v/>
      </c>
      <c r="J1588" s="3">
        <f>G1588/I1588</f>
        <v/>
      </c>
      <c r="K1588" s="3">
        <f>G1588*12</f>
        <v/>
      </c>
      <c r="L1588" s="3" t="n">
        <v>10710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</cols>
  <sheetData>
    <row r="1">
      <c r="A1" s="4" t="inlineStr">
        <is>
          <t>RENT ROLL FY2026 - SUMMARY BY TOWN</t>
        </is>
      </c>
    </row>
    <row r="2">
      <c r="A2" s="5" t="inlineStr">
        <is>
          <t>Active tenancies as at 30 Sep 2026</t>
        </is>
      </c>
    </row>
    <row r="4">
      <c r="A4" s="1" t="inlineStr">
        <is>
          <t>Town</t>
        </is>
      </c>
      <c r="B4" s="1" t="inlineStr">
        <is>
          <t>Active tenancies</t>
        </is>
      </c>
      <c r="C4" s="1" t="inlineStr">
        <is>
          <t>Monthly rent</t>
        </is>
      </c>
      <c r="D4" s="1" t="inlineStr">
        <is>
          <t>Annual rent</t>
        </is>
      </c>
    </row>
    <row r="5">
      <c r="A5" t="inlineStr">
        <is>
          <t>Bayshore Vale</t>
        </is>
      </c>
      <c r="B5">
        <f>COUNTIF('Rent Roll'!H2:H1588,A5)</f>
        <v/>
      </c>
      <c r="C5" s="3">
        <f>SUMIF('Rent Roll'!H2:H1588,A5,'Rent Roll'!G2:G1588)</f>
        <v/>
      </c>
      <c r="D5" s="3">
        <f>C5*12</f>
        <v/>
      </c>
    </row>
    <row r="6">
      <c r="A6" t="inlineStr">
        <is>
          <t>Cendana</t>
        </is>
      </c>
      <c r="B6">
        <f>COUNTIF('Rent Roll'!H2:H1588,A6)</f>
        <v/>
      </c>
      <c r="C6" s="3">
        <f>SUMIF('Rent Roll'!H2:H1588,A6,'Rent Roll'!G2:G1588)</f>
        <v/>
      </c>
      <c r="D6" s="3">
        <f>C6*12</f>
        <v/>
      </c>
    </row>
    <row r="7">
      <c r="A7" t="inlineStr">
        <is>
          <t>Kebun Raya</t>
        </is>
      </c>
      <c r="B7">
        <f>COUNTIF('Rent Roll'!H2:H1588,A7)</f>
        <v/>
      </c>
      <c r="C7" s="3">
        <f>SUMIF('Rent Roll'!H2:H1588,A7,'Rent Roll'!G2:G1588)</f>
        <v/>
      </c>
      <c r="D7" s="3">
        <f>C7*12</f>
        <v/>
      </c>
    </row>
    <row r="8">
      <c r="A8" t="inlineStr">
        <is>
          <t>Rimba Heights</t>
        </is>
      </c>
      <c r="B8">
        <f>COUNTIF('Rent Roll'!H2:H1588,A8)</f>
        <v/>
      </c>
      <c r="C8" s="3">
        <f>SUMIF('Rent Roll'!H2:H1588,A8,'Rent Roll'!G2:G1588)</f>
        <v/>
      </c>
      <c r="D8" s="3">
        <f>C8*12</f>
        <v/>
      </c>
    </row>
    <row r="9">
      <c r="A9" t="inlineStr">
        <is>
          <t>Sungai Tinggi</t>
        </is>
      </c>
      <c r="B9">
        <f>COUNTIF('Rent Roll'!H2:H1588,A9)</f>
        <v/>
      </c>
      <c r="C9" s="3">
        <f>SUMIF('Rent Roll'!H2:H1588,A9,'Rent Roll'!G2:G1588)</f>
        <v/>
      </c>
      <c r="D9" s="3">
        <f>C9*12</f>
        <v/>
      </c>
    </row>
    <row r="10">
      <c r="A10" t="inlineStr">
        <is>
          <t>Pasir Indah</t>
        </is>
      </c>
      <c r="B10">
        <f>COUNTIF('Rent Roll'!H2:H1588,A10)</f>
        <v/>
      </c>
      <c r="C10" s="3">
        <f>SUMIF('Rent Roll'!H2:H1588,A10,'Rent Roll'!G2:G1588)</f>
        <v/>
      </c>
      <c r="D10" s="3">
        <f>C10*12</f>
        <v/>
      </c>
    </row>
    <row r="11">
      <c r="A11" s="6" t="inlineStr">
        <is>
          <t>Total</t>
        </is>
      </c>
      <c r="B11">
        <f>SUM(B5:B10)</f>
        <v/>
      </c>
      <c r="C11" s="3">
        <f>SUM(C5:C10)</f>
        <v/>
      </c>
      <c r="D11" s="3">
        <f>SUM(D5:D10)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24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Unit ID</t>
        </is>
      </c>
      <c r="B1" s="1" t="inlineStr">
        <is>
          <t>Town</t>
        </is>
      </c>
      <c r="C1" s="1" t="inlineStr">
        <is>
          <t>Address</t>
        </is>
      </c>
      <c r="D1" s="1" t="inlineStr">
        <is>
          <t>Unit type</t>
        </is>
      </c>
      <c r="E1" s="1" t="inlineStr">
        <is>
          <t>Floor area (sqm)</t>
        </is>
      </c>
      <c r="F1" s="1" t="inlineStr">
        <is>
          <t>NC</t>
        </is>
      </c>
      <c r="G1" s="1" t="inlineStr">
        <is>
          <t>Status</t>
        </is>
      </c>
    </row>
    <row r="2">
      <c r="A2" t="inlineStr">
        <is>
          <t>U-BV204-01-01</t>
        </is>
      </c>
      <c r="B2" t="inlineStr">
        <is>
          <t>Bayshore Vale</t>
        </is>
      </c>
      <c r="C2" t="inlineStr">
        <is>
          <t>Blk 204 Bayshore Vale Drive #01-01 Singapura 460204</t>
        </is>
      </c>
      <c r="D2" t="inlineStr">
        <is>
          <t>Eating House</t>
        </is>
      </c>
      <c r="E2" t="n">
        <v>309</v>
      </c>
      <c r="F2" t="inlineStr">
        <is>
          <t>NC-BV-3</t>
        </is>
      </c>
      <c r="G2" t="inlineStr">
        <is>
          <t>Tenanted</t>
        </is>
      </c>
    </row>
    <row r="3">
      <c r="A3" t="inlineStr">
        <is>
          <t>U-BV204-01-02</t>
        </is>
      </c>
      <c r="B3" t="inlineStr">
        <is>
          <t>Bayshore Vale</t>
        </is>
      </c>
      <c r="C3" t="inlineStr">
        <is>
          <t>Blk 204 Bayshore Vale Drive #01-02 Singapura 460204</t>
        </is>
      </c>
      <c r="D3" t="inlineStr">
        <is>
          <t>Shop</t>
        </is>
      </c>
      <c r="E3" t="n">
        <v>104.3</v>
      </c>
      <c r="F3" t="inlineStr">
        <is>
          <t>NC-BV-3</t>
        </is>
      </c>
      <c r="G3" t="inlineStr">
        <is>
          <t>Tenanted</t>
        </is>
      </c>
    </row>
    <row r="4">
      <c r="A4" t="inlineStr">
        <is>
          <t>U-BV204-01-03</t>
        </is>
      </c>
      <c r="B4" t="inlineStr">
        <is>
          <t>Bayshore Vale</t>
        </is>
      </c>
      <c r="C4" t="inlineStr">
        <is>
          <t>Blk 204 Bayshore Vale Drive #01-03 Singapura 460204</t>
        </is>
      </c>
      <c r="D4" t="inlineStr">
        <is>
          <t>Kiosk</t>
        </is>
      </c>
      <c r="E4" t="n">
        <v>10.2</v>
      </c>
      <c r="F4" t="inlineStr">
        <is>
          <t>NC-BV-3</t>
        </is>
      </c>
      <c r="G4" t="inlineStr">
        <is>
          <t>Tenanted</t>
        </is>
      </c>
    </row>
    <row r="5">
      <c r="A5" t="inlineStr">
        <is>
          <t>U-BV204-01-04</t>
        </is>
      </c>
      <c r="B5" t="inlineStr">
        <is>
          <t>Bayshore Vale</t>
        </is>
      </c>
      <c r="C5" t="inlineStr">
        <is>
          <t>Blk 204 Bayshore Vale Drive #01-04 Singapura 460204</t>
        </is>
      </c>
      <c r="D5" t="inlineStr">
        <is>
          <t>Shop</t>
        </is>
      </c>
      <c r="E5" t="n">
        <v>113.4</v>
      </c>
      <c r="F5" t="inlineStr">
        <is>
          <t>NC-BV-3</t>
        </is>
      </c>
      <c r="G5" t="inlineStr">
        <is>
          <t>Tenanted</t>
        </is>
      </c>
    </row>
    <row r="6">
      <c r="A6" t="inlineStr">
        <is>
          <t>U-BV204-01-05</t>
        </is>
      </c>
      <c r="B6" t="inlineStr">
        <is>
          <t>Bayshore Vale</t>
        </is>
      </c>
      <c r="C6" t="inlineStr">
        <is>
          <t>Blk 204 Bayshore Vale Drive #01-05 Singapura 460204</t>
        </is>
      </c>
      <c r="D6" t="inlineStr">
        <is>
          <t>Shop</t>
        </is>
      </c>
      <c r="E6" t="n">
        <v>50.7</v>
      </c>
      <c r="F6" t="inlineStr">
        <is>
          <t>NC-BV-3</t>
        </is>
      </c>
      <c r="G6" t="inlineStr">
        <is>
          <t>Tenanted</t>
        </is>
      </c>
    </row>
    <row r="7">
      <c r="A7" t="inlineStr">
        <is>
          <t>U-BV204-01-06</t>
        </is>
      </c>
      <c r="B7" t="inlineStr">
        <is>
          <t>Bayshore Vale</t>
        </is>
      </c>
      <c r="C7" t="inlineStr">
        <is>
          <t>Blk 204 Bayshore Vale Drive #01-06 Singapura 460204</t>
        </is>
      </c>
      <c r="D7" t="inlineStr">
        <is>
          <t>Shop</t>
        </is>
      </c>
      <c r="E7" t="n">
        <v>82.5</v>
      </c>
      <c r="F7" t="inlineStr">
        <is>
          <t>NC-BV-3</t>
        </is>
      </c>
      <c r="G7" t="inlineStr">
        <is>
          <t>Tenanted</t>
        </is>
      </c>
    </row>
    <row r="8">
      <c r="A8" t="inlineStr">
        <is>
          <t>U-BV204-01-07</t>
        </is>
      </c>
      <c r="B8" t="inlineStr">
        <is>
          <t>Bayshore Vale</t>
        </is>
      </c>
      <c r="C8" t="inlineStr">
        <is>
          <t>Blk 204 Bayshore Vale Drive #01-07 Singapura 460204</t>
        </is>
      </c>
      <c r="D8" t="inlineStr">
        <is>
          <t>Shop</t>
        </is>
      </c>
      <c r="E8" t="n">
        <v>65.40000000000001</v>
      </c>
      <c r="F8" t="inlineStr">
        <is>
          <t>NC-BV-3</t>
        </is>
      </c>
      <c r="G8" t="inlineStr">
        <is>
          <t>Tenanted</t>
        </is>
      </c>
    </row>
    <row r="9">
      <c r="A9" t="inlineStr">
        <is>
          <t>U-BV205-01-01</t>
        </is>
      </c>
      <c r="B9" t="inlineStr">
        <is>
          <t>Bayshore Vale</t>
        </is>
      </c>
      <c r="C9" t="inlineStr">
        <is>
          <t>Blk 205 Bayshore Vale Street 21 #01-01 Singapura 460205</t>
        </is>
      </c>
      <c r="D9" t="inlineStr">
        <is>
          <t>Eating House</t>
        </is>
      </c>
      <c r="E9" t="n">
        <v>285.8</v>
      </c>
      <c r="F9" t="inlineStr">
        <is>
          <t>NC-BV-2</t>
        </is>
      </c>
      <c r="G9" t="inlineStr">
        <is>
          <t>Tenanted</t>
        </is>
      </c>
    </row>
    <row r="10">
      <c r="A10" t="inlineStr">
        <is>
          <t>U-BV205-01-02</t>
        </is>
      </c>
      <c r="B10" t="inlineStr">
        <is>
          <t>Bayshore Vale</t>
        </is>
      </c>
      <c r="C10" t="inlineStr">
        <is>
          <t>Blk 205 Bayshore Vale Street 21 #01-02 Singapura 460205</t>
        </is>
      </c>
      <c r="D10" t="inlineStr">
        <is>
          <t>Kiosk</t>
        </is>
      </c>
      <c r="E10" t="n">
        <v>10.5</v>
      </c>
      <c r="F10" t="inlineStr">
        <is>
          <t>NC-BV-2</t>
        </is>
      </c>
      <c r="G10" t="inlineStr">
        <is>
          <t>Tenanted</t>
        </is>
      </c>
    </row>
    <row r="11">
      <c r="A11" t="inlineStr">
        <is>
          <t>U-BV205-01-03</t>
        </is>
      </c>
      <c r="B11" t="inlineStr">
        <is>
          <t>Bayshore Vale</t>
        </is>
      </c>
      <c r="C11" t="inlineStr">
        <is>
          <t>Blk 205 Bayshore Vale Street 21 #01-03 Singapura 460205</t>
        </is>
      </c>
      <c r="D11" t="inlineStr">
        <is>
          <t>Shop with Living Quarters</t>
        </is>
      </c>
      <c r="E11" t="n">
        <v>87.40000000000001</v>
      </c>
      <c r="F11" t="inlineStr">
        <is>
          <t>NC-BV-2</t>
        </is>
      </c>
      <c r="G11" t="inlineStr">
        <is>
          <t>Tenanted</t>
        </is>
      </c>
    </row>
    <row r="12">
      <c r="A12" t="inlineStr">
        <is>
          <t>U-BV205-01-04</t>
        </is>
      </c>
      <c r="B12" t="inlineStr">
        <is>
          <t>Bayshore Vale</t>
        </is>
      </c>
      <c r="C12" t="inlineStr">
        <is>
          <t>Blk 205 Bayshore Vale Street 21 #01-04 Singapura 460205</t>
        </is>
      </c>
      <c r="D12" t="inlineStr">
        <is>
          <t>Office</t>
        </is>
      </c>
      <c r="E12" t="n">
        <v>97.5</v>
      </c>
      <c r="F12" t="inlineStr">
        <is>
          <t>NC-BV-2</t>
        </is>
      </c>
      <c r="G12" t="inlineStr">
        <is>
          <t>Tenanted</t>
        </is>
      </c>
    </row>
    <row r="13">
      <c r="A13" t="inlineStr">
        <is>
          <t>U-BV205-01-05</t>
        </is>
      </c>
      <c r="B13" t="inlineStr">
        <is>
          <t>Bayshore Vale</t>
        </is>
      </c>
      <c r="C13" t="inlineStr">
        <is>
          <t>Blk 205 Bayshore Vale Street 21 #01-05 Singapura 460205</t>
        </is>
      </c>
      <c r="D13" t="inlineStr">
        <is>
          <t>Shop</t>
        </is>
      </c>
      <c r="E13" t="n">
        <v>59.8</v>
      </c>
      <c r="F13" t="inlineStr">
        <is>
          <t>NC-BV-2</t>
        </is>
      </c>
      <c r="G13" t="inlineStr">
        <is>
          <t>Tenanted</t>
        </is>
      </c>
    </row>
    <row r="14">
      <c r="A14" t="inlineStr">
        <is>
          <t>U-BV205-01-06</t>
        </is>
      </c>
      <c r="B14" t="inlineStr">
        <is>
          <t>Bayshore Vale</t>
        </is>
      </c>
      <c r="C14" t="inlineStr">
        <is>
          <t>Blk 205 Bayshore Vale Street 21 #01-06 Singapura 460205</t>
        </is>
      </c>
      <c r="D14" t="inlineStr">
        <is>
          <t>Shop</t>
        </is>
      </c>
      <c r="E14" t="n">
        <v>101.3</v>
      </c>
      <c r="F14" t="inlineStr">
        <is>
          <t>NC-BV-2</t>
        </is>
      </c>
      <c r="G14" t="inlineStr">
        <is>
          <t>Tenanted</t>
        </is>
      </c>
    </row>
    <row r="15">
      <c r="A15" t="inlineStr">
        <is>
          <t>U-BV205-01-07</t>
        </is>
      </c>
      <c r="B15" t="inlineStr">
        <is>
          <t>Bayshore Vale</t>
        </is>
      </c>
      <c r="C15" t="inlineStr">
        <is>
          <t>Blk 205 Bayshore Vale Street 21 #01-07 Singapura 460205</t>
        </is>
      </c>
      <c r="D15" t="inlineStr">
        <is>
          <t>Shop</t>
        </is>
      </c>
      <c r="E15" t="n">
        <v>90.09999999999999</v>
      </c>
      <c r="F15" t="inlineStr">
        <is>
          <t>NC-BV-2</t>
        </is>
      </c>
      <c r="G15" t="inlineStr">
        <is>
          <t>Tenanted</t>
        </is>
      </c>
    </row>
    <row r="16">
      <c r="A16" t="inlineStr">
        <is>
          <t>U-BV205-01-08</t>
        </is>
      </c>
      <c r="B16" t="inlineStr">
        <is>
          <t>Bayshore Vale</t>
        </is>
      </c>
      <c r="C16" t="inlineStr">
        <is>
          <t>Blk 205 Bayshore Vale Street 21 #01-08 Singapura 460205</t>
        </is>
      </c>
      <c r="D16" t="inlineStr">
        <is>
          <t>Shop</t>
        </is>
      </c>
      <c r="E16" t="n">
        <v>46.2</v>
      </c>
      <c r="F16" t="inlineStr">
        <is>
          <t>NC-BV-2</t>
        </is>
      </c>
      <c r="G16" t="inlineStr">
        <is>
          <t>Tenanted</t>
        </is>
      </c>
    </row>
    <row r="17">
      <c r="A17" t="inlineStr">
        <is>
          <t>U-BV205-01-09</t>
        </is>
      </c>
      <c r="B17" t="inlineStr">
        <is>
          <t>Bayshore Vale</t>
        </is>
      </c>
      <c r="C17" t="inlineStr">
        <is>
          <t>Blk 205 Bayshore Vale Street 21 #01-09 Singapura 460205</t>
        </is>
      </c>
      <c r="D17" t="inlineStr">
        <is>
          <t>Shop</t>
        </is>
      </c>
      <c r="E17" t="n">
        <v>61.7</v>
      </c>
      <c r="F17" t="inlineStr">
        <is>
          <t>NC-BV-2</t>
        </is>
      </c>
      <c r="G17" t="inlineStr">
        <is>
          <t>Tenanted</t>
        </is>
      </c>
    </row>
    <row r="18">
      <c r="A18" t="inlineStr">
        <is>
          <t>U-BV205-01-10</t>
        </is>
      </c>
      <c r="B18" t="inlineStr">
        <is>
          <t>Bayshore Vale</t>
        </is>
      </c>
      <c r="C18" t="inlineStr">
        <is>
          <t>Blk 205 Bayshore Vale Street 21 #01-10 Singapura 460205</t>
        </is>
      </c>
      <c r="D18" t="inlineStr">
        <is>
          <t>Shop</t>
        </is>
      </c>
      <c r="E18" t="n">
        <v>83.2</v>
      </c>
      <c r="F18" t="inlineStr">
        <is>
          <t>NC-BV-2</t>
        </is>
      </c>
      <c r="G18" t="inlineStr">
        <is>
          <t>Tenanted</t>
        </is>
      </c>
    </row>
    <row r="19">
      <c r="A19" t="inlineStr">
        <is>
          <t>U-BV205-01-11</t>
        </is>
      </c>
      <c r="B19" t="inlineStr">
        <is>
          <t>Bayshore Vale</t>
        </is>
      </c>
      <c r="C19" t="inlineStr">
        <is>
          <t>Blk 205 Bayshore Vale Street 21 #01-11 Singapura 460205</t>
        </is>
      </c>
      <c r="D19" t="inlineStr">
        <is>
          <t>Shop</t>
        </is>
      </c>
      <c r="E19" t="n">
        <v>58.5</v>
      </c>
      <c r="F19" t="inlineStr">
        <is>
          <t>NC-BV-2</t>
        </is>
      </c>
      <c r="G19" t="inlineStr">
        <is>
          <t>Tenanted</t>
        </is>
      </c>
    </row>
    <row r="20">
      <c r="A20" t="inlineStr">
        <is>
          <t>U-BV205-01-12</t>
        </is>
      </c>
      <c r="B20" t="inlineStr">
        <is>
          <t>Bayshore Vale</t>
        </is>
      </c>
      <c r="C20" t="inlineStr">
        <is>
          <t>Blk 205 Bayshore Vale Street 21 #01-12 Singapura 460205</t>
        </is>
      </c>
      <c r="D20" t="inlineStr">
        <is>
          <t>Kiosk</t>
        </is>
      </c>
      <c r="E20" t="n">
        <v>12.4</v>
      </c>
      <c r="F20" t="inlineStr">
        <is>
          <t>NC-BV-2</t>
        </is>
      </c>
      <c r="G20" t="inlineStr">
        <is>
          <t>Tenanted</t>
        </is>
      </c>
    </row>
    <row r="21">
      <c r="A21" t="inlineStr">
        <is>
          <t>U-BV205-01-13</t>
        </is>
      </c>
      <c r="B21" t="inlineStr">
        <is>
          <t>Bayshore Vale</t>
        </is>
      </c>
      <c r="C21" t="inlineStr">
        <is>
          <t>Blk 205 Bayshore Vale Street 21 #01-13 Singapura 460205</t>
        </is>
      </c>
      <c r="D21" t="inlineStr">
        <is>
          <t>Shop</t>
        </is>
      </c>
      <c r="E21" t="n">
        <v>72.59999999999999</v>
      </c>
      <c r="F21" t="inlineStr">
        <is>
          <t>NC-BV-2</t>
        </is>
      </c>
      <c r="G21" t="inlineStr">
        <is>
          <t>Tenanted</t>
        </is>
      </c>
    </row>
    <row r="22">
      <c r="A22" t="inlineStr">
        <is>
          <t>U-BV212-01-01</t>
        </is>
      </c>
      <c r="B22" t="inlineStr">
        <is>
          <t>Bayshore Vale</t>
        </is>
      </c>
      <c r="C22" t="inlineStr">
        <is>
          <t>Blk 212 Bayshore Vale Avenue 2 #01-01 Singapura 460212</t>
        </is>
      </c>
      <c r="D22" t="inlineStr">
        <is>
          <t>Shop</t>
        </is>
      </c>
      <c r="E22" t="n">
        <v>45</v>
      </c>
      <c r="F22" t="inlineStr">
        <is>
          <t>NC-BV-3</t>
        </is>
      </c>
      <c r="G22" t="inlineStr">
        <is>
          <t>Tenanted</t>
        </is>
      </c>
    </row>
    <row r="23">
      <c r="A23" t="inlineStr">
        <is>
          <t>U-BV212-01-02</t>
        </is>
      </c>
      <c r="B23" t="inlineStr">
        <is>
          <t>Bayshore Vale</t>
        </is>
      </c>
      <c r="C23" t="inlineStr">
        <is>
          <t>Blk 212 Bayshore Vale Avenue 2 #01-02 Singapura 460212</t>
        </is>
      </c>
      <c r="D23" t="inlineStr">
        <is>
          <t>Shop with Living Quarters</t>
        </is>
      </c>
      <c r="E23" t="n">
        <v>79.5</v>
      </c>
      <c r="F23" t="inlineStr">
        <is>
          <t>NC-BV-3</t>
        </is>
      </c>
      <c r="G23" t="inlineStr">
        <is>
          <t>Tenanted</t>
        </is>
      </c>
    </row>
    <row r="24">
      <c r="A24" t="inlineStr">
        <is>
          <t>U-BV212-01-03</t>
        </is>
      </c>
      <c r="B24" t="inlineStr">
        <is>
          <t>Bayshore Vale</t>
        </is>
      </c>
      <c r="C24" t="inlineStr">
        <is>
          <t>Blk 212 Bayshore Vale Avenue 2 #01-03 Singapura 460212</t>
        </is>
      </c>
      <c r="D24" t="inlineStr">
        <is>
          <t>Kiosk</t>
        </is>
      </c>
      <c r="E24" t="n">
        <v>14.5</v>
      </c>
      <c r="F24" t="inlineStr">
        <is>
          <t>NC-BV-3</t>
        </is>
      </c>
      <c r="G24" t="inlineStr">
        <is>
          <t>Tenanted</t>
        </is>
      </c>
    </row>
    <row r="25">
      <c r="A25" t="inlineStr">
        <is>
          <t>U-BV212-01-04</t>
        </is>
      </c>
      <c r="B25" t="inlineStr">
        <is>
          <t>Bayshore Vale</t>
        </is>
      </c>
      <c r="C25" t="inlineStr">
        <is>
          <t>Blk 212 Bayshore Vale Avenue 2 #01-04 Singapura 460212</t>
        </is>
      </c>
      <c r="D25" t="inlineStr">
        <is>
          <t>Shop</t>
        </is>
      </c>
      <c r="E25" t="n">
        <v>110.5</v>
      </c>
      <c r="F25" t="inlineStr">
        <is>
          <t>NC-BV-3</t>
        </is>
      </c>
      <c r="G25" t="inlineStr">
        <is>
          <t>Tenanted</t>
        </is>
      </c>
    </row>
    <row r="26">
      <c r="A26" t="inlineStr">
        <is>
          <t>U-BV212-01-05</t>
        </is>
      </c>
      <c r="B26" t="inlineStr">
        <is>
          <t>Bayshore Vale</t>
        </is>
      </c>
      <c r="C26" t="inlineStr">
        <is>
          <t>Blk 212 Bayshore Vale Avenue 2 #01-05 Singapura 460212</t>
        </is>
      </c>
      <c r="D26" t="inlineStr">
        <is>
          <t>Shop</t>
        </is>
      </c>
      <c r="E26" t="n">
        <v>78.2</v>
      </c>
      <c r="F26" t="inlineStr">
        <is>
          <t>NC-BV-3</t>
        </is>
      </c>
      <c r="G26" t="inlineStr">
        <is>
          <t>Tenanted</t>
        </is>
      </c>
    </row>
    <row r="27">
      <c r="A27" t="inlineStr">
        <is>
          <t>U-BV212-02-06</t>
        </is>
      </c>
      <c r="B27" t="inlineStr">
        <is>
          <t>Bayshore Vale</t>
        </is>
      </c>
      <c r="C27" t="inlineStr">
        <is>
          <t>Blk 212 Bayshore Vale Avenue 2 #02-06 Singapura 460212</t>
        </is>
      </c>
      <c r="D27" t="inlineStr">
        <is>
          <t>Office</t>
        </is>
      </c>
      <c r="E27" t="n">
        <v>89</v>
      </c>
      <c r="F27" t="inlineStr">
        <is>
          <t>NC-BV-3</t>
        </is>
      </c>
      <c r="G27" t="inlineStr">
        <is>
          <t>Tenanted</t>
        </is>
      </c>
    </row>
    <row r="28">
      <c r="A28" t="inlineStr">
        <is>
          <t>U-BV212-01-07</t>
        </is>
      </c>
      <c r="B28" t="inlineStr">
        <is>
          <t>Bayshore Vale</t>
        </is>
      </c>
      <c r="C28" t="inlineStr">
        <is>
          <t>Blk 212 Bayshore Vale Avenue 2 #01-07 Singapura 460212</t>
        </is>
      </c>
      <c r="D28" t="inlineStr">
        <is>
          <t>Office</t>
        </is>
      </c>
      <c r="E28" t="n">
        <v>103.8</v>
      </c>
      <c r="F28" t="inlineStr">
        <is>
          <t>NC-BV-3</t>
        </is>
      </c>
      <c r="G28" t="inlineStr">
        <is>
          <t>Tenanted</t>
        </is>
      </c>
    </row>
    <row r="29">
      <c r="A29" t="inlineStr">
        <is>
          <t>U-BV212-01-08</t>
        </is>
      </c>
      <c r="B29" t="inlineStr">
        <is>
          <t>Bayshore Vale</t>
        </is>
      </c>
      <c r="C29" t="inlineStr">
        <is>
          <t>Blk 212 Bayshore Vale Avenue 2 #01-08 Singapura 460212</t>
        </is>
      </c>
      <c r="D29" t="inlineStr">
        <is>
          <t>Kiosk</t>
        </is>
      </c>
      <c r="E29" t="n">
        <v>13.2</v>
      </c>
      <c r="F29" t="inlineStr">
        <is>
          <t>NC-BV-3</t>
        </is>
      </c>
      <c r="G29" t="inlineStr">
        <is>
          <t>Tenanted</t>
        </is>
      </c>
    </row>
    <row r="30">
      <c r="A30" t="inlineStr">
        <is>
          <t>U-BV212-02-09</t>
        </is>
      </c>
      <c r="B30" t="inlineStr">
        <is>
          <t>Bayshore Vale</t>
        </is>
      </c>
      <c r="C30" t="inlineStr">
        <is>
          <t>Blk 212 Bayshore Vale Avenue 2 #02-09 Singapura 460212</t>
        </is>
      </c>
      <c r="D30" t="inlineStr">
        <is>
          <t>Office</t>
        </is>
      </c>
      <c r="E30" t="n">
        <v>77.3</v>
      </c>
      <c r="F30" t="inlineStr">
        <is>
          <t>NC-BV-3</t>
        </is>
      </c>
      <c r="G30" t="inlineStr">
        <is>
          <t>Tenanted</t>
        </is>
      </c>
    </row>
    <row r="31">
      <c r="A31" t="inlineStr">
        <is>
          <t>U-BV212-01-10</t>
        </is>
      </c>
      <c r="B31" t="inlineStr">
        <is>
          <t>Bayshore Vale</t>
        </is>
      </c>
      <c r="C31" t="inlineStr">
        <is>
          <t>Blk 212 Bayshore Vale Avenue 2 #01-10 Singapura 460212</t>
        </is>
      </c>
      <c r="D31" t="inlineStr">
        <is>
          <t>Shop</t>
        </is>
      </c>
      <c r="E31" t="n">
        <v>71.09999999999999</v>
      </c>
      <c r="F31" t="inlineStr">
        <is>
          <t>NC-BV-3</t>
        </is>
      </c>
      <c r="G31" t="inlineStr">
        <is>
          <t>Tenanted</t>
        </is>
      </c>
    </row>
    <row r="32">
      <c r="A32" t="inlineStr">
        <is>
          <t>U-BV212-01-11</t>
        </is>
      </c>
      <c r="B32" t="inlineStr">
        <is>
          <t>Bayshore Vale</t>
        </is>
      </c>
      <c r="C32" t="inlineStr">
        <is>
          <t>Blk 212 Bayshore Vale Avenue 2 #01-11 Singapura 460212</t>
        </is>
      </c>
      <c r="D32" t="inlineStr">
        <is>
          <t>Shop</t>
        </is>
      </c>
      <c r="E32" t="n">
        <v>103.9</v>
      </c>
      <c r="F32" t="inlineStr">
        <is>
          <t>NC-BV-3</t>
        </is>
      </c>
      <c r="G32" t="inlineStr">
        <is>
          <t>Tenanted</t>
        </is>
      </c>
    </row>
    <row r="33">
      <c r="A33" t="inlineStr">
        <is>
          <t>U-BV212-01-12</t>
        </is>
      </c>
      <c r="B33" t="inlineStr">
        <is>
          <t>Bayshore Vale</t>
        </is>
      </c>
      <c r="C33" t="inlineStr">
        <is>
          <t>Blk 212 Bayshore Vale Avenue 2 #01-12 Singapura 460212</t>
        </is>
      </c>
      <c r="D33" t="inlineStr">
        <is>
          <t>Kiosk</t>
        </is>
      </c>
      <c r="E33" t="n">
        <v>13.6</v>
      </c>
      <c r="F33" t="inlineStr">
        <is>
          <t>NC-BV-3</t>
        </is>
      </c>
      <c r="G33" t="inlineStr">
        <is>
          <t>Tenanted</t>
        </is>
      </c>
    </row>
    <row r="34">
      <c r="A34" t="inlineStr">
        <is>
          <t>U-BV212-01-13</t>
        </is>
      </c>
      <c r="B34" t="inlineStr">
        <is>
          <t>Bayshore Vale</t>
        </is>
      </c>
      <c r="C34" t="inlineStr">
        <is>
          <t>Blk 212 Bayshore Vale Avenue 2 #01-13 Singapura 460212</t>
        </is>
      </c>
      <c r="D34" t="inlineStr">
        <is>
          <t>Office</t>
        </is>
      </c>
      <c r="E34" t="n">
        <v>103.4</v>
      </c>
      <c r="F34" t="inlineStr">
        <is>
          <t>NC-BV-3</t>
        </is>
      </c>
      <c r="G34" t="inlineStr">
        <is>
          <t>Tenanted</t>
        </is>
      </c>
    </row>
    <row r="35">
      <c r="A35" t="inlineStr">
        <is>
          <t>U-BV212-02-14</t>
        </is>
      </c>
      <c r="B35" t="inlineStr">
        <is>
          <t>Bayshore Vale</t>
        </is>
      </c>
      <c r="C35" t="inlineStr">
        <is>
          <t>Blk 212 Bayshore Vale Avenue 2 #02-14 Singapura 460212</t>
        </is>
      </c>
      <c r="D35" t="inlineStr">
        <is>
          <t>Office</t>
        </is>
      </c>
      <c r="E35" t="n">
        <v>116.3</v>
      </c>
      <c r="F35" t="inlineStr">
        <is>
          <t>NC-BV-3</t>
        </is>
      </c>
      <c r="G35" t="inlineStr">
        <is>
          <t>Tenanted</t>
        </is>
      </c>
    </row>
    <row r="36">
      <c r="A36" t="inlineStr">
        <is>
          <t>U-BV214-01-01</t>
        </is>
      </c>
      <c r="B36" t="inlineStr">
        <is>
          <t>Bayshore Vale</t>
        </is>
      </c>
      <c r="C36" t="inlineStr">
        <is>
          <t>Blk 214 Bayshore Vale Street 21 #01-01 Singapura 460214</t>
        </is>
      </c>
      <c r="D36" t="inlineStr">
        <is>
          <t>Shop</t>
        </is>
      </c>
      <c r="E36" t="n">
        <v>50.9</v>
      </c>
      <c r="F36" t="inlineStr">
        <is>
          <t>NC-BV-1</t>
        </is>
      </c>
      <c r="G36" t="inlineStr">
        <is>
          <t>Tenanted</t>
        </is>
      </c>
    </row>
    <row r="37">
      <c r="A37" t="inlineStr">
        <is>
          <t>U-BV214-01-02</t>
        </is>
      </c>
      <c r="B37" t="inlineStr">
        <is>
          <t>Bayshore Vale</t>
        </is>
      </c>
      <c r="C37" t="inlineStr">
        <is>
          <t>Blk 214 Bayshore Vale Street 21 #01-02 Singapura 460214</t>
        </is>
      </c>
      <c r="D37" t="inlineStr">
        <is>
          <t>Shop</t>
        </is>
      </c>
      <c r="E37" t="n">
        <v>44</v>
      </c>
      <c r="F37" t="inlineStr">
        <is>
          <t>NC-BV-1</t>
        </is>
      </c>
      <c r="G37" t="inlineStr">
        <is>
          <t>Tenanted</t>
        </is>
      </c>
    </row>
    <row r="38">
      <c r="A38" t="inlineStr">
        <is>
          <t>U-BV214-01-03</t>
        </is>
      </c>
      <c r="B38" t="inlineStr">
        <is>
          <t>Bayshore Vale</t>
        </is>
      </c>
      <c r="C38" t="inlineStr">
        <is>
          <t>Blk 214 Bayshore Vale Street 21 #01-03 Singapura 460214</t>
        </is>
      </c>
      <c r="D38" t="inlineStr">
        <is>
          <t>Shop</t>
        </is>
      </c>
      <c r="E38" t="n">
        <v>56.9</v>
      </c>
      <c r="F38" t="inlineStr">
        <is>
          <t>NC-BV-1</t>
        </is>
      </c>
      <c r="G38" t="inlineStr">
        <is>
          <t>Tenanted</t>
        </is>
      </c>
    </row>
    <row r="39">
      <c r="A39" t="inlineStr">
        <is>
          <t>U-BV214-01-04</t>
        </is>
      </c>
      <c r="B39" t="inlineStr">
        <is>
          <t>Bayshore Vale</t>
        </is>
      </c>
      <c r="C39" t="inlineStr">
        <is>
          <t>Blk 214 Bayshore Vale Street 21 #01-04 Singapura 460214</t>
        </is>
      </c>
      <c r="D39" t="inlineStr">
        <is>
          <t>Shop</t>
        </is>
      </c>
      <c r="E39" t="n">
        <v>100.9</v>
      </c>
      <c r="F39" t="inlineStr">
        <is>
          <t>NC-BV-1</t>
        </is>
      </c>
      <c r="G39" t="inlineStr">
        <is>
          <t>Tenanted</t>
        </is>
      </c>
    </row>
    <row r="40">
      <c r="A40" t="inlineStr">
        <is>
          <t>U-BV214-01-05</t>
        </is>
      </c>
      <c r="B40" t="inlineStr">
        <is>
          <t>Bayshore Vale</t>
        </is>
      </c>
      <c r="C40" t="inlineStr">
        <is>
          <t>Blk 214 Bayshore Vale Street 21 #01-05 Singapura 460214</t>
        </is>
      </c>
      <c r="D40" t="inlineStr">
        <is>
          <t>Shop</t>
        </is>
      </c>
      <c r="E40" t="n">
        <v>100.2</v>
      </c>
      <c r="F40" t="inlineStr">
        <is>
          <t>NC-BV-1</t>
        </is>
      </c>
      <c r="G40" t="inlineStr">
        <is>
          <t>Tenanted</t>
        </is>
      </c>
    </row>
    <row r="41">
      <c r="A41" t="inlineStr">
        <is>
          <t>U-BV214-01-06</t>
        </is>
      </c>
      <c r="B41" t="inlineStr">
        <is>
          <t>Bayshore Vale</t>
        </is>
      </c>
      <c r="C41" t="inlineStr">
        <is>
          <t>Blk 214 Bayshore Vale Street 21 #01-06 Singapura 460214</t>
        </is>
      </c>
      <c r="D41" t="inlineStr">
        <is>
          <t>Shop with Living Quarters</t>
        </is>
      </c>
      <c r="E41" t="n">
        <v>72.59999999999999</v>
      </c>
      <c r="F41" t="inlineStr">
        <is>
          <t>NC-BV-1</t>
        </is>
      </c>
      <c r="G41" t="inlineStr">
        <is>
          <t>Not Lettable</t>
        </is>
      </c>
    </row>
    <row r="42">
      <c r="A42" t="inlineStr">
        <is>
          <t>U-BV214-01-07</t>
        </is>
      </c>
      <c r="B42" t="inlineStr">
        <is>
          <t>Bayshore Vale</t>
        </is>
      </c>
      <c r="C42" t="inlineStr">
        <is>
          <t>Blk 214 Bayshore Vale Street 21 #01-07 Singapura 460214</t>
        </is>
      </c>
      <c r="D42" t="inlineStr">
        <is>
          <t>Shop</t>
        </is>
      </c>
      <c r="E42" t="n">
        <v>46.6</v>
      </c>
      <c r="F42" t="inlineStr">
        <is>
          <t>NC-BV-1</t>
        </is>
      </c>
      <c r="G42" t="inlineStr">
        <is>
          <t>Tenanted</t>
        </is>
      </c>
    </row>
    <row r="43">
      <c r="A43" t="inlineStr">
        <is>
          <t>U-BV214-01-08</t>
        </is>
      </c>
      <c r="B43" t="inlineStr">
        <is>
          <t>Bayshore Vale</t>
        </is>
      </c>
      <c r="C43" t="inlineStr">
        <is>
          <t>Blk 214 Bayshore Vale Street 21 #01-08 Singapura 460214</t>
        </is>
      </c>
      <c r="D43" t="inlineStr">
        <is>
          <t>Shop</t>
        </is>
      </c>
      <c r="E43" t="n">
        <v>83.2</v>
      </c>
      <c r="F43" t="inlineStr">
        <is>
          <t>NC-BV-1</t>
        </is>
      </c>
      <c r="G43" t="inlineStr">
        <is>
          <t>Tenanted</t>
        </is>
      </c>
    </row>
    <row r="44">
      <c r="A44" t="inlineStr">
        <is>
          <t>U-BV214-02-09</t>
        </is>
      </c>
      <c r="B44" t="inlineStr">
        <is>
          <t>Bayshore Vale</t>
        </is>
      </c>
      <c r="C44" t="inlineStr">
        <is>
          <t>Blk 214 Bayshore Vale Street 21 #02-09 Singapura 460214</t>
        </is>
      </c>
      <c r="D44" t="inlineStr">
        <is>
          <t>Office</t>
        </is>
      </c>
      <c r="E44" t="n">
        <v>115</v>
      </c>
      <c r="F44" t="inlineStr">
        <is>
          <t>NC-BV-1</t>
        </is>
      </c>
      <c r="G44" t="inlineStr">
        <is>
          <t>Tenanted</t>
        </is>
      </c>
    </row>
    <row r="45">
      <c r="A45" t="inlineStr">
        <is>
          <t>U-BV214-01-10</t>
        </is>
      </c>
      <c r="B45" t="inlineStr">
        <is>
          <t>Bayshore Vale</t>
        </is>
      </c>
      <c r="C45" t="inlineStr">
        <is>
          <t>Blk 214 Bayshore Vale Street 21 #01-10 Singapura 460214</t>
        </is>
      </c>
      <c r="D45" t="inlineStr">
        <is>
          <t>Shop with Living Quarters</t>
        </is>
      </c>
      <c r="E45" t="n">
        <v>92.59999999999999</v>
      </c>
      <c r="F45" t="inlineStr">
        <is>
          <t>NC-BV-1</t>
        </is>
      </c>
      <c r="G45" t="inlineStr">
        <is>
          <t>Tenanted</t>
        </is>
      </c>
    </row>
    <row r="46">
      <c r="A46" t="inlineStr">
        <is>
          <t>U-BV214-01-11</t>
        </is>
      </c>
      <c r="B46" t="inlineStr">
        <is>
          <t>Bayshore Vale</t>
        </is>
      </c>
      <c r="C46" t="inlineStr">
        <is>
          <t>Blk 214 Bayshore Vale Street 21 #01-11 Singapura 460214</t>
        </is>
      </c>
      <c r="D46" t="inlineStr">
        <is>
          <t>Kiosk</t>
        </is>
      </c>
      <c r="E46" t="n">
        <v>14.5</v>
      </c>
      <c r="F46" t="inlineStr">
        <is>
          <t>NC-BV-1</t>
        </is>
      </c>
      <c r="G46" t="inlineStr">
        <is>
          <t>Tenanted</t>
        </is>
      </c>
    </row>
    <row r="47">
      <c r="A47" t="inlineStr">
        <is>
          <t>U-BV214-01-12</t>
        </is>
      </c>
      <c r="B47" t="inlineStr">
        <is>
          <t>Bayshore Vale</t>
        </is>
      </c>
      <c r="C47" t="inlineStr">
        <is>
          <t>Blk 214 Bayshore Vale Street 21 #01-12 Singapura 460214</t>
        </is>
      </c>
      <c r="D47" t="inlineStr">
        <is>
          <t>Shop</t>
        </is>
      </c>
      <c r="E47" t="n">
        <v>41.6</v>
      </c>
      <c r="F47" t="inlineStr">
        <is>
          <t>NC-BV-1</t>
        </is>
      </c>
      <c r="G47" t="inlineStr">
        <is>
          <t>Tenanted</t>
        </is>
      </c>
    </row>
    <row r="48">
      <c r="A48" t="inlineStr">
        <is>
          <t>U-BV214-01-13</t>
        </is>
      </c>
      <c r="B48" t="inlineStr">
        <is>
          <t>Bayshore Vale</t>
        </is>
      </c>
      <c r="C48" t="inlineStr">
        <is>
          <t>Blk 214 Bayshore Vale Street 21 #01-13 Singapura 460214</t>
        </is>
      </c>
      <c r="D48" t="inlineStr">
        <is>
          <t>Shop</t>
        </is>
      </c>
      <c r="E48" t="n">
        <v>50.1</v>
      </c>
      <c r="F48" t="inlineStr">
        <is>
          <t>NC-BV-1</t>
        </is>
      </c>
      <c r="G48" t="inlineStr">
        <is>
          <t>Tenanted</t>
        </is>
      </c>
    </row>
    <row r="49">
      <c r="A49" t="inlineStr">
        <is>
          <t>U-BV214-01-14</t>
        </is>
      </c>
      <c r="B49" t="inlineStr">
        <is>
          <t>Bayshore Vale</t>
        </is>
      </c>
      <c r="C49" t="inlineStr">
        <is>
          <t>Blk 214 Bayshore Vale Street 21 #01-14 Singapura 460214</t>
        </is>
      </c>
      <c r="D49" t="inlineStr">
        <is>
          <t>Shop</t>
        </is>
      </c>
      <c r="E49" t="n">
        <v>85.09999999999999</v>
      </c>
      <c r="F49" t="inlineStr">
        <is>
          <t>NC-BV-1</t>
        </is>
      </c>
      <c r="G49" t="inlineStr">
        <is>
          <t>Tenanted</t>
        </is>
      </c>
    </row>
    <row r="50">
      <c r="A50" t="inlineStr">
        <is>
          <t>U-BV214-01-15</t>
        </is>
      </c>
      <c r="B50" t="inlineStr">
        <is>
          <t>Bayshore Vale</t>
        </is>
      </c>
      <c r="C50" t="inlineStr">
        <is>
          <t>Blk 214 Bayshore Vale Street 21 #01-15 Singapura 460214</t>
        </is>
      </c>
      <c r="D50" t="inlineStr">
        <is>
          <t>Shop</t>
        </is>
      </c>
      <c r="E50" t="n">
        <v>96</v>
      </c>
      <c r="F50" t="inlineStr">
        <is>
          <t>NC-BV-1</t>
        </is>
      </c>
      <c r="G50" t="inlineStr">
        <is>
          <t>Tenanted</t>
        </is>
      </c>
    </row>
    <row r="51">
      <c r="A51" t="inlineStr">
        <is>
          <t>U-BV214-01-16</t>
        </is>
      </c>
      <c r="B51" t="inlineStr">
        <is>
          <t>Bayshore Vale</t>
        </is>
      </c>
      <c r="C51" t="inlineStr">
        <is>
          <t>Blk 214 Bayshore Vale Street 21 #01-16 Singapura 460214</t>
        </is>
      </c>
      <c r="D51" t="inlineStr">
        <is>
          <t>Kiosk</t>
        </is>
      </c>
      <c r="E51" t="n">
        <v>7.5</v>
      </c>
      <c r="F51" t="inlineStr">
        <is>
          <t>NC-BV-1</t>
        </is>
      </c>
      <c r="G51" t="inlineStr">
        <is>
          <t>Tenanted</t>
        </is>
      </c>
    </row>
    <row r="52">
      <c r="A52" t="inlineStr">
        <is>
          <t>U-BV214-01-17</t>
        </is>
      </c>
      <c r="B52" t="inlineStr">
        <is>
          <t>Bayshore Vale</t>
        </is>
      </c>
      <c r="C52" t="inlineStr">
        <is>
          <t>Blk 214 Bayshore Vale Street 21 #01-17 Singapura 460214</t>
        </is>
      </c>
      <c r="D52" t="inlineStr">
        <is>
          <t>Shop</t>
        </is>
      </c>
      <c r="E52" t="n">
        <v>99.8</v>
      </c>
      <c r="F52" t="inlineStr">
        <is>
          <t>NC-BV-1</t>
        </is>
      </c>
      <c r="G52" t="inlineStr">
        <is>
          <t>Tenanted</t>
        </is>
      </c>
    </row>
    <row r="53">
      <c r="A53" t="inlineStr">
        <is>
          <t>U-BV214-01-18</t>
        </is>
      </c>
      <c r="B53" t="inlineStr">
        <is>
          <t>Bayshore Vale</t>
        </is>
      </c>
      <c r="C53" t="inlineStr">
        <is>
          <t>Blk 214 Bayshore Vale Street 21 #01-18 Singapura 460214</t>
        </is>
      </c>
      <c r="D53" t="inlineStr">
        <is>
          <t>Shop</t>
        </is>
      </c>
      <c r="E53" t="n">
        <v>105.5</v>
      </c>
      <c r="F53" t="inlineStr">
        <is>
          <t>NC-BV-1</t>
        </is>
      </c>
      <c r="G53" t="inlineStr">
        <is>
          <t>Tenanted</t>
        </is>
      </c>
    </row>
    <row r="54">
      <c r="A54" t="inlineStr">
        <is>
          <t>U-BV214-02-19</t>
        </is>
      </c>
      <c r="B54" t="inlineStr">
        <is>
          <t>Bayshore Vale</t>
        </is>
      </c>
      <c r="C54" t="inlineStr">
        <is>
          <t>Blk 214 Bayshore Vale Street 21 #02-19 Singapura 460214</t>
        </is>
      </c>
      <c r="D54" t="inlineStr">
        <is>
          <t>Office</t>
        </is>
      </c>
      <c r="E54" t="n">
        <v>52.6</v>
      </c>
      <c r="F54" t="inlineStr">
        <is>
          <t>NC-BV-1</t>
        </is>
      </c>
      <c r="G54" t="inlineStr">
        <is>
          <t>Tenanted</t>
        </is>
      </c>
    </row>
    <row r="55">
      <c r="A55" t="inlineStr">
        <is>
          <t>U-BV214-01-20</t>
        </is>
      </c>
      <c r="B55" t="inlineStr">
        <is>
          <t>Bayshore Vale</t>
        </is>
      </c>
      <c r="C55" t="inlineStr">
        <is>
          <t>Blk 214 Bayshore Vale Street 21 #01-20 Singapura 460214</t>
        </is>
      </c>
      <c r="D55" t="inlineStr">
        <is>
          <t>Shop</t>
        </is>
      </c>
      <c r="E55" t="n">
        <v>94.2</v>
      </c>
      <c r="F55" t="inlineStr">
        <is>
          <t>NC-BV-1</t>
        </is>
      </c>
      <c r="G55" t="inlineStr">
        <is>
          <t>Tenanted</t>
        </is>
      </c>
    </row>
    <row r="56">
      <c r="A56" t="inlineStr">
        <is>
          <t>U-BV214-02-21</t>
        </is>
      </c>
      <c r="B56" t="inlineStr">
        <is>
          <t>Bayshore Vale</t>
        </is>
      </c>
      <c r="C56" t="inlineStr">
        <is>
          <t>Blk 214 Bayshore Vale Street 21 #02-21 Singapura 460214</t>
        </is>
      </c>
      <c r="D56" t="inlineStr">
        <is>
          <t>Office</t>
        </is>
      </c>
      <c r="E56" t="n">
        <v>121.5</v>
      </c>
      <c r="F56" t="inlineStr">
        <is>
          <t>NC-BV-1</t>
        </is>
      </c>
      <c r="G56" t="inlineStr">
        <is>
          <t>Tenanted</t>
        </is>
      </c>
    </row>
    <row r="57">
      <c r="A57" t="inlineStr">
        <is>
          <t>U-BV214-01-22</t>
        </is>
      </c>
      <c r="B57" t="inlineStr">
        <is>
          <t>Bayshore Vale</t>
        </is>
      </c>
      <c r="C57" t="inlineStr">
        <is>
          <t>Blk 214 Bayshore Vale Street 21 #01-22 Singapura 460214</t>
        </is>
      </c>
      <c r="D57" t="inlineStr">
        <is>
          <t>Shop</t>
        </is>
      </c>
      <c r="E57" t="n">
        <v>95.2</v>
      </c>
      <c r="F57" t="inlineStr">
        <is>
          <t>NC-BV-1</t>
        </is>
      </c>
      <c r="G57" t="inlineStr">
        <is>
          <t>Tenanted</t>
        </is>
      </c>
    </row>
    <row r="58">
      <c r="A58" t="inlineStr">
        <is>
          <t>U-BV214-01-23</t>
        </is>
      </c>
      <c r="B58" t="inlineStr">
        <is>
          <t>Bayshore Vale</t>
        </is>
      </c>
      <c r="C58" t="inlineStr">
        <is>
          <t>Blk 214 Bayshore Vale Street 21 #01-23 Singapura 460214</t>
        </is>
      </c>
      <c r="D58" t="inlineStr">
        <is>
          <t>Shop</t>
        </is>
      </c>
      <c r="E58" t="n">
        <v>48.2</v>
      </c>
      <c r="F58" t="inlineStr">
        <is>
          <t>NC-BV-1</t>
        </is>
      </c>
      <c r="G58" t="inlineStr">
        <is>
          <t>Tenanted</t>
        </is>
      </c>
    </row>
    <row r="59">
      <c r="A59" t="inlineStr">
        <is>
          <t>U-BV214-01-24</t>
        </is>
      </c>
      <c r="B59" t="inlineStr">
        <is>
          <t>Bayshore Vale</t>
        </is>
      </c>
      <c r="C59" t="inlineStr">
        <is>
          <t>Blk 214 Bayshore Vale Street 21 #01-24 Singapura 460214</t>
        </is>
      </c>
      <c r="D59" t="inlineStr">
        <is>
          <t>Kiosk</t>
        </is>
      </c>
      <c r="E59" t="n">
        <v>13.7</v>
      </c>
      <c r="F59" t="inlineStr">
        <is>
          <t>NC-BV-1</t>
        </is>
      </c>
      <c r="G59" t="inlineStr">
        <is>
          <t>Tenanted</t>
        </is>
      </c>
    </row>
    <row r="60">
      <c r="A60" t="inlineStr">
        <is>
          <t>U-BV214-01-25</t>
        </is>
      </c>
      <c r="B60" t="inlineStr">
        <is>
          <t>Bayshore Vale</t>
        </is>
      </c>
      <c r="C60" t="inlineStr">
        <is>
          <t>Blk 214 Bayshore Vale Street 21 #01-25 Singapura 460214</t>
        </is>
      </c>
      <c r="D60" t="inlineStr">
        <is>
          <t>Shop</t>
        </is>
      </c>
      <c r="E60" t="n">
        <v>49.7</v>
      </c>
      <c r="F60" t="inlineStr">
        <is>
          <t>NC-BV-1</t>
        </is>
      </c>
      <c r="G60" t="inlineStr">
        <is>
          <t>Tenanted</t>
        </is>
      </c>
    </row>
    <row r="61">
      <c r="A61" t="inlineStr">
        <is>
          <t>U-BV214-01-26</t>
        </is>
      </c>
      <c r="B61" t="inlineStr">
        <is>
          <t>Bayshore Vale</t>
        </is>
      </c>
      <c r="C61" t="inlineStr">
        <is>
          <t>Blk 214 Bayshore Vale Street 21 #01-26 Singapura 460214</t>
        </is>
      </c>
      <c r="D61" t="inlineStr">
        <is>
          <t>Office</t>
        </is>
      </c>
      <c r="E61" t="n">
        <v>84.7</v>
      </c>
      <c r="F61" t="inlineStr">
        <is>
          <t>NC-BV-1</t>
        </is>
      </c>
      <c r="G61" t="inlineStr">
        <is>
          <t>Tenanted</t>
        </is>
      </c>
    </row>
    <row r="62">
      <c r="A62" t="inlineStr">
        <is>
          <t>U-BV214-01-27</t>
        </is>
      </c>
      <c r="B62" t="inlineStr">
        <is>
          <t>Bayshore Vale</t>
        </is>
      </c>
      <c r="C62" t="inlineStr">
        <is>
          <t>Blk 214 Bayshore Vale Street 21 #01-27 Singapura 460214</t>
        </is>
      </c>
      <c r="D62" t="inlineStr">
        <is>
          <t>Shop</t>
        </is>
      </c>
      <c r="E62" t="n">
        <v>69.59999999999999</v>
      </c>
      <c r="F62" t="inlineStr">
        <is>
          <t>NC-BV-1</t>
        </is>
      </c>
      <c r="G62" t="inlineStr">
        <is>
          <t>Tenanted</t>
        </is>
      </c>
    </row>
    <row r="63">
      <c r="A63" t="inlineStr">
        <is>
          <t>U-BV214-01-28</t>
        </is>
      </c>
      <c r="B63" t="inlineStr">
        <is>
          <t>Bayshore Vale</t>
        </is>
      </c>
      <c r="C63" t="inlineStr">
        <is>
          <t>Blk 214 Bayshore Vale Street 21 #01-28 Singapura 460214</t>
        </is>
      </c>
      <c r="D63" t="inlineStr">
        <is>
          <t>Shop</t>
        </is>
      </c>
      <c r="E63" t="n">
        <v>67.3</v>
      </c>
      <c r="F63" t="inlineStr">
        <is>
          <t>NC-BV-1</t>
        </is>
      </c>
      <c r="G63" t="inlineStr">
        <is>
          <t>Tenanted</t>
        </is>
      </c>
    </row>
    <row r="64">
      <c r="A64" t="inlineStr">
        <is>
          <t>U-BV214-01-29</t>
        </is>
      </c>
      <c r="B64" t="inlineStr">
        <is>
          <t>Bayshore Vale</t>
        </is>
      </c>
      <c r="C64" t="inlineStr">
        <is>
          <t>Blk 214 Bayshore Vale Street 21 #01-29 Singapura 460214</t>
        </is>
      </c>
      <c r="D64" t="inlineStr">
        <is>
          <t>Shop with Living Quarters</t>
        </is>
      </c>
      <c r="E64" t="n">
        <v>101.1</v>
      </c>
      <c r="F64" t="inlineStr">
        <is>
          <t>NC-BV-1</t>
        </is>
      </c>
      <c r="G64" t="inlineStr">
        <is>
          <t>Tenanted</t>
        </is>
      </c>
    </row>
    <row r="65">
      <c r="A65" t="inlineStr">
        <is>
          <t>U-BV214-01-30</t>
        </is>
      </c>
      <c r="B65" t="inlineStr">
        <is>
          <t>Bayshore Vale</t>
        </is>
      </c>
      <c r="C65" t="inlineStr">
        <is>
          <t>Blk 214 Bayshore Vale Street 21 #01-30 Singapura 460214</t>
        </is>
      </c>
      <c r="D65" t="inlineStr">
        <is>
          <t>Shop</t>
        </is>
      </c>
      <c r="E65" t="n">
        <v>116.9</v>
      </c>
      <c r="F65" t="inlineStr">
        <is>
          <t>NC-BV-1</t>
        </is>
      </c>
      <c r="G65" t="inlineStr">
        <is>
          <t>Tenanted</t>
        </is>
      </c>
    </row>
    <row r="66">
      <c r="A66" t="inlineStr">
        <is>
          <t>U-BV214-01-31</t>
        </is>
      </c>
      <c r="B66" t="inlineStr">
        <is>
          <t>Bayshore Vale</t>
        </is>
      </c>
      <c r="C66" t="inlineStr">
        <is>
          <t>Blk 214 Bayshore Vale Street 21 #01-31 Singapura 460214</t>
        </is>
      </c>
      <c r="D66" t="inlineStr">
        <is>
          <t>Shop</t>
        </is>
      </c>
      <c r="E66" t="n">
        <v>106.3</v>
      </c>
      <c r="F66" t="inlineStr">
        <is>
          <t>NC-BV-1</t>
        </is>
      </c>
      <c r="G66" t="inlineStr">
        <is>
          <t>Tenanted</t>
        </is>
      </c>
    </row>
    <row r="67">
      <c r="A67" t="inlineStr">
        <is>
          <t>U-BV214-01-32</t>
        </is>
      </c>
      <c r="B67" t="inlineStr">
        <is>
          <t>Bayshore Vale</t>
        </is>
      </c>
      <c r="C67" t="inlineStr">
        <is>
          <t>Blk 214 Bayshore Vale Street 21 #01-32 Singapura 460214</t>
        </is>
      </c>
      <c r="D67" t="inlineStr">
        <is>
          <t>Shop</t>
        </is>
      </c>
      <c r="E67" t="n">
        <v>96.59999999999999</v>
      </c>
      <c r="F67" t="inlineStr">
        <is>
          <t>NC-BV-1</t>
        </is>
      </c>
      <c r="G67" t="inlineStr">
        <is>
          <t>Tenanted</t>
        </is>
      </c>
    </row>
    <row r="68">
      <c r="A68" t="inlineStr">
        <is>
          <t>U-BV214-01-33</t>
        </is>
      </c>
      <c r="B68" t="inlineStr">
        <is>
          <t>Bayshore Vale</t>
        </is>
      </c>
      <c r="C68" t="inlineStr">
        <is>
          <t>Blk 214 Bayshore Vale Street 21 #01-33 Singapura 460214</t>
        </is>
      </c>
      <c r="D68" t="inlineStr">
        <is>
          <t>Shop</t>
        </is>
      </c>
      <c r="E68" t="n">
        <v>98.7</v>
      </c>
      <c r="F68" t="inlineStr">
        <is>
          <t>NC-BV-1</t>
        </is>
      </c>
      <c r="G68" t="inlineStr">
        <is>
          <t>Tenanted</t>
        </is>
      </c>
    </row>
    <row r="69">
      <c r="A69" t="inlineStr">
        <is>
          <t>U-BV214-02-34</t>
        </is>
      </c>
      <c r="B69" t="inlineStr">
        <is>
          <t>Bayshore Vale</t>
        </is>
      </c>
      <c r="C69" t="inlineStr">
        <is>
          <t>Blk 214 Bayshore Vale Street 21 #02-34 Singapura 460214</t>
        </is>
      </c>
      <c r="D69" t="inlineStr">
        <is>
          <t>Office</t>
        </is>
      </c>
      <c r="E69" t="n">
        <v>130.8</v>
      </c>
      <c r="F69" t="inlineStr">
        <is>
          <t>NC-BV-1</t>
        </is>
      </c>
      <c r="G69" t="inlineStr">
        <is>
          <t>Tenanted</t>
        </is>
      </c>
    </row>
    <row r="70">
      <c r="A70" t="inlineStr">
        <is>
          <t>U-BV215-01-01</t>
        </is>
      </c>
      <c r="B70" t="inlineStr">
        <is>
          <t>Bayshore Vale</t>
        </is>
      </c>
      <c r="C70" t="inlineStr">
        <is>
          <t>Blk 215 Bayshore Vale Avenue 2 #01-01 Singapura 460215</t>
        </is>
      </c>
      <c r="D70" t="inlineStr">
        <is>
          <t>Shop with Living Quarters</t>
        </is>
      </c>
      <c r="E70" t="n">
        <v>83.2</v>
      </c>
      <c r="F70" t="inlineStr">
        <is>
          <t>NC-BV-3</t>
        </is>
      </c>
      <c r="G70" t="inlineStr">
        <is>
          <t>Tenanted</t>
        </is>
      </c>
    </row>
    <row r="71">
      <c r="A71" t="inlineStr">
        <is>
          <t>U-BV215-01-02</t>
        </is>
      </c>
      <c r="B71" t="inlineStr">
        <is>
          <t>Bayshore Vale</t>
        </is>
      </c>
      <c r="C71" t="inlineStr">
        <is>
          <t>Blk 215 Bayshore Vale Avenue 2 #01-02 Singapura 460215</t>
        </is>
      </c>
      <c r="D71" t="inlineStr">
        <is>
          <t>Shop with Living Quarters</t>
        </is>
      </c>
      <c r="E71" t="n">
        <v>89.59999999999999</v>
      </c>
      <c r="F71" t="inlineStr">
        <is>
          <t>NC-BV-3</t>
        </is>
      </c>
      <c r="G71" t="inlineStr">
        <is>
          <t>Tenanted</t>
        </is>
      </c>
    </row>
    <row r="72">
      <c r="A72" t="inlineStr">
        <is>
          <t>U-BV215-01-03</t>
        </is>
      </c>
      <c r="B72" t="inlineStr">
        <is>
          <t>Bayshore Vale</t>
        </is>
      </c>
      <c r="C72" t="inlineStr">
        <is>
          <t>Blk 215 Bayshore Vale Avenue 2 #01-03 Singapura 460215</t>
        </is>
      </c>
      <c r="D72" t="inlineStr">
        <is>
          <t>Shop</t>
        </is>
      </c>
      <c r="E72" t="n">
        <v>59.6</v>
      </c>
      <c r="F72" t="inlineStr">
        <is>
          <t>NC-BV-3</t>
        </is>
      </c>
      <c r="G72" t="inlineStr">
        <is>
          <t>Tenanted</t>
        </is>
      </c>
    </row>
    <row r="73">
      <c r="A73" t="inlineStr">
        <is>
          <t>U-BV215-02-04</t>
        </is>
      </c>
      <c r="B73" t="inlineStr">
        <is>
          <t>Bayshore Vale</t>
        </is>
      </c>
      <c r="C73" t="inlineStr">
        <is>
          <t>Blk 215 Bayshore Vale Avenue 2 #02-04 Singapura 460215</t>
        </is>
      </c>
      <c r="D73" t="inlineStr">
        <is>
          <t>Office</t>
        </is>
      </c>
      <c r="E73" t="n">
        <v>95.09999999999999</v>
      </c>
      <c r="F73" t="inlineStr">
        <is>
          <t>NC-BV-3</t>
        </is>
      </c>
      <c r="G73" t="inlineStr">
        <is>
          <t>Tenanted</t>
        </is>
      </c>
    </row>
    <row r="74">
      <c r="A74" t="inlineStr">
        <is>
          <t>U-BV215-01-05</t>
        </is>
      </c>
      <c r="B74" t="inlineStr">
        <is>
          <t>Bayshore Vale</t>
        </is>
      </c>
      <c r="C74" t="inlineStr">
        <is>
          <t>Blk 215 Bayshore Vale Avenue 2 #01-05 Singapura 460215</t>
        </is>
      </c>
      <c r="D74" t="inlineStr">
        <is>
          <t>Kiosk</t>
        </is>
      </c>
      <c r="E74" t="n">
        <v>11.1</v>
      </c>
      <c r="F74" t="inlineStr">
        <is>
          <t>NC-BV-3</t>
        </is>
      </c>
      <c r="G74" t="inlineStr">
        <is>
          <t>Tenanted</t>
        </is>
      </c>
    </row>
    <row r="75">
      <c r="A75" t="inlineStr">
        <is>
          <t>U-BV215-01-06</t>
        </is>
      </c>
      <c r="B75" t="inlineStr">
        <is>
          <t>Bayshore Vale</t>
        </is>
      </c>
      <c r="C75" t="inlineStr">
        <is>
          <t>Blk 215 Bayshore Vale Avenue 2 #01-06 Singapura 460215</t>
        </is>
      </c>
      <c r="D75" t="inlineStr">
        <is>
          <t>Shop</t>
        </is>
      </c>
      <c r="E75" t="n">
        <v>66.90000000000001</v>
      </c>
      <c r="F75" t="inlineStr">
        <is>
          <t>NC-BV-3</t>
        </is>
      </c>
      <c r="G75" t="inlineStr">
        <is>
          <t>Tenanted</t>
        </is>
      </c>
    </row>
    <row r="76">
      <c r="A76" t="inlineStr">
        <is>
          <t>U-BV215-01-07</t>
        </is>
      </c>
      <c r="B76" t="inlineStr">
        <is>
          <t>Bayshore Vale</t>
        </is>
      </c>
      <c r="C76" t="inlineStr">
        <is>
          <t>Blk 215 Bayshore Vale Avenue 2 #01-07 Singapura 460215</t>
        </is>
      </c>
      <c r="D76" t="inlineStr">
        <is>
          <t>Shop</t>
        </is>
      </c>
      <c r="E76" t="n">
        <v>66</v>
      </c>
      <c r="F76" t="inlineStr">
        <is>
          <t>NC-BV-3</t>
        </is>
      </c>
      <c r="G76" t="inlineStr">
        <is>
          <t>Tenanted</t>
        </is>
      </c>
    </row>
    <row r="77">
      <c r="A77" t="inlineStr">
        <is>
          <t>U-BV215-01-08</t>
        </is>
      </c>
      <c r="B77" t="inlineStr">
        <is>
          <t>Bayshore Vale</t>
        </is>
      </c>
      <c r="C77" t="inlineStr">
        <is>
          <t>Blk 215 Bayshore Vale Avenue 2 #01-08 Singapura 460215</t>
        </is>
      </c>
      <c r="D77" t="inlineStr">
        <is>
          <t>Shop</t>
        </is>
      </c>
      <c r="E77" t="n">
        <v>68.40000000000001</v>
      </c>
      <c r="F77" t="inlineStr">
        <is>
          <t>NC-BV-3</t>
        </is>
      </c>
      <c r="G77" t="inlineStr">
        <is>
          <t>Tenanted</t>
        </is>
      </c>
    </row>
    <row r="78">
      <c r="A78" t="inlineStr">
        <is>
          <t>U-BV215-01-09</t>
        </is>
      </c>
      <c r="B78" t="inlineStr">
        <is>
          <t>Bayshore Vale</t>
        </is>
      </c>
      <c r="C78" t="inlineStr">
        <is>
          <t>Blk 215 Bayshore Vale Avenue 2 #01-09 Singapura 460215</t>
        </is>
      </c>
      <c r="D78" t="inlineStr">
        <is>
          <t>Shop</t>
        </is>
      </c>
      <c r="E78" t="n">
        <v>62.4</v>
      </c>
      <c r="F78" t="inlineStr">
        <is>
          <t>NC-BV-3</t>
        </is>
      </c>
      <c r="G78" t="inlineStr">
        <is>
          <t>Tenanted</t>
        </is>
      </c>
    </row>
    <row r="79">
      <c r="A79" t="inlineStr">
        <is>
          <t>U-BV215-01-10</t>
        </is>
      </c>
      <c r="B79" t="inlineStr">
        <is>
          <t>Bayshore Vale</t>
        </is>
      </c>
      <c r="C79" t="inlineStr">
        <is>
          <t>Blk 215 Bayshore Vale Avenue 2 #01-10 Singapura 460215</t>
        </is>
      </c>
      <c r="D79" t="inlineStr">
        <is>
          <t>Shop</t>
        </is>
      </c>
      <c r="E79" t="n">
        <v>110.4</v>
      </c>
      <c r="F79" t="inlineStr">
        <is>
          <t>NC-BV-3</t>
        </is>
      </c>
      <c r="G79" t="inlineStr">
        <is>
          <t>Tenanted</t>
        </is>
      </c>
    </row>
    <row r="80">
      <c r="A80" t="inlineStr">
        <is>
          <t>U-BV215-01-11</t>
        </is>
      </c>
      <c r="B80" t="inlineStr">
        <is>
          <t>Bayshore Vale</t>
        </is>
      </c>
      <c r="C80" t="inlineStr">
        <is>
          <t>Blk 215 Bayshore Vale Avenue 2 #01-11 Singapura 460215</t>
        </is>
      </c>
      <c r="D80" t="inlineStr">
        <is>
          <t>Shop</t>
        </is>
      </c>
      <c r="E80" t="n">
        <v>81.3</v>
      </c>
      <c r="F80" t="inlineStr">
        <is>
          <t>NC-BV-3</t>
        </is>
      </c>
      <c r="G80" t="inlineStr">
        <is>
          <t>Tenanted</t>
        </is>
      </c>
    </row>
    <row r="81">
      <c r="A81" t="inlineStr">
        <is>
          <t>U-BV215-01-12</t>
        </is>
      </c>
      <c r="B81" t="inlineStr">
        <is>
          <t>Bayshore Vale</t>
        </is>
      </c>
      <c r="C81" t="inlineStr">
        <is>
          <t>Blk 215 Bayshore Vale Avenue 2 #01-12 Singapura 460215</t>
        </is>
      </c>
      <c r="D81" t="inlineStr">
        <is>
          <t>Shop</t>
        </is>
      </c>
      <c r="E81" t="n">
        <v>59.3</v>
      </c>
      <c r="F81" t="inlineStr">
        <is>
          <t>NC-BV-3</t>
        </is>
      </c>
      <c r="G81" t="inlineStr">
        <is>
          <t>Tenanted</t>
        </is>
      </c>
    </row>
    <row r="82">
      <c r="A82" t="inlineStr">
        <is>
          <t>U-BV215-01-13</t>
        </is>
      </c>
      <c r="B82" t="inlineStr">
        <is>
          <t>Bayshore Vale</t>
        </is>
      </c>
      <c r="C82" t="inlineStr">
        <is>
          <t>Blk 215 Bayshore Vale Avenue 2 #01-13 Singapura 460215</t>
        </is>
      </c>
      <c r="D82" t="inlineStr">
        <is>
          <t>Shop</t>
        </is>
      </c>
      <c r="E82" t="n">
        <v>84.40000000000001</v>
      </c>
      <c r="F82" t="inlineStr">
        <is>
          <t>NC-BV-3</t>
        </is>
      </c>
      <c r="G82" t="inlineStr">
        <is>
          <t>Tenanted</t>
        </is>
      </c>
    </row>
    <row r="83">
      <c r="A83" t="inlineStr">
        <is>
          <t>U-BV215-01-14</t>
        </is>
      </c>
      <c r="B83" t="inlineStr">
        <is>
          <t>Bayshore Vale</t>
        </is>
      </c>
      <c r="C83" t="inlineStr">
        <is>
          <t>Blk 215 Bayshore Vale Avenue 2 #01-14 Singapura 460215</t>
        </is>
      </c>
      <c r="D83" t="inlineStr">
        <is>
          <t>Shop</t>
        </is>
      </c>
      <c r="E83" t="n">
        <v>78.09999999999999</v>
      </c>
      <c r="F83" t="inlineStr">
        <is>
          <t>NC-BV-3</t>
        </is>
      </c>
      <c r="G83" t="inlineStr">
        <is>
          <t>Tenanted</t>
        </is>
      </c>
    </row>
    <row r="84">
      <c r="A84" t="inlineStr">
        <is>
          <t>U-BV216-01-01</t>
        </is>
      </c>
      <c r="B84" t="inlineStr">
        <is>
          <t>Bayshore Vale</t>
        </is>
      </c>
      <c r="C84" t="inlineStr">
        <is>
          <t>Blk 216 Bayshore Vale Street 21 #01-01 Singapura 460216</t>
        </is>
      </c>
      <c r="D84" t="inlineStr">
        <is>
          <t>Shop</t>
        </is>
      </c>
      <c r="E84" t="n">
        <v>41.4</v>
      </c>
      <c r="F84" t="inlineStr">
        <is>
          <t>NC-BV-2</t>
        </is>
      </c>
      <c r="G84" t="inlineStr">
        <is>
          <t>Tenanted</t>
        </is>
      </c>
    </row>
    <row r="85">
      <c r="A85" t="inlineStr">
        <is>
          <t>U-BV216-01-02</t>
        </is>
      </c>
      <c r="B85" t="inlineStr">
        <is>
          <t>Bayshore Vale</t>
        </is>
      </c>
      <c r="C85" t="inlineStr">
        <is>
          <t>Blk 216 Bayshore Vale Street 21 #01-02 Singapura 460216</t>
        </is>
      </c>
      <c r="D85" t="inlineStr">
        <is>
          <t>Shop</t>
        </is>
      </c>
      <c r="E85" t="n">
        <v>72.40000000000001</v>
      </c>
      <c r="F85" t="inlineStr">
        <is>
          <t>NC-BV-2</t>
        </is>
      </c>
      <c r="G85" t="inlineStr">
        <is>
          <t>Tenanted</t>
        </is>
      </c>
    </row>
    <row r="86">
      <c r="A86" t="inlineStr">
        <is>
          <t>U-BV216-01-03</t>
        </is>
      </c>
      <c r="B86" t="inlineStr">
        <is>
          <t>Bayshore Vale</t>
        </is>
      </c>
      <c r="C86" t="inlineStr">
        <is>
          <t>Blk 216 Bayshore Vale Street 21 #01-03 Singapura 460216</t>
        </is>
      </c>
      <c r="D86" t="inlineStr">
        <is>
          <t>Shop</t>
        </is>
      </c>
      <c r="E86" t="n">
        <v>93.09999999999999</v>
      </c>
      <c r="F86" t="inlineStr">
        <is>
          <t>NC-BV-2</t>
        </is>
      </c>
      <c r="G86" t="inlineStr">
        <is>
          <t>Tenanted</t>
        </is>
      </c>
    </row>
    <row r="87">
      <c r="A87" t="inlineStr">
        <is>
          <t>U-BV216-01-04</t>
        </is>
      </c>
      <c r="B87" t="inlineStr">
        <is>
          <t>Bayshore Vale</t>
        </is>
      </c>
      <c r="C87" t="inlineStr">
        <is>
          <t>Blk 216 Bayshore Vale Street 21 #01-04 Singapura 460216</t>
        </is>
      </c>
      <c r="D87" t="inlineStr">
        <is>
          <t>Shop</t>
        </is>
      </c>
      <c r="E87" t="n">
        <v>84.3</v>
      </c>
      <c r="F87" t="inlineStr">
        <is>
          <t>NC-BV-2</t>
        </is>
      </c>
      <c r="G87" t="inlineStr">
        <is>
          <t>Tenanted</t>
        </is>
      </c>
    </row>
    <row r="88">
      <c r="A88" t="inlineStr">
        <is>
          <t>U-BV216-01-05</t>
        </is>
      </c>
      <c r="B88" t="inlineStr">
        <is>
          <t>Bayshore Vale</t>
        </is>
      </c>
      <c r="C88" t="inlineStr">
        <is>
          <t>Blk 216 Bayshore Vale Street 21 #01-05 Singapura 460216</t>
        </is>
      </c>
      <c r="D88" t="inlineStr">
        <is>
          <t>Shop</t>
        </is>
      </c>
      <c r="E88" t="n">
        <v>119.7</v>
      </c>
      <c r="F88" t="inlineStr">
        <is>
          <t>NC-BV-2</t>
        </is>
      </c>
      <c r="G88" t="inlineStr">
        <is>
          <t>Tenanted</t>
        </is>
      </c>
    </row>
    <row r="89">
      <c r="A89" t="inlineStr">
        <is>
          <t>U-BV216-01-06</t>
        </is>
      </c>
      <c r="B89" t="inlineStr">
        <is>
          <t>Bayshore Vale</t>
        </is>
      </c>
      <c r="C89" t="inlineStr">
        <is>
          <t>Blk 216 Bayshore Vale Street 21 #01-06 Singapura 460216</t>
        </is>
      </c>
      <c r="D89" t="inlineStr">
        <is>
          <t>Shop</t>
        </is>
      </c>
      <c r="E89" t="n">
        <v>68.09999999999999</v>
      </c>
      <c r="F89" t="inlineStr">
        <is>
          <t>NC-BV-2</t>
        </is>
      </c>
      <c r="G89" t="inlineStr">
        <is>
          <t>Tenanted</t>
        </is>
      </c>
    </row>
    <row r="90">
      <c r="A90" t="inlineStr">
        <is>
          <t>U-BV216-01-07</t>
        </is>
      </c>
      <c r="B90" t="inlineStr">
        <is>
          <t>Bayshore Vale</t>
        </is>
      </c>
      <c r="C90" t="inlineStr">
        <is>
          <t>Blk 216 Bayshore Vale Street 21 #01-07 Singapura 460216</t>
        </is>
      </c>
      <c r="D90" t="inlineStr">
        <is>
          <t>Shop</t>
        </is>
      </c>
      <c r="E90" t="n">
        <v>64.5</v>
      </c>
      <c r="F90" t="inlineStr">
        <is>
          <t>NC-BV-2</t>
        </is>
      </c>
      <c r="G90" t="inlineStr">
        <is>
          <t>Tenanted</t>
        </is>
      </c>
    </row>
    <row r="91">
      <c r="A91" t="inlineStr">
        <is>
          <t>U-BV216-01-08</t>
        </is>
      </c>
      <c r="B91" t="inlineStr">
        <is>
          <t>Bayshore Vale</t>
        </is>
      </c>
      <c r="C91" t="inlineStr">
        <is>
          <t>Blk 216 Bayshore Vale Street 21 #01-08 Singapura 460216</t>
        </is>
      </c>
      <c r="D91" t="inlineStr">
        <is>
          <t>Shop</t>
        </is>
      </c>
      <c r="E91" t="n">
        <v>97.7</v>
      </c>
      <c r="F91" t="inlineStr">
        <is>
          <t>NC-BV-2</t>
        </is>
      </c>
      <c r="G91" t="inlineStr">
        <is>
          <t>Tenanted</t>
        </is>
      </c>
    </row>
    <row r="92">
      <c r="A92" t="inlineStr">
        <is>
          <t>U-BV216-01-09</t>
        </is>
      </c>
      <c r="B92" t="inlineStr">
        <is>
          <t>Bayshore Vale</t>
        </is>
      </c>
      <c r="C92" t="inlineStr">
        <is>
          <t>Blk 216 Bayshore Vale Street 21 #01-09 Singapura 460216</t>
        </is>
      </c>
      <c r="D92" t="inlineStr">
        <is>
          <t>Shop</t>
        </is>
      </c>
      <c r="E92" t="n">
        <v>99.40000000000001</v>
      </c>
      <c r="F92" t="inlineStr">
        <is>
          <t>NC-BV-2</t>
        </is>
      </c>
      <c r="G92" t="inlineStr">
        <is>
          <t>Tenanted</t>
        </is>
      </c>
    </row>
    <row r="93">
      <c r="A93" t="inlineStr">
        <is>
          <t>U-BV216-02-10</t>
        </is>
      </c>
      <c r="B93" t="inlineStr">
        <is>
          <t>Bayshore Vale</t>
        </is>
      </c>
      <c r="C93" t="inlineStr">
        <is>
          <t>Blk 216 Bayshore Vale Street 21 #02-10 Singapura 460216</t>
        </is>
      </c>
      <c r="D93" t="inlineStr">
        <is>
          <t>Office</t>
        </is>
      </c>
      <c r="E93" t="n">
        <v>69.2</v>
      </c>
      <c r="F93" t="inlineStr">
        <is>
          <t>NC-BV-2</t>
        </is>
      </c>
      <c r="G93" t="inlineStr">
        <is>
          <t>Tenanted</t>
        </is>
      </c>
    </row>
    <row r="94">
      <c r="A94" t="inlineStr">
        <is>
          <t>U-BV216-01-11</t>
        </is>
      </c>
      <c r="B94" t="inlineStr">
        <is>
          <t>Bayshore Vale</t>
        </is>
      </c>
      <c r="C94" t="inlineStr">
        <is>
          <t>Blk 216 Bayshore Vale Street 21 #01-11 Singapura 460216</t>
        </is>
      </c>
      <c r="D94" t="inlineStr">
        <is>
          <t>Kiosk</t>
        </is>
      </c>
      <c r="E94" t="n">
        <v>8.5</v>
      </c>
      <c r="F94" t="inlineStr">
        <is>
          <t>NC-BV-2</t>
        </is>
      </c>
      <c r="G94" t="inlineStr">
        <is>
          <t>Vacant</t>
        </is>
      </c>
    </row>
    <row r="95">
      <c r="A95" t="inlineStr">
        <is>
          <t>U-BV216-01-12</t>
        </is>
      </c>
      <c r="B95" t="inlineStr">
        <is>
          <t>Bayshore Vale</t>
        </is>
      </c>
      <c r="C95" t="inlineStr">
        <is>
          <t>Blk 216 Bayshore Vale Street 21 #01-12 Singapura 460216</t>
        </is>
      </c>
      <c r="D95" t="inlineStr">
        <is>
          <t>Shop</t>
        </is>
      </c>
      <c r="E95" t="n">
        <v>100.8</v>
      </c>
      <c r="F95" t="inlineStr">
        <is>
          <t>NC-BV-2</t>
        </is>
      </c>
      <c r="G95" t="inlineStr">
        <is>
          <t>Tenanted</t>
        </is>
      </c>
    </row>
    <row r="96">
      <c r="A96" t="inlineStr">
        <is>
          <t>U-BV216-01-13</t>
        </is>
      </c>
      <c r="B96" t="inlineStr">
        <is>
          <t>Bayshore Vale</t>
        </is>
      </c>
      <c r="C96" t="inlineStr">
        <is>
          <t>Blk 216 Bayshore Vale Street 21 #01-13 Singapura 460216</t>
        </is>
      </c>
      <c r="D96" t="inlineStr">
        <is>
          <t>Shop</t>
        </is>
      </c>
      <c r="E96" t="n">
        <v>118.4</v>
      </c>
      <c r="F96" t="inlineStr">
        <is>
          <t>NC-BV-2</t>
        </is>
      </c>
      <c r="G96" t="inlineStr">
        <is>
          <t>Tenanted</t>
        </is>
      </c>
    </row>
    <row r="97">
      <c r="A97" t="inlineStr">
        <is>
          <t>U-BV219-01-01</t>
        </is>
      </c>
      <c r="B97" t="inlineStr">
        <is>
          <t>Bayshore Vale</t>
        </is>
      </c>
      <c r="C97" t="inlineStr">
        <is>
          <t>Blk 219 Bayshore Vale Street 21 #01-01 Singapura 460219</t>
        </is>
      </c>
      <c r="D97" t="inlineStr">
        <is>
          <t>Shop</t>
        </is>
      </c>
      <c r="E97" t="n">
        <v>68.90000000000001</v>
      </c>
      <c r="F97" t="inlineStr">
        <is>
          <t>NC-BV-2</t>
        </is>
      </c>
      <c r="G97" t="inlineStr">
        <is>
          <t>Tenanted</t>
        </is>
      </c>
    </row>
    <row r="98">
      <c r="A98" t="inlineStr">
        <is>
          <t>U-BV219-01-02</t>
        </is>
      </c>
      <c r="B98" t="inlineStr">
        <is>
          <t>Bayshore Vale</t>
        </is>
      </c>
      <c r="C98" t="inlineStr">
        <is>
          <t>Blk 219 Bayshore Vale Street 21 #01-02 Singapura 460219</t>
        </is>
      </c>
      <c r="D98" t="inlineStr">
        <is>
          <t>Shop</t>
        </is>
      </c>
      <c r="E98" t="n">
        <v>96.59999999999999</v>
      </c>
      <c r="F98" t="inlineStr">
        <is>
          <t>NC-BV-2</t>
        </is>
      </c>
      <c r="G98" t="inlineStr">
        <is>
          <t>Tenanted</t>
        </is>
      </c>
    </row>
    <row r="99">
      <c r="A99" t="inlineStr">
        <is>
          <t>U-BV219-01-03</t>
        </is>
      </c>
      <c r="B99" t="inlineStr">
        <is>
          <t>Bayshore Vale</t>
        </is>
      </c>
      <c r="C99" t="inlineStr">
        <is>
          <t>Blk 219 Bayshore Vale Street 21 #01-03 Singapura 460219</t>
        </is>
      </c>
      <c r="D99" t="inlineStr">
        <is>
          <t>Shop</t>
        </is>
      </c>
      <c r="E99" t="n">
        <v>43.6</v>
      </c>
      <c r="F99" t="inlineStr">
        <is>
          <t>NC-BV-2</t>
        </is>
      </c>
      <c r="G99" t="inlineStr">
        <is>
          <t>Tenanted</t>
        </is>
      </c>
    </row>
    <row r="100">
      <c r="A100" t="inlineStr">
        <is>
          <t>U-BV219-01-04</t>
        </is>
      </c>
      <c r="B100" t="inlineStr">
        <is>
          <t>Bayshore Vale</t>
        </is>
      </c>
      <c r="C100" t="inlineStr">
        <is>
          <t>Blk 219 Bayshore Vale Street 21 #01-04 Singapura 460219</t>
        </is>
      </c>
      <c r="D100" t="inlineStr">
        <is>
          <t>Shop</t>
        </is>
      </c>
      <c r="E100" t="n">
        <v>63.4</v>
      </c>
      <c r="F100" t="inlineStr">
        <is>
          <t>NC-BV-2</t>
        </is>
      </c>
      <c r="G100" t="inlineStr">
        <is>
          <t>Tenanted</t>
        </is>
      </c>
    </row>
    <row r="101">
      <c r="A101" t="inlineStr">
        <is>
          <t>U-BV219-02-05</t>
        </is>
      </c>
      <c r="B101" t="inlineStr">
        <is>
          <t>Bayshore Vale</t>
        </is>
      </c>
      <c r="C101" t="inlineStr">
        <is>
          <t>Blk 219 Bayshore Vale Street 21 #02-05 Singapura 460219</t>
        </is>
      </c>
      <c r="D101" t="inlineStr">
        <is>
          <t>Office</t>
        </is>
      </c>
      <c r="E101" t="n">
        <v>125.3</v>
      </c>
      <c r="F101" t="inlineStr">
        <is>
          <t>NC-BV-2</t>
        </is>
      </c>
      <c r="G101" t="inlineStr">
        <is>
          <t>Tenanted</t>
        </is>
      </c>
    </row>
    <row r="102">
      <c r="A102" t="inlineStr">
        <is>
          <t>U-BV219-01-06</t>
        </is>
      </c>
      <c r="B102" t="inlineStr">
        <is>
          <t>Bayshore Vale</t>
        </is>
      </c>
      <c r="C102" t="inlineStr">
        <is>
          <t>Blk 219 Bayshore Vale Street 21 #01-06 Singapura 460219</t>
        </is>
      </c>
      <c r="D102" t="inlineStr">
        <is>
          <t>Shop</t>
        </is>
      </c>
      <c r="E102" t="n">
        <v>41</v>
      </c>
      <c r="F102" t="inlineStr">
        <is>
          <t>NC-BV-2</t>
        </is>
      </c>
      <c r="G102" t="inlineStr">
        <is>
          <t>Tenanted</t>
        </is>
      </c>
    </row>
    <row r="103">
      <c r="A103" t="inlineStr">
        <is>
          <t>U-BV219-01-07</t>
        </is>
      </c>
      <c r="B103" t="inlineStr">
        <is>
          <t>Bayshore Vale</t>
        </is>
      </c>
      <c r="C103" t="inlineStr">
        <is>
          <t>Blk 219 Bayshore Vale Street 21 #01-07 Singapura 460219</t>
        </is>
      </c>
      <c r="D103" t="inlineStr">
        <is>
          <t>Shop</t>
        </is>
      </c>
      <c r="E103" t="n">
        <v>78.3</v>
      </c>
      <c r="F103" t="inlineStr">
        <is>
          <t>NC-BV-2</t>
        </is>
      </c>
      <c r="G103" t="inlineStr">
        <is>
          <t>Tenanted</t>
        </is>
      </c>
    </row>
    <row r="104">
      <c r="A104" t="inlineStr">
        <is>
          <t>U-BV219-01-08</t>
        </is>
      </c>
      <c r="B104" t="inlineStr">
        <is>
          <t>Bayshore Vale</t>
        </is>
      </c>
      <c r="C104" t="inlineStr">
        <is>
          <t>Blk 219 Bayshore Vale Street 21 #01-08 Singapura 460219</t>
        </is>
      </c>
      <c r="D104" t="inlineStr">
        <is>
          <t>Shop</t>
        </is>
      </c>
      <c r="E104" t="n">
        <v>117.2</v>
      </c>
      <c r="F104" t="inlineStr">
        <is>
          <t>NC-BV-2</t>
        </is>
      </c>
      <c r="G104" t="inlineStr">
        <is>
          <t>Tenanted</t>
        </is>
      </c>
    </row>
    <row r="105">
      <c r="A105" t="inlineStr">
        <is>
          <t>U-BV219-01-09</t>
        </is>
      </c>
      <c r="B105" t="inlineStr">
        <is>
          <t>Bayshore Vale</t>
        </is>
      </c>
      <c r="C105" t="inlineStr">
        <is>
          <t>Blk 219 Bayshore Vale Street 21 #01-09 Singapura 460219</t>
        </is>
      </c>
      <c r="D105" t="inlineStr">
        <is>
          <t>Shop</t>
        </is>
      </c>
      <c r="E105" t="n">
        <v>108.9</v>
      </c>
      <c r="F105" t="inlineStr">
        <is>
          <t>NC-BV-2</t>
        </is>
      </c>
      <c r="G105" t="inlineStr">
        <is>
          <t>Tenanted</t>
        </is>
      </c>
    </row>
    <row r="106">
      <c r="A106" t="inlineStr">
        <is>
          <t>U-BV227-01-01</t>
        </is>
      </c>
      <c r="B106" t="inlineStr">
        <is>
          <t>Bayshore Vale</t>
        </is>
      </c>
      <c r="C106" t="inlineStr">
        <is>
          <t>Blk 227 Bayshore Vale Street 21 #01-01 Singapura 460227</t>
        </is>
      </c>
      <c r="D106" t="inlineStr">
        <is>
          <t>Shop with Living Quarters</t>
        </is>
      </c>
      <c r="E106" t="n">
        <v>80</v>
      </c>
      <c r="F106" t="inlineStr">
        <is>
          <t>NC-BV-2</t>
        </is>
      </c>
      <c r="G106" t="inlineStr">
        <is>
          <t>Tenanted</t>
        </is>
      </c>
    </row>
    <row r="107">
      <c r="A107" t="inlineStr">
        <is>
          <t>U-BV227-01-02</t>
        </is>
      </c>
      <c r="B107" t="inlineStr">
        <is>
          <t>Bayshore Vale</t>
        </is>
      </c>
      <c r="C107" t="inlineStr">
        <is>
          <t>Blk 227 Bayshore Vale Street 21 #01-02 Singapura 460227</t>
        </is>
      </c>
      <c r="D107" t="inlineStr">
        <is>
          <t>Shop</t>
        </is>
      </c>
      <c r="E107" t="n">
        <v>90.40000000000001</v>
      </c>
      <c r="F107" t="inlineStr">
        <is>
          <t>NC-BV-2</t>
        </is>
      </c>
      <c r="G107" t="inlineStr">
        <is>
          <t>Tenanted</t>
        </is>
      </c>
    </row>
    <row r="108">
      <c r="A108" t="inlineStr">
        <is>
          <t>U-BV227-01-03</t>
        </is>
      </c>
      <c r="B108" t="inlineStr">
        <is>
          <t>Bayshore Vale</t>
        </is>
      </c>
      <c r="C108" t="inlineStr">
        <is>
          <t>Blk 227 Bayshore Vale Street 21 #01-03 Singapura 460227</t>
        </is>
      </c>
      <c r="D108" t="inlineStr">
        <is>
          <t>Shop</t>
        </is>
      </c>
      <c r="E108" t="n">
        <v>51.9</v>
      </c>
      <c r="F108" t="inlineStr">
        <is>
          <t>NC-BV-2</t>
        </is>
      </c>
      <c r="G108" t="inlineStr">
        <is>
          <t>Not Lettable</t>
        </is>
      </c>
    </row>
    <row r="109">
      <c r="A109" t="inlineStr">
        <is>
          <t>U-BV227-01-04</t>
        </is>
      </c>
      <c r="B109" t="inlineStr">
        <is>
          <t>Bayshore Vale</t>
        </is>
      </c>
      <c r="C109" t="inlineStr">
        <is>
          <t>Blk 227 Bayshore Vale Street 21 #01-04 Singapura 460227</t>
        </is>
      </c>
      <c r="D109" t="inlineStr">
        <is>
          <t>Shop</t>
        </is>
      </c>
      <c r="E109" t="n">
        <v>64.3</v>
      </c>
      <c r="F109" t="inlineStr">
        <is>
          <t>NC-BV-2</t>
        </is>
      </c>
      <c r="G109" t="inlineStr">
        <is>
          <t>Tenanted</t>
        </is>
      </c>
    </row>
    <row r="110">
      <c r="A110" t="inlineStr">
        <is>
          <t>U-BV227-02-05</t>
        </is>
      </c>
      <c r="B110" t="inlineStr">
        <is>
          <t>Bayshore Vale</t>
        </is>
      </c>
      <c r="C110" t="inlineStr">
        <is>
          <t>Blk 227 Bayshore Vale Street 21 #02-05 Singapura 460227</t>
        </is>
      </c>
      <c r="D110" t="inlineStr">
        <is>
          <t>Office</t>
        </is>
      </c>
      <c r="E110" t="n">
        <v>126.4</v>
      </c>
      <c r="F110" t="inlineStr">
        <is>
          <t>NC-BV-2</t>
        </is>
      </c>
      <c r="G110" t="inlineStr">
        <is>
          <t>Tenanted</t>
        </is>
      </c>
    </row>
    <row r="111">
      <c r="A111" t="inlineStr">
        <is>
          <t>U-BV227-01-06</t>
        </is>
      </c>
      <c r="B111" t="inlineStr">
        <is>
          <t>Bayshore Vale</t>
        </is>
      </c>
      <c r="C111" t="inlineStr">
        <is>
          <t>Blk 227 Bayshore Vale Street 21 #01-06 Singapura 460227</t>
        </is>
      </c>
      <c r="D111" t="inlineStr">
        <is>
          <t>Shop</t>
        </is>
      </c>
      <c r="E111" t="n">
        <v>103.3</v>
      </c>
      <c r="F111" t="inlineStr">
        <is>
          <t>NC-BV-2</t>
        </is>
      </c>
      <c r="G111" t="inlineStr">
        <is>
          <t>Tenanted</t>
        </is>
      </c>
    </row>
    <row r="112">
      <c r="A112" t="inlineStr">
        <is>
          <t>U-BV227-01-07</t>
        </is>
      </c>
      <c r="B112" t="inlineStr">
        <is>
          <t>Bayshore Vale</t>
        </is>
      </c>
      <c r="C112" t="inlineStr">
        <is>
          <t>Blk 227 Bayshore Vale Street 21 #01-07 Singapura 460227</t>
        </is>
      </c>
      <c r="D112" t="inlineStr">
        <is>
          <t>Shop</t>
        </is>
      </c>
      <c r="E112" t="n">
        <v>81.8</v>
      </c>
      <c r="F112" t="inlineStr">
        <is>
          <t>NC-BV-2</t>
        </is>
      </c>
      <c r="G112" t="inlineStr">
        <is>
          <t>Tenanted</t>
        </is>
      </c>
    </row>
    <row r="113">
      <c r="A113" t="inlineStr">
        <is>
          <t>U-BV229-02-01</t>
        </is>
      </c>
      <c r="B113" t="inlineStr">
        <is>
          <t>Bayshore Vale</t>
        </is>
      </c>
      <c r="C113" t="inlineStr">
        <is>
          <t>Blk 229 Bayshore Vale Drive #02-01 Singapura 460229</t>
        </is>
      </c>
      <c r="D113" t="inlineStr">
        <is>
          <t>Office</t>
        </is>
      </c>
      <c r="E113" t="n">
        <v>108.9</v>
      </c>
      <c r="F113" t="inlineStr">
        <is>
          <t>NC-BV-2</t>
        </is>
      </c>
      <c r="G113" t="inlineStr">
        <is>
          <t>Tenanted</t>
        </is>
      </c>
    </row>
    <row r="114">
      <c r="A114" t="inlineStr">
        <is>
          <t>U-BV229-01-02</t>
        </is>
      </c>
      <c r="B114" t="inlineStr">
        <is>
          <t>Bayshore Vale</t>
        </is>
      </c>
      <c r="C114" t="inlineStr">
        <is>
          <t>Blk 229 Bayshore Vale Drive #01-02 Singapura 460229</t>
        </is>
      </c>
      <c r="D114" t="inlineStr">
        <is>
          <t>Shop</t>
        </is>
      </c>
      <c r="E114" t="n">
        <v>85.5</v>
      </c>
      <c r="F114" t="inlineStr">
        <is>
          <t>NC-BV-2</t>
        </is>
      </c>
      <c r="G114" t="inlineStr">
        <is>
          <t>Tenanted</t>
        </is>
      </c>
    </row>
    <row r="115">
      <c r="A115" t="inlineStr">
        <is>
          <t>U-BV229-01-03</t>
        </is>
      </c>
      <c r="B115" t="inlineStr">
        <is>
          <t>Bayshore Vale</t>
        </is>
      </c>
      <c r="C115" t="inlineStr">
        <is>
          <t>Blk 229 Bayshore Vale Drive #01-03 Singapura 460229</t>
        </is>
      </c>
      <c r="D115" t="inlineStr">
        <is>
          <t>Shop</t>
        </is>
      </c>
      <c r="E115" t="n">
        <v>116.8</v>
      </c>
      <c r="F115" t="inlineStr">
        <is>
          <t>NC-BV-2</t>
        </is>
      </c>
      <c r="G115" t="inlineStr">
        <is>
          <t>Tenanted</t>
        </is>
      </c>
    </row>
    <row r="116">
      <c r="A116" t="inlineStr">
        <is>
          <t>U-BV229-01-04</t>
        </is>
      </c>
      <c r="B116" t="inlineStr">
        <is>
          <t>Bayshore Vale</t>
        </is>
      </c>
      <c r="C116" t="inlineStr">
        <is>
          <t>Blk 229 Bayshore Vale Drive #01-04 Singapura 460229</t>
        </is>
      </c>
      <c r="D116" t="inlineStr">
        <is>
          <t>Shop</t>
        </is>
      </c>
      <c r="E116" t="n">
        <v>101</v>
      </c>
      <c r="F116" t="inlineStr">
        <is>
          <t>NC-BV-2</t>
        </is>
      </c>
      <c r="G116" t="inlineStr">
        <is>
          <t>Tenanted</t>
        </is>
      </c>
    </row>
    <row r="117">
      <c r="A117" t="inlineStr">
        <is>
          <t>U-BV229-01-05</t>
        </is>
      </c>
      <c r="B117" t="inlineStr">
        <is>
          <t>Bayshore Vale</t>
        </is>
      </c>
      <c r="C117" t="inlineStr">
        <is>
          <t>Blk 229 Bayshore Vale Drive #01-05 Singapura 460229</t>
        </is>
      </c>
      <c r="D117" t="inlineStr">
        <is>
          <t>Shop</t>
        </is>
      </c>
      <c r="E117" t="n">
        <v>61.2</v>
      </c>
      <c r="F117" t="inlineStr">
        <is>
          <t>NC-BV-2</t>
        </is>
      </c>
      <c r="G117" t="inlineStr">
        <is>
          <t>Tenanted</t>
        </is>
      </c>
    </row>
    <row r="118">
      <c r="A118" t="inlineStr">
        <is>
          <t>U-BV229-01-06</t>
        </is>
      </c>
      <c r="B118" t="inlineStr">
        <is>
          <t>Bayshore Vale</t>
        </is>
      </c>
      <c r="C118" t="inlineStr">
        <is>
          <t>Blk 229 Bayshore Vale Drive #01-06 Singapura 460229</t>
        </is>
      </c>
      <c r="D118" t="inlineStr">
        <is>
          <t>Shop</t>
        </is>
      </c>
      <c r="E118" t="n">
        <v>59.2</v>
      </c>
      <c r="F118" t="inlineStr">
        <is>
          <t>NC-BV-2</t>
        </is>
      </c>
      <c r="G118" t="inlineStr">
        <is>
          <t>Vacant</t>
        </is>
      </c>
    </row>
    <row r="119">
      <c r="A119" t="inlineStr">
        <is>
          <t>U-BV229-01-07</t>
        </is>
      </c>
      <c r="B119" t="inlineStr">
        <is>
          <t>Bayshore Vale</t>
        </is>
      </c>
      <c r="C119" t="inlineStr">
        <is>
          <t>Blk 229 Bayshore Vale Drive #01-07 Singapura 460229</t>
        </is>
      </c>
      <c r="D119" t="inlineStr">
        <is>
          <t>Shop</t>
        </is>
      </c>
      <c r="E119" t="n">
        <v>52.5</v>
      </c>
      <c r="F119" t="inlineStr">
        <is>
          <t>NC-BV-2</t>
        </is>
      </c>
      <c r="G119" t="inlineStr">
        <is>
          <t>Tenanted</t>
        </is>
      </c>
    </row>
    <row r="120">
      <c r="A120" t="inlineStr">
        <is>
          <t>U-BV229-01-08</t>
        </is>
      </c>
      <c r="B120" t="inlineStr">
        <is>
          <t>Bayshore Vale</t>
        </is>
      </c>
      <c r="C120" t="inlineStr">
        <is>
          <t>Blk 229 Bayshore Vale Drive #01-08 Singapura 460229</t>
        </is>
      </c>
      <c r="D120" t="inlineStr">
        <is>
          <t>Shop</t>
        </is>
      </c>
      <c r="E120" t="n">
        <v>95.09999999999999</v>
      </c>
      <c r="F120" t="inlineStr">
        <is>
          <t>NC-BV-2</t>
        </is>
      </c>
      <c r="G120" t="inlineStr">
        <is>
          <t>Tenanted</t>
        </is>
      </c>
    </row>
    <row r="121">
      <c r="A121" t="inlineStr">
        <is>
          <t>U-BV229-01-09</t>
        </is>
      </c>
      <c r="B121" t="inlineStr">
        <is>
          <t>Bayshore Vale</t>
        </is>
      </c>
      <c r="C121" t="inlineStr">
        <is>
          <t>Blk 229 Bayshore Vale Drive #01-09 Singapura 460229</t>
        </is>
      </c>
      <c r="D121" t="inlineStr">
        <is>
          <t>Shop</t>
        </is>
      </c>
      <c r="E121" t="n">
        <v>42.6</v>
      </c>
      <c r="F121" t="inlineStr">
        <is>
          <t>NC-BV-2</t>
        </is>
      </c>
      <c r="G121" t="inlineStr">
        <is>
          <t>Tenanted</t>
        </is>
      </c>
    </row>
    <row r="122">
      <c r="A122" t="inlineStr">
        <is>
          <t>U-BV229-01-10</t>
        </is>
      </c>
      <c r="B122" t="inlineStr">
        <is>
          <t>Bayshore Vale</t>
        </is>
      </c>
      <c r="C122" t="inlineStr">
        <is>
          <t>Blk 229 Bayshore Vale Drive #01-10 Singapura 460229</t>
        </is>
      </c>
      <c r="D122" t="inlineStr">
        <is>
          <t>Shop</t>
        </is>
      </c>
      <c r="E122" t="n">
        <v>62.6</v>
      </c>
      <c r="F122" t="inlineStr">
        <is>
          <t>NC-BV-2</t>
        </is>
      </c>
      <c r="G122" t="inlineStr">
        <is>
          <t>Tenanted</t>
        </is>
      </c>
    </row>
    <row r="123">
      <c r="A123" t="inlineStr">
        <is>
          <t>U-BV229-01-11</t>
        </is>
      </c>
      <c r="B123" t="inlineStr">
        <is>
          <t>Bayshore Vale</t>
        </is>
      </c>
      <c r="C123" t="inlineStr">
        <is>
          <t>Blk 229 Bayshore Vale Drive #01-11 Singapura 460229</t>
        </is>
      </c>
      <c r="D123" t="inlineStr">
        <is>
          <t>Shop with Living Quarters</t>
        </is>
      </c>
      <c r="E123" t="n">
        <v>63.6</v>
      </c>
      <c r="F123" t="inlineStr">
        <is>
          <t>NC-BV-2</t>
        </is>
      </c>
      <c r="G123" t="inlineStr">
        <is>
          <t>Tenanted</t>
        </is>
      </c>
    </row>
    <row r="124">
      <c r="A124" t="inlineStr">
        <is>
          <t>U-BV229-01-12</t>
        </is>
      </c>
      <c r="B124" t="inlineStr">
        <is>
          <t>Bayshore Vale</t>
        </is>
      </c>
      <c r="C124" t="inlineStr">
        <is>
          <t>Blk 229 Bayshore Vale Drive #01-12 Singapura 460229</t>
        </is>
      </c>
      <c r="D124" t="inlineStr">
        <is>
          <t>Shop</t>
        </is>
      </c>
      <c r="E124" t="n">
        <v>61.2</v>
      </c>
      <c r="F124" t="inlineStr">
        <is>
          <t>NC-BV-2</t>
        </is>
      </c>
      <c r="G124" t="inlineStr">
        <is>
          <t>Tenanted</t>
        </is>
      </c>
    </row>
    <row r="125">
      <c r="A125" t="inlineStr">
        <is>
          <t>U-BV229-01-13</t>
        </is>
      </c>
      <c r="B125" t="inlineStr">
        <is>
          <t>Bayshore Vale</t>
        </is>
      </c>
      <c r="C125" t="inlineStr">
        <is>
          <t>Blk 229 Bayshore Vale Drive #01-13 Singapura 460229</t>
        </is>
      </c>
      <c r="D125" t="inlineStr">
        <is>
          <t>Shop with Living Quarters</t>
        </is>
      </c>
      <c r="E125" t="n">
        <v>89.5</v>
      </c>
      <c r="F125" t="inlineStr">
        <is>
          <t>NC-BV-2</t>
        </is>
      </c>
      <c r="G125" t="inlineStr">
        <is>
          <t>Tenanted</t>
        </is>
      </c>
    </row>
    <row r="126">
      <c r="A126" t="inlineStr">
        <is>
          <t>U-BV230-01-01</t>
        </is>
      </c>
      <c r="B126" t="inlineStr">
        <is>
          <t>Bayshore Vale</t>
        </is>
      </c>
      <c r="C126" t="inlineStr">
        <is>
          <t>Blk 230 Bayshore Vale Drive #01-01 Singapura 460230</t>
        </is>
      </c>
      <c r="D126" t="inlineStr">
        <is>
          <t>Eating House</t>
        </is>
      </c>
      <c r="E126" t="n">
        <v>259.5</v>
      </c>
      <c r="F126" t="inlineStr">
        <is>
          <t>NC-BV-1</t>
        </is>
      </c>
      <c r="G126" t="inlineStr">
        <is>
          <t>Tenanted</t>
        </is>
      </c>
    </row>
    <row r="127">
      <c r="A127" t="inlineStr">
        <is>
          <t>U-BV230-01-02</t>
        </is>
      </c>
      <c r="B127" t="inlineStr">
        <is>
          <t>Bayshore Vale</t>
        </is>
      </c>
      <c r="C127" t="inlineStr">
        <is>
          <t>Blk 230 Bayshore Vale Drive #01-02 Singapura 460230</t>
        </is>
      </c>
      <c r="D127" t="inlineStr">
        <is>
          <t>Shop</t>
        </is>
      </c>
      <c r="E127" t="n">
        <v>91.8</v>
      </c>
      <c r="F127" t="inlineStr">
        <is>
          <t>NC-BV-1</t>
        </is>
      </c>
      <c r="G127" t="inlineStr">
        <is>
          <t>Not Lettable</t>
        </is>
      </c>
    </row>
    <row r="128">
      <c r="A128" t="inlineStr">
        <is>
          <t>U-BV230-01-03</t>
        </is>
      </c>
      <c r="B128" t="inlineStr">
        <is>
          <t>Bayshore Vale</t>
        </is>
      </c>
      <c r="C128" t="inlineStr">
        <is>
          <t>Blk 230 Bayshore Vale Drive #01-03 Singapura 460230</t>
        </is>
      </c>
      <c r="D128" t="inlineStr">
        <is>
          <t>Office</t>
        </is>
      </c>
      <c r="E128" t="n">
        <v>57.1</v>
      </c>
      <c r="F128" t="inlineStr">
        <is>
          <t>NC-BV-1</t>
        </is>
      </c>
      <c r="G128" t="inlineStr">
        <is>
          <t>Tenanted</t>
        </is>
      </c>
    </row>
    <row r="129">
      <c r="A129" t="inlineStr">
        <is>
          <t>U-BV230-01-04</t>
        </is>
      </c>
      <c r="B129" t="inlineStr">
        <is>
          <t>Bayshore Vale</t>
        </is>
      </c>
      <c r="C129" t="inlineStr">
        <is>
          <t>Blk 230 Bayshore Vale Drive #01-04 Singapura 460230</t>
        </is>
      </c>
      <c r="D129" t="inlineStr">
        <is>
          <t>Shop</t>
        </is>
      </c>
      <c r="E129" t="n">
        <v>64.59999999999999</v>
      </c>
      <c r="F129" t="inlineStr">
        <is>
          <t>NC-BV-1</t>
        </is>
      </c>
      <c r="G129" t="inlineStr">
        <is>
          <t>Tenanted</t>
        </is>
      </c>
    </row>
    <row r="130">
      <c r="A130" t="inlineStr">
        <is>
          <t>U-BV230-01-05</t>
        </is>
      </c>
      <c r="B130" t="inlineStr">
        <is>
          <t>Bayshore Vale</t>
        </is>
      </c>
      <c r="C130" t="inlineStr">
        <is>
          <t>Blk 230 Bayshore Vale Drive #01-05 Singapura 460230</t>
        </is>
      </c>
      <c r="D130" t="inlineStr">
        <is>
          <t>Kiosk</t>
        </is>
      </c>
      <c r="E130" t="n">
        <v>11.1</v>
      </c>
      <c r="F130" t="inlineStr">
        <is>
          <t>NC-BV-1</t>
        </is>
      </c>
      <c r="G130" t="inlineStr">
        <is>
          <t>Tenanted</t>
        </is>
      </c>
    </row>
    <row r="131">
      <c r="A131" t="inlineStr">
        <is>
          <t>U-BV230-01-06</t>
        </is>
      </c>
      <c r="B131" t="inlineStr">
        <is>
          <t>Bayshore Vale</t>
        </is>
      </c>
      <c r="C131" t="inlineStr">
        <is>
          <t>Blk 230 Bayshore Vale Drive #01-06 Singapura 460230</t>
        </is>
      </c>
      <c r="D131" t="inlineStr">
        <is>
          <t>Shop</t>
        </is>
      </c>
      <c r="E131" t="n">
        <v>49.9</v>
      </c>
      <c r="F131" t="inlineStr">
        <is>
          <t>NC-BV-1</t>
        </is>
      </c>
      <c r="G131" t="inlineStr">
        <is>
          <t>Not Lettable</t>
        </is>
      </c>
    </row>
    <row r="132">
      <c r="A132" t="inlineStr">
        <is>
          <t>U-BV230-01-07</t>
        </is>
      </c>
      <c r="B132" t="inlineStr">
        <is>
          <t>Bayshore Vale</t>
        </is>
      </c>
      <c r="C132" t="inlineStr">
        <is>
          <t>Blk 230 Bayshore Vale Drive #01-07 Singapura 460230</t>
        </is>
      </c>
      <c r="D132" t="inlineStr">
        <is>
          <t>Kiosk</t>
        </is>
      </c>
      <c r="E132" t="n">
        <v>12.3</v>
      </c>
      <c r="F132" t="inlineStr">
        <is>
          <t>NC-BV-1</t>
        </is>
      </c>
      <c r="G132" t="inlineStr">
        <is>
          <t>Tenanted</t>
        </is>
      </c>
    </row>
    <row r="133">
      <c r="A133" t="inlineStr">
        <is>
          <t>U-BV230-02-08</t>
        </is>
      </c>
      <c r="B133" t="inlineStr">
        <is>
          <t>Bayshore Vale</t>
        </is>
      </c>
      <c r="C133" t="inlineStr">
        <is>
          <t>Blk 230 Bayshore Vale Drive #02-08 Singapura 460230</t>
        </is>
      </c>
      <c r="D133" t="inlineStr">
        <is>
          <t>Office</t>
        </is>
      </c>
      <c r="E133" t="n">
        <v>99.40000000000001</v>
      </c>
      <c r="F133" t="inlineStr">
        <is>
          <t>NC-BV-1</t>
        </is>
      </c>
      <c r="G133" t="inlineStr">
        <is>
          <t>Tenanted</t>
        </is>
      </c>
    </row>
    <row r="134">
      <c r="A134" t="inlineStr">
        <is>
          <t>U-BV230-01-09</t>
        </is>
      </c>
      <c r="B134" t="inlineStr">
        <is>
          <t>Bayshore Vale</t>
        </is>
      </c>
      <c r="C134" t="inlineStr">
        <is>
          <t>Blk 230 Bayshore Vale Drive #01-09 Singapura 460230</t>
        </is>
      </c>
      <c r="D134" t="inlineStr">
        <is>
          <t>Shop</t>
        </is>
      </c>
      <c r="E134" t="n">
        <v>43.2</v>
      </c>
      <c r="F134" t="inlineStr">
        <is>
          <t>NC-BV-1</t>
        </is>
      </c>
      <c r="G134" t="inlineStr">
        <is>
          <t>Tenanted</t>
        </is>
      </c>
    </row>
    <row r="135">
      <c r="A135" t="inlineStr">
        <is>
          <t>U-BV231-01-01</t>
        </is>
      </c>
      <c r="B135" t="inlineStr">
        <is>
          <t>Bayshore Vale</t>
        </is>
      </c>
      <c r="C135" t="inlineStr">
        <is>
          <t>Blk 231 Bayshore Vale Street 21 #01-01 Singapura 460231</t>
        </is>
      </c>
      <c r="D135" t="inlineStr">
        <is>
          <t>Kiosk</t>
        </is>
      </c>
      <c r="E135" t="n">
        <v>11.4</v>
      </c>
      <c r="F135" t="inlineStr">
        <is>
          <t>NC-BV-3</t>
        </is>
      </c>
      <c r="G135" t="inlineStr">
        <is>
          <t>Tenanted</t>
        </is>
      </c>
    </row>
    <row r="136">
      <c r="A136" t="inlineStr">
        <is>
          <t>U-BV231-01-02</t>
        </is>
      </c>
      <c r="B136" t="inlineStr">
        <is>
          <t>Bayshore Vale</t>
        </is>
      </c>
      <c r="C136" t="inlineStr">
        <is>
          <t>Blk 231 Bayshore Vale Street 21 #01-02 Singapura 460231</t>
        </is>
      </c>
      <c r="D136" t="inlineStr">
        <is>
          <t>Shop</t>
        </is>
      </c>
      <c r="E136" t="n">
        <v>58.3</v>
      </c>
      <c r="F136" t="inlineStr">
        <is>
          <t>NC-BV-3</t>
        </is>
      </c>
      <c r="G136" t="inlineStr">
        <is>
          <t>Tenanted</t>
        </is>
      </c>
    </row>
    <row r="137">
      <c r="A137" t="inlineStr">
        <is>
          <t>U-BV231-01-03</t>
        </is>
      </c>
      <c r="B137" t="inlineStr">
        <is>
          <t>Bayshore Vale</t>
        </is>
      </c>
      <c r="C137" t="inlineStr">
        <is>
          <t>Blk 231 Bayshore Vale Street 21 #01-03 Singapura 460231</t>
        </is>
      </c>
      <c r="D137" t="inlineStr">
        <is>
          <t>Shop</t>
        </is>
      </c>
      <c r="E137" t="n">
        <v>108.8</v>
      </c>
      <c r="F137" t="inlineStr">
        <is>
          <t>NC-BV-3</t>
        </is>
      </c>
      <c r="G137" t="inlineStr">
        <is>
          <t>Tenanted</t>
        </is>
      </c>
    </row>
    <row r="138">
      <c r="A138" t="inlineStr">
        <is>
          <t>U-BV231-01-04</t>
        </is>
      </c>
      <c r="B138" t="inlineStr">
        <is>
          <t>Bayshore Vale</t>
        </is>
      </c>
      <c r="C138" t="inlineStr">
        <is>
          <t>Blk 231 Bayshore Vale Street 21 #01-04 Singapura 460231</t>
        </is>
      </c>
      <c r="D138" t="inlineStr">
        <is>
          <t>Shop</t>
        </is>
      </c>
      <c r="E138" t="n">
        <v>41.7</v>
      </c>
      <c r="F138" t="inlineStr">
        <is>
          <t>NC-BV-3</t>
        </is>
      </c>
      <c r="G138" t="inlineStr">
        <is>
          <t>Tenanted</t>
        </is>
      </c>
    </row>
    <row r="139">
      <c r="A139" t="inlineStr">
        <is>
          <t>U-BV231-01-05</t>
        </is>
      </c>
      <c r="B139" t="inlineStr">
        <is>
          <t>Bayshore Vale</t>
        </is>
      </c>
      <c r="C139" t="inlineStr">
        <is>
          <t>Blk 231 Bayshore Vale Street 21 #01-05 Singapura 460231</t>
        </is>
      </c>
      <c r="D139" t="inlineStr">
        <is>
          <t>Kiosk</t>
        </is>
      </c>
      <c r="E139" t="n">
        <v>13.4</v>
      </c>
      <c r="F139" t="inlineStr">
        <is>
          <t>NC-BV-3</t>
        </is>
      </c>
      <c r="G139" t="inlineStr">
        <is>
          <t>Tenanted</t>
        </is>
      </c>
    </row>
    <row r="140">
      <c r="A140" t="inlineStr">
        <is>
          <t>U-BV231-01-06</t>
        </is>
      </c>
      <c r="B140" t="inlineStr">
        <is>
          <t>Bayshore Vale</t>
        </is>
      </c>
      <c r="C140" t="inlineStr">
        <is>
          <t>Blk 231 Bayshore Vale Street 21 #01-06 Singapura 460231</t>
        </is>
      </c>
      <c r="D140" t="inlineStr">
        <is>
          <t>Shop</t>
        </is>
      </c>
      <c r="E140" t="n">
        <v>101</v>
      </c>
      <c r="F140" t="inlineStr">
        <is>
          <t>NC-BV-3</t>
        </is>
      </c>
      <c r="G140" t="inlineStr">
        <is>
          <t>Tenanted</t>
        </is>
      </c>
    </row>
    <row r="141">
      <c r="A141" t="inlineStr">
        <is>
          <t>U-BV231-01-07</t>
        </is>
      </c>
      <c r="B141" t="inlineStr">
        <is>
          <t>Bayshore Vale</t>
        </is>
      </c>
      <c r="C141" t="inlineStr">
        <is>
          <t>Blk 231 Bayshore Vale Street 21 #01-07 Singapura 460231</t>
        </is>
      </c>
      <c r="D141" t="inlineStr">
        <is>
          <t>Shop</t>
        </is>
      </c>
      <c r="E141" t="n">
        <v>81.5</v>
      </c>
      <c r="F141" t="inlineStr">
        <is>
          <t>NC-BV-3</t>
        </is>
      </c>
      <c r="G141" t="inlineStr">
        <is>
          <t>Tenanted</t>
        </is>
      </c>
    </row>
    <row r="142">
      <c r="A142" t="inlineStr">
        <is>
          <t>U-BV231-01-08</t>
        </is>
      </c>
      <c r="B142" t="inlineStr">
        <is>
          <t>Bayshore Vale</t>
        </is>
      </c>
      <c r="C142" t="inlineStr">
        <is>
          <t>Blk 231 Bayshore Vale Street 21 #01-08 Singapura 460231</t>
        </is>
      </c>
      <c r="D142" t="inlineStr">
        <is>
          <t>Shop</t>
        </is>
      </c>
      <c r="E142" t="n">
        <v>62.3</v>
      </c>
      <c r="F142" t="inlineStr">
        <is>
          <t>NC-BV-3</t>
        </is>
      </c>
      <c r="G142" t="inlineStr">
        <is>
          <t>Tenanted</t>
        </is>
      </c>
    </row>
    <row r="143">
      <c r="A143" t="inlineStr">
        <is>
          <t>U-BV231-02-09</t>
        </is>
      </c>
      <c r="B143" t="inlineStr">
        <is>
          <t>Bayshore Vale</t>
        </is>
      </c>
      <c r="C143" t="inlineStr">
        <is>
          <t>Blk 231 Bayshore Vale Street 21 #02-09 Singapura 460231</t>
        </is>
      </c>
      <c r="D143" t="inlineStr">
        <is>
          <t>Office</t>
        </is>
      </c>
      <c r="E143" t="n">
        <v>131.4</v>
      </c>
      <c r="F143" t="inlineStr">
        <is>
          <t>NC-BV-3</t>
        </is>
      </c>
      <c r="G143" t="inlineStr">
        <is>
          <t>Tenanted</t>
        </is>
      </c>
    </row>
    <row r="144">
      <c r="A144" t="inlineStr">
        <is>
          <t>U-BV231-02-10</t>
        </is>
      </c>
      <c r="B144" t="inlineStr">
        <is>
          <t>Bayshore Vale</t>
        </is>
      </c>
      <c r="C144" t="inlineStr">
        <is>
          <t>Blk 231 Bayshore Vale Street 21 #02-10 Singapura 460231</t>
        </is>
      </c>
      <c r="D144" t="inlineStr">
        <is>
          <t>Office</t>
        </is>
      </c>
      <c r="E144" t="n">
        <v>90.8</v>
      </c>
      <c r="F144" t="inlineStr">
        <is>
          <t>NC-BV-3</t>
        </is>
      </c>
      <c r="G144" t="inlineStr">
        <is>
          <t>Tenanted</t>
        </is>
      </c>
    </row>
    <row r="145">
      <c r="A145" t="inlineStr">
        <is>
          <t>U-BV231-01-11</t>
        </is>
      </c>
      <c r="B145" t="inlineStr">
        <is>
          <t>Bayshore Vale</t>
        </is>
      </c>
      <c r="C145" t="inlineStr">
        <is>
          <t>Blk 231 Bayshore Vale Street 21 #01-11 Singapura 460231</t>
        </is>
      </c>
      <c r="D145" t="inlineStr">
        <is>
          <t>Shop</t>
        </is>
      </c>
      <c r="E145" t="n">
        <v>48.4</v>
      </c>
      <c r="F145" t="inlineStr">
        <is>
          <t>NC-BV-3</t>
        </is>
      </c>
      <c r="G145" t="inlineStr">
        <is>
          <t>Tenanted</t>
        </is>
      </c>
    </row>
    <row r="146">
      <c r="A146" t="inlineStr">
        <is>
          <t>U-BV231-01-12</t>
        </is>
      </c>
      <c r="B146" t="inlineStr">
        <is>
          <t>Bayshore Vale</t>
        </is>
      </c>
      <c r="C146" t="inlineStr">
        <is>
          <t>Blk 231 Bayshore Vale Street 21 #01-12 Singapura 460231</t>
        </is>
      </c>
      <c r="D146" t="inlineStr">
        <is>
          <t>Shop</t>
        </is>
      </c>
      <c r="E146" t="n">
        <v>72.90000000000001</v>
      </c>
      <c r="F146" t="inlineStr">
        <is>
          <t>NC-BV-3</t>
        </is>
      </c>
      <c r="G146" t="inlineStr">
        <is>
          <t>Tenanted</t>
        </is>
      </c>
    </row>
    <row r="147">
      <c r="A147" t="inlineStr">
        <is>
          <t>U-BV233-01-01</t>
        </is>
      </c>
      <c r="B147" t="inlineStr">
        <is>
          <t>Bayshore Vale</t>
        </is>
      </c>
      <c r="C147" t="inlineStr">
        <is>
          <t>Blk 233 Bayshore Vale Drive #01-01 Singapura 460233</t>
        </is>
      </c>
      <c r="D147" t="inlineStr">
        <is>
          <t>Shop</t>
        </is>
      </c>
      <c r="E147" t="n">
        <v>115.6</v>
      </c>
      <c r="F147" t="inlineStr">
        <is>
          <t>NC-BV-1</t>
        </is>
      </c>
      <c r="G147" t="inlineStr">
        <is>
          <t>Tenanted</t>
        </is>
      </c>
    </row>
    <row r="148">
      <c r="A148" t="inlineStr">
        <is>
          <t>U-BV233-01-02</t>
        </is>
      </c>
      <c r="B148" t="inlineStr">
        <is>
          <t>Bayshore Vale</t>
        </is>
      </c>
      <c r="C148" t="inlineStr">
        <is>
          <t>Blk 233 Bayshore Vale Drive #01-02 Singapura 460233</t>
        </is>
      </c>
      <c r="D148" t="inlineStr">
        <is>
          <t>Shop with Living Quarters</t>
        </is>
      </c>
      <c r="E148" t="n">
        <v>87.5</v>
      </c>
      <c r="F148" t="inlineStr">
        <is>
          <t>NC-BV-1</t>
        </is>
      </c>
      <c r="G148" t="inlineStr">
        <is>
          <t>Tenanted</t>
        </is>
      </c>
    </row>
    <row r="149">
      <c r="A149" t="inlineStr">
        <is>
          <t>U-BV233-01-03</t>
        </is>
      </c>
      <c r="B149" t="inlineStr">
        <is>
          <t>Bayshore Vale</t>
        </is>
      </c>
      <c r="C149" t="inlineStr">
        <is>
          <t>Blk 233 Bayshore Vale Drive #01-03 Singapura 460233</t>
        </is>
      </c>
      <c r="D149" t="inlineStr">
        <is>
          <t>Shop</t>
        </is>
      </c>
      <c r="E149" t="n">
        <v>65.2</v>
      </c>
      <c r="F149" t="inlineStr">
        <is>
          <t>NC-BV-1</t>
        </is>
      </c>
      <c r="G149" t="inlineStr">
        <is>
          <t>Tenanted</t>
        </is>
      </c>
    </row>
    <row r="150">
      <c r="A150" t="inlineStr">
        <is>
          <t>U-BV233-01-04</t>
        </is>
      </c>
      <c r="B150" t="inlineStr">
        <is>
          <t>Bayshore Vale</t>
        </is>
      </c>
      <c r="C150" t="inlineStr">
        <is>
          <t>Blk 233 Bayshore Vale Drive #01-04 Singapura 460233</t>
        </is>
      </c>
      <c r="D150" t="inlineStr">
        <is>
          <t>Shop</t>
        </is>
      </c>
      <c r="E150" t="n">
        <v>117.6</v>
      </c>
      <c r="F150" t="inlineStr">
        <is>
          <t>NC-BV-1</t>
        </is>
      </c>
      <c r="G150" t="inlineStr">
        <is>
          <t>Tenanted</t>
        </is>
      </c>
    </row>
    <row r="151">
      <c r="A151" t="inlineStr">
        <is>
          <t>U-BV233-01-05</t>
        </is>
      </c>
      <c r="B151" t="inlineStr">
        <is>
          <t>Bayshore Vale</t>
        </is>
      </c>
      <c r="C151" t="inlineStr">
        <is>
          <t>Blk 233 Bayshore Vale Drive #01-05 Singapura 460233</t>
        </is>
      </c>
      <c r="D151" t="inlineStr">
        <is>
          <t>Shop</t>
        </is>
      </c>
      <c r="E151" t="n">
        <v>81.2</v>
      </c>
      <c r="F151" t="inlineStr">
        <is>
          <t>NC-BV-1</t>
        </is>
      </c>
      <c r="G151" t="inlineStr">
        <is>
          <t>Tenanted</t>
        </is>
      </c>
    </row>
    <row r="152">
      <c r="A152" t="inlineStr">
        <is>
          <t>U-BV233-02-06</t>
        </is>
      </c>
      <c r="B152" t="inlineStr">
        <is>
          <t>Bayshore Vale</t>
        </is>
      </c>
      <c r="C152" t="inlineStr">
        <is>
          <t>Blk 233 Bayshore Vale Drive #02-06 Singapura 460233</t>
        </is>
      </c>
      <c r="D152" t="inlineStr">
        <is>
          <t>Office</t>
        </is>
      </c>
      <c r="E152" t="n">
        <v>104.3</v>
      </c>
      <c r="F152" t="inlineStr">
        <is>
          <t>NC-BV-1</t>
        </is>
      </c>
      <c r="G152" t="inlineStr">
        <is>
          <t>Tenanted</t>
        </is>
      </c>
    </row>
    <row r="153">
      <c r="A153" t="inlineStr">
        <is>
          <t>U-BV233-01-07</t>
        </is>
      </c>
      <c r="B153" t="inlineStr">
        <is>
          <t>Bayshore Vale</t>
        </is>
      </c>
      <c r="C153" t="inlineStr">
        <is>
          <t>Blk 233 Bayshore Vale Drive #01-07 Singapura 460233</t>
        </is>
      </c>
      <c r="D153" t="inlineStr">
        <is>
          <t>Shop</t>
        </is>
      </c>
      <c r="E153" t="n">
        <v>55</v>
      </c>
      <c r="F153" t="inlineStr">
        <is>
          <t>NC-BV-1</t>
        </is>
      </c>
      <c r="G153" t="inlineStr">
        <is>
          <t>Tenanted</t>
        </is>
      </c>
    </row>
    <row r="154">
      <c r="A154" t="inlineStr">
        <is>
          <t>U-BV233-01-08</t>
        </is>
      </c>
      <c r="B154" t="inlineStr">
        <is>
          <t>Bayshore Vale</t>
        </is>
      </c>
      <c r="C154" t="inlineStr">
        <is>
          <t>Blk 233 Bayshore Vale Drive #01-08 Singapura 460233</t>
        </is>
      </c>
      <c r="D154" t="inlineStr">
        <is>
          <t>Shop</t>
        </is>
      </c>
      <c r="E154" t="n">
        <v>100.5</v>
      </c>
      <c r="F154" t="inlineStr">
        <is>
          <t>NC-BV-1</t>
        </is>
      </c>
      <c r="G154" t="inlineStr">
        <is>
          <t>Tenanted</t>
        </is>
      </c>
    </row>
    <row r="155">
      <c r="A155" t="inlineStr">
        <is>
          <t>U-BV233-01-09</t>
        </is>
      </c>
      <c r="B155" t="inlineStr">
        <is>
          <t>Bayshore Vale</t>
        </is>
      </c>
      <c r="C155" t="inlineStr">
        <is>
          <t>Blk 233 Bayshore Vale Drive #01-09 Singapura 460233</t>
        </is>
      </c>
      <c r="D155" t="inlineStr">
        <is>
          <t>Shop</t>
        </is>
      </c>
      <c r="E155" t="n">
        <v>100.8</v>
      </c>
      <c r="F155" t="inlineStr">
        <is>
          <t>NC-BV-1</t>
        </is>
      </c>
      <c r="G155" t="inlineStr">
        <is>
          <t>Tenanted</t>
        </is>
      </c>
    </row>
    <row r="156">
      <c r="A156" t="inlineStr">
        <is>
          <t>U-BV233-01-10</t>
        </is>
      </c>
      <c r="B156" t="inlineStr">
        <is>
          <t>Bayshore Vale</t>
        </is>
      </c>
      <c r="C156" t="inlineStr">
        <is>
          <t>Blk 233 Bayshore Vale Drive #01-10 Singapura 460233</t>
        </is>
      </c>
      <c r="D156" t="inlineStr">
        <is>
          <t>Shop</t>
        </is>
      </c>
      <c r="E156" t="n">
        <v>83.90000000000001</v>
      </c>
      <c r="F156" t="inlineStr">
        <is>
          <t>NC-BV-1</t>
        </is>
      </c>
      <c r="G156" t="inlineStr">
        <is>
          <t>Tenanted</t>
        </is>
      </c>
    </row>
    <row r="157">
      <c r="A157" t="inlineStr">
        <is>
          <t>U-BV233-02-11</t>
        </is>
      </c>
      <c r="B157" t="inlineStr">
        <is>
          <t>Bayshore Vale</t>
        </is>
      </c>
      <c r="C157" t="inlineStr">
        <is>
          <t>Blk 233 Bayshore Vale Drive #02-11 Singapura 460233</t>
        </is>
      </c>
      <c r="D157" t="inlineStr">
        <is>
          <t>Office</t>
        </is>
      </c>
      <c r="E157" t="n">
        <v>119.8</v>
      </c>
      <c r="F157" t="inlineStr">
        <is>
          <t>NC-BV-1</t>
        </is>
      </c>
      <c r="G157" t="inlineStr">
        <is>
          <t>Tenanted</t>
        </is>
      </c>
    </row>
    <row r="158">
      <c r="A158" t="inlineStr">
        <is>
          <t>U-BV233-01-12</t>
        </is>
      </c>
      <c r="B158" t="inlineStr">
        <is>
          <t>Bayshore Vale</t>
        </is>
      </c>
      <c r="C158" t="inlineStr">
        <is>
          <t>Blk 233 Bayshore Vale Drive #01-12 Singapura 460233</t>
        </is>
      </c>
      <c r="D158" t="inlineStr">
        <is>
          <t>Shop</t>
        </is>
      </c>
      <c r="E158" t="n">
        <v>117.9</v>
      </c>
      <c r="F158" t="inlineStr">
        <is>
          <t>NC-BV-1</t>
        </is>
      </c>
      <c r="G158" t="inlineStr">
        <is>
          <t>Tenanted</t>
        </is>
      </c>
    </row>
    <row r="159">
      <c r="A159" t="inlineStr">
        <is>
          <t>U-BV233-01-13</t>
        </is>
      </c>
      <c r="B159" t="inlineStr">
        <is>
          <t>Bayshore Vale</t>
        </is>
      </c>
      <c r="C159" t="inlineStr">
        <is>
          <t>Blk 233 Bayshore Vale Drive #01-13 Singapura 460233</t>
        </is>
      </c>
      <c r="D159" t="inlineStr">
        <is>
          <t>Shop</t>
        </is>
      </c>
      <c r="E159" t="n">
        <v>59.1</v>
      </c>
      <c r="F159" t="inlineStr">
        <is>
          <t>NC-BV-1</t>
        </is>
      </c>
      <c r="G159" t="inlineStr">
        <is>
          <t>Tenanted</t>
        </is>
      </c>
    </row>
    <row r="160">
      <c r="A160" t="inlineStr">
        <is>
          <t>U-BV237-01-01</t>
        </is>
      </c>
      <c r="B160" t="inlineStr">
        <is>
          <t>Bayshore Vale</t>
        </is>
      </c>
      <c r="C160" t="inlineStr">
        <is>
          <t>Blk 237 Bayshore Vale Drive #01-01 Singapura 460237</t>
        </is>
      </c>
      <c r="D160" t="inlineStr">
        <is>
          <t>Shop</t>
        </is>
      </c>
      <c r="E160" t="n">
        <v>41.1</v>
      </c>
      <c r="F160" t="inlineStr">
        <is>
          <t>NC-BV-3</t>
        </is>
      </c>
      <c r="G160" t="inlineStr">
        <is>
          <t>Tenanted</t>
        </is>
      </c>
    </row>
    <row r="161">
      <c r="A161" t="inlineStr">
        <is>
          <t>U-BV237-01-02</t>
        </is>
      </c>
      <c r="B161" t="inlineStr">
        <is>
          <t>Bayshore Vale</t>
        </is>
      </c>
      <c r="C161" t="inlineStr">
        <is>
          <t>Blk 237 Bayshore Vale Drive #01-02 Singapura 460237</t>
        </is>
      </c>
      <c r="D161" t="inlineStr">
        <is>
          <t>Shop</t>
        </is>
      </c>
      <c r="E161" t="n">
        <v>58</v>
      </c>
      <c r="F161" t="inlineStr">
        <is>
          <t>NC-BV-3</t>
        </is>
      </c>
      <c r="G161" t="inlineStr">
        <is>
          <t>Under Tender</t>
        </is>
      </c>
    </row>
    <row r="162">
      <c r="A162" t="inlineStr">
        <is>
          <t>U-BV237-01-03</t>
        </is>
      </c>
      <c r="B162" t="inlineStr">
        <is>
          <t>Bayshore Vale</t>
        </is>
      </c>
      <c r="C162" t="inlineStr">
        <is>
          <t>Blk 237 Bayshore Vale Drive #01-03 Singapura 460237</t>
        </is>
      </c>
      <c r="D162" t="inlineStr">
        <is>
          <t>Shop with Living Quarters</t>
        </is>
      </c>
      <c r="E162" t="n">
        <v>65.7</v>
      </c>
      <c r="F162" t="inlineStr">
        <is>
          <t>NC-BV-3</t>
        </is>
      </c>
      <c r="G162" t="inlineStr">
        <is>
          <t>Tenanted</t>
        </is>
      </c>
    </row>
    <row r="163">
      <c r="A163" t="inlineStr">
        <is>
          <t>U-BV237-02-04</t>
        </is>
      </c>
      <c r="B163" t="inlineStr">
        <is>
          <t>Bayshore Vale</t>
        </is>
      </c>
      <c r="C163" t="inlineStr">
        <is>
          <t>Blk 237 Bayshore Vale Drive #02-04 Singapura 460237</t>
        </is>
      </c>
      <c r="D163" t="inlineStr">
        <is>
          <t>Office</t>
        </is>
      </c>
      <c r="E163" t="n">
        <v>65.40000000000001</v>
      </c>
      <c r="F163" t="inlineStr">
        <is>
          <t>NC-BV-3</t>
        </is>
      </c>
      <c r="G163" t="inlineStr">
        <is>
          <t>Tenanted</t>
        </is>
      </c>
    </row>
    <row r="164">
      <c r="A164" t="inlineStr">
        <is>
          <t>U-BV237-02-05</t>
        </is>
      </c>
      <c r="B164" t="inlineStr">
        <is>
          <t>Bayshore Vale</t>
        </is>
      </c>
      <c r="C164" t="inlineStr">
        <is>
          <t>Blk 237 Bayshore Vale Drive #02-05 Singapura 460237</t>
        </is>
      </c>
      <c r="D164" t="inlineStr">
        <is>
          <t>Office</t>
        </is>
      </c>
      <c r="E164" t="n">
        <v>120.5</v>
      </c>
      <c r="F164" t="inlineStr">
        <is>
          <t>NC-BV-3</t>
        </is>
      </c>
      <c r="G164" t="inlineStr">
        <is>
          <t>Tenanted</t>
        </is>
      </c>
    </row>
    <row r="165">
      <c r="A165" t="inlineStr">
        <is>
          <t>U-BV237-01-06</t>
        </is>
      </c>
      <c r="B165" t="inlineStr">
        <is>
          <t>Bayshore Vale</t>
        </is>
      </c>
      <c r="C165" t="inlineStr">
        <is>
          <t>Blk 237 Bayshore Vale Drive #01-06 Singapura 460237</t>
        </is>
      </c>
      <c r="D165" t="inlineStr">
        <is>
          <t>Shop</t>
        </is>
      </c>
      <c r="E165" t="n">
        <v>78.59999999999999</v>
      </c>
      <c r="F165" t="inlineStr">
        <is>
          <t>NC-BV-3</t>
        </is>
      </c>
      <c r="G165" t="inlineStr">
        <is>
          <t>Tenanted</t>
        </is>
      </c>
    </row>
    <row r="166">
      <c r="A166" t="inlineStr">
        <is>
          <t>U-BV237-01-07</t>
        </is>
      </c>
      <c r="B166" t="inlineStr">
        <is>
          <t>Bayshore Vale</t>
        </is>
      </c>
      <c r="C166" t="inlineStr">
        <is>
          <t>Blk 237 Bayshore Vale Drive #01-07 Singapura 460237</t>
        </is>
      </c>
      <c r="D166" t="inlineStr">
        <is>
          <t>Shop</t>
        </is>
      </c>
      <c r="E166" t="n">
        <v>76.5</v>
      </c>
      <c r="F166" t="inlineStr">
        <is>
          <t>NC-BV-3</t>
        </is>
      </c>
      <c r="G166" t="inlineStr">
        <is>
          <t>Tenanted</t>
        </is>
      </c>
    </row>
    <row r="167">
      <c r="A167" t="inlineStr">
        <is>
          <t>U-BV237-01-08</t>
        </is>
      </c>
      <c r="B167" t="inlineStr">
        <is>
          <t>Bayshore Vale</t>
        </is>
      </c>
      <c r="C167" t="inlineStr">
        <is>
          <t>Blk 237 Bayshore Vale Drive #01-08 Singapura 460237</t>
        </is>
      </c>
      <c r="D167" t="inlineStr">
        <is>
          <t>Shop</t>
        </is>
      </c>
      <c r="E167" t="n">
        <v>55.2</v>
      </c>
      <c r="F167" t="inlineStr">
        <is>
          <t>NC-BV-3</t>
        </is>
      </c>
      <c r="G167" t="inlineStr">
        <is>
          <t>Tenanted</t>
        </is>
      </c>
    </row>
    <row r="168">
      <c r="A168" t="inlineStr">
        <is>
          <t>U-BV256-01-01</t>
        </is>
      </c>
      <c r="B168" t="inlineStr">
        <is>
          <t>Bayshore Vale</t>
        </is>
      </c>
      <c r="C168" t="inlineStr">
        <is>
          <t>Blk 256 Bayshore Vale Street 21 #01-01 Singapura 460256</t>
        </is>
      </c>
      <c r="D168" t="inlineStr">
        <is>
          <t>Kiosk</t>
        </is>
      </c>
      <c r="E168" t="n">
        <v>7.2</v>
      </c>
      <c r="F168" t="inlineStr">
        <is>
          <t>NC-BV-3</t>
        </is>
      </c>
      <c r="G168" t="inlineStr">
        <is>
          <t>Tenanted</t>
        </is>
      </c>
    </row>
    <row r="169">
      <c r="A169" t="inlineStr">
        <is>
          <t>U-BV256-01-02</t>
        </is>
      </c>
      <c r="B169" t="inlineStr">
        <is>
          <t>Bayshore Vale</t>
        </is>
      </c>
      <c r="C169" t="inlineStr">
        <is>
          <t>Blk 256 Bayshore Vale Street 21 #01-02 Singapura 460256</t>
        </is>
      </c>
      <c r="D169" t="inlineStr">
        <is>
          <t>Shop</t>
        </is>
      </c>
      <c r="E169" t="n">
        <v>101.8</v>
      </c>
      <c r="F169" t="inlineStr">
        <is>
          <t>NC-BV-3</t>
        </is>
      </c>
      <c r="G169" t="inlineStr">
        <is>
          <t>Tenanted</t>
        </is>
      </c>
    </row>
    <row r="170">
      <c r="A170" t="inlineStr">
        <is>
          <t>U-BV256-01-03</t>
        </is>
      </c>
      <c r="B170" t="inlineStr">
        <is>
          <t>Bayshore Vale</t>
        </is>
      </c>
      <c r="C170" t="inlineStr">
        <is>
          <t>Blk 256 Bayshore Vale Street 21 #01-03 Singapura 460256</t>
        </is>
      </c>
      <c r="D170" t="inlineStr">
        <is>
          <t>Shop with Living Quarters</t>
        </is>
      </c>
      <c r="E170" t="n">
        <v>77</v>
      </c>
      <c r="F170" t="inlineStr">
        <is>
          <t>NC-BV-3</t>
        </is>
      </c>
      <c r="G170" t="inlineStr">
        <is>
          <t>Tenanted</t>
        </is>
      </c>
    </row>
    <row r="171">
      <c r="A171" t="inlineStr">
        <is>
          <t>U-BV256-01-04</t>
        </is>
      </c>
      <c r="B171" t="inlineStr">
        <is>
          <t>Bayshore Vale</t>
        </is>
      </c>
      <c r="C171" t="inlineStr">
        <is>
          <t>Blk 256 Bayshore Vale Street 21 #01-04 Singapura 460256</t>
        </is>
      </c>
      <c r="D171" t="inlineStr">
        <is>
          <t>Shop with Living Quarters</t>
        </is>
      </c>
      <c r="E171" t="n">
        <v>73.40000000000001</v>
      </c>
      <c r="F171" t="inlineStr">
        <is>
          <t>NC-BV-3</t>
        </is>
      </c>
      <c r="G171" t="inlineStr">
        <is>
          <t>Tenanted</t>
        </is>
      </c>
    </row>
    <row r="172">
      <c r="A172" t="inlineStr">
        <is>
          <t>U-BV256-01-05</t>
        </is>
      </c>
      <c r="B172" t="inlineStr">
        <is>
          <t>Bayshore Vale</t>
        </is>
      </c>
      <c r="C172" t="inlineStr">
        <is>
          <t>Blk 256 Bayshore Vale Street 21 #01-05 Singapura 460256</t>
        </is>
      </c>
      <c r="D172" t="inlineStr">
        <is>
          <t>Shop</t>
        </is>
      </c>
      <c r="E172" t="n">
        <v>98.09999999999999</v>
      </c>
      <c r="F172" t="inlineStr">
        <is>
          <t>NC-BV-3</t>
        </is>
      </c>
      <c r="G172" t="inlineStr">
        <is>
          <t>Tenanted</t>
        </is>
      </c>
    </row>
    <row r="173">
      <c r="A173" t="inlineStr">
        <is>
          <t>U-BV256-01-06</t>
        </is>
      </c>
      <c r="B173" t="inlineStr">
        <is>
          <t>Bayshore Vale</t>
        </is>
      </c>
      <c r="C173" t="inlineStr">
        <is>
          <t>Blk 256 Bayshore Vale Street 21 #01-06 Singapura 460256</t>
        </is>
      </c>
      <c r="D173" t="inlineStr">
        <is>
          <t>Shop with Living Quarters</t>
        </is>
      </c>
      <c r="E173" t="n">
        <v>89</v>
      </c>
      <c r="F173" t="inlineStr">
        <is>
          <t>NC-BV-3</t>
        </is>
      </c>
      <c r="G173" t="inlineStr">
        <is>
          <t>Tenanted</t>
        </is>
      </c>
    </row>
    <row r="174">
      <c r="A174" t="inlineStr">
        <is>
          <t>U-BV256-01-07</t>
        </is>
      </c>
      <c r="B174" t="inlineStr">
        <is>
          <t>Bayshore Vale</t>
        </is>
      </c>
      <c r="C174" t="inlineStr">
        <is>
          <t>Blk 256 Bayshore Vale Street 21 #01-07 Singapura 460256</t>
        </is>
      </c>
      <c r="D174" t="inlineStr">
        <is>
          <t>Shop</t>
        </is>
      </c>
      <c r="E174" t="n">
        <v>109.2</v>
      </c>
      <c r="F174" t="inlineStr">
        <is>
          <t>NC-BV-3</t>
        </is>
      </c>
      <c r="G174" t="inlineStr">
        <is>
          <t>Tenanted</t>
        </is>
      </c>
    </row>
    <row r="175">
      <c r="A175" t="inlineStr">
        <is>
          <t>U-BV256-01-08</t>
        </is>
      </c>
      <c r="B175" t="inlineStr">
        <is>
          <t>Bayshore Vale</t>
        </is>
      </c>
      <c r="C175" t="inlineStr">
        <is>
          <t>Blk 256 Bayshore Vale Street 21 #01-08 Singapura 460256</t>
        </is>
      </c>
      <c r="D175" t="inlineStr">
        <is>
          <t>Shop</t>
        </is>
      </c>
      <c r="E175" t="n">
        <v>78.7</v>
      </c>
      <c r="F175" t="inlineStr">
        <is>
          <t>NC-BV-3</t>
        </is>
      </c>
      <c r="G175" t="inlineStr">
        <is>
          <t>Tenanted</t>
        </is>
      </c>
    </row>
    <row r="176">
      <c r="A176" t="inlineStr">
        <is>
          <t>U-BV256-01-09</t>
        </is>
      </c>
      <c r="B176" t="inlineStr">
        <is>
          <t>Bayshore Vale</t>
        </is>
      </c>
      <c r="C176" t="inlineStr">
        <is>
          <t>Blk 256 Bayshore Vale Street 21 #01-09 Singapura 460256</t>
        </is>
      </c>
      <c r="D176" t="inlineStr">
        <is>
          <t>Shop</t>
        </is>
      </c>
      <c r="E176" t="n">
        <v>101</v>
      </c>
      <c r="F176" t="inlineStr">
        <is>
          <t>NC-BV-3</t>
        </is>
      </c>
      <c r="G176" t="inlineStr">
        <is>
          <t>Tenanted</t>
        </is>
      </c>
    </row>
    <row r="177">
      <c r="A177" t="inlineStr">
        <is>
          <t>U-BV256-01-10</t>
        </is>
      </c>
      <c r="B177" t="inlineStr">
        <is>
          <t>Bayshore Vale</t>
        </is>
      </c>
      <c r="C177" t="inlineStr">
        <is>
          <t>Blk 256 Bayshore Vale Street 21 #01-10 Singapura 460256</t>
        </is>
      </c>
      <c r="D177" t="inlineStr">
        <is>
          <t>Shop</t>
        </is>
      </c>
      <c r="E177" t="n">
        <v>114.6</v>
      </c>
      <c r="F177" t="inlineStr">
        <is>
          <t>NC-BV-3</t>
        </is>
      </c>
      <c r="G177" t="inlineStr">
        <is>
          <t>Tenanted</t>
        </is>
      </c>
    </row>
    <row r="178">
      <c r="A178" t="inlineStr">
        <is>
          <t>U-BV256-01-11</t>
        </is>
      </c>
      <c r="B178" t="inlineStr">
        <is>
          <t>Bayshore Vale</t>
        </is>
      </c>
      <c r="C178" t="inlineStr">
        <is>
          <t>Blk 256 Bayshore Vale Street 21 #01-11 Singapura 460256</t>
        </is>
      </c>
      <c r="D178" t="inlineStr">
        <is>
          <t>Office</t>
        </is>
      </c>
      <c r="E178" t="n">
        <v>73.90000000000001</v>
      </c>
      <c r="F178" t="inlineStr">
        <is>
          <t>NC-BV-3</t>
        </is>
      </c>
      <c r="G178" t="inlineStr">
        <is>
          <t>Tenanted</t>
        </is>
      </c>
    </row>
    <row r="179">
      <c r="A179" t="inlineStr">
        <is>
          <t>U-BV256-01-12</t>
        </is>
      </c>
      <c r="B179" t="inlineStr">
        <is>
          <t>Bayshore Vale</t>
        </is>
      </c>
      <c r="C179" t="inlineStr">
        <is>
          <t>Blk 256 Bayshore Vale Street 21 #01-12 Singapura 460256</t>
        </is>
      </c>
      <c r="D179" t="inlineStr">
        <is>
          <t>Shop</t>
        </is>
      </c>
      <c r="E179" t="n">
        <v>108.5</v>
      </c>
      <c r="F179" t="inlineStr">
        <is>
          <t>NC-BV-3</t>
        </is>
      </c>
      <c r="G179" t="inlineStr">
        <is>
          <t>Tenanted</t>
        </is>
      </c>
    </row>
    <row r="180">
      <c r="A180" t="inlineStr">
        <is>
          <t>U-BV256-01-13</t>
        </is>
      </c>
      <c r="B180" t="inlineStr">
        <is>
          <t>Bayshore Vale</t>
        </is>
      </c>
      <c r="C180" t="inlineStr">
        <is>
          <t>Blk 256 Bayshore Vale Street 21 #01-13 Singapura 460256</t>
        </is>
      </c>
      <c r="D180" t="inlineStr">
        <is>
          <t>Shop</t>
        </is>
      </c>
      <c r="E180" t="n">
        <v>65.5</v>
      </c>
      <c r="F180" t="inlineStr">
        <is>
          <t>NC-BV-3</t>
        </is>
      </c>
      <c r="G180" t="inlineStr">
        <is>
          <t>Tenanted</t>
        </is>
      </c>
    </row>
    <row r="181">
      <c r="A181" t="inlineStr">
        <is>
          <t>U-BV256-01-14</t>
        </is>
      </c>
      <c r="B181" t="inlineStr">
        <is>
          <t>Bayshore Vale</t>
        </is>
      </c>
      <c r="C181" t="inlineStr">
        <is>
          <t>Blk 256 Bayshore Vale Street 21 #01-14 Singapura 460256</t>
        </is>
      </c>
      <c r="D181" t="inlineStr">
        <is>
          <t>Shop</t>
        </is>
      </c>
      <c r="E181" t="n">
        <v>113.1</v>
      </c>
      <c r="F181" t="inlineStr">
        <is>
          <t>NC-BV-3</t>
        </is>
      </c>
      <c r="G181" t="inlineStr">
        <is>
          <t>Tenanted</t>
        </is>
      </c>
    </row>
    <row r="182">
      <c r="A182" t="inlineStr">
        <is>
          <t>U-BV266-01-01</t>
        </is>
      </c>
      <c r="B182" t="inlineStr">
        <is>
          <t>Bayshore Vale</t>
        </is>
      </c>
      <c r="C182" t="inlineStr">
        <is>
          <t>Blk 266 Bayshore Vale Drive #01-01 Singapura 460266</t>
        </is>
      </c>
      <c r="D182" t="inlineStr">
        <is>
          <t>Shop</t>
        </is>
      </c>
      <c r="E182" t="n">
        <v>93.09999999999999</v>
      </c>
      <c r="F182" t="inlineStr">
        <is>
          <t>NC-BV-1</t>
        </is>
      </c>
      <c r="G182" t="inlineStr">
        <is>
          <t>Tenanted</t>
        </is>
      </c>
    </row>
    <row r="183">
      <c r="A183" t="inlineStr">
        <is>
          <t>U-BV266-01-02</t>
        </is>
      </c>
      <c r="B183" t="inlineStr">
        <is>
          <t>Bayshore Vale</t>
        </is>
      </c>
      <c r="C183" t="inlineStr">
        <is>
          <t>Blk 266 Bayshore Vale Drive #01-02 Singapura 460266</t>
        </is>
      </c>
      <c r="D183" t="inlineStr">
        <is>
          <t>Shop with Living Quarters</t>
        </is>
      </c>
      <c r="E183" t="n">
        <v>109</v>
      </c>
      <c r="F183" t="inlineStr">
        <is>
          <t>NC-BV-1</t>
        </is>
      </c>
      <c r="G183" t="inlineStr">
        <is>
          <t>Tenanted</t>
        </is>
      </c>
    </row>
    <row r="184">
      <c r="A184" t="inlineStr">
        <is>
          <t>U-BV266-01-03</t>
        </is>
      </c>
      <c r="B184" t="inlineStr">
        <is>
          <t>Bayshore Vale</t>
        </is>
      </c>
      <c r="C184" t="inlineStr">
        <is>
          <t>Blk 266 Bayshore Vale Drive #01-03 Singapura 460266</t>
        </is>
      </c>
      <c r="D184" t="inlineStr">
        <is>
          <t>Shop</t>
        </is>
      </c>
      <c r="E184" t="n">
        <v>43</v>
      </c>
      <c r="F184" t="inlineStr">
        <is>
          <t>NC-BV-1</t>
        </is>
      </c>
      <c r="G184" t="inlineStr">
        <is>
          <t>Tenanted</t>
        </is>
      </c>
    </row>
    <row r="185">
      <c r="A185" t="inlineStr">
        <is>
          <t>U-BV266-01-04</t>
        </is>
      </c>
      <c r="B185" t="inlineStr">
        <is>
          <t>Bayshore Vale</t>
        </is>
      </c>
      <c r="C185" t="inlineStr">
        <is>
          <t>Blk 266 Bayshore Vale Drive #01-04 Singapura 460266</t>
        </is>
      </c>
      <c r="D185" t="inlineStr">
        <is>
          <t>Shop</t>
        </is>
      </c>
      <c r="E185" t="n">
        <v>87.2</v>
      </c>
      <c r="F185" t="inlineStr">
        <is>
          <t>NC-BV-1</t>
        </is>
      </c>
      <c r="G185" t="inlineStr">
        <is>
          <t>Tenanted</t>
        </is>
      </c>
    </row>
    <row r="186">
      <c r="A186" t="inlineStr">
        <is>
          <t>U-BV266-01-05</t>
        </is>
      </c>
      <c r="B186" t="inlineStr">
        <is>
          <t>Bayshore Vale</t>
        </is>
      </c>
      <c r="C186" t="inlineStr">
        <is>
          <t>Blk 266 Bayshore Vale Drive #01-05 Singapura 460266</t>
        </is>
      </c>
      <c r="D186" t="inlineStr">
        <is>
          <t>Office</t>
        </is>
      </c>
      <c r="E186" t="n">
        <v>94</v>
      </c>
      <c r="F186" t="inlineStr">
        <is>
          <t>NC-BV-1</t>
        </is>
      </c>
      <c r="G186" t="inlineStr">
        <is>
          <t>Tenanted</t>
        </is>
      </c>
    </row>
    <row r="187">
      <c r="A187" t="inlineStr">
        <is>
          <t>U-BV266-01-06</t>
        </is>
      </c>
      <c r="B187" t="inlineStr">
        <is>
          <t>Bayshore Vale</t>
        </is>
      </c>
      <c r="C187" t="inlineStr">
        <is>
          <t>Blk 266 Bayshore Vale Drive #01-06 Singapura 460266</t>
        </is>
      </c>
      <c r="D187" t="inlineStr">
        <is>
          <t>Shop</t>
        </is>
      </c>
      <c r="E187" t="n">
        <v>76.59999999999999</v>
      </c>
      <c r="F187" t="inlineStr">
        <is>
          <t>NC-BV-1</t>
        </is>
      </c>
      <c r="G187" t="inlineStr">
        <is>
          <t>Tenanted</t>
        </is>
      </c>
    </row>
    <row r="188">
      <c r="A188" t="inlineStr">
        <is>
          <t>U-BV266-01-07</t>
        </is>
      </c>
      <c r="B188" t="inlineStr">
        <is>
          <t>Bayshore Vale</t>
        </is>
      </c>
      <c r="C188" t="inlineStr">
        <is>
          <t>Blk 266 Bayshore Vale Drive #01-07 Singapura 460266</t>
        </is>
      </c>
      <c r="D188" t="inlineStr">
        <is>
          <t>Kiosk</t>
        </is>
      </c>
      <c r="E188" t="n">
        <v>9.699999999999999</v>
      </c>
      <c r="F188" t="inlineStr">
        <is>
          <t>NC-BV-1</t>
        </is>
      </c>
      <c r="G188" t="inlineStr">
        <is>
          <t>Tenanted</t>
        </is>
      </c>
    </row>
    <row r="189">
      <c r="A189" t="inlineStr">
        <is>
          <t>U-BV266-01-08</t>
        </is>
      </c>
      <c r="B189" t="inlineStr">
        <is>
          <t>Bayshore Vale</t>
        </is>
      </c>
      <c r="C189" t="inlineStr">
        <is>
          <t>Blk 266 Bayshore Vale Drive #01-08 Singapura 460266</t>
        </is>
      </c>
      <c r="D189" t="inlineStr">
        <is>
          <t>Shop</t>
        </is>
      </c>
      <c r="E189" t="n">
        <v>52.3</v>
      </c>
      <c r="F189" t="inlineStr">
        <is>
          <t>NC-BV-1</t>
        </is>
      </c>
      <c r="G189" t="inlineStr">
        <is>
          <t>Tenanted</t>
        </is>
      </c>
    </row>
    <row r="190">
      <c r="A190" t="inlineStr">
        <is>
          <t>U-BV266-01-09</t>
        </is>
      </c>
      <c r="B190" t="inlineStr">
        <is>
          <t>Bayshore Vale</t>
        </is>
      </c>
      <c r="C190" t="inlineStr">
        <is>
          <t>Blk 266 Bayshore Vale Drive #01-09 Singapura 460266</t>
        </is>
      </c>
      <c r="D190" t="inlineStr">
        <is>
          <t>Shop</t>
        </is>
      </c>
      <c r="E190" t="n">
        <v>117.5</v>
      </c>
      <c r="F190" t="inlineStr">
        <is>
          <t>NC-BV-1</t>
        </is>
      </c>
      <c r="G190" t="inlineStr">
        <is>
          <t>Tenanted</t>
        </is>
      </c>
    </row>
    <row r="191">
      <c r="A191" t="inlineStr">
        <is>
          <t>U-BV266-01-10</t>
        </is>
      </c>
      <c r="B191" t="inlineStr">
        <is>
          <t>Bayshore Vale</t>
        </is>
      </c>
      <c r="C191" t="inlineStr">
        <is>
          <t>Blk 266 Bayshore Vale Drive #01-10 Singapura 460266</t>
        </is>
      </c>
      <c r="D191" t="inlineStr">
        <is>
          <t>Shop</t>
        </is>
      </c>
      <c r="E191" t="n">
        <v>95.40000000000001</v>
      </c>
      <c r="F191" t="inlineStr">
        <is>
          <t>NC-BV-1</t>
        </is>
      </c>
      <c r="G191" t="inlineStr">
        <is>
          <t>Tenanted</t>
        </is>
      </c>
    </row>
    <row r="192">
      <c r="A192" t="inlineStr">
        <is>
          <t>U-BV266-01-11</t>
        </is>
      </c>
      <c r="B192" t="inlineStr">
        <is>
          <t>Bayshore Vale</t>
        </is>
      </c>
      <c r="C192" t="inlineStr">
        <is>
          <t>Blk 266 Bayshore Vale Drive #01-11 Singapura 460266</t>
        </is>
      </c>
      <c r="D192" t="inlineStr">
        <is>
          <t>Shop</t>
        </is>
      </c>
      <c r="E192" t="n">
        <v>108.1</v>
      </c>
      <c r="F192" t="inlineStr">
        <is>
          <t>NC-BV-1</t>
        </is>
      </c>
      <c r="G192" t="inlineStr">
        <is>
          <t>Tenanted</t>
        </is>
      </c>
    </row>
    <row r="193">
      <c r="A193" t="inlineStr">
        <is>
          <t>U-BV266-01-12</t>
        </is>
      </c>
      <c r="B193" t="inlineStr">
        <is>
          <t>Bayshore Vale</t>
        </is>
      </c>
      <c r="C193" t="inlineStr">
        <is>
          <t>Blk 266 Bayshore Vale Drive #01-12 Singapura 460266</t>
        </is>
      </c>
      <c r="D193" t="inlineStr">
        <is>
          <t>Shop with Living Quarters</t>
        </is>
      </c>
      <c r="E193" t="n">
        <v>103</v>
      </c>
      <c r="F193" t="inlineStr">
        <is>
          <t>NC-BV-1</t>
        </is>
      </c>
      <c r="G193" t="inlineStr">
        <is>
          <t>Tenanted</t>
        </is>
      </c>
    </row>
    <row r="194">
      <c r="A194" t="inlineStr">
        <is>
          <t>U-BV271-02-01</t>
        </is>
      </c>
      <c r="B194" t="inlineStr">
        <is>
          <t>Bayshore Vale</t>
        </is>
      </c>
      <c r="C194" t="inlineStr">
        <is>
          <t>Blk 271 Bayshore Vale Street 21 #02-01 Singapura 460271</t>
        </is>
      </c>
      <c r="D194" t="inlineStr">
        <is>
          <t>Office</t>
        </is>
      </c>
      <c r="E194" t="n">
        <v>138.7</v>
      </c>
      <c r="F194" t="inlineStr">
        <is>
          <t>NC-BV-2</t>
        </is>
      </c>
      <c r="G194" t="inlineStr">
        <is>
          <t>Tenanted</t>
        </is>
      </c>
    </row>
    <row r="195">
      <c r="A195" t="inlineStr">
        <is>
          <t>U-BV271-01-02</t>
        </is>
      </c>
      <c r="B195" t="inlineStr">
        <is>
          <t>Bayshore Vale</t>
        </is>
      </c>
      <c r="C195" t="inlineStr">
        <is>
          <t>Blk 271 Bayshore Vale Street 21 #01-02 Singapura 460271</t>
        </is>
      </c>
      <c r="D195" t="inlineStr">
        <is>
          <t>Shop</t>
        </is>
      </c>
      <c r="E195" t="n">
        <v>83.3</v>
      </c>
      <c r="F195" t="inlineStr">
        <is>
          <t>NC-BV-2</t>
        </is>
      </c>
      <c r="G195" t="inlineStr">
        <is>
          <t>Tenanted</t>
        </is>
      </c>
    </row>
    <row r="196">
      <c r="A196" t="inlineStr">
        <is>
          <t>U-BV271-01-03</t>
        </is>
      </c>
      <c r="B196" t="inlineStr">
        <is>
          <t>Bayshore Vale</t>
        </is>
      </c>
      <c r="C196" t="inlineStr">
        <is>
          <t>Blk 271 Bayshore Vale Street 21 #01-03 Singapura 460271</t>
        </is>
      </c>
      <c r="D196" t="inlineStr">
        <is>
          <t>Shop</t>
        </is>
      </c>
      <c r="E196" t="n">
        <v>58.8</v>
      </c>
      <c r="F196" t="inlineStr">
        <is>
          <t>NC-BV-2</t>
        </is>
      </c>
      <c r="G196" t="inlineStr">
        <is>
          <t>Tenanted</t>
        </is>
      </c>
    </row>
    <row r="197">
      <c r="A197" t="inlineStr">
        <is>
          <t>U-BV271-01-04</t>
        </is>
      </c>
      <c r="B197" t="inlineStr">
        <is>
          <t>Bayshore Vale</t>
        </is>
      </c>
      <c r="C197" t="inlineStr">
        <is>
          <t>Blk 271 Bayshore Vale Street 21 #01-04 Singapura 460271</t>
        </is>
      </c>
      <c r="D197" t="inlineStr">
        <is>
          <t>Kiosk</t>
        </is>
      </c>
      <c r="E197" t="n">
        <v>8.6</v>
      </c>
      <c r="F197" t="inlineStr">
        <is>
          <t>NC-BV-2</t>
        </is>
      </c>
      <c r="G197" t="inlineStr">
        <is>
          <t>Tenanted</t>
        </is>
      </c>
    </row>
    <row r="198">
      <c r="A198" t="inlineStr">
        <is>
          <t>U-BV271-01-05</t>
        </is>
      </c>
      <c r="B198" t="inlineStr">
        <is>
          <t>Bayshore Vale</t>
        </is>
      </c>
      <c r="C198" t="inlineStr">
        <is>
          <t>Blk 271 Bayshore Vale Street 21 #01-05 Singapura 460271</t>
        </is>
      </c>
      <c r="D198" t="inlineStr">
        <is>
          <t>Shop</t>
        </is>
      </c>
      <c r="E198" t="n">
        <v>47.2</v>
      </c>
      <c r="F198" t="inlineStr">
        <is>
          <t>NC-BV-2</t>
        </is>
      </c>
      <c r="G198" t="inlineStr">
        <is>
          <t>Tenanted</t>
        </is>
      </c>
    </row>
    <row r="199">
      <c r="A199" t="inlineStr">
        <is>
          <t>U-BV271-01-06</t>
        </is>
      </c>
      <c r="B199" t="inlineStr">
        <is>
          <t>Bayshore Vale</t>
        </is>
      </c>
      <c r="C199" t="inlineStr">
        <is>
          <t>Blk 271 Bayshore Vale Street 21 #01-06 Singapura 460271</t>
        </is>
      </c>
      <c r="D199" t="inlineStr">
        <is>
          <t>Office</t>
        </is>
      </c>
      <c r="E199" t="n">
        <v>120.4</v>
      </c>
      <c r="F199" t="inlineStr">
        <is>
          <t>NC-BV-2</t>
        </is>
      </c>
      <c r="G199" t="inlineStr">
        <is>
          <t>Tenanted</t>
        </is>
      </c>
    </row>
    <row r="200">
      <c r="A200" t="inlineStr">
        <is>
          <t>U-BV271-01-07</t>
        </is>
      </c>
      <c r="B200" t="inlineStr">
        <is>
          <t>Bayshore Vale</t>
        </is>
      </c>
      <c r="C200" t="inlineStr">
        <is>
          <t>Blk 271 Bayshore Vale Street 21 #01-07 Singapura 460271</t>
        </is>
      </c>
      <c r="D200" t="inlineStr">
        <is>
          <t>Shop</t>
        </is>
      </c>
      <c r="E200" t="n">
        <v>53.3</v>
      </c>
      <c r="F200" t="inlineStr">
        <is>
          <t>NC-BV-2</t>
        </is>
      </c>
      <c r="G200" t="inlineStr">
        <is>
          <t>Tenanted</t>
        </is>
      </c>
    </row>
    <row r="201">
      <c r="A201" t="inlineStr">
        <is>
          <t>U-BV271-01-08</t>
        </is>
      </c>
      <c r="B201" t="inlineStr">
        <is>
          <t>Bayshore Vale</t>
        </is>
      </c>
      <c r="C201" t="inlineStr">
        <is>
          <t>Blk 271 Bayshore Vale Street 21 #01-08 Singapura 460271</t>
        </is>
      </c>
      <c r="D201" t="inlineStr">
        <is>
          <t>Shop</t>
        </is>
      </c>
      <c r="E201" t="n">
        <v>42.3</v>
      </c>
      <c r="F201" t="inlineStr">
        <is>
          <t>NC-BV-2</t>
        </is>
      </c>
      <c r="G201" t="inlineStr">
        <is>
          <t>Tenanted</t>
        </is>
      </c>
    </row>
    <row r="202">
      <c r="A202" t="inlineStr">
        <is>
          <t>U-BV271-01-09</t>
        </is>
      </c>
      <c r="B202" t="inlineStr">
        <is>
          <t>Bayshore Vale</t>
        </is>
      </c>
      <c r="C202" t="inlineStr">
        <is>
          <t>Blk 271 Bayshore Vale Street 21 #01-09 Singapura 460271</t>
        </is>
      </c>
      <c r="D202" t="inlineStr">
        <is>
          <t>Shop</t>
        </is>
      </c>
      <c r="E202" t="n">
        <v>44.5</v>
      </c>
      <c r="F202" t="inlineStr">
        <is>
          <t>NC-BV-2</t>
        </is>
      </c>
      <c r="G202" t="inlineStr">
        <is>
          <t>Tenanted</t>
        </is>
      </c>
    </row>
    <row r="203">
      <c r="A203" t="inlineStr">
        <is>
          <t>U-BV271-01-10</t>
        </is>
      </c>
      <c r="B203" t="inlineStr">
        <is>
          <t>Bayshore Vale</t>
        </is>
      </c>
      <c r="C203" t="inlineStr">
        <is>
          <t>Blk 271 Bayshore Vale Street 21 #01-10 Singapura 460271</t>
        </is>
      </c>
      <c r="D203" t="inlineStr">
        <is>
          <t>Shop</t>
        </is>
      </c>
      <c r="E203" t="n">
        <v>74.5</v>
      </c>
      <c r="F203" t="inlineStr">
        <is>
          <t>NC-BV-2</t>
        </is>
      </c>
      <c r="G203" t="inlineStr">
        <is>
          <t>Tenanted</t>
        </is>
      </c>
    </row>
    <row r="204">
      <c r="A204" t="inlineStr">
        <is>
          <t>U-BV271-01-11</t>
        </is>
      </c>
      <c r="B204" t="inlineStr">
        <is>
          <t>Bayshore Vale</t>
        </is>
      </c>
      <c r="C204" t="inlineStr">
        <is>
          <t>Blk 271 Bayshore Vale Street 21 #01-11 Singapura 460271</t>
        </is>
      </c>
      <c r="D204" t="inlineStr">
        <is>
          <t>Shop</t>
        </is>
      </c>
      <c r="E204" t="n">
        <v>73</v>
      </c>
      <c r="F204" t="inlineStr">
        <is>
          <t>NC-BV-2</t>
        </is>
      </c>
      <c r="G204" t="inlineStr">
        <is>
          <t>Tenanted</t>
        </is>
      </c>
    </row>
    <row r="205">
      <c r="A205" t="inlineStr">
        <is>
          <t>U-BV271-01-12</t>
        </is>
      </c>
      <c r="B205" t="inlineStr">
        <is>
          <t>Bayshore Vale</t>
        </is>
      </c>
      <c r="C205" t="inlineStr">
        <is>
          <t>Blk 271 Bayshore Vale Street 21 #01-12 Singapura 460271</t>
        </is>
      </c>
      <c r="D205" t="inlineStr">
        <is>
          <t>Shop</t>
        </is>
      </c>
      <c r="E205" t="n">
        <v>54.4</v>
      </c>
      <c r="F205" t="inlineStr">
        <is>
          <t>NC-BV-2</t>
        </is>
      </c>
      <c r="G205" t="inlineStr">
        <is>
          <t>Tenanted</t>
        </is>
      </c>
    </row>
    <row r="206">
      <c r="A206" t="inlineStr">
        <is>
          <t>U-BV273-01-01</t>
        </is>
      </c>
      <c r="B206" t="inlineStr">
        <is>
          <t>Bayshore Vale</t>
        </is>
      </c>
      <c r="C206" t="inlineStr">
        <is>
          <t>Blk 273 Bayshore Vale Avenue 2 #01-01 Singapura 460273</t>
        </is>
      </c>
      <c r="D206" t="inlineStr">
        <is>
          <t>Shop</t>
        </is>
      </c>
      <c r="E206" t="n">
        <v>109.7</v>
      </c>
      <c r="F206" t="inlineStr">
        <is>
          <t>NC-BV-1</t>
        </is>
      </c>
      <c r="G206" t="inlineStr">
        <is>
          <t>Tenanted</t>
        </is>
      </c>
    </row>
    <row r="207">
      <c r="A207" t="inlineStr">
        <is>
          <t>U-BV273-01-02</t>
        </is>
      </c>
      <c r="B207" t="inlineStr">
        <is>
          <t>Bayshore Vale</t>
        </is>
      </c>
      <c r="C207" t="inlineStr">
        <is>
          <t>Blk 273 Bayshore Vale Avenue 2 #01-02 Singapura 460273</t>
        </is>
      </c>
      <c r="D207" t="inlineStr">
        <is>
          <t>Shop</t>
        </is>
      </c>
      <c r="E207" t="n">
        <v>59.3</v>
      </c>
      <c r="F207" t="inlineStr">
        <is>
          <t>NC-BV-1</t>
        </is>
      </c>
      <c r="G207" t="inlineStr">
        <is>
          <t>Tenanted</t>
        </is>
      </c>
    </row>
    <row r="208">
      <c r="A208" t="inlineStr">
        <is>
          <t>U-BV273-02-03</t>
        </is>
      </c>
      <c r="B208" t="inlineStr">
        <is>
          <t>Bayshore Vale</t>
        </is>
      </c>
      <c r="C208" t="inlineStr">
        <is>
          <t>Blk 273 Bayshore Vale Avenue 2 #02-03 Singapura 460273</t>
        </is>
      </c>
      <c r="D208" t="inlineStr">
        <is>
          <t>Office</t>
        </is>
      </c>
      <c r="E208" t="n">
        <v>96.09999999999999</v>
      </c>
      <c r="F208" t="inlineStr">
        <is>
          <t>NC-BV-1</t>
        </is>
      </c>
      <c r="G208" t="inlineStr">
        <is>
          <t>Tenanted</t>
        </is>
      </c>
    </row>
    <row r="209">
      <c r="A209" t="inlineStr">
        <is>
          <t>U-BV273-01-04</t>
        </is>
      </c>
      <c r="B209" t="inlineStr">
        <is>
          <t>Bayshore Vale</t>
        </is>
      </c>
      <c r="C209" t="inlineStr">
        <is>
          <t>Blk 273 Bayshore Vale Avenue 2 #01-04 Singapura 460273</t>
        </is>
      </c>
      <c r="D209" t="inlineStr">
        <is>
          <t>Shop</t>
        </is>
      </c>
      <c r="E209" t="n">
        <v>60.4</v>
      </c>
      <c r="F209" t="inlineStr">
        <is>
          <t>NC-BV-1</t>
        </is>
      </c>
      <c r="G209" t="inlineStr">
        <is>
          <t>Tenanted</t>
        </is>
      </c>
    </row>
    <row r="210">
      <c r="A210" t="inlineStr">
        <is>
          <t>U-BV273-01-05</t>
        </is>
      </c>
      <c r="B210" t="inlineStr">
        <is>
          <t>Bayshore Vale</t>
        </is>
      </c>
      <c r="C210" t="inlineStr">
        <is>
          <t>Blk 273 Bayshore Vale Avenue 2 #01-05 Singapura 460273</t>
        </is>
      </c>
      <c r="D210" t="inlineStr">
        <is>
          <t>Shop</t>
        </is>
      </c>
      <c r="E210" t="n">
        <v>104.4</v>
      </c>
      <c r="F210" t="inlineStr">
        <is>
          <t>NC-BV-1</t>
        </is>
      </c>
      <c r="G210" t="inlineStr">
        <is>
          <t>Tenanted</t>
        </is>
      </c>
    </row>
    <row r="211">
      <c r="A211" t="inlineStr">
        <is>
          <t>U-BV273-02-06</t>
        </is>
      </c>
      <c r="B211" t="inlineStr">
        <is>
          <t>Bayshore Vale</t>
        </is>
      </c>
      <c r="C211" t="inlineStr">
        <is>
          <t>Blk 273 Bayshore Vale Avenue 2 #02-06 Singapura 460273</t>
        </is>
      </c>
      <c r="D211" t="inlineStr">
        <is>
          <t>Office</t>
        </is>
      </c>
      <c r="E211" t="n">
        <v>65.8</v>
      </c>
      <c r="F211" t="inlineStr">
        <is>
          <t>NC-BV-1</t>
        </is>
      </c>
      <c r="G211" t="inlineStr">
        <is>
          <t>Tenanted</t>
        </is>
      </c>
    </row>
    <row r="212">
      <c r="A212" t="inlineStr">
        <is>
          <t>U-BV273-01-07</t>
        </is>
      </c>
      <c r="B212" t="inlineStr">
        <is>
          <t>Bayshore Vale</t>
        </is>
      </c>
      <c r="C212" t="inlineStr">
        <is>
          <t>Blk 273 Bayshore Vale Avenue 2 #01-07 Singapura 460273</t>
        </is>
      </c>
      <c r="D212" t="inlineStr">
        <is>
          <t>Shop</t>
        </is>
      </c>
      <c r="E212" t="n">
        <v>67.59999999999999</v>
      </c>
      <c r="F212" t="inlineStr">
        <is>
          <t>NC-BV-1</t>
        </is>
      </c>
      <c r="G212" t="inlineStr">
        <is>
          <t>Tenanted</t>
        </is>
      </c>
    </row>
    <row r="213">
      <c r="A213" t="inlineStr">
        <is>
          <t>U-BV273-01-08</t>
        </is>
      </c>
      <c r="B213" t="inlineStr">
        <is>
          <t>Bayshore Vale</t>
        </is>
      </c>
      <c r="C213" t="inlineStr">
        <is>
          <t>Blk 273 Bayshore Vale Avenue 2 #01-08 Singapura 460273</t>
        </is>
      </c>
      <c r="D213" t="inlineStr">
        <is>
          <t>Shop</t>
        </is>
      </c>
      <c r="E213" t="n">
        <v>91.09999999999999</v>
      </c>
      <c r="F213" t="inlineStr">
        <is>
          <t>NC-BV-1</t>
        </is>
      </c>
      <c r="G213" t="inlineStr">
        <is>
          <t>Tenanted</t>
        </is>
      </c>
    </row>
    <row r="214">
      <c r="A214" t="inlineStr">
        <is>
          <t>U-BV277-01-01</t>
        </is>
      </c>
      <c r="B214" t="inlineStr">
        <is>
          <t>Bayshore Vale</t>
        </is>
      </c>
      <c r="C214" t="inlineStr">
        <is>
          <t>Blk 277 Bayshore Vale Drive #01-01 Singapura 460277</t>
        </is>
      </c>
      <c r="D214" t="inlineStr">
        <is>
          <t>Kiosk</t>
        </is>
      </c>
      <c r="E214" t="n">
        <v>10.1</v>
      </c>
      <c r="F214" t="inlineStr">
        <is>
          <t>NC-BV-2</t>
        </is>
      </c>
      <c r="G214" t="inlineStr">
        <is>
          <t>Tenanted</t>
        </is>
      </c>
    </row>
    <row r="215">
      <c r="A215" t="inlineStr">
        <is>
          <t>U-BV277-01-02</t>
        </is>
      </c>
      <c r="B215" t="inlineStr">
        <is>
          <t>Bayshore Vale</t>
        </is>
      </c>
      <c r="C215" t="inlineStr">
        <is>
          <t>Blk 277 Bayshore Vale Drive #01-02 Singapura 460277</t>
        </is>
      </c>
      <c r="D215" t="inlineStr">
        <is>
          <t>Shop</t>
        </is>
      </c>
      <c r="E215" t="n">
        <v>119.9</v>
      </c>
      <c r="F215" t="inlineStr">
        <is>
          <t>NC-BV-2</t>
        </is>
      </c>
      <c r="G215" t="inlineStr">
        <is>
          <t>Tenanted</t>
        </is>
      </c>
    </row>
    <row r="216">
      <c r="A216" t="inlineStr">
        <is>
          <t>U-BV277-01-03</t>
        </is>
      </c>
      <c r="B216" t="inlineStr">
        <is>
          <t>Bayshore Vale</t>
        </is>
      </c>
      <c r="C216" t="inlineStr">
        <is>
          <t>Blk 277 Bayshore Vale Drive #01-03 Singapura 460277</t>
        </is>
      </c>
      <c r="D216" t="inlineStr">
        <is>
          <t>Shop with Living Quarters</t>
        </is>
      </c>
      <c r="E216" t="n">
        <v>65.3</v>
      </c>
      <c r="F216" t="inlineStr">
        <is>
          <t>NC-BV-2</t>
        </is>
      </c>
      <c r="G216" t="inlineStr">
        <is>
          <t>Tenanted</t>
        </is>
      </c>
    </row>
    <row r="217">
      <c r="A217" t="inlineStr">
        <is>
          <t>U-BV277-01-04</t>
        </is>
      </c>
      <c r="B217" t="inlineStr">
        <is>
          <t>Bayshore Vale</t>
        </is>
      </c>
      <c r="C217" t="inlineStr">
        <is>
          <t>Blk 277 Bayshore Vale Drive #01-04 Singapura 460277</t>
        </is>
      </c>
      <c r="D217" t="inlineStr">
        <is>
          <t>Shop</t>
        </is>
      </c>
      <c r="E217" t="n">
        <v>68.7</v>
      </c>
      <c r="F217" t="inlineStr">
        <is>
          <t>NC-BV-2</t>
        </is>
      </c>
      <c r="G217" t="inlineStr">
        <is>
          <t>Tenanted</t>
        </is>
      </c>
    </row>
    <row r="218">
      <c r="A218" t="inlineStr">
        <is>
          <t>U-BV277-01-05</t>
        </is>
      </c>
      <c r="B218" t="inlineStr">
        <is>
          <t>Bayshore Vale</t>
        </is>
      </c>
      <c r="C218" t="inlineStr">
        <is>
          <t>Blk 277 Bayshore Vale Drive #01-05 Singapura 460277</t>
        </is>
      </c>
      <c r="D218" t="inlineStr">
        <is>
          <t>Shop</t>
        </is>
      </c>
      <c r="E218" t="n">
        <v>95.90000000000001</v>
      </c>
      <c r="F218" t="inlineStr">
        <is>
          <t>NC-BV-2</t>
        </is>
      </c>
      <c r="G218" t="inlineStr">
        <is>
          <t>Tenanted</t>
        </is>
      </c>
    </row>
    <row r="219">
      <c r="A219" t="inlineStr">
        <is>
          <t>U-BV277-01-06</t>
        </is>
      </c>
      <c r="B219" t="inlineStr">
        <is>
          <t>Bayshore Vale</t>
        </is>
      </c>
      <c r="C219" t="inlineStr">
        <is>
          <t>Blk 277 Bayshore Vale Drive #01-06 Singapura 460277</t>
        </is>
      </c>
      <c r="D219" t="inlineStr">
        <is>
          <t>Shop</t>
        </is>
      </c>
      <c r="E219" t="n">
        <v>106.4</v>
      </c>
      <c r="F219" t="inlineStr">
        <is>
          <t>NC-BV-2</t>
        </is>
      </c>
      <c r="G219" t="inlineStr">
        <is>
          <t>Tenanted</t>
        </is>
      </c>
    </row>
    <row r="220">
      <c r="A220" t="inlineStr">
        <is>
          <t>U-BV277-01-07</t>
        </is>
      </c>
      <c r="B220" t="inlineStr">
        <is>
          <t>Bayshore Vale</t>
        </is>
      </c>
      <c r="C220" t="inlineStr">
        <is>
          <t>Blk 277 Bayshore Vale Drive #01-07 Singapura 460277</t>
        </is>
      </c>
      <c r="D220" t="inlineStr">
        <is>
          <t>Shop</t>
        </is>
      </c>
      <c r="E220" t="n">
        <v>40.6</v>
      </c>
      <c r="F220" t="inlineStr">
        <is>
          <t>NC-BV-2</t>
        </is>
      </c>
      <c r="G220" t="inlineStr">
        <is>
          <t>Tenanted</t>
        </is>
      </c>
    </row>
    <row r="221">
      <c r="A221" t="inlineStr">
        <is>
          <t>U-BV277-01-08</t>
        </is>
      </c>
      <c r="B221" t="inlineStr">
        <is>
          <t>Bayshore Vale</t>
        </is>
      </c>
      <c r="C221" t="inlineStr">
        <is>
          <t>Blk 277 Bayshore Vale Drive #01-08 Singapura 460277</t>
        </is>
      </c>
      <c r="D221" t="inlineStr">
        <is>
          <t>Office</t>
        </is>
      </c>
      <c r="E221" t="n">
        <v>147.4</v>
      </c>
      <c r="F221" t="inlineStr">
        <is>
          <t>NC-BV-2</t>
        </is>
      </c>
      <c r="G221" t="inlineStr">
        <is>
          <t>Tenanted</t>
        </is>
      </c>
    </row>
    <row r="222">
      <c r="A222" t="inlineStr">
        <is>
          <t>U-BV277-01-09</t>
        </is>
      </c>
      <c r="B222" t="inlineStr">
        <is>
          <t>Bayshore Vale</t>
        </is>
      </c>
      <c r="C222" t="inlineStr">
        <is>
          <t>Blk 277 Bayshore Vale Drive #01-09 Singapura 460277</t>
        </is>
      </c>
      <c r="D222" t="inlineStr">
        <is>
          <t>Office</t>
        </is>
      </c>
      <c r="E222" t="n">
        <v>133.3</v>
      </c>
      <c r="F222" t="inlineStr">
        <is>
          <t>NC-BV-2</t>
        </is>
      </c>
      <c r="G222" t="inlineStr">
        <is>
          <t>Vacant</t>
        </is>
      </c>
    </row>
    <row r="223">
      <c r="A223" t="inlineStr">
        <is>
          <t>U-BV277-01-10</t>
        </is>
      </c>
      <c r="B223" t="inlineStr">
        <is>
          <t>Bayshore Vale</t>
        </is>
      </c>
      <c r="C223" t="inlineStr">
        <is>
          <t>Blk 277 Bayshore Vale Drive #01-10 Singapura 460277</t>
        </is>
      </c>
      <c r="D223" t="inlineStr">
        <is>
          <t>Office</t>
        </is>
      </c>
      <c r="E223" t="n">
        <v>73</v>
      </c>
      <c r="F223" t="inlineStr">
        <is>
          <t>NC-BV-2</t>
        </is>
      </c>
      <c r="G223" t="inlineStr">
        <is>
          <t>Tenanted</t>
        </is>
      </c>
    </row>
    <row r="224">
      <c r="A224" t="inlineStr">
        <is>
          <t>U-BV277-01-11</t>
        </is>
      </c>
      <c r="B224" t="inlineStr">
        <is>
          <t>Bayshore Vale</t>
        </is>
      </c>
      <c r="C224" t="inlineStr">
        <is>
          <t>Blk 277 Bayshore Vale Drive #01-11 Singapura 460277</t>
        </is>
      </c>
      <c r="D224" t="inlineStr">
        <is>
          <t>Shop with Living Quarters</t>
        </is>
      </c>
      <c r="E224" t="n">
        <v>71</v>
      </c>
      <c r="F224" t="inlineStr">
        <is>
          <t>NC-BV-2</t>
        </is>
      </c>
      <c r="G224" t="inlineStr">
        <is>
          <t>Tenanted</t>
        </is>
      </c>
    </row>
    <row r="225">
      <c r="A225" t="inlineStr">
        <is>
          <t>U-BV277-01-12</t>
        </is>
      </c>
      <c r="B225" t="inlineStr">
        <is>
          <t>Bayshore Vale</t>
        </is>
      </c>
      <c r="C225" t="inlineStr">
        <is>
          <t>Blk 277 Bayshore Vale Drive #01-12 Singapura 460277</t>
        </is>
      </c>
      <c r="D225" t="inlineStr">
        <is>
          <t>Shop</t>
        </is>
      </c>
      <c r="E225" t="n">
        <v>60.1</v>
      </c>
      <c r="F225" t="inlineStr">
        <is>
          <t>NC-BV-2</t>
        </is>
      </c>
      <c r="G225" t="inlineStr">
        <is>
          <t>Tenanted</t>
        </is>
      </c>
    </row>
    <row r="226">
      <c r="A226" t="inlineStr">
        <is>
          <t>U-BV279-01-01</t>
        </is>
      </c>
      <c r="B226" t="inlineStr">
        <is>
          <t>Bayshore Vale</t>
        </is>
      </c>
      <c r="C226" t="inlineStr">
        <is>
          <t>Blk 279 Bayshore Vale Avenue 2 #01-01 Singapura 460279</t>
        </is>
      </c>
      <c r="D226" t="inlineStr">
        <is>
          <t>Shop</t>
        </is>
      </c>
      <c r="E226" t="n">
        <v>112.3</v>
      </c>
      <c r="F226" t="inlineStr">
        <is>
          <t>NC-BV-1</t>
        </is>
      </c>
      <c r="G226" t="inlineStr">
        <is>
          <t>Tenanted</t>
        </is>
      </c>
    </row>
    <row r="227">
      <c r="A227" t="inlineStr">
        <is>
          <t>U-BV279-01-02</t>
        </is>
      </c>
      <c r="B227" t="inlineStr">
        <is>
          <t>Bayshore Vale</t>
        </is>
      </c>
      <c r="C227" t="inlineStr">
        <is>
          <t>Blk 279 Bayshore Vale Avenue 2 #01-02 Singapura 460279</t>
        </is>
      </c>
      <c r="D227" t="inlineStr">
        <is>
          <t>Shop</t>
        </is>
      </c>
      <c r="E227" t="n">
        <v>64.7</v>
      </c>
      <c r="F227" t="inlineStr">
        <is>
          <t>NC-BV-1</t>
        </is>
      </c>
      <c r="G227" t="inlineStr">
        <is>
          <t>Vacant</t>
        </is>
      </c>
    </row>
    <row r="228">
      <c r="A228" t="inlineStr">
        <is>
          <t>U-BV279-01-03</t>
        </is>
      </c>
      <c r="B228" t="inlineStr">
        <is>
          <t>Bayshore Vale</t>
        </is>
      </c>
      <c r="C228" t="inlineStr">
        <is>
          <t>Blk 279 Bayshore Vale Avenue 2 #01-03 Singapura 460279</t>
        </is>
      </c>
      <c r="D228" t="inlineStr">
        <is>
          <t>Shop</t>
        </is>
      </c>
      <c r="E228" t="n">
        <v>86.40000000000001</v>
      </c>
      <c r="F228" t="inlineStr">
        <is>
          <t>NC-BV-1</t>
        </is>
      </c>
      <c r="G228" t="inlineStr">
        <is>
          <t>Tenanted</t>
        </is>
      </c>
    </row>
    <row r="229">
      <c r="A229" t="inlineStr">
        <is>
          <t>U-BV279-01-04</t>
        </is>
      </c>
      <c r="B229" t="inlineStr">
        <is>
          <t>Bayshore Vale</t>
        </is>
      </c>
      <c r="C229" t="inlineStr">
        <is>
          <t>Blk 279 Bayshore Vale Avenue 2 #01-04 Singapura 460279</t>
        </is>
      </c>
      <c r="D229" t="inlineStr">
        <is>
          <t>Kiosk</t>
        </is>
      </c>
      <c r="E229" t="n">
        <v>6.8</v>
      </c>
      <c r="F229" t="inlineStr">
        <is>
          <t>NC-BV-1</t>
        </is>
      </c>
      <c r="G229" t="inlineStr">
        <is>
          <t>Tenanted</t>
        </is>
      </c>
    </row>
    <row r="230">
      <c r="A230" t="inlineStr">
        <is>
          <t>U-BV279-01-05</t>
        </is>
      </c>
      <c r="B230" t="inlineStr">
        <is>
          <t>Bayshore Vale</t>
        </is>
      </c>
      <c r="C230" t="inlineStr">
        <is>
          <t>Blk 279 Bayshore Vale Avenue 2 #01-05 Singapura 460279</t>
        </is>
      </c>
      <c r="D230" t="inlineStr">
        <is>
          <t>Shop</t>
        </is>
      </c>
      <c r="E230" t="n">
        <v>99.8</v>
      </c>
      <c r="F230" t="inlineStr">
        <is>
          <t>NC-BV-1</t>
        </is>
      </c>
      <c r="G230" t="inlineStr">
        <is>
          <t>Tenanted</t>
        </is>
      </c>
    </row>
    <row r="231">
      <c r="A231" t="inlineStr">
        <is>
          <t>U-BV279-01-06</t>
        </is>
      </c>
      <c r="B231" t="inlineStr">
        <is>
          <t>Bayshore Vale</t>
        </is>
      </c>
      <c r="C231" t="inlineStr">
        <is>
          <t>Blk 279 Bayshore Vale Avenue 2 #01-06 Singapura 460279</t>
        </is>
      </c>
      <c r="D231" t="inlineStr">
        <is>
          <t>Shop</t>
        </is>
      </c>
      <c r="E231" t="n">
        <v>50.6</v>
      </c>
      <c r="F231" t="inlineStr">
        <is>
          <t>NC-BV-1</t>
        </is>
      </c>
      <c r="G231" t="inlineStr">
        <is>
          <t>Tenanted</t>
        </is>
      </c>
    </row>
    <row r="232">
      <c r="A232" t="inlineStr">
        <is>
          <t>U-BV279-01-07</t>
        </is>
      </c>
      <c r="B232" t="inlineStr">
        <is>
          <t>Bayshore Vale</t>
        </is>
      </c>
      <c r="C232" t="inlineStr">
        <is>
          <t>Blk 279 Bayshore Vale Avenue 2 #01-07 Singapura 460279</t>
        </is>
      </c>
      <c r="D232" t="inlineStr">
        <is>
          <t>Shop</t>
        </is>
      </c>
      <c r="E232" t="n">
        <v>117.7</v>
      </c>
      <c r="F232" t="inlineStr">
        <is>
          <t>NC-BV-1</t>
        </is>
      </c>
      <c r="G232" t="inlineStr">
        <is>
          <t>Tenanted</t>
        </is>
      </c>
    </row>
    <row r="233">
      <c r="A233" t="inlineStr">
        <is>
          <t>U-BV279-01-08</t>
        </is>
      </c>
      <c r="B233" t="inlineStr">
        <is>
          <t>Bayshore Vale</t>
        </is>
      </c>
      <c r="C233" t="inlineStr">
        <is>
          <t>Blk 279 Bayshore Vale Avenue 2 #01-08 Singapura 460279</t>
        </is>
      </c>
      <c r="D233" t="inlineStr">
        <is>
          <t>Shop</t>
        </is>
      </c>
      <c r="E233" t="n">
        <v>113.1</v>
      </c>
      <c r="F233" t="inlineStr">
        <is>
          <t>NC-BV-1</t>
        </is>
      </c>
      <c r="G233" t="inlineStr">
        <is>
          <t>Tenanted</t>
        </is>
      </c>
    </row>
    <row r="234">
      <c r="A234" t="inlineStr">
        <is>
          <t>U-BV283-01-01</t>
        </is>
      </c>
      <c r="B234" t="inlineStr">
        <is>
          <t>Bayshore Vale</t>
        </is>
      </c>
      <c r="C234" t="inlineStr">
        <is>
          <t>Blk 283 Bayshore Vale Drive #01-01 Singapura 460283</t>
        </is>
      </c>
      <c r="D234" t="inlineStr">
        <is>
          <t>Shop</t>
        </is>
      </c>
      <c r="E234" t="n">
        <v>106</v>
      </c>
      <c r="F234" t="inlineStr">
        <is>
          <t>NC-BV-1</t>
        </is>
      </c>
      <c r="G234" t="inlineStr">
        <is>
          <t>Tenanted</t>
        </is>
      </c>
    </row>
    <row r="235">
      <c r="A235" t="inlineStr">
        <is>
          <t>U-BV283-01-02</t>
        </is>
      </c>
      <c r="B235" t="inlineStr">
        <is>
          <t>Bayshore Vale</t>
        </is>
      </c>
      <c r="C235" t="inlineStr">
        <is>
          <t>Blk 283 Bayshore Vale Drive #01-02 Singapura 460283</t>
        </is>
      </c>
      <c r="D235" t="inlineStr">
        <is>
          <t>Shop</t>
        </is>
      </c>
      <c r="E235" t="n">
        <v>104.5</v>
      </c>
      <c r="F235" t="inlineStr">
        <is>
          <t>NC-BV-1</t>
        </is>
      </c>
      <c r="G235" t="inlineStr">
        <is>
          <t>Tenanted</t>
        </is>
      </c>
    </row>
    <row r="236">
      <c r="A236" t="inlineStr">
        <is>
          <t>U-BV283-01-03</t>
        </is>
      </c>
      <c r="B236" t="inlineStr">
        <is>
          <t>Bayshore Vale</t>
        </is>
      </c>
      <c r="C236" t="inlineStr">
        <is>
          <t>Blk 283 Bayshore Vale Drive #01-03 Singapura 460283</t>
        </is>
      </c>
      <c r="D236" t="inlineStr">
        <is>
          <t>Kiosk</t>
        </is>
      </c>
      <c r="E236" t="n">
        <v>9</v>
      </c>
      <c r="F236" t="inlineStr">
        <is>
          <t>NC-BV-1</t>
        </is>
      </c>
      <c r="G236" t="inlineStr">
        <is>
          <t>Tenanted</t>
        </is>
      </c>
    </row>
    <row r="237">
      <c r="A237" t="inlineStr">
        <is>
          <t>U-BV283-01-04</t>
        </is>
      </c>
      <c r="B237" t="inlineStr">
        <is>
          <t>Bayshore Vale</t>
        </is>
      </c>
      <c r="C237" t="inlineStr">
        <is>
          <t>Blk 283 Bayshore Vale Drive #01-04 Singapura 460283</t>
        </is>
      </c>
      <c r="D237" t="inlineStr">
        <is>
          <t>Shop</t>
        </is>
      </c>
      <c r="E237" t="n">
        <v>117</v>
      </c>
      <c r="F237" t="inlineStr">
        <is>
          <t>NC-BV-1</t>
        </is>
      </c>
      <c r="G237" t="inlineStr">
        <is>
          <t>Tenanted</t>
        </is>
      </c>
    </row>
    <row r="238">
      <c r="A238" t="inlineStr">
        <is>
          <t>U-BV283-01-05</t>
        </is>
      </c>
      <c r="B238" t="inlineStr">
        <is>
          <t>Bayshore Vale</t>
        </is>
      </c>
      <c r="C238" t="inlineStr">
        <is>
          <t>Blk 283 Bayshore Vale Drive #01-05 Singapura 460283</t>
        </is>
      </c>
      <c r="D238" t="inlineStr">
        <is>
          <t>Shop</t>
        </is>
      </c>
      <c r="E238" t="n">
        <v>117.3</v>
      </c>
      <c r="F238" t="inlineStr">
        <is>
          <t>NC-BV-1</t>
        </is>
      </c>
      <c r="G238" t="inlineStr">
        <is>
          <t>Tenanted</t>
        </is>
      </c>
    </row>
    <row r="239">
      <c r="A239" t="inlineStr">
        <is>
          <t>U-BV283-01-06</t>
        </is>
      </c>
      <c r="B239" t="inlineStr">
        <is>
          <t>Bayshore Vale</t>
        </is>
      </c>
      <c r="C239" t="inlineStr">
        <is>
          <t>Blk 283 Bayshore Vale Drive #01-06 Singapura 460283</t>
        </is>
      </c>
      <c r="D239" t="inlineStr">
        <is>
          <t>Shop with Living Quarters</t>
        </is>
      </c>
      <c r="E239" t="n">
        <v>96.2</v>
      </c>
      <c r="F239" t="inlineStr">
        <is>
          <t>NC-BV-1</t>
        </is>
      </c>
      <c r="G239" t="inlineStr">
        <is>
          <t>Tenanted</t>
        </is>
      </c>
    </row>
    <row r="240">
      <c r="A240" t="inlineStr">
        <is>
          <t>U-BV283-01-07</t>
        </is>
      </c>
      <c r="B240" t="inlineStr">
        <is>
          <t>Bayshore Vale</t>
        </is>
      </c>
      <c r="C240" t="inlineStr">
        <is>
          <t>Blk 283 Bayshore Vale Drive #01-07 Singapura 460283</t>
        </is>
      </c>
      <c r="D240" t="inlineStr">
        <is>
          <t>Office</t>
        </is>
      </c>
      <c r="E240" t="n">
        <v>130.5</v>
      </c>
      <c r="F240" t="inlineStr">
        <is>
          <t>NC-BV-1</t>
        </is>
      </c>
      <c r="G240" t="inlineStr">
        <is>
          <t>Tenanted</t>
        </is>
      </c>
    </row>
    <row r="241">
      <c r="A241" t="inlineStr">
        <is>
          <t>U-BV283-01-08</t>
        </is>
      </c>
      <c r="B241" t="inlineStr">
        <is>
          <t>Bayshore Vale</t>
        </is>
      </c>
      <c r="C241" t="inlineStr">
        <is>
          <t>Blk 283 Bayshore Vale Drive #01-08 Singapura 460283</t>
        </is>
      </c>
      <c r="D241" t="inlineStr">
        <is>
          <t>Shop</t>
        </is>
      </c>
      <c r="E241" t="n">
        <v>103.3</v>
      </c>
      <c r="F241" t="inlineStr">
        <is>
          <t>NC-BV-1</t>
        </is>
      </c>
      <c r="G241" t="inlineStr">
        <is>
          <t>Tenanted</t>
        </is>
      </c>
    </row>
    <row r="242">
      <c r="A242" t="inlineStr">
        <is>
          <t>U-BV284-01-01</t>
        </is>
      </c>
      <c r="B242" t="inlineStr">
        <is>
          <t>Bayshore Vale</t>
        </is>
      </c>
      <c r="C242" t="inlineStr">
        <is>
          <t>Blk 284 Bayshore Vale Drive #01-01 Singapura 460284</t>
        </is>
      </c>
      <c r="D242" t="inlineStr">
        <is>
          <t>Shop</t>
        </is>
      </c>
      <c r="E242" t="n">
        <v>49.9</v>
      </c>
      <c r="F242" t="inlineStr">
        <is>
          <t>NC-BV-3</t>
        </is>
      </c>
      <c r="G242" t="inlineStr">
        <is>
          <t>Vacant</t>
        </is>
      </c>
    </row>
    <row r="243">
      <c r="A243" t="inlineStr">
        <is>
          <t>U-BV284-01-02</t>
        </is>
      </c>
      <c r="B243" t="inlineStr">
        <is>
          <t>Bayshore Vale</t>
        </is>
      </c>
      <c r="C243" t="inlineStr">
        <is>
          <t>Blk 284 Bayshore Vale Drive #01-02 Singapura 460284</t>
        </is>
      </c>
      <c r="D243" t="inlineStr">
        <is>
          <t>Shop</t>
        </is>
      </c>
      <c r="E243" t="n">
        <v>99.90000000000001</v>
      </c>
      <c r="F243" t="inlineStr">
        <is>
          <t>NC-BV-3</t>
        </is>
      </c>
      <c r="G243" t="inlineStr">
        <is>
          <t>Tenanted</t>
        </is>
      </c>
    </row>
    <row r="244">
      <c r="A244" t="inlineStr">
        <is>
          <t>U-BV284-01-03</t>
        </is>
      </c>
      <c r="B244" t="inlineStr">
        <is>
          <t>Bayshore Vale</t>
        </is>
      </c>
      <c r="C244" t="inlineStr">
        <is>
          <t>Blk 284 Bayshore Vale Drive #01-03 Singapura 460284</t>
        </is>
      </c>
      <c r="D244" t="inlineStr">
        <is>
          <t>Shop</t>
        </is>
      </c>
      <c r="E244" t="n">
        <v>70.5</v>
      </c>
      <c r="F244" t="inlineStr">
        <is>
          <t>NC-BV-3</t>
        </is>
      </c>
      <c r="G244" t="inlineStr">
        <is>
          <t>Tenanted</t>
        </is>
      </c>
    </row>
    <row r="245">
      <c r="A245" t="inlineStr">
        <is>
          <t>U-BV284-01-04</t>
        </is>
      </c>
      <c r="B245" t="inlineStr">
        <is>
          <t>Bayshore Vale</t>
        </is>
      </c>
      <c r="C245" t="inlineStr">
        <is>
          <t>Blk 284 Bayshore Vale Drive #01-04 Singapura 460284</t>
        </is>
      </c>
      <c r="D245" t="inlineStr">
        <is>
          <t>Shop</t>
        </is>
      </c>
      <c r="E245" t="n">
        <v>69.7</v>
      </c>
      <c r="F245" t="inlineStr">
        <is>
          <t>NC-BV-3</t>
        </is>
      </c>
      <c r="G245" t="inlineStr">
        <is>
          <t>Tenanted</t>
        </is>
      </c>
    </row>
    <row r="246">
      <c r="A246" t="inlineStr">
        <is>
          <t>U-BV284-01-05</t>
        </is>
      </c>
      <c r="B246" t="inlineStr">
        <is>
          <t>Bayshore Vale</t>
        </is>
      </c>
      <c r="C246" t="inlineStr">
        <is>
          <t>Blk 284 Bayshore Vale Drive #01-05 Singapura 460284</t>
        </is>
      </c>
      <c r="D246" t="inlineStr">
        <is>
          <t>Shop</t>
        </is>
      </c>
      <c r="E246" t="n">
        <v>77.7</v>
      </c>
      <c r="F246" t="inlineStr">
        <is>
          <t>NC-BV-3</t>
        </is>
      </c>
      <c r="G246" t="inlineStr">
        <is>
          <t>Tenanted</t>
        </is>
      </c>
    </row>
    <row r="247">
      <c r="A247" t="inlineStr">
        <is>
          <t>U-BV284-01-06</t>
        </is>
      </c>
      <c r="B247" t="inlineStr">
        <is>
          <t>Bayshore Vale</t>
        </is>
      </c>
      <c r="C247" t="inlineStr">
        <is>
          <t>Blk 284 Bayshore Vale Drive #01-06 Singapura 460284</t>
        </is>
      </c>
      <c r="D247" t="inlineStr">
        <is>
          <t>Shop</t>
        </is>
      </c>
      <c r="E247" t="n">
        <v>115.5</v>
      </c>
      <c r="F247" t="inlineStr">
        <is>
          <t>NC-BV-3</t>
        </is>
      </c>
      <c r="G247" t="inlineStr">
        <is>
          <t>Vacant</t>
        </is>
      </c>
    </row>
    <row r="248">
      <c r="A248" t="inlineStr">
        <is>
          <t>U-BV288-02-01</t>
        </is>
      </c>
      <c r="B248" t="inlineStr">
        <is>
          <t>Bayshore Vale</t>
        </is>
      </c>
      <c r="C248" t="inlineStr">
        <is>
          <t>Blk 288 Bayshore Vale Drive #02-01 Singapura 460288</t>
        </is>
      </c>
      <c r="D248" t="inlineStr">
        <is>
          <t>Office</t>
        </is>
      </c>
      <c r="E248" t="n">
        <v>56.3</v>
      </c>
      <c r="F248" t="inlineStr">
        <is>
          <t>NC-BV-3</t>
        </is>
      </c>
      <c r="G248" t="inlineStr">
        <is>
          <t>Tenanted</t>
        </is>
      </c>
    </row>
    <row r="249">
      <c r="A249" t="inlineStr">
        <is>
          <t>U-BV288-01-02</t>
        </is>
      </c>
      <c r="B249" t="inlineStr">
        <is>
          <t>Bayshore Vale</t>
        </is>
      </c>
      <c r="C249" t="inlineStr">
        <is>
          <t>Blk 288 Bayshore Vale Drive #01-02 Singapura 460288</t>
        </is>
      </c>
      <c r="D249" t="inlineStr">
        <is>
          <t>Shop with Living Quarters</t>
        </is>
      </c>
      <c r="E249" t="n">
        <v>105.5</v>
      </c>
      <c r="F249" t="inlineStr">
        <is>
          <t>NC-BV-3</t>
        </is>
      </c>
      <c r="G249" t="inlineStr">
        <is>
          <t>Vacant</t>
        </is>
      </c>
    </row>
    <row r="250">
      <c r="A250" t="inlineStr">
        <is>
          <t>U-BV288-01-03</t>
        </is>
      </c>
      <c r="B250" t="inlineStr">
        <is>
          <t>Bayshore Vale</t>
        </is>
      </c>
      <c r="C250" t="inlineStr">
        <is>
          <t>Blk 288 Bayshore Vale Drive #01-03 Singapura 460288</t>
        </is>
      </c>
      <c r="D250" t="inlineStr">
        <is>
          <t>Shop</t>
        </is>
      </c>
      <c r="E250" t="n">
        <v>72.7</v>
      </c>
      <c r="F250" t="inlineStr">
        <is>
          <t>NC-BV-3</t>
        </is>
      </c>
      <c r="G250" t="inlineStr">
        <is>
          <t>Tenanted</t>
        </is>
      </c>
    </row>
    <row r="251">
      <c r="A251" t="inlineStr">
        <is>
          <t>U-BV288-01-04</t>
        </is>
      </c>
      <c r="B251" t="inlineStr">
        <is>
          <t>Bayshore Vale</t>
        </is>
      </c>
      <c r="C251" t="inlineStr">
        <is>
          <t>Blk 288 Bayshore Vale Drive #01-04 Singapura 460288</t>
        </is>
      </c>
      <c r="D251" t="inlineStr">
        <is>
          <t>Shop</t>
        </is>
      </c>
      <c r="E251" t="n">
        <v>115.7</v>
      </c>
      <c r="F251" t="inlineStr">
        <is>
          <t>NC-BV-3</t>
        </is>
      </c>
      <c r="G251" t="inlineStr">
        <is>
          <t>Tenanted</t>
        </is>
      </c>
    </row>
    <row r="252">
      <c r="A252" t="inlineStr">
        <is>
          <t>U-BV288-01-05</t>
        </is>
      </c>
      <c r="B252" t="inlineStr">
        <is>
          <t>Bayshore Vale</t>
        </is>
      </c>
      <c r="C252" t="inlineStr">
        <is>
          <t>Blk 288 Bayshore Vale Drive #01-05 Singapura 460288</t>
        </is>
      </c>
      <c r="D252" t="inlineStr">
        <is>
          <t>Shop</t>
        </is>
      </c>
      <c r="E252" t="n">
        <v>79.40000000000001</v>
      </c>
      <c r="F252" t="inlineStr">
        <is>
          <t>NC-BV-3</t>
        </is>
      </c>
      <c r="G252" t="inlineStr">
        <is>
          <t>Tenanted</t>
        </is>
      </c>
    </row>
    <row r="253">
      <c r="A253" t="inlineStr">
        <is>
          <t>U-BV288-01-06</t>
        </is>
      </c>
      <c r="B253" t="inlineStr">
        <is>
          <t>Bayshore Vale</t>
        </is>
      </c>
      <c r="C253" t="inlineStr">
        <is>
          <t>Blk 288 Bayshore Vale Drive #01-06 Singapura 460288</t>
        </is>
      </c>
      <c r="D253" t="inlineStr">
        <is>
          <t>Shop</t>
        </is>
      </c>
      <c r="E253" t="n">
        <v>111</v>
      </c>
      <c r="F253" t="inlineStr">
        <is>
          <t>NC-BV-3</t>
        </is>
      </c>
      <c r="G253" t="inlineStr">
        <is>
          <t>Tenanted</t>
        </is>
      </c>
    </row>
    <row r="254">
      <c r="A254" t="inlineStr">
        <is>
          <t>U-BV288-01-07</t>
        </is>
      </c>
      <c r="B254" t="inlineStr">
        <is>
          <t>Bayshore Vale</t>
        </is>
      </c>
      <c r="C254" t="inlineStr">
        <is>
          <t>Blk 288 Bayshore Vale Drive #01-07 Singapura 460288</t>
        </is>
      </c>
      <c r="D254" t="inlineStr">
        <is>
          <t>Shop</t>
        </is>
      </c>
      <c r="E254" t="n">
        <v>76.3</v>
      </c>
      <c r="F254" t="inlineStr">
        <is>
          <t>NC-BV-3</t>
        </is>
      </c>
      <c r="G254" t="inlineStr">
        <is>
          <t>Tenanted</t>
        </is>
      </c>
    </row>
    <row r="255">
      <c r="A255" t="inlineStr">
        <is>
          <t>U-BV288-01-08</t>
        </is>
      </c>
      <c r="B255" t="inlineStr">
        <is>
          <t>Bayshore Vale</t>
        </is>
      </c>
      <c r="C255" t="inlineStr">
        <is>
          <t>Blk 288 Bayshore Vale Drive #01-08 Singapura 460288</t>
        </is>
      </c>
      <c r="D255" t="inlineStr">
        <is>
          <t>Shop</t>
        </is>
      </c>
      <c r="E255" t="n">
        <v>99.5</v>
      </c>
      <c r="F255" t="inlineStr">
        <is>
          <t>NC-BV-3</t>
        </is>
      </c>
      <c r="G255" t="inlineStr">
        <is>
          <t>Tenanted</t>
        </is>
      </c>
    </row>
    <row r="256">
      <c r="A256" t="inlineStr">
        <is>
          <t>U-BV288-02-09</t>
        </is>
      </c>
      <c r="B256" t="inlineStr">
        <is>
          <t>Bayshore Vale</t>
        </is>
      </c>
      <c r="C256" t="inlineStr">
        <is>
          <t>Blk 288 Bayshore Vale Drive #02-09 Singapura 460288</t>
        </is>
      </c>
      <c r="D256" t="inlineStr">
        <is>
          <t>Office</t>
        </is>
      </c>
      <c r="E256" t="n">
        <v>124.2</v>
      </c>
      <c r="F256" t="inlineStr">
        <is>
          <t>NC-BV-3</t>
        </is>
      </c>
      <c r="G256" t="inlineStr">
        <is>
          <t>Tenanted</t>
        </is>
      </c>
    </row>
    <row r="257">
      <c r="A257" t="inlineStr">
        <is>
          <t>U-BV288-01-10</t>
        </is>
      </c>
      <c r="B257" t="inlineStr">
        <is>
          <t>Bayshore Vale</t>
        </is>
      </c>
      <c r="C257" t="inlineStr">
        <is>
          <t>Blk 288 Bayshore Vale Drive #01-10 Singapura 460288</t>
        </is>
      </c>
      <c r="D257" t="inlineStr">
        <is>
          <t>Shop</t>
        </is>
      </c>
      <c r="E257" t="n">
        <v>73.2</v>
      </c>
      <c r="F257" t="inlineStr">
        <is>
          <t>NC-BV-3</t>
        </is>
      </c>
      <c r="G257" t="inlineStr">
        <is>
          <t>Tenanted</t>
        </is>
      </c>
    </row>
    <row r="258">
      <c r="A258" t="inlineStr">
        <is>
          <t>U-BV288-01-11</t>
        </is>
      </c>
      <c r="B258" t="inlineStr">
        <is>
          <t>Bayshore Vale</t>
        </is>
      </c>
      <c r="C258" t="inlineStr">
        <is>
          <t>Blk 288 Bayshore Vale Drive #01-11 Singapura 460288</t>
        </is>
      </c>
      <c r="D258" t="inlineStr">
        <is>
          <t>Shop</t>
        </is>
      </c>
      <c r="E258" t="n">
        <v>79.09999999999999</v>
      </c>
      <c r="F258" t="inlineStr">
        <is>
          <t>NC-BV-3</t>
        </is>
      </c>
      <c r="G258" t="inlineStr">
        <is>
          <t>Vacant</t>
        </is>
      </c>
    </row>
    <row r="259">
      <c r="A259" t="inlineStr">
        <is>
          <t>U-BV290-02-01</t>
        </is>
      </c>
      <c r="B259" t="inlineStr">
        <is>
          <t>Bayshore Vale</t>
        </is>
      </c>
      <c r="C259" t="inlineStr">
        <is>
          <t>Blk 290 Bayshore Vale Drive #02-01 Singapura 460290</t>
        </is>
      </c>
      <c r="D259" t="inlineStr">
        <is>
          <t>Office</t>
        </is>
      </c>
      <c r="E259" t="n">
        <v>119</v>
      </c>
      <c r="F259" t="inlineStr">
        <is>
          <t>NC-BV-3</t>
        </is>
      </c>
      <c r="G259" t="inlineStr">
        <is>
          <t>Tenanted</t>
        </is>
      </c>
    </row>
    <row r="260">
      <c r="A260" t="inlineStr">
        <is>
          <t>U-BV290-01-02</t>
        </is>
      </c>
      <c r="B260" t="inlineStr">
        <is>
          <t>Bayshore Vale</t>
        </is>
      </c>
      <c r="C260" t="inlineStr">
        <is>
          <t>Blk 290 Bayshore Vale Drive #01-02 Singapura 460290</t>
        </is>
      </c>
      <c r="D260" t="inlineStr">
        <is>
          <t>Shop</t>
        </is>
      </c>
      <c r="E260" t="n">
        <v>75.59999999999999</v>
      </c>
      <c r="F260" t="inlineStr">
        <is>
          <t>NC-BV-3</t>
        </is>
      </c>
      <c r="G260" t="inlineStr">
        <is>
          <t>Tenanted</t>
        </is>
      </c>
    </row>
    <row r="261">
      <c r="A261" t="inlineStr">
        <is>
          <t>U-BV290-01-03</t>
        </is>
      </c>
      <c r="B261" t="inlineStr">
        <is>
          <t>Bayshore Vale</t>
        </is>
      </c>
      <c r="C261" t="inlineStr">
        <is>
          <t>Blk 290 Bayshore Vale Drive #01-03 Singapura 460290</t>
        </is>
      </c>
      <c r="D261" t="inlineStr">
        <is>
          <t>Shop</t>
        </is>
      </c>
      <c r="E261" t="n">
        <v>69</v>
      </c>
      <c r="F261" t="inlineStr">
        <is>
          <t>NC-BV-3</t>
        </is>
      </c>
      <c r="G261" t="inlineStr">
        <is>
          <t>Tenanted</t>
        </is>
      </c>
    </row>
    <row r="262">
      <c r="A262" t="inlineStr">
        <is>
          <t>U-BV290-02-04</t>
        </is>
      </c>
      <c r="B262" t="inlineStr">
        <is>
          <t>Bayshore Vale</t>
        </is>
      </c>
      <c r="C262" t="inlineStr">
        <is>
          <t>Blk 290 Bayshore Vale Drive #02-04 Singapura 460290</t>
        </is>
      </c>
      <c r="D262" t="inlineStr">
        <is>
          <t>Office</t>
        </is>
      </c>
      <c r="E262" t="n">
        <v>140.2</v>
      </c>
      <c r="F262" t="inlineStr">
        <is>
          <t>NC-BV-3</t>
        </is>
      </c>
      <c r="G262" t="inlineStr">
        <is>
          <t>Tenanted</t>
        </is>
      </c>
    </row>
    <row r="263">
      <c r="A263" t="inlineStr">
        <is>
          <t>U-BV290-01-05</t>
        </is>
      </c>
      <c r="B263" t="inlineStr">
        <is>
          <t>Bayshore Vale</t>
        </is>
      </c>
      <c r="C263" t="inlineStr">
        <is>
          <t>Blk 290 Bayshore Vale Drive #01-05 Singapura 460290</t>
        </is>
      </c>
      <c r="D263" t="inlineStr">
        <is>
          <t>Shop</t>
        </is>
      </c>
      <c r="E263" t="n">
        <v>44.8</v>
      </c>
      <c r="F263" t="inlineStr">
        <is>
          <t>NC-BV-3</t>
        </is>
      </c>
      <c r="G263" t="inlineStr">
        <is>
          <t>Tenanted</t>
        </is>
      </c>
    </row>
    <row r="264">
      <c r="A264" t="inlineStr">
        <is>
          <t>U-BV290-01-06</t>
        </is>
      </c>
      <c r="B264" t="inlineStr">
        <is>
          <t>Bayshore Vale</t>
        </is>
      </c>
      <c r="C264" t="inlineStr">
        <is>
          <t>Blk 290 Bayshore Vale Drive #01-06 Singapura 460290</t>
        </is>
      </c>
      <c r="D264" t="inlineStr">
        <is>
          <t>Shop</t>
        </is>
      </c>
      <c r="E264" t="n">
        <v>117.5</v>
      </c>
      <c r="F264" t="inlineStr">
        <is>
          <t>NC-BV-3</t>
        </is>
      </c>
      <c r="G264" t="inlineStr">
        <is>
          <t>Tenanted</t>
        </is>
      </c>
    </row>
    <row r="265">
      <c r="A265" t="inlineStr">
        <is>
          <t>U-BV290-01-07</t>
        </is>
      </c>
      <c r="B265" t="inlineStr">
        <is>
          <t>Bayshore Vale</t>
        </is>
      </c>
      <c r="C265" t="inlineStr">
        <is>
          <t>Blk 290 Bayshore Vale Drive #01-07 Singapura 460290</t>
        </is>
      </c>
      <c r="D265" t="inlineStr">
        <is>
          <t>Office</t>
        </is>
      </c>
      <c r="E265" t="n">
        <v>59.2</v>
      </c>
      <c r="F265" t="inlineStr">
        <is>
          <t>NC-BV-3</t>
        </is>
      </c>
      <c r="G265" t="inlineStr">
        <is>
          <t>Tenanted</t>
        </is>
      </c>
    </row>
    <row r="266">
      <c r="A266" t="inlineStr">
        <is>
          <t>U-BV290-01-08</t>
        </is>
      </c>
      <c r="B266" t="inlineStr">
        <is>
          <t>Bayshore Vale</t>
        </is>
      </c>
      <c r="C266" t="inlineStr">
        <is>
          <t>Blk 290 Bayshore Vale Drive #01-08 Singapura 460290</t>
        </is>
      </c>
      <c r="D266" t="inlineStr">
        <is>
          <t>Shop</t>
        </is>
      </c>
      <c r="E266" t="n">
        <v>91.2</v>
      </c>
      <c r="F266" t="inlineStr">
        <is>
          <t>NC-BV-3</t>
        </is>
      </c>
      <c r="G266" t="inlineStr">
        <is>
          <t>Vacant</t>
        </is>
      </c>
    </row>
    <row r="267">
      <c r="A267" t="inlineStr">
        <is>
          <t>U-BV290-02-09</t>
        </is>
      </c>
      <c r="B267" t="inlineStr">
        <is>
          <t>Bayshore Vale</t>
        </is>
      </c>
      <c r="C267" t="inlineStr">
        <is>
          <t>Blk 290 Bayshore Vale Drive #02-09 Singapura 460290</t>
        </is>
      </c>
      <c r="D267" t="inlineStr">
        <is>
          <t>Office</t>
        </is>
      </c>
      <c r="E267" t="n">
        <v>83.40000000000001</v>
      </c>
      <c r="F267" t="inlineStr">
        <is>
          <t>NC-BV-3</t>
        </is>
      </c>
      <c r="G267" t="inlineStr">
        <is>
          <t>Tenanted</t>
        </is>
      </c>
    </row>
    <row r="268">
      <c r="A268" t="inlineStr">
        <is>
          <t>U-BV290-01-10</t>
        </is>
      </c>
      <c r="B268" t="inlineStr">
        <is>
          <t>Bayshore Vale</t>
        </is>
      </c>
      <c r="C268" t="inlineStr">
        <is>
          <t>Blk 290 Bayshore Vale Drive #01-10 Singapura 460290</t>
        </is>
      </c>
      <c r="D268" t="inlineStr">
        <is>
          <t>Office</t>
        </is>
      </c>
      <c r="E268" t="n">
        <v>70.5</v>
      </c>
      <c r="F268" t="inlineStr">
        <is>
          <t>NC-BV-3</t>
        </is>
      </c>
      <c r="G268" t="inlineStr">
        <is>
          <t>Tenanted</t>
        </is>
      </c>
    </row>
    <row r="269">
      <c r="A269" t="inlineStr">
        <is>
          <t>U-BV290-01-11</t>
        </is>
      </c>
      <c r="B269" t="inlineStr">
        <is>
          <t>Bayshore Vale</t>
        </is>
      </c>
      <c r="C269" t="inlineStr">
        <is>
          <t>Blk 290 Bayshore Vale Drive #01-11 Singapura 460290</t>
        </is>
      </c>
      <c r="D269" t="inlineStr">
        <is>
          <t>Shop with Living Quarters</t>
        </is>
      </c>
      <c r="E269" t="n">
        <v>87.7</v>
      </c>
      <c r="F269" t="inlineStr">
        <is>
          <t>NC-BV-3</t>
        </is>
      </c>
      <c r="G269" t="inlineStr">
        <is>
          <t>Tenanted</t>
        </is>
      </c>
    </row>
    <row r="270">
      <c r="A270" t="inlineStr">
        <is>
          <t>U-BV290-01-12</t>
        </is>
      </c>
      <c r="B270" t="inlineStr">
        <is>
          <t>Bayshore Vale</t>
        </is>
      </c>
      <c r="C270" t="inlineStr">
        <is>
          <t>Blk 290 Bayshore Vale Drive #01-12 Singapura 460290</t>
        </is>
      </c>
      <c r="D270" t="inlineStr">
        <is>
          <t>Shop</t>
        </is>
      </c>
      <c r="E270" t="n">
        <v>105</v>
      </c>
      <c r="F270" t="inlineStr">
        <is>
          <t>NC-BV-3</t>
        </is>
      </c>
      <c r="G270" t="inlineStr">
        <is>
          <t>Tenanted</t>
        </is>
      </c>
    </row>
    <row r="271">
      <c r="A271" t="inlineStr">
        <is>
          <t>U-BV296-01-01</t>
        </is>
      </c>
      <c r="B271" t="inlineStr">
        <is>
          <t>Bayshore Vale</t>
        </is>
      </c>
      <c r="C271" t="inlineStr">
        <is>
          <t>Blk 296 Bayshore Vale Avenue 2 #01-01 Singapura 460296</t>
        </is>
      </c>
      <c r="D271" t="inlineStr">
        <is>
          <t>Shop</t>
        </is>
      </c>
      <c r="E271" t="n">
        <v>51.8</v>
      </c>
      <c r="F271" t="inlineStr">
        <is>
          <t>NC-BV-1</t>
        </is>
      </c>
      <c r="G271" t="inlineStr">
        <is>
          <t>Tenanted</t>
        </is>
      </c>
    </row>
    <row r="272">
      <c r="A272" t="inlineStr">
        <is>
          <t>U-BV296-02-02</t>
        </is>
      </c>
      <c r="B272" t="inlineStr">
        <is>
          <t>Bayshore Vale</t>
        </is>
      </c>
      <c r="C272" t="inlineStr">
        <is>
          <t>Blk 296 Bayshore Vale Avenue 2 #02-02 Singapura 460296</t>
        </is>
      </c>
      <c r="D272" t="inlineStr">
        <is>
          <t>Office</t>
        </is>
      </c>
      <c r="E272" t="n">
        <v>135.8</v>
      </c>
      <c r="F272" t="inlineStr">
        <is>
          <t>NC-BV-1</t>
        </is>
      </c>
      <c r="G272" t="inlineStr">
        <is>
          <t>Tenanted</t>
        </is>
      </c>
    </row>
    <row r="273">
      <c r="A273" t="inlineStr">
        <is>
          <t>U-BV296-01-03</t>
        </is>
      </c>
      <c r="B273" t="inlineStr">
        <is>
          <t>Bayshore Vale</t>
        </is>
      </c>
      <c r="C273" t="inlineStr">
        <is>
          <t>Blk 296 Bayshore Vale Avenue 2 #01-03 Singapura 460296</t>
        </is>
      </c>
      <c r="D273" t="inlineStr">
        <is>
          <t>Shop</t>
        </is>
      </c>
      <c r="E273" t="n">
        <v>50.4</v>
      </c>
      <c r="F273" t="inlineStr">
        <is>
          <t>NC-BV-1</t>
        </is>
      </c>
      <c r="G273" t="inlineStr">
        <is>
          <t>Tenanted</t>
        </is>
      </c>
    </row>
    <row r="274">
      <c r="A274" t="inlineStr">
        <is>
          <t>U-BV296-01-04</t>
        </is>
      </c>
      <c r="B274" t="inlineStr">
        <is>
          <t>Bayshore Vale</t>
        </is>
      </c>
      <c r="C274" t="inlineStr">
        <is>
          <t>Blk 296 Bayshore Vale Avenue 2 #01-04 Singapura 460296</t>
        </is>
      </c>
      <c r="D274" t="inlineStr">
        <is>
          <t>Shop</t>
        </is>
      </c>
      <c r="E274" t="n">
        <v>54</v>
      </c>
      <c r="F274" t="inlineStr">
        <is>
          <t>NC-BV-1</t>
        </is>
      </c>
      <c r="G274" t="inlineStr">
        <is>
          <t>Tenanted</t>
        </is>
      </c>
    </row>
    <row r="275">
      <c r="A275" t="inlineStr">
        <is>
          <t>U-BV296-01-05</t>
        </is>
      </c>
      <c r="B275" t="inlineStr">
        <is>
          <t>Bayshore Vale</t>
        </is>
      </c>
      <c r="C275" t="inlineStr">
        <is>
          <t>Blk 296 Bayshore Vale Avenue 2 #01-05 Singapura 460296</t>
        </is>
      </c>
      <c r="D275" t="inlineStr">
        <is>
          <t>Shop</t>
        </is>
      </c>
      <c r="E275" t="n">
        <v>42.1</v>
      </c>
      <c r="F275" t="inlineStr">
        <is>
          <t>NC-BV-1</t>
        </is>
      </c>
      <c r="G275" t="inlineStr">
        <is>
          <t>Tenanted</t>
        </is>
      </c>
    </row>
    <row r="276">
      <c r="A276" t="inlineStr">
        <is>
          <t>U-BV296-01-06</t>
        </is>
      </c>
      <c r="B276" t="inlineStr">
        <is>
          <t>Bayshore Vale</t>
        </is>
      </c>
      <c r="C276" t="inlineStr">
        <is>
          <t>Blk 296 Bayshore Vale Avenue 2 #01-06 Singapura 460296</t>
        </is>
      </c>
      <c r="D276" t="inlineStr">
        <is>
          <t>Shop</t>
        </is>
      </c>
      <c r="E276" t="n">
        <v>103.2</v>
      </c>
      <c r="F276" t="inlineStr">
        <is>
          <t>NC-BV-1</t>
        </is>
      </c>
      <c r="G276" t="inlineStr">
        <is>
          <t>Tenanted</t>
        </is>
      </c>
    </row>
    <row r="277">
      <c r="A277" t="inlineStr">
        <is>
          <t>U-BV296-01-07</t>
        </is>
      </c>
      <c r="B277" t="inlineStr">
        <is>
          <t>Bayshore Vale</t>
        </is>
      </c>
      <c r="C277" t="inlineStr">
        <is>
          <t>Blk 296 Bayshore Vale Avenue 2 #01-07 Singapura 460296</t>
        </is>
      </c>
      <c r="D277" t="inlineStr">
        <is>
          <t>Shop</t>
        </is>
      </c>
      <c r="E277" t="n">
        <v>65.90000000000001</v>
      </c>
      <c r="F277" t="inlineStr">
        <is>
          <t>NC-BV-1</t>
        </is>
      </c>
      <c r="G277" t="inlineStr">
        <is>
          <t>Tenanted</t>
        </is>
      </c>
    </row>
    <row r="278">
      <c r="A278" t="inlineStr">
        <is>
          <t>U-BV296-01-08</t>
        </is>
      </c>
      <c r="B278" t="inlineStr">
        <is>
          <t>Bayshore Vale</t>
        </is>
      </c>
      <c r="C278" t="inlineStr">
        <is>
          <t>Blk 296 Bayshore Vale Avenue 2 #01-08 Singapura 460296</t>
        </is>
      </c>
      <c r="D278" t="inlineStr">
        <is>
          <t>Shop</t>
        </is>
      </c>
      <c r="E278" t="n">
        <v>44.2</v>
      </c>
      <c r="F278" t="inlineStr">
        <is>
          <t>NC-BV-1</t>
        </is>
      </c>
      <c r="G278" t="inlineStr">
        <is>
          <t>Tenanted</t>
        </is>
      </c>
    </row>
    <row r="279">
      <c r="A279" t="inlineStr">
        <is>
          <t>U-BV296-01-09</t>
        </is>
      </c>
      <c r="B279" t="inlineStr">
        <is>
          <t>Bayshore Vale</t>
        </is>
      </c>
      <c r="C279" t="inlineStr">
        <is>
          <t>Blk 296 Bayshore Vale Avenue 2 #01-09 Singapura 460296</t>
        </is>
      </c>
      <c r="D279" t="inlineStr">
        <is>
          <t>Kiosk</t>
        </is>
      </c>
      <c r="E279" t="n">
        <v>10.7</v>
      </c>
      <c r="F279" t="inlineStr">
        <is>
          <t>NC-BV-1</t>
        </is>
      </c>
      <c r="G279" t="inlineStr">
        <is>
          <t>Tenanted</t>
        </is>
      </c>
    </row>
    <row r="280">
      <c r="A280" t="inlineStr">
        <is>
          <t>U-BV297-01-01</t>
        </is>
      </c>
      <c r="B280" t="inlineStr">
        <is>
          <t>Bayshore Vale</t>
        </is>
      </c>
      <c r="C280" t="inlineStr">
        <is>
          <t>Blk 297 Bayshore Vale Drive #01-01 Singapura 460297</t>
        </is>
      </c>
      <c r="D280" t="inlineStr">
        <is>
          <t>Shop</t>
        </is>
      </c>
      <c r="E280" t="n">
        <v>102.2</v>
      </c>
      <c r="F280" t="inlineStr">
        <is>
          <t>NC-BV-2</t>
        </is>
      </c>
      <c r="G280" t="inlineStr">
        <is>
          <t>Tenanted</t>
        </is>
      </c>
    </row>
    <row r="281">
      <c r="A281" t="inlineStr">
        <is>
          <t>U-BV297-01-02</t>
        </is>
      </c>
      <c r="B281" t="inlineStr">
        <is>
          <t>Bayshore Vale</t>
        </is>
      </c>
      <c r="C281" t="inlineStr">
        <is>
          <t>Blk 297 Bayshore Vale Drive #01-02 Singapura 460297</t>
        </is>
      </c>
      <c r="D281" t="inlineStr">
        <is>
          <t>Shop</t>
        </is>
      </c>
      <c r="E281" t="n">
        <v>48.7</v>
      </c>
      <c r="F281" t="inlineStr">
        <is>
          <t>NC-BV-2</t>
        </is>
      </c>
      <c r="G281" t="inlineStr">
        <is>
          <t>Tenanted</t>
        </is>
      </c>
    </row>
    <row r="282">
      <c r="A282" t="inlineStr">
        <is>
          <t>U-BV297-01-03</t>
        </is>
      </c>
      <c r="B282" t="inlineStr">
        <is>
          <t>Bayshore Vale</t>
        </is>
      </c>
      <c r="C282" t="inlineStr">
        <is>
          <t>Blk 297 Bayshore Vale Drive #01-03 Singapura 460297</t>
        </is>
      </c>
      <c r="D282" t="inlineStr">
        <is>
          <t>Shop</t>
        </is>
      </c>
      <c r="E282" t="n">
        <v>115.6</v>
      </c>
      <c r="F282" t="inlineStr">
        <is>
          <t>NC-BV-2</t>
        </is>
      </c>
      <c r="G282" t="inlineStr">
        <is>
          <t>Tenanted</t>
        </is>
      </c>
    </row>
    <row r="283">
      <c r="A283" t="inlineStr">
        <is>
          <t>U-BV297-01-04</t>
        </is>
      </c>
      <c r="B283" t="inlineStr">
        <is>
          <t>Bayshore Vale</t>
        </is>
      </c>
      <c r="C283" t="inlineStr">
        <is>
          <t>Blk 297 Bayshore Vale Drive #01-04 Singapura 460297</t>
        </is>
      </c>
      <c r="D283" t="inlineStr">
        <is>
          <t>Shop</t>
        </is>
      </c>
      <c r="E283" t="n">
        <v>102.7</v>
      </c>
      <c r="F283" t="inlineStr">
        <is>
          <t>NC-BV-2</t>
        </is>
      </c>
      <c r="G283" t="inlineStr">
        <is>
          <t>Tenanted</t>
        </is>
      </c>
    </row>
    <row r="284">
      <c r="A284" t="inlineStr">
        <is>
          <t>U-BV297-02-05</t>
        </is>
      </c>
      <c r="B284" t="inlineStr">
        <is>
          <t>Bayshore Vale</t>
        </is>
      </c>
      <c r="C284" t="inlineStr">
        <is>
          <t>Blk 297 Bayshore Vale Drive #02-05 Singapura 460297</t>
        </is>
      </c>
      <c r="D284" t="inlineStr">
        <is>
          <t>Office</t>
        </is>
      </c>
      <c r="E284" t="n">
        <v>95.8</v>
      </c>
      <c r="F284" t="inlineStr">
        <is>
          <t>NC-BV-2</t>
        </is>
      </c>
      <c r="G284" t="inlineStr">
        <is>
          <t>Tenanted</t>
        </is>
      </c>
    </row>
    <row r="285">
      <c r="A285" t="inlineStr">
        <is>
          <t>U-BV297-02-06</t>
        </is>
      </c>
      <c r="B285" t="inlineStr">
        <is>
          <t>Bayshore Vale</t>
        </is>
      </c>
      <c r="C285" t="inlineStr">
        <is>
          <t>Blk 297 Bayshore Vale Drive #02-06 Singapura 460297</t>
        </is>
      </c>
      <c r="D285" t="inlineStr">
        <is>
          <t>Office</t>
        </is>
      </c>
      <c r="E285" t="n">
        <v>97.90000000000001</v>
      </c>
      <c r="F285" t="inlineStr">
        <is>
          <t>NC-BV-2</t>
        </is>
      </c>
      <c r="G285" t="inlineStr">
        <is>
          <t>Tenanted</t>
        </is>
      </c>
    </row>
    <row r="286">
      <c r="A286" t="inlineStr">
        <is>
          <t>U-BV297-01-07</t>
        </is>
      </c>
      <c r="B286" t="inlineStr">
        <is>
          <t>Bayshore Vale</t>
        </is>
      </c>
      <c r="C286" t="inlineStr">
        <is>
          <t>Blk 297 Bayshore Vale Drive #01-07 Singapura 460297</t>
        </is>
      </c>
      <c r="D286" t="inlineStr">
        <is>
          <t>Shop</t>
        </is>
      </c>
      <c r="E286" t="n">
        <v>94.90000000000001</v>
      </c>
      <c r="F286" t="inlineStr">
        <is>
          <t>NC-BV-2</t>
        </is>
      </c>
      <c r="G286" t="inlineStr">
        <is>
          <t>Tenanted</t>
        </is>
      </c>
    </row>
    <row r="287">
      <c r="A287" t="inlineStr">
        <is>
          <t>U-CD105-01-01</t>
        </is>
      </c>
      <c r="B287" t="inlineStr">
        <is>
          <t>Cendana</t>
        </is>
      </c>
      <c r="C287" t="inlineStr">
        <is>
          <t>Blk 105 Jalan Cendana Indah #01-01 Singapura 470105</t>
        </is>
      </c>
      <c r="D287" t="inlineStr">
        <is>
          <t>Eating House</t>
        </is>
      </c>
      <c r="E287" t="n">
        <v>299.7</v>
      </c>
      <c r="F287" t="inlineStr">
        <is>
          <t>NC-CD-3</t>
        </is>
      </c>
      <c r="G287" t="inlineStr">
        <is>
          <t>Tenanted</t>
        </is>
      </c>
    </row>
    <row r="288">
      <c r="A288" t="inlineStr">
        <is>
          <t>U-CD105-01-02</t>
        </is>
      </c>
      <c r="B288" t="inlineStr">
        <is>
          <t>Cendana</t>
        </is>
      </c>
      <c r="C288" t="inlineStr">
        <is>
          <t>Blk 105 Jalan Cendana Indah #01-02 Singapura 470105</t>
        </is>
      </c>
      <c r="D288" t="inlineStr">
        <is>
          <t>Shop</t>
        </is>
      </c>
      <c r="E288" t="n">
        <v>111.9</v>
      </c>
      <c r="F288" t="inlineStr">
        <is>
          <t>NC-CD-3</t>
        </is>
      </c>
      <c r="G288" t="inlineStr">
        <is>
          <t>Tenanted</t>
        </is>
      </c>
    </row>
    <row r="289">
      <c r="A289" t="inlineStr">
        <is>
          <t>U-CD105-01-03</t>
        </is>
      </c>
      <c r="B289" t="inlineStr">
        <is>
          <t>Cendana</t>
        </is>
      </c>
      <c r="C289" t="inlineStr">
        <is>
          <t>Blk 105 Jalan Cendana Indah #01-03 Singapura 470105</t>
        </is>
      </c>
      <c r="D289" t="inlineStr">
        <is>
          <t>Shop</t>
        </is>
      </c>
      <c r="E289" t="n">
        <v>51.9</v>
      </c>
      <c r="F289" t="inlineStr">
        <is>
          <t>NC-CD-3</t>
        </is>
      </c>
      <c r="G289" t="inlineStr">
        <is>
          <t>Tenanted</t>
        </is>
      </c>
    </row>
    <row r="290">
      <c r="A290" t="inlineStr">
        <is>
          <t>U-CD105-01-04</t>
        </is>
      </c>
      <c r="B290" t="inlineStr">
        <is>
          <t>Cendana</t>
        </is>
      </c>
      <c r="C290" t="inlineStr">
        <is>
          <t>Blk 105 Jalan Cendana Indah #01-04 Singapura 470105</t>
        </is>
      </c>
      <c r="D290" t="inlineStr">
        <is>
          <t>Shop</t>
        </is>
      </c>
      <c r="E290" t="n">
        <v>89.90000000000001</v>
      </c>
      <c r="F290" t="inlineStr">
        <is>
          <t>NC-CD-3</t>
        </is>
      </c>
      <c r="G290" t="inlineStr">
        <is>
          <t>Tenanted</t>
        </is>
      </c>
    </row>
    <row r="291">
      <c r="A291" t="inlineStr">
        <is>
          <t>U-CD105-01-05</t>
        </is>
      </c>
      <c r="B291" t="inlineStr">
        <is>
          <t>Cendana</t>
        </is>
      </c>
      <c r="C291" t="inlineStr">
        <is>
          <t>Blk 105 Jalan Cendana Indah #01-05 Singapura 470105</t>
        </is>
      </c>
      <c r="D291" t="inlineStr">
        <is>
          <t>Shop</t>
        </is>
      </c>
      <c r="E291" t="n">
        <v>97</v>
      </c>
      <c r="F291" t="inlineStr">
        <is>
          <t>NC-CD-3</t>
        </is>
      </c>
      <c r="G291" t="inlineStr">
        <is>
          <t>Tenanted</t>
        </is>
      </c>
    </row>
    <row r="292">
      <c r="A292" t="inlineStr">
        <is>
          <t>U-CD105-01-06</t>
        </is>
      </c>
      <c r="B292" t="inlineStr">
        <is>
          <t>Cendana</t>
        </is>
      </c>
      <c r="C292" t="inlineStr">
        <is>
          <t>Blk 105 Jalan Cendana Indah #01-06 Singapura 470105</t>
        </is>
      </c>
      <c r="D292" t="inlineStr">
        <is>
          <t>Shop</t>
        </is>
      </c>
      <c r="E292" t="n">
        <v>87.8</v>
      </c>
      <c r="F292" t="inlineStr">
        <is>
          <t>NC-CD-3</t>
        </is>
      </c>
      <c r="G292" t="inlineStr">
        <is>
          <t>Tenanted</t>
        </is>
      </c>
    </row>
    <row r="293">
      <c r="A293" t="inlineStr">
        <is>
          <t>U-CD105-01-07</t>
        </is>
      </c>
      <c r="B293" t="inlineStr">
        <is>
          <t>Cendana</t>
        </is>
      </c>
      <c r="C293" t="inlineStr">
        <is>
          <t>Blk 105 Jalan Cendana Indah #01-07 Singapura 470105</t>
        </is>
      </c>
      <c r="D293" t="inlineStr">
        <is>
          <t>Shop</t>
        </is>
      </c>
      <c r="E293" t="n">
        <v>80.40000000000001</v>
      </c>
      <c r="F293" t="inlineStr">
        <is>
          <t>NC-CD-3</t>
        </is>
      </c>
      <c r="G293" t="inlineStr">
        <is>
          <t>Tenanted</t>
        </is>
      </c>
    </row>
    <row r="294">
      <c r="A294" t="inlineStr">
        <is>
          <t>U-CD105-01-08</t>
        </is>
      </c>
      <c r="B294" t="inlineStr">
        <is>
          <t>Cendana</t>
        </is>
      </c>
      <c r="C294" t="inlineStr">
        <is>
          <t>Blk 105 Jalan Cendana Indah #01-08 Singapura 470105</t>
        </is>
      </c>
      <c r="D294" t="inlineStr">
        <is>
          <t>Shop</t>
        </is>
      </c>
      <c r="E294" t="n">
        <v>103.4</v>
      </c>
      <c r="F294" t="inlineStr">
        <is>
          <t>NC-CD-3</t>
        </is>
      </c>
      <c r="G294" t="inlineStr">
        <is>
          <t>Tenanted</t>
        </is>
      </c>
    </row>
    <row r="295">
      <c r="A295" t="inlineStr">
        <is>
          <t>U-CD105-01-09</t>
        </is>
      </c>
      <c r="B295" t="inlineStr">
        <is>
          <t>Cendana</t>
        </is>
      </c>
      <c r="C295" t="inlineStr">
        <is>
          <t>Blk 105 Jalan Cendana Indah #01-09 Singapura 470105</t>
        </is>
      </c>
      <c r="D295" t="inlineStr">
        <is>
          <t>Shop</t>
        </is>
      </c>
      <c r="E295" t="n">
        <v>92.40000000000001</v>
      </c>
      <c r="F295" t="inlineStr">
        <is>
          <t>NC-CD-3</t>
        </is>
      </c>
      <c r="G295" t="inlineStr">
        <is>
          <t>Tenanted</t>
        </is>
      </c>
    </row>
    <row r="296">
      <c r="A296" t="inlineStr">
        <is>
          <t>U-CD105-02-10</t>
        </is>
      </c>
      <c r="B296" t="inlineStr">
        <is>
          <t>Cendana</t>
        </is>
      </c>
      <c r="C296" t="inlineStr">
        <is>
          <t>Blk 105 Jalan Cendana Indah #02-10 Singapura 470105</t>
        </is>
      </c>
      <c r="D296" t="inlineStr">
        <is>
          <t>Office</t>
        </is>
      </c>
      <c r="E296" t="n">
        <v>136.5</v>
      </c>
      <c r="F296" t="inlineStr">
        <is>
          <t>NC-CD-3</t>
        </is>
      </c>
      <c r="G296" t="inlineStr">
        <is>
          <t>Tenanted</t>
        </is>
      </c>
    </row>
    <row r="297">
      <c r="A297" t="inlineStr">
        <is>
          <t>U-CD105-01-11</t>
        </is>
      </c>
      <c r="B297" t="inlineStr">
        <is>
          <t>Cendana</t>
        </is>
      </c>
      <c r="C297" t="inlineStr">
        <is>
          <t>Blk 105 Jalan Cendana Indah #01-11 Singapura 470105</t>
        </is>
      </c>
      <c r="D297" t="inlineStr">
        <is>
          <t>Shop</t>
        </is>
      </c>
      <c r="E297" t="n">
        <v>111</v>
      </c>
      <c r="F297" t="inlineStr">
        <is>
          <t>NC-CD-3</t>
        </is>
      </c>
      <c r="G297" t="inlineStr">
        <is>
          <t>Tenanted</t>
        </is>
      </c>
    </row>
    <row r="298">
      <c r="A298" t="inlineStr">
        <is>
          <t>U-CD105-01-12</t>
        </is>
      </c>
      <c r="B298" t="inlineStr">
        <is>
          <t>Cendana</t>
        </is>
      </c>
      <c r="C298" t="inlineStr">
        <is>
          <t>Blk 105 Jalan Cendana Indah #01-12 Singapura 470105</t>
        </is>
      </c>
      <c r="D298" t="inlineStr">
        <is>
          <t>Shop</t>
        </is>
      </c>
      <c r="E298" t="n">
        <v>106.2</v>
      </c>
      <c r="F298" t="inlineStr">
        <is>
          <t>NC-CD-3</t>
        </is>
      </c>
      <c r="G298" t="inlineStr">
        <is>
          <t>Tenanted</t>
        </is>
      </c>
    </row>
    <row r="299">
      <c r="A299" t="inlineStr">
        <is>
          <t>U-CD105-01-13</t>
        </is>
      </c>
      <c r="B299" t="inlineStr">
        <is>
          <t>Cendana</t>
        </is>
      </c>
      <c r="C299" t="inlineStr">
        <is>
          <t>Blk 105 Jalan Cendana Indah #01-13 Singapura 470105</t>
        </is>
      </c>
      <c r="D299" t="inlineStr">
        <is>
          <t>Shop</t>
        </is>
      </c>
      <c r="E299" t="n">
        <v>98.40000000000001</v>
      </c>
      <c r="F299" t="inlineStr">
        <is>
          <t>NC-CD-3</t>
        </is>
      </c>
      <c r="G299" t="inlineStr">
        <is>
          <t>Tenanted</t>
        </is>
      </c>
    </row>
    <row r="300">
      <c r="A300" t="inlineStr">
        <is>
          <t>U-CD108-01-01</t>
        </is>
      </c>
      <c r="B300" t="inlineStr">
        <is>
          <t>Cendana</t>
        </is>
      </c>
      <c r="C300" t="inlineStr">
        <is>
          <t>Blk 108 Cendana Street 11 #01-01 Singapura 470108</t>
        </is>
      </c>
      <c r="D300" t="inlineStr">
        <is>
          <t>Shop</t>
        </is>
      </c>
      <c r="E300" t="n">
        <v>93.2</v>
      </c>
      <c r="F300" t="inlineStr">
        <is>
          <t>NC-CD-3</t>
        </is>
      </c>
      <c r="G300" t="inlineStr">
        <is>
          <t>Tenanted</t>
        </is>
      </c>
    </row>
    <row r="301">
      <c r="A301" t="inlineStr">
        <is>
          <t>U-CD108-01-02</t>
        </is>
      </c>
      <c r="B301" t="inlineStr">
        <is>
          <t>Cendana</t>
        </is>
      </c>
      <c r="C301" t="inlineStr">
        <is>
          <t>Blk 108 Cendana Street 11 #01-02 Singapura 470108</t>
        </is>
      </c>
      <c r="D301" t="inlineStr">
        <is>
          <t>Shop</t>
        </is>
      </c>
      <c r="E301" t="n">
        <v>52.2</v>
      </c>
      <c r="F301" t="inlineStr">
        <is>
          <t>NC-CD-3</t>
        </is>
      </c>
      <c r="G301" t="inlineStr">
        <is>
          <t>Tenanted</t>
        </is>
      </c>
    </row>
    <row r="302">
      <c r="A302" t="inlineStr">
        <is>
          <t>U-CD108-02-03</t>
        </is>
      </c>
      <c r="B302" t="inlineStr">
        <is>
          <t>Cendana</t>
        </is>
      </c>
      <c r="C302" t="inlineStr">
        <is>
          <t>Blk 108 Cendana Street 11 #02-03 Singapura 470108</t>
        </is>
      </c>
      <c r="D302" t="inlineStr">
        <is>
          <t>Office</t>
        </is>
      </c>
      <c r="E302" t="n">
        <v>133.2</v>
      </c>
      <c r="F302" t="inlineStr">
        <is>
          <t>NC-CD-3</t>
        </is>
      </c>
      <c r="G302" t="inlineStr">
        <is>
          <t>Tenanted</t>
        </is>
      </c>
    </row>
    <row r="303">
      <c r="A303" t="inlineStr">
        <is>
          <t>U-CD108-01-04</t>
        </is>
      </c>
      <c r="B303" t="inlineStr">
        <is>
          <t>Cendana</t>
        </is>
      </c>
      <c r="C303" t="inlineStr">
        <is>
          <t>Blk 108 Cendana Street 11 #01-04 Singapura 470108</t>
        </is>
      </c>
      <c r="D303" t="inlineStr">
        <is>
          <t>Shop</t>
        </is>
      </c>
      <c r="E303" t="n">
        <v>47.7</v>
      </c>
      <c r="F303" t="inlineStr">
        <is>
          <t>NC-CD-3</t>
        </is>
      </c>
      <c r="G303" t="inlineStr">
        <is>
          <t>Tenanted</t>
        </is>
      </c>
    </row>
    <row r="304">
      <c r="A304" t="inlineStr">
        <is>
          <t>U-CD108-01-05</t>
        </is>
      </c>
      <c r="B304" t="inlineStr">
        <is>
          <t>Cendana</t>
        </is>
      </c>
      <c r="C304" t="inlineStr">
        <is>
          <t>Blk 108 Cendana Street 11 #01-05 Singapura 470108</t>
        </is>
      </c>
      <c r="D304" t="inlineStr">
        <is>
          <t>Kiosk</t>
        </is>
      </c>
      <c r="E304" t="n">
        <v>13.3</v>
      </c>
      <c r="F304" t="inlineStr">
        <is>
          <t>NC-CD-3</t>
        </is>
      </c>
      <c r="G304" t="inlineStr">
        <is>
          <t>Tenanted</t>
        </is>
      </c>
    </row>
    <row r="305">
      <c r="A305" t="inlineStr">
        <is>
          <t>U-CD108-01-06</t>
        </is>
      </c>
      <c r="B305" t="inlineStr">
        <is>
          <t>Cendana</t>
        </is>
      </c>
      <c r="C305" t="inlineStr">
        <is>
          <t>Blk 108 Cendana Street 11 #01-06 Singapura 470108</t>
        </is>
      </c>
      <c r="D305" t="inlineStr">
        <is>
          <t>Shop</t>
        </is>
      </c>
      <c r="E305" t="n">
        <v>86.90000000000001</v>
      </c>
      <c r="F305" t="inlineStr">
        <is>
          <t>NC-CD-3</t>
        </is>
      </c>
      <c r="G305" t="inlineStr">
        <is>
          <t>Tenanted</t>
        </is>
      </c>
    </row>
    <row r="306">
      <c r="A306" t="inlineStr">
        <is>
          <t>U-CD108-01-07</t>
        </is>
      </c>
      <c r="B306" t="inlineStr">
        <is>
          <t>Cendana</t>
        </is>
      </c>
      <c r="C306" t="inlineStr">
        <is>
          <t>Blk 108 Cendana Street 11 #01-07 Singapura 470108</t>
        </is>
      </c>
      <c r="D306" t="inlineStr">
        <is>
          <t>Shop</t>
        </is>
      </c>
      <c r="E306" t="n">
        <v>66.40000000000001</v>
      </c>
      <c r="F306" t="inlineStr">
        <is>
          <t>NC-CD-3</t>
        </is>
      </c>
      <c r="G306" t="inlineStr">
        <is>
          <t>Tenanted</t>
        </is>
      </c>
    </row>
    <row r="307">
      <c r="A307" t="inlineStr">
        <is>
          <t>U-CD108-01-08</t>
        </is>
      </c>
      <c r="B307" t="inlineStr">
        <is>
          <t>Cendana</t>
        </is>
      </c>
      <c r="C307" t="inlineStr">
        <is>
          <t>Blk 108 Cendana Street 11 #01-08 Singapura 470108</t>
        </is>
      </c>
      <c r="D307" t="inlineStr">
        <is>
          <t>Shop</t>
        </is>
      </c>
      <c r="E307" t="n">
        <v>68.3</v>
      </c>
      <c r="F307" t="inlineStr">
        <is>
          <t>NC-CD-3</t>
        </is>
      </c>
      <c r="G307" t="inlineStr">
        <is>
          <t>Tenanted</t>
        </is>
      </c>
    </row>
    <row r="308">
      <c r="A308" t="inlineStr">
        <is>
          <t>U-CD108-01-09</t>
        </is>
      </c>
      <c r="B308" t="inlineStr">
        <is>
          <t>Cendana</t>
        </is>
      </c>
      <c r="C308" t="inlineStr">
        <is>
          <t>Blk 108 Cendana Street 11 #01-09 Singapura 470108</t>
        </is>
      </c>
      <c r="D308" t="inlineStr">
        <is>
          <t>Shop</t>
        </is>
      </c>
      <c r="E308" t="n">
        <v>100</v>
      </c>
      <c r="F308" t="inlineStr">
        <is>
          <t>NC-CD-3</t>
        </is>
      </c>
      <c r="G308" t="inlineStr">
        <is>
          <t>Tenanted</t>
        </is>
      </c>
    </row>
    <row r="309">
      <c r="A309" t="inlineStr">
        <is>
          <t>U-CD108-01-10</t>
        </is>
      </c>
      <c r="B309" t="inlineStr">
        <is>
          <t>Cendana</t>
        </is>
      </c>
      <c r="C309" t="inlineStr">
        <is>
          <t>Blk 108 Cendana Street 11 #01-10 Singapura 470108</t>
        </is>
      </c>
      <c r="D309" t="inlineStr">
        <is>
          <t>Office</t>
        </is>
      </c>
      <c r="E309" t="n">
        <v>146.8</v>
      </c>
      <c r="F309" t="inlineStr">
        <is>
          <t>NC-CD-3</t>
        </is>
      </c>
      <c r="G309" t="inlineStr">
        <is>
          <t>Tenanted</t>
        </is>
      </c>
    </row>
    <row r="310">
      <c r="A310" t="inlineStr">
        <is>
          <t>U-CD108-01-11</t>
        </is>
      </c>
      <c r="B310" t="inlineStr">
        <is>
          <t>Cendana</t>
        </is>
      </c>
      <c r="C310" t="inlineStr">
        <is>
          <t>Blk 108 Cendana Street 11 #01-11 Singapura 470108</t>
        </is>
      </c>
      <c r="D310" t="inlineStr">
        <is>
          <t>Shop</t>
        </is>
      </c>
      <c r="E310" t="n">
        <v>68.09999999999999</v>
      </c>
      <c r="F310" t="inlineStr">
        <is>
          <t>NC-CD-3</t>
        </is>
      </c>
      <c r="G310" t="inlineStr">
        <is>
          <t>Tenanted</t>
        </is>
      </c>
    </row>
    <row r="311">
      <c r="A311" t="inlineStr">
        <is>
          <t>U-CD109-01-01</t>
        </is>
      </c>
      <c r="B311" t="inlineStr">
        <is>
          <t>Cendana</t>
        </is>
      </c>
      <c r="C311" t="inlineStr">
        <is>
          <t>Blk 109 Cendana Road #01-01 Singapura 470109</t>
        </is>
      </c>
      <c r="D311" t="inlineStr">
        <is>
          <t>Eating House</t>
        </is>
      </c>
      <c r="E311" t="n">
        <v>229.8</v>
      </c>
      <c r="F311" t="inlineStr">
        <is>
          <t>NC-CD-1</t>
        </is>
      </c>
      <c r="G311" t="inlineStr">
        <is>
          <t>Tenanted</t>
        </is>
      </c>
    </row>
    <row r="312">
      <c r="A312" t="inlineStr">
        <is>
          <t>U-CD109-01-02</t>
        </is>
      </c>
      <c r="B312" t="inlineStr">
        <is>
          <t>Cendana</t>
        </is>
      </c>
      <c r="C312" t="inlineStr">
        <is>
          <t>Blk 109 Cendana Road #01-02 Singapura 470109</t>
        </is>
      </c>
      <c r="D312" t="inlineStr">
        <is>
          <t>Shop</t>
        </is>
      </c>
      <c r="E312" t="n">
        <v>57.9</v>
      </c>
      <c r="F312" t="inlineStr">
        <is>
          <t>NC-CD-1</t>
        </is>
      </c>
      <c r="G312" t="inlineStr">
        <is>
          <t>Tenanted</t>
        </is>
      </c>
    </row>
    <row r="313">
      <c r="A313" t="inlineStr">
        <is>
          <t>U-CD109-01-03</t>
        </is>
      </c>
      <c r="B313" t="inlineStr">
        <is>
          <t>Cendana</t>
        </is>
      </c>
      <c r="C313" t="inlineStr">
        <is>
          <t>Blk 109 Cendana Road #01-03 Singapura 470109</t>
        </is>
      </c>
      <c r="D313" t="inlineStr">
        <is>
          <t>Shop</t>
        </is>
      </c>
      <c r="E313" t="n">
        <v>107.6</v>
      </c>
      <c r="F313" t="inlineStr">
        <is>
          <t>NC-CD-1</t>
        </is>
      </c>
      <c r="G313" t="inlineStr">
        <is>
          <t>Tenanted</t>
        </is>
      </c>
    </row>
    <row r="314">
      <c r="A314" t="inlineStr">
        <is>
          <t>U-CD109-01-04</t>
        </is>
      </c>
      <c r="B314" t="inlineStr">
        <is>
          <t>Cendana</t>
        </is>
      </c>
      <c r="C314" t="inlineStr">
        <is>
          <t>Blk 109 Cendana Road #01-04 Singapura 470109</t>
        </is>
      </c>
      <c r="D314" t="inlineStr">
        <is>
          <t>Shop</t>
        </is>
      </c>
      <c r="E314" t="n">
        <v>101</v>
      </c>
      <c r="F314" t="inlineStr">
        <is>
          <t>NC-CD-1</t>
        </is>
      </c>
      <c r="G314" t="inlineStr">
        <is>
          <t>Tenanted</t>
        </is>
      </c>
    </row>
    <row r="315">
      <c r="A315" t="inlineStr">
        <is>
          <t>U-CD109-01-05</t>
        </is>
      </c>
      <c r="B315" t="inlineStr">
        <is>
          <t>Cendana</t>
        </is>
      </c>
      <c r="C315" t="inlineStr">
        <is>
          <t>Blk 109 Cendana Road #01-05 Singapura 470109</t>
        </is>
      </c>
      <c r="D315" t="inlineStr">
        <is>
          <t>Shop</t>
        </is>
      </c>
      <c r="E315" t="n">
        <v>104.6</v>
      </c>
      <c r="F315" t="inlineStr">
        <is>
          <t>NC-CD-1</t>
        </is>
      </c>
      <c r="G315" t="inlineStr">
        <is>
          <t>Tenanted</t>
        </is>
      </c>
    </row>
    <row r="316">
      <c r="A316" t="inlineStr">
        <is>
          <t>U-CD109-01-06</t>
        </is>
      </c>
      <c r="B316" t="inlineStr">
        <is>
          <t>Cendana</t>
        </is>
      </c>
      <c r="C316" t="inlineStr">
        <is>
          <t>Blk 109 Cendana Road #01-06 Singapura 470109</t>
        </is>
      </c>
      <c r="D316" t="inlineStr">
        <is>
          <t>Shop with Living Quarters</t>
        </is>
      </c>
      <c r="E316" t="n">
        <v>108.7</v>
      </c>
      <c r="F316" t="inlineStr">
        <is>
          <t>NC-CD-1</t>
        </is>
      </c>
      <c r="G316" t="inlineStr">
        <is>
          <t>Tenanted</t>
        </is>
      </c>
    </row>
    <row r="317">
      <c r="A317" t="inlineStr">
        <is>
          <t>U-CD109-01-07</t>
        </is>
      </c>
      <c r="B317" t="inlineStr">
        <is>
          <t>Cendana</t>
        </is>
      </c>
      <c r="C317" t="inlineStr">
        <is>
          <t>Blk 109 Cendana Road #01-07 Singapura 470109</t>
        </is>
      </c>
      <c r="D317" t="inlineStr">
        <is>
          <t>Shop with Living Quarters</t>
        </is>
      </c>
      <c r="E317" t="n">
        <v>90.7</v>
      </c>
      <c r="F317" t="inlineStr">
        <is>
          <t>NC-CD-1</t>
        </is>
      </c>
      <c r="G317" t="inlineStr">
        <is>
          <t>Tenanted</t>
        </is>
      </c>
    </row>
    <row r="318">
      <c r="A318" t="inlineStr">
        <is>
          <t>U-CD109-01-08</t>
        </is>
      </c>
      <c r="B318" t="inlineStr">
        <is>
          <t>Cendana</t>
        </is>
      </c>
      <c r="C318" t="inlineStr">
        <is>
          <t>Blk 109 Cendana Road #01-08 Singapura 470109</t>
        </is>
      </c>
      <c r="D318" t="inlineStr">
        <is>
          <t>Shop</t>
        </is>
      </c>
      <c r="E318" t="n">
        <v>42.1</v>
      </c>
      <c r="F318" t="inlineStr">
        <is>
          <t>NC-CD-1</t>
        </is>
      </c>
      <c r="G318" t="inlineStr">
        <is>
          <t>Tenanted</t>
        </is>
      </c>
    </row>
    <row r="319">
      <c r="A319" t="inlineStr">
        <is>
          <t>U-CD109-01-09</t>
        </is>
      </c>
      <c r="B319" t="inlineStr">
        <is>
          <t>Cendana</t>
        </is>
      </c>
      <c r="C319" t="inlineStr">
        <is>
          <t>Blk 109 Cendana Road #01-09 Singapura 470109</t>
        </is>
      </c>
      <c r="D319" t="inlineStr">
        <is>
          <t>Office</t>
        </is>
      </c>
      <c r="E319" t="n">
        <v>76.7</v>
      </c>
      <c r="F319" t="inlineStr">
        <is>
          <t>NC-CD-1</t>
        </is>
      </c>
      <c r="G319" t="inlineStr">
        <is>
          <t>Tenanted</t>
        </is>
      </c>
    </row>
    <row r="320">
      <c r="A320" t="inlineStr">
        <is>
          <t>U-CD109-01-10</t>
        </is>
      </c>
      <c r="B320" t="inlineStr">
        <is>
          <t>Cendana</t>
        </is>
      </c>
      <c r="C320" t="inlineStr">
        <is>
          <t>Blk 109 Cendana Road #01-10 Singapura 470109</t>
        </is>
      </c>
      <c r="D320" t="inlineStr">
        <is>
          <t>Shop</t>
        </is>
      </c>
      <c r="E320" t="n">
        <v>96.2</v>
      </c>
      <c r="F320" t="inlineStr">
        <is>
          <t>NC-CD-1</t>
        </is>
      </c>
      <c r="G320" t="inlineStr">
        <is>
          <t>Tenanted</t>
        </is>
      </c>
    </row>
    <row r="321">
      <c r="A321" t="inlineStr">
        <is>
          <t>U-CD109-01-11</t>
        </is>
      </c>
      <c r="B321" t="inlineStr">
        <is>
          <t>Cendana</t>
        </is>
      </c>
      <c r="C321" t="inlineStr">
        <is>
          <t>Blk 109 Cendana Road #01-11 Singapura 470109</t>
        </is>
      </c>
      <c r="D321" t="inlineStr">
        <is>
          <t>Shop</t>
        </is>
      </c>
      <c r="E321" t="n">
        <v>67.2</v>
      </c>
      <c r="F321" t="inlineStr">
        <is>
          <t>NC-CD-1</t>
        </is>
      </c>
      <c r="G321" t="inlineStr">
        <is>
          <t>Tenanted</t>
        </is>
      </c>
    </row>
    <row r="322">
      <c r="A322" t="inlineStr">
        <is>
          <t>U-CD109-01-12</t>
        </is>
      </c>
      <c r="B322" t="inlineStr">
        <is>
          <t>Cendana</t>
        </is>
      </c>
      <c r="C322" t="inlineStr">
        <is>
          <t>Blk 109 Cendana Road #01-12 Singapura 470109</t>
        </is>
      </c>
      <c r="D322" t="inlineStr">
        <is>
          <t>Shop</t>
        </is>
      </c>
      <c r="E322" t="n">
        <v>109.6</v>
      </c>
      <c r="F322" t="inlineStr">
        <is>
          <t>NC-CD-1</t>
        </is>
      </c>
      <c r="G322" t="inlineStr">
        <is>
          <t>Tenanted</t>
        </is>
      </c>
    </row>
    <row r="323">
      <c r="A323" t="inlineStr">
        <is>
          <t>U-CD109-01-13</t>
        </is>
      </c>
      <c r="B323" t="inlineStr">
        <is>
          <t>Cendana</t>
        </is>
      </c>
      <c r="C323" t="inlineStr">
        <is>
          <t>Blk 109 Cendana Road #01-13 Singapura 470109</t>
        </is>
      </c>
      <c r="D323" t="inlineStr">
        <is>
          <t>Shop</t>
        </is>
      </c>
      <c r="E323" t="n">
        <v>72.09999999999999</v>
      </c>
      <c r="F323" t="inlineStr">
        <is>
          <t>NC-CD-1</t>
        </is>
      </c>
      <c r="G323" t="inlineStr">
        <is>
          <t>Tenanted</t>
        </is>
      </c>
    </row>
    <row r="324">
      <c r="A324" t="inlineStr">
        <is>
          <t>U-CD109-01-14</t>
        </is>
      </c>
      <c r="B324" t="inlineStr">
        <is>
          <t>Cendana</t>
        </is>
      </c>
      <c r="C324" t="inlineStr">
        <is>
          <t>Blk 109 Cendana Road #01-14 Singapura 470109</t>
        </is>
      </c>
      <c r="D324" t="inlineStr">
        <is>
          <t>Shop</t>
        </is>
      </c>
      <c r="E324" t="n">
        <v>90.7</v>
      </c>
      <c r="F324" t="inlineStr">
        <is>
          <t>NC-CD-1</t>
        </is>
      </c>
      <c r="G324" t="inlineStr">
        <is>
          <t>Tenanted</t>
        </is>
      </c>
    </row>
    <row r="325">
      <c r="A325" t="inlineStr">
        <is>
          <t>U-CD118-01-01</t>
        </is>
      </c>
      <c r="B325" t="inlineStr">
        <is>
          <t>Cendana</t>
        </is>
      </c>
      <c r="C325" t="inlineStr">
        <is>
          <t>Blk 118 Cendana Road #01-01 Singapura 470118</t>
        </is>
      </c>
      <c r="D325" t="inlineStr">
        <is>
          <t>Eating House</t>
        </is>
      </c>
      <c r="E325" t="n">
        <v>212.8</v>
      </c>
      <c r="F325" t="inlineStr">
        <is>
          <t>NC-CD-1</t>
        </is>
      </c>
      <c r="G325" t="inlineStr">
        <is>
          <t>Tenanted</t>
        </is>
      </c>
    </row>
    <row r="326">
      <c r="A326" t="inlineStr">
        <is>
          <t>U-CD118-01-02</t>
        </is>
      </c>
      <c r="B326" t="inlineStr">
        <is>
          <t>Cendana</t>
        </is>
      </c>
      <c r="C326" t="inlineStr">
        <is>
          <t>Blk 118 Cendana Road #01-02 Singapura 470118</t>
        </is>
      </c>
      <c r="D326" t="inlineStr">
        <is>
          <t>Shop</t>
        </is>
      </c>
      <c r="E326" t="n">
        <v>70.09999999999999</v>
      </c>
      <c r="F326" t="inlineStr">
        <is>
          <t>NC-CD-1</t>
        </is>
      </c>
      <c r="G326" t="inlineStr">
        <is>
          <t>Tenanted</t>
        </is>
      </c>
    </row>
    <row r="327">
      <c r="A327" t="inlineStr">
        <is>
          <t>U-CD118-01-03</t>
        </is>
      </c>
      <c r="B327" t="inlineStr">
        <is>
          <t>Cendana</t>
        </is>
      </c>
      <c r="C327" t="inlineStr">
        <is>
          <t>Blk 118 Cendana Road #01-03 Singapura 470118</t>
        </is>
      </c>
      <c r="D327" t="inlineStr">
        <is>
          <t>Shop</t>
        </is>
      </c>
      <c r="E327" t="n">
        <v>52.6</v>
      </c>
      <c r="F327" t="inlineStr">
        <is>
          <t>NC-CD-1</t>
        </is>
      </c>
      <c r="G327" t="inlineStr">
        <is>
          <t>Tenanted</t>
        </is>
      </c>
    </row>
    <row r="328">
      <c r="A328" t="inlineStr">
        <is>
          <t>U-CD118-01-04</t>
        </is>
      </c>
      <c r="B328" t="inlineStr">
        <is>
          <t>Cendana</t>
        </is>
      </c>
      <c r="C328" t="inlineStr">
        <is>
          <t>Blk 118 Cendana Road #01-04 Singapura 470118</t>
        </is>
      </c>
      <c r="D328" t="inlineStr">
        <is>
          <t>Shop</t>
        </is>
      </c>
      <c r="E328" t="n">
        <v>66</v>
      </c>
      <c r="F328" t="inlineStr">
        <is>
          <t>NC-CD-1</t>
        </is>
      </c>
      <c r="G328" t="inlineStr">
        <is>
          <t>Tenanted</t>
        </is>
      </c>
    </row>
    <row r="329">
      <c r="A329" t="inlineStr">
        <is>
          <t>U-CD118-02-05</t>
        </is>
      </c>
      <c r="B329" t="inlineStr">
        <is>
          <t>Cendana</t>
        </is>
      </c>
      <c r="C329" t="inlineStr">
        <is>
          <t>Blk 118 Cendana Road #02-05 Singapura 470118</t>
        </is>
      </c>
      <c r="D329" t="inlineStr">
        <is>
          <t>Office</t>
        </is>
      </c>
      <c r="E329" t="n">
        <v>138.3</v>
      </c>
      <c r="F329" t="inlineStr">
        <is>
          <t>NC-CD-1</t>
        </is>
      </c>
      <c r="G329" t="inlineStr">
        <is>
          <t>Tenanted</t>
        </is>
      </c>
    </row>
    <row r="330">
      <c r="A330" t="inlineStr">
        <is>
          <t>U-CD118-01-06</t>
        </is>
      </c>
      <c r="B330" t="inlineStr">
        <is>
          <t>Cendana</t>
        </is>
      </c>
      <c r="C330" t="inlineStr">
        <is>
          <t>Blk 118 Cendana Road #01-06 Singapura 470118</t>
        </is>
      </c>
      <c r="D330" t="inlineStr">
        <is>
          <t>Shop</t>
        </is>
      </c>
      <c r="E330" t="n">
        <v>100.4</v>
      </c>
      <c r="F330" t="inlineStr">
        <is>
          <t>NC-CD-1</t>
        </is>
      </c>
      <c r="G330" t="inlineStr">
        <is>
          <t>Tenanted</t>
        </is>
      </c>
    </row>
    <row r="331">
      <c r="A331" t="inlineStr">
        <is>
          <t>U-CD118-01-07</t>
        </is>
      </c>
      <c r="B331" t="inlineStr">
        <is>
          <t>Cendana</t>
        </is>
      </c>
      <c r="C331" t="inlineStr">
        <is>
          <t>Blk 118 Cendana Road #01-07 Singapura 470118</t>
        </is>
      </c>
      <c r="D331" t="inlineStr">
        <is>
          <t>Shop</t>
        </is>
      </c>
      <c r="E331" t="n">
        <v>46.5</v>
      </c>
      <c r="F331" t="inlineStr">
        <is>
          <t>NC-CD-1</t>
        </is>
      </c>
      <c r="G331" t="inlineStr">
        <is>
          <t>Tenanted</t>
        </is>
      </c>
    </row>
    <row r="332">
      <c r="A332" t="inlineStr">
        <is>
          <t>U-CD118-01-08</t>
        </is>
      </c>
      <c r="B332" t="inlineStr">
        <is>
          <t>Cendana</t>
        </is>
      </c>
      <c r="C332" t="inlineStr">
        <is>
          <t>Blk 118 Cendana Road #01-08 Singapura 470118</t>
        </is>
      </c>
      <c r="D332" t="inlineStr">
        <is>
          <t>Shop</t>
        </is>
      </c>
      <c r="E332" t="n">
        <v>73.90000000000001</v>
      </c>
      <c r="F332" t="inlineStr">
        <is>
          <t>NC-CD-1</t>
        </is>
      </c>
      <c r="G332" t="inlineStr">
        <is>
          <t>Tenanted</t>
        </is>
      </c>
    </row>
    <row r="333">
      <c r="A333" t="inlineStr">
        <is>
          <t>U-CD118-01-09</t>
        </is>
      </c>
      <c r="B333" t="inlineStr">
        <is>
          <t>Cendana</t>
        </is>
      </c>
      <c r="C333" t="inlineStr">
        <is>
          <t>Blk 118 Cendana Road #01-09 Singapura 470118</t>
        </is>
      </c>
      <c r="D333" t="inlineStr">
        <is>
          <t>Shop</t>
        </is>
      </c>
      <c r="E333" t="n">
        <v>73.09999999999999</v>
      </c>
      <c r="F333" t="inlineStr">
        <is>
          <t>NC-CD-1</t>
        </is>
      </c>
      <c r="G333" t="inlineStr">
        <is>
          <t>Tenanted</t>
        </is>
      </c>
    </row>
    <row r="334">
      <c r="A334" t="inlineStr">
        <is>
          <t>U-CD118-01-10</t>
        </is>
      </c>
      <c r="B334" t="inlineStr">
        <is>
          <t>Cendana</t>
        </is>
      </c>
      <c r="C334" t="inlineStr">
        <is>
          <t>Blk 118 Cendana Road #01-10 Singapura 470118</t>
        </is>
      </c>
      <c r="D334" t="inlineStr">
        <is>
          <t>Shop</t>
        </is>
      </c>
      <c r="E334" t="n">
        <v>81</v>
      </c>
      <c r="F334" t="inlineStr">
        <is>
          <t>NC-CD-1</t>
        </is>
      </c>
      <c r="G334" t="inlineStr">
        <is>
          <t>Tenanted</t>
        </is>
      </c>
    </row>
    <row r="335">
      <c r="A335" t="inlineStr">
        <is>
          <t>U-CD118-01-11</t>
        </is>
      </c>
      <c r="B335" t="inlineStr">
        <is>
          <t>Cendana</t>
        </is>
      </c>
      <c r="C335" t="inlineStr">
        <is>
          <t>Blk 118 Cendana Road #01-11 Singapura 470118</t>
        </is>
      </c>
      <c r="D335" t="inlineStr">
        <is>
          <t>Shop</t>
        </is>
      </c>
      <c r="E335" t="n">
        <v>48.9</v>
      </c>
      <c r="F335" t="inlineStr">
        <is>
          <t>NC-CD-1</t>
        </is>
      </c>
      <c r="G335" t="inlineStr">
        <is>
          <t>Tenanted</t>
        </is>
      </c>
    </row>
    <row r="336">
      <c r="A336" t="inlineStr">
        <is>
          <t>U-CD118-01-12</t>
        </is>
      </c>
      <c r="B336" t="inlineStr">
        <is>
          <t>Cendana</t>
        </is>
      </c>
      <c r="C336" t="inlineStr">
        <is>
          <t>Blk 118 Cendana Road #01-12 Singapura 470118</t>
        </is>
      </c>
      <c r="D336" t="inlineStr">
        <is>
          <t>Shop</t>
        </is>
      </c>
      <c r="E336" t="n">
        <v>87.5</v>
      </c>
      <c r="F336" t="inlineStr">
        <is>
          <t>NC-CD-1</t>
        </is>
      </c>
      <c r="G336" t="inlineStr">
        <is>
          <t>Tenanted</t>
        </is>
      </c>
    </row>
    <row r="337">
      <c r="A337" t="inlineStr">
        <is>
          <t>U-CD118-01-13</t>
        </is>
      </c>
      <c r="B337" t="inlineStr">
        <is>
          <t>Cendana</t>
        </is>
      </c>
      <c r="C337" t="inlineStr">
        <is>
          <t>Blk 118 Cendana Road #01-13 Singapura 470118</t>
        </is>
      </c>
      <c r="D337" t="inlineStr">
        <is>
          <t>Shop</t>
        </is>
      </c>
      <c r="E337" t="n">
        <v>64.7</v>
      </c>
      <c r="F337" t="inlineStr">
        <is>
          <t>NC-CD-1</t>
        </is>
      </c>
      <c r="G337" t="inlineStr">
        <is>
          <t>Vacant</t>
        </is>
      </c>
    </row>
    <row r="338">
      <c r="A338" t="inlineStr">
        <is>
          <t>U-CD118-01-14</t>
        </is>
      </c>
      <c r="B338" t="inlineStr">
        <is>
          <t>Cendana</t>
        </is>
      </c>
      <c r="C338" t="inlineStr">
        <is>
          <t>Blk 118 Cendana Road #01-14 Singapura 470118</t>
        </is>
      </c>
      <c r="D338" t="inlineStr">
        <is>
          <t>Shop</t>
        </is>
      </c>
      <c r="E338" t="n">
        <v>118.8</v>
      </c>
      <c r="F338" t="inlineStr">
        <is>
          <t>NC-CD-1</t>
        </is>
      </c>
      <c r="G338" t="inlineStr">
        <is>
          <t>Tenanted</t>
        </is>
      </c>
    </row>
    <row r="339">
      <c r="A339" t="inlineStr">
        <is>
          <t>U-CD118-01-15</t>
        </is>
      </c>
      <c r="B339" t="inlineStr">
        <is>
          <t>Cendana</t>
        </is>
      </c>
      <c r="C339" t="inlineStr">
        <is>
          <t>Blk 118 Cendana Road #01-15 Singapura 470118</t>
        </is>
      </c>
      <c r="D339" t="inlineStr">
        <is>
          <t>Shop</t>
        </is>
      </c>
      <c r="E339" t="n">
        <v>56.4</v>
      </c>
      <c r="F339" t="inlineStr">
        <is>
          <t>NC-CD-1</t>
        </is>
      </c>
      <c r="G339" t="inlineStr">
        <is>
          <t>Tenanted</t>
        </is>
      </c>
    </row>
    <row r="340">
      <c r="A340" t="inlineStr">
        <is>
          <t>U-CD118-01-16</t>
        </is>
      </c>
      <c r="B340" t="inlineStr">
        <is>
          <t>Cendana</t>
        </is>
      </c>
      <c r="C340" t="inlineStr">
        <is>
          <t>Blk 118 Cendana Road #01-16 Singapura 470118</t>
        </is>
      </c>
      <c r="D340" t="inlineStr">
        <is>
          <t>Office</t>
        </is>
      </c>
      <c r="E340" t="n">
        <v>126.4</v>
      </c>
      <c r="F340" t="inlineStr">
        <is>
          <t>NC-CD-1</t>
        </is>
      </c>
      <c r="G340" t="inlineStr">
        <is>
          <t>Tenanted</t>
        </is>
      </c>
    </row>
    <row r="341">
      <c r="A341" t="inlineStr">
        <is>
          <t>U-CD118-01-17</t>
        </is>
      </c>
      <c r="B341" t="inlineStr">
        <is>
          <t>Cendana</t>
        </is>
      </c>
      <c r="C341" t="inlineStr">
        <is>
          <t>Blk 118 Cendana Road #01-17 Singapura 470118</t>
        </is>
      </c>
      <c r="D341" t="inlineStr">
        <is>
          <t>Shop</t>
        </is>
      </c>
      <c r="E341" t="n">
        <v>49.6</v>
      </c>
      <c r="F341" t="inlineStr">
        <is>
          <t>NC-CD-1</t>
        </is>
      </c>
      <c r="G341" t="inlineStr">
        <is>
          <t>Tenanted</t>
        </is>
      </c>
    </row>
    <row r="342">
      <c r="A342" t="inlineStr">
        <is>
          <t>U-CD118-01-18</t>
        </is>
      </c>
      <c r="B342" t="inlineStr">
        <is>
          <t>Cendana</t>
        </is>
      </c>
      <c r="C342" t="inlineStr">
        <is>
          <t>Blk 118 Cendana Road #01-18 Singapura 470118</t>
        </is>
      </c>
      <c r="D342" t="inlineStr">
        <is>
          <t>Shop</t>
        </is>
      </c>
      <c r="E342" t="n">
        <v>74.5</v>
      </c>
      <c r="F342" t="inlineStr">
        <is>
          <t>NC-CD-1</t>
        </is>
      </c>
      <c r="G342" t="inlineStr">
        <is>
          <t>Tenanted</t>
        </is>
      </c>
    </row>
    <row r="343">
      <c r="A343" t="inlineStr">
        <is>
          <t>U-CD118-01-19</t>
        </is>
      </c>
      <c r="B343" t="inlineStr">
        <is>
          <t>Cendana</t>
        </is>
      </c>
      <c r="C343" t="inlineStr">
        <is>
          <t>Blk 118 Cendana Road #01-19 Singapura 470118</t>
        </is>
      </c>
      <c r="D343" t="inlineStr">
        <is>
          <t>Shop</t>
        </is>
      </c>
      <c r="E343" t="n">
        <v>82.59999999999999</v>
      </c>
      <c r="F343" t="inlineStr">
        <is>
          <t>NC-CD-1</t>
        </is>
      </c>
      <c r="G343" t="inlineStr">
        <is>
          <t>Tenanted</t>
        </is>
      </c>
    </row>
    <row r="344">
      <c r="A344" t="inlineStr">
        <is>
          <t>U-CD118-01-20</t>
        </is>
      </c>
      <c r="B344" t="inlineStr">
        <is>
          <t>Cendana</t>
        </is>
      </c>
      <c r="C344" t="inlineStr">
        <is>
          <t>Blk 118 Cendana Road #01-20 Singapura 470118</t>
        </is>
      </c>
      <c r="D344" t="inlineStr">
        <is>
          <t>Shop</t>
        </is>
      </c>
      <c r="E344" t="n">
        <v>84.7</v>
      </c>
      <c r="F344" t="inlineStr">
        <is>
          <t>NC-CD-1</t>
        </is>
      </c>
      <c r="G344" t="inlineStr">
        <is>
          <t>Tenanted</t>
        </is>
      </c>
    </row>
    <row r="345">
      <c r="A345" t="inlineStr">
        <is>
          <t>U-CD118-01-21</t>
        </is>
      </c>
      <c r="B345" t="inlineStr">
        <is>
          <t>Cendana</t>
        </is>
      </c>
      <c r="C345" t="inlineStr">
        <is>
          <t>Blk 118 Cendana Road #01-21 Singapura 470118</t>
        </is>
      </c>
      <c r="D345" t="inlineStr">
        <is>
          <t>Shop</t>
        </is>
      </c>
      <c r="E345" t="n">
        <v>68.3</v>
      </c>
      <c r="F345" t="inlineStr">
        <is>
          <t>NC-CD-1</t>
        </is>
      </c>
      <c r="G345" t="inlineStr">
        <is>
          <t>Tenanted</t>
        </is>
      </c>
    </row>
    <row r="346">
      <c r="A346" t="inlineStr">
        <is>
          <t>U-CD118-01-22</t>
        </is>
      </c>
      <c r="B346" t="inlineStr">
        <is>
          <t>Cendana</t>
        </is>
      </c>
      <c r="C346" t="inlineStr">
        <is>
          <t>Blk 118 Cendana Road #01-22 Singapura 470118</t>
        </is>
      </c>
      <c r="D346" t="inlineStr">
        <is>
          <t>Shop</t>
        </is>
      </c>
      <c r="E346" t="n">
        <v>99.40000000000001</v>
      </c>
      <c r="F346" t="inlineStr">
        <is>
          <t>NC-CD-1</t>
        </is>
      </c>
      <c r="G346" t="inlineStr">
        <is>
          <t>Tenanted</t>
        </is>
      </c>
    </row>
    <row r="347">
      <c r="A347" t="inlineStr">
        <is>
          <t>U-CD118-01-23</t>
        </is>
      </c>
      <c r="B347" t="inlineStr">
        <is>
          <t>Cendana</t>
        </is>
      </c>
      <c r="C347" t="inlineStr">
        <is>
          <t>Blk 118 Cendana Road #01-23 Singapura 470118</t>
        </is>
      </c>
      <c r="D347" t="inlineStr">
        <is>
          <t>Shop</t>
        </is>
      </c>
      <c r="E347" t="n">
        <v>76.8</v>
      </c>
      <c r="F347" t="inlineStr">
        <is>
          <t>NC-CD-1</t>
        </is>
      </c>
      <c r="G347" t="inlineStr">
        <is>
          <t>Tenanted</t>
        </is>
      </c>
    </row>
    <row r="348">
      <c r="A348" t="inlineStr">
        <is>
          <t>U-CD118-01-24</t>
        </is>
      </c>
      <c r="B348" t="inlineStr">
        <is>
          <t>Cendana</t>
        </is>
      </c>
      <c r="C348" t="inlineStr">
        <is>
          <t>Blk 118 Cendana Road #01-24 Singapura 470118</t>
        </is>
      </c>
      <c r="D348" t="inlineStr">
        <is>
          <t>Shop</t>
        </is>
      </c>
      <c r="E348" t="n">
        <v>65</v>
      </c>
      <c r="F348" t="inlineStr">
        <is>
          <t>NC-CD-1</t>
        </is>
      </c>
      <c r="G348" t="inlineStr">
        <is>
          <t>Tenanted</t>
        </is>
      </c>
    </row>
    <row r="349">
      <c r="A349" t="inlineStr">
        <is>
          <t>U-CD118-01-25</t>
        </is>
      </c>
      <c r="B349" t="inlineStr">
        <is>
          <t>Cendana</t>
        </is>
      </c>
      <c r="C349" t="inlineStr">
        <is>
          <t>Blk 118 Cendana Road #01-25 Singapura 470118</t>
        </is>
      </c>
      <c r="D349" t="inlineStr">
        <is>
          <t>Shop</t>
        </is>
      </c>
      <c r="E349" t="n">
        <v>72.40000000000001</v>
      </c>
      <c r="F349" t="inlineStr">
        <is>
          <t>NC-CD-1</t>
        </is>
      </c>
      <c r="G349" t="inlineStr">
        <is>
          <t>Tenanted</t>
        </is>
      </c>
    </row>
    <row r="350">
      <c r="A350" t="inlineStr">
        <is>
          <t>U-CD118-01-26</t>
        </is>
      </c>
      <c r="B350" t="inlineStr">
        <is>
          <t>Cendana</t>
        </is>
      </c>
      <c r="C350" t="inlineStr">
        <is>
          <t>Blk 118 Cendana Road #01-26 Singapura 470118</t>
        </is>
      </c>
      <c r="D350" t="inlineStr">
        <is>
          <t>Shop</t>
        </is>
      </c>
      <c r="E350" t="n">
        <v>63.2</v>
      </c>
      <c r="F350" t="inlineStr">
        <is>
          <t>NC-CD-1</t>
        </is>
      </c>
      <c r="G350" t="inlineStr">
        <is>
          <t>Tenanted</t>
        </is>
      </c>
    </row>
    <row r="351">
      <c r="A351" t="inlineStr">
        <is>
          <t>U-CD118-01-27</t>
        </is>
      </c>
      <c r="B351" t="inlineStr">
        <is>
          <t>Cendana</t>
        </is>
      </c>
      <c r="C351" t="inlineStr">
        <is>
          <t>Blk 118 Cendana Road #01-27 Singapura 470118</t>
        </is>
      </c>
      <c r="D351" t="inlineStr">
        <is>
          <t>Shop</t>
        </is>
      </c>
      <c r="E351" t="n">
        <v>117.3</v>
      </c>
      <c r="F351" t="inlineStr">
        <is>
          <t>NC-CD-1</t>
        </is>
      </c>
      <c r="G351" t="inlineStr">
        <is>
          <t>Tenanted</t>
        </is>
      </c>
    </row>
    <row r="352">
      <c r="A352" t="inlineStr">
        <is>
          <t>U-CD118-01-28</t>
        </is>
      </c>
      <c r="B352" t="inlineStr">
        <is>
          <t>Cendana</t>
        </is>
      </c>
      <c r="C352" t="inlineStr">
        <is>
          <t>Blk 118 Cendana Road #01-28 Singapura 470118</t>
        </is>
      </c>
      <c r="D352" t="inlineStr">
        <is>
          <t>Shop</t>
        </is>
      </c>
      <c r="E352" t="n">
        <v>115.8</v>
      </c>
      <c r="F352" t="inlineStr">
        <is>
          <t>NC-CD-1</t>
        </is>
      </c>
      <c r="G352" t="inlineStr">
        <is>
          <t>Tenanted</t>
        </is>
      </c>
    </row>
    <row r="353">
      <c r="A353" t="inlineStr">
        <is>
          <t>U-CD118-01-29</t>
        </is>
      </c>
      <c r="B353" t="inlineStr">
        <is>
          <t>Cendana</t>
        </is>
      </c>
      <c r="C353" t="inlineStr">
        <is>
          <t>Blk 118 Cendana Road #01-29 Singapura 470118</t>
        </is>
      </c>
      <c r="D353" t="inlineStr">
        <is>
          <t>Shop</t>
        </is>
      </c>
      <c r="E353" t="n">
        <v>95.2</v>
      </c>
      <c r="F353" t="inlineStr">
        <is>
          <t>NC-CD-1</t>
        </is>
      </c>
      <c r="G353" t="inlineStr">
        <is>
          <t>Tenanted</t>
        </is>
      </c>
    </row>
    <row r="354">
      <c r="A354" t="inlineStr">
        <is>
          <t>U-CD118-01-30</t>
        </is>
      </c>
      <c r="B354" t="inlineStr">
        <is>
          <t>Cendana</t>
        </is>
      </c>
      <c r="C354" t="inlineStr">
        <is>
          <t>Blk 118 Cendana Road #01-30 Singapura 470118</t>
        </is>
      </c>
      <c r="D354" t="inlineStr">
        <is>
          <t>Shop</t>
        </is>
      </c>
      <c r="E354" t="n">
        <v>74.90000000000001</v>
      </c>
      <c r="F354" t="inlineStr">
        <is>
          <t>NC-CD-1</t>
        </is>
      </c>
      <c r="G354" t="inlineStr">
        <is>
          <t>Tenanted</t>
        </is>
      </c>
    </row>
    <row r="355">
      <c r="A355" t="inlineStr">
        <is>
          <t>U-CD118-01-31</t>
        </is>
      </c>
      <c r="B355" t="inlineStr">
        <is>
          <t>Cendana</t>
        </is>
      </c>
      <c r="C355" t="inlineStr">
        <is>
          <t>Blk 118 Cendana Road #01-31 Singapura 470118</t>
        </is>
      </c>
      <c r="D355" t="inlineStr">
        <is>
          <t>Shop</t>
        </is>
      </c>
      <c r="E355" t="n">
        <v>74.90000000000001</v>
      </c>
      <c r="F355" t="inlineStr">
        <is>
          <t>NC-CD-1</t>
        </is>
      </c>
      <c r="G355" t="inlineStr">
        <is>
          <t>Tenanted</t>
        </is>
      </c>
    </row>
    <row r="356">
      <c r="A356" t="inlineStr">
        <is>
          <t>U-CD118-01-32</t>
        </is>
      </c>
      <c r="B356" t="inlineStr">
        <is>
          <t>Cendana</t>
        </is>
      </c>
      <c r="C356" t="inlineStr">
        <is>
          <t>Blk 118 Cendana Road #01-32 Singapura 470118</t>
        </is>
      </c>
      <c r="D356" t="inlineStr">
        <is>
          <t>Shop</t>
        </is>
      </c>
      <c r="E356" t="n">
        <v>46.3</v>
      </c>
      <c r="F356" t="inlineStr">
        <is>
          <t>NC-CD-1</t>
        </is>
      </c>
      <c r="G356" t="inlineStr">
        <is>
          <t>Tenanted</t>
        </is>
      </c>
    </row>
    <row r="357">
      <c r="A357" t="inlineStr">
        <is>
          <t>U-CD118-01-33</t>
        </is>
      </c>
      <c r="B357" t="inlineStr">
        <is>
          <t>Cendana</t>
        </is>
      </c>
      <c r="C357" t="inlineStr">
        <is>
          <t>Blk 118 Cendana Road #01-33 Singapura 470118</t>
        </is>
      </c>
      <c r="D357" t="inlineStr">
        <is>
          <t>Office</t>
        </is>
      </c>
      <c r="E357" t="n">
        <v>72.2</v>
      </c>
      <c r="F357" t="inlineStr">
        <is>
          <t>NC-CD-1</t>
        </is>
      </c>
      <c r="G357" t="inlineStr">
        <is>
          <t>Tenanted</t>
        </is>
      </c>
    </row>
    <row r="358">
      <c r="A358" t="inlineStr">
        <is>
          <t>U-CD118-01-34</t>
        </is>
      </c>
      <c r="B358" t="inlineStr">
        <is>
          <t>Cendana</t>
        </is>
      </c>
      <c r="C358" t="inlineStr">
        <is>
          <t>Blk 118 Cendana Road #01-34 Singapura 470118</t>
        </is>
      </c>
      <c r="D358" t="inlineStr">
        <is>
          <t>Shop with Living Quarters</t>
        </is>
      </c>
      <c r="E358" t="n">
        <v>63.8</v>
      </c>
      <c r="F358" t="inlineStr">
        <is>
          <t>NC-CD-1</t>
        </is>
      </c>
      <c r="G358" t="inlineStr">
        <is>
          <t>Tenanted</t>
        </is>
      </c>
    </row>
    <row r="359">
      <c r="A359" t="inlineStr">
        <is>
          <t>U-CD119-01-01</t>
        </is>
      </c>
      <c r="B359" t="inlineStr">
        <is>
          <t>Cendana</t>
        </is>
      </c>
      <c r="C359" t="inlineStr">
        <is>
          <t>Blk 119 Cendana Road #01-01 Singapura 470119</t>
        </is>
      </c>
      <c r="D359" t="inlineStr">
        <is>
          <t>Shop</t>
        </is>
      </c>
      <c r="E359" t="n">
        <v>55.5</v>
      </c>
      <c r="F359" t="inlineStr">
        <is>
          <t>NC-CD-1</t>
        </is>
      </c>
      <c r="G359" t="inlineStr">
        <is>
          <t>Tenanted</t>
        </is>
      </c>
    </row>
    <row r="360">
      <c r="A360" t="inlineStr">
        <is>
          <t>U-CD119-01-02</t>
        </is>
      </c>
      <c r="B360" t="inlineStr">
        <is>
          <t>Cendana</t>
        </is>
      </c>
      <c r="C360" t="inlineStr">
        <is>
          <t>Blk 119 Cendana Road #01-02 Singapura 470119</t>
        </is>
      </c>
      <c r="D360" t="inlineStr">
        <is>
          <t>Shop with Living Quarters</t>
        </is>
      </c>
      <c r="E360" t="n">
        <v>77.59999999999999</v>
      </c>
      <c r="F360" t="inlineStr">
        <is>
          <t>NC-CD-1</t>
        </is>
      </c>
      <c r="G360" t="inlineStr">
        <is>
          <t>Tenanted</t>
        </is>
      </c>
    </row>
    <row r="361">
      <c r="A361" t="inlineStr">
        <is>
          <t>U-CD119-02-03</t>
        </is>
      </c>
      <c r="B361" t="inlineStr">
        <is>
          <t>Cendana</t>
        </is>
      </c>
      <c r="C361" t="inlineStr">
        <is>
          <t>Blk 119 Cendana Road #02-03 Singapura 470119</t>
        </is>
      </c>
      <c r="D361" t="inlineStr">
        <is>
          <t>Office</t>
        </is>
      </c>
      <c r="E361" t="n">
        <v>64.8</v>
      </c>
      <c r="F361" t="inlineStr">
        <is>
          <t>NC-CD-1</t>
        </is>
      </c>
      <c r="G361" t="inlineStr">
        <is>
          <t>Tenanted</t>
        </is>
      </c>
    </row>
    <row r="362">
      <c r="A362" t="inlineStr">
        <is>
          <t>U-CD119-01-04</t>
        </is>
      </c>
      <c r="B362" t="inlineStr">
        <is>
          <t>Cendana</t>
        </is>
      </c>
      <c r="C362" t="inlineStr">
        <is>
          <t>Blk 119 Cendana Road #01-04 Singapura 470119</t>
        </is>
      </c>
      <c r="D362" t="inlineStr">
        <is>
          <t>Shop</t>
        </is>
      </c>
      <c r="E362" t="n">
        <v>60.5</v>
      </c>
      <c r="F362" t="inlineStr">
        <is>
          <t>NC-CD-1</t>
        </is>
      </c>
      <c r="G362" t="inlineStr">
        <is>
          <t>Tenanted</t>
        </is>
      </c>
    </row>
    <row r="363">
      <c r="A363" t="inlineStr">
        <is>
          <t>U-CD119-01-05</t>
        </is>
      </c>
      <c r="B363" t="inlineStr">
        <is>
          <t>Cendana</t>
        </is>
      </c>
      <c r="C363" t="inlineStr">
        <is>
          <t>Blk 119 Cendana Road #01-05 Singapura 470119</t>
        </is>
      </c>
      <c r="D363" t="inlineStr">
        <is>
          <t>Shop</t>
        </is>
      </c>
      <c r="E363" t="n">
        <v>52.2</v>
      </c>
      <c r="F363" t="inlineStr">
        <is>
          <t>NC-CD-1</t>
        </is>
      </c>
      <c r="G363" t="inlineStr">
        <is>
          <t>Tenanted</t>
        </is>
      </c>
    </row>
    <row r="364">
      <c r="A364" t="inlineStr">
        <is>
          <t>U-CD119-01-06</t>
        </is>
      </c>
      <c r="B364" t="inlineStr">
        <is>
          <t>Cendana</t>
        </is>
      </c>
      <c r="C364" t="inlineStr">
        <is>
          <t>Blk 119 Cendana Road #01-06 Singapura 470119</t>
        </is>
      </c>
      <c r="D364" t="inlineStr">
        <is>
          <t>Kiosk</t>
        </is>
      </c>
      <c r="E364" t="n">
        <v>6.7</v>
      </c>
      <c r="F364" t="inlineStr">
        <is>
          <t>NC-CD-1</t>
        </is>
      </c>
      <c r="G364" t="inlineStr">
        <is>
          <t>Tenanted</t>
        </is>
      </c>
    </row>
    <row r="365">
      <c r="A365" t="inlineStr">
        <is>
          <t>U-CD119-02-07</t>
        </is>
      </c>
      <c r="B365" t="inlineStr">
        <is>
          <t>Cendana</t>
        </is>
      </c>
      <c r="C365" t="inlineStr">
        <is>
          <t>Blk 119 Cendana Road #02-07 Singapura 470119</t>
        </is>
      </c>
      <c r="D365" t="inlineStr">
        <is>
          <t>Office</t>
        </is>
      </c>
      <c r="E365" t="n">
        <v>96.40000000000001</v>
      </c>
      <c r="F365" t="inlineStr">
        <is>
          <t>NC-CD-1</t>
        </is>
      </c>
      <c r="G365" t="inlineStr">
        <is>
          <t>Tenanted</t>
        </is>
      </c>
    </row>
    <row r="366">
      <c r="A366" t="inlineStr">
        <is>
          <t>U-CD120-01-01</t>
        </is>
      </c>
      <c r="B366" t="inlineStr">
        <is>
          <t>Cendana</t>
        </is>
      </c>
      <c r="C366" t="inlineStr">
        <is>
          <t>Blk 120 Jalan Cendana Indah #01-01 Singapura 470120</t>
        </is>
      </c>
      <c r="D366" t="inlineStr">
        <is>
          <t>Shop</t>
        </is>
      </c>
      <c r="E366" t="n">
        <v>110.6</v>
      </c>
      <c r="F366" t="inlineStr">
        <is>
          <t>NC-CD-1</t>
        </is>
      </c>
      <c r="G366" t="inlineStr">
        <is>
          <t>Tenanted</t>
        </is>
      </c>
    </row>
    <row r="367">
      <c r="A367" t="inlineStr">
        <is>
          <t>U-CD120-01-02</t>
        </is>
      </c>
      <c r="B367" t="inlineStr">
        <is>
          <t>Cendana</t>
        </is>
      </c>
      <c r="C367" t="inlineStr">
        <is>
          <t>Blk 120 Jalan Cendana Indah #01-02 Singapura 470120</t>
        </is>
      </c>
      <c r="D367" t="inlineStr">
        <is>
          <t>Shop</t>
        </is>
      </c>
      <c r="E367" t="n">
        <v>118.9</v>
      </c>
      <c r="F367" t="inlineStr">
        <is>
          <t>NC-CD-1</t>
        </is>
      </c>
      <c r="G367" t="inlineStr">
        <is>
          <t>Tenanted</t>
        </is>
      </c>
    </row>
    <row r="368">
      <c r="A368" t="inlineStr">
        <is>
          <t>U-CD120-01-03</t>
        </is>
      </c>
      <c r="B368" t="inlineStr">
        <is>
          <t>Cendana</t>
        </is>
      </c>
      <c r="C368" t="inlineStr">
        <is>
          <t>Blk 120 Jalan Cendana Indah #01-03 Singapura 470120</t>
        </is>
      </c>
      <c r="D368" t="inlineStr">
        <is>
          <t>Shop</t>
        </is>
      </c>
      <c r="E368" t="n">
        <v>117.7</v>
      </c>
      <c r="F368" t="inlineStr">
        <is>
          <t>NC-CD-1</t>
        </is>
      </c>
      <c r="G368" t="inlineStr">
        <is>
          <t>Tenanted</t>
        </is>
      </c>
    </row>
    <row r="369">
      <c r="A369" t="inlineStr">
        <is>
          <t>U-CD120-01-04</t>
        </is>
      </c>
      <c r="B369" t="inlineStr">
        <is>
          <t>Cendana</t>
        </is>
      </c>
      <c r="C369" t="inlineStr">
        <is>
          <t>Blk 120 Jalan Cendana Indah #01-04 Singapura 470120</t>
        </is>
      </c>
      <c r="D369" t="inlineStr">
        <is>
          <t>Shop</t>
        </is>
      </c>
      <c r="E369" t="n">
        <v>75.2</v>
      </c>
      <c r="F369" t="inlineStr">
        <is>
          <t>NC-CD-1</t>
        </is>
      </c>
      <c r="G369" t="inlineStr">
        <is>
          <t>Vacant</t>
        </is>
      </c>
    </row>
    <row r="370">
      <c r="A370" t="inlineStr">
        <is>
          <t>U-CD120-01-05</t>
        </is>
      </c>
      <c r="B370" t="inlineStr">
        <is>
          <t>Cendana</t>
        </is>
      </c>
      <c r="C370" t="inlineStr">
        <is>
          <t>Blk 120 Jalan Cendana Indah #01-05 Singapura 470120</t>
        </is>
      </c>
      <c r="D370" t="inlineStr">
        <is>
          <t>Shop</t>
        </is>
      </c>
      <c r="E370" t="n">
        <v>90.5</v>
      </c>
      <c r="F370" t="inlineStr">
        <is>
          <t>NC-CD-1</t>
        </is>
      </c>
      <c r="G370" t="inlineStr">
        <is>
          <t>Tenanted</t>
        </is>
      </c>
    </row>
    <row r="371">
      <c r="A371" t="inlineStr">
        <is>
          <t>U-CD120-01-06</t>
        </is>
      </c>
      <c r="B371" t="inlineStr">
        <is>
          <t>Cendana</t>
        </is>
      </c>
      <c r="C371" t="inlineStr">
        <is>
          <t>Blk 120 Jalan Cendana Indah #01-06 Singapura 470120</t>
        </is>
      </c>
      <c r="D371" t="inlineStr">
        <is>
          <t>Shop with Living Quarters</t>
        </is>
      </c>
      <c r="E371" t="n">
        <v>89.59999999999999</v>
      </c>
      <c r="F371" t="inlineStr">
        <is>
          <t>NC-CD-1</t>
        </is>
      </c>
      <c r="G371" t="inlineStr">
        <is>
          <t>Tenanted</t>
        </is>
      </c>
    </row>
    <row r="372">
      <c r="A372" t="inlineStr">
        <is>
          <t>U-CD120-01-07</t>
        </is>
      </c>
      <c r="B372" t="inlineStr">
        <is>
          <t>Cendana</t>
        </is>
      </c>
      <c r="C372" t="inlineStr">
        <is>
          <t>Blk 120 Jalan Cendana Indah #01-07 Singapura 470120</t>
        </is>
      </c>
      <c r="D372" t="inlineStr">
        <is>
          <t>Shop</t>
        </is>
      </c>
      <c r="E372" t="n">
        <v>45.9</v>
      </c>
      <c r="F372" t="inlineStr">
        <is>
          <t>NC-CD-1</t>
        </is>
      </c>
      <c r="G372" t="inlineStr">
        <is>
          <t>Tenanted</t>
        </is>
      </c>
    </row>
    <row r="373">
      <c r="A373" t="inlineStr">
        <is>
          <t>U-CD120-01-08</t>
        </is>
      </c>
      <c r="B373" t="inlineStr">
        <is>
          <t>Cendana</t>
        </is>
      </c>
      <c r="C373" t="inlineStr">
        <is>
          <t>Blk 120 Jalan Cendana Indah #01-08 Singapura 470120</t>
        </is>
      </c>
      <c r="D373" t="inlineStr">
        <is>
          <t>Shop</t>
        </is>
      </c>
      <c r="E373" t="n">
        <v>43</v>
      </c>
      <c r="F373" t="inlineStr">
        <is>
          <t>NC-CD-1</t>
        </is>
      </c>
      <c r="G373" t="inlineStr">
        <is>
          <t>Tenanted</t>
        </is>
      </c>
    </row>
    <row r="374">
      <c r="A374" t="inlineStr">
        <is>
          <t>U-CD120-01-09</t>
        </is>
      </c>
      <c r="B374" t="inlineStr">
        <is>
          <t>Cendana</t>
        </is>
      </c>
      <c r="C374" t="inlineStr">
        <is>
          <t>Blk 120 Jalan Cendana Indah #01-09 Singapura 470120</t>
        </is>
      </c>
      <c r="D374" t="inlineStr">
        <is>
          <t>Shop</t>
        </is>
      </c>
      <c r="E374" t="n">
        <v>63</v>
      </c>
      <c r="F374" t="inlineStr">
        <is>
          <t>NC-CD-1</t>
        </is>
      </c>
      <c r="G374" t="inlineStr">
        <is>
          <t>Tenanted</t>
        </is>
      </c>
    </row>
    <row r="375">
      <c r="A375" t="inlineStr">
        <is>
          <t>U-CD120-01-10</t>
        </is>
      </c>
      <c r="B375" t="inlineStr">
        <is>
          <t>Cendana</t>
        </is>
      </c>
      <c r="C375" t="inlineStr">
        <is>
          <t>Blk 120 Jalan Cendana Indah #01-10 Singapura 470120</t>
        </is>
      </c>
      <c r="D375" t="inlineStr">
        <is>
          <t>Shop</t>
        </is>
      </c>
      <c r="E375" t="n">
        <v>118.2</v>
      </c>
      <c r="F375" t="inlineStr">
        <is>
          <t>NC-CD-1</t>
        </is>
      </c>
      <c r="G375" t="inlineStr">
        <is>
          <t>Tenanted</t>
        </is>
      </c>
    </row>
    <row r="376">
      <c r="A376" t="inlineStr">
        <is>
          <t>U-CD120-01-11</t>
        </is>
      </c>
      <c r="B376" t="inlineStr">
        <is>
          <t>Cendana</t>
        </is>
      </c>
      <c r="C376" t="inlineStr">
        <is>
          <t>Blk 120 Jalan Cendana Indah #01-11 Singapura 470120</t>
        </is>
      </c>
      <c r="D376" t="inlineStr">
        <is>
          <t>Shop</t>
        </is>
      </c>
      <c r="E376" t="n">
        <v>87.5</v>
      </c>
      <c r="F376" t="inlineStr">
        <is>
          <t>NC-CD-1</t>
        </is>
      </c>
      <c r="G376" t="inlineStr">
        <is>
          <t>Tenanted</t>
        </is>
      </c>
    </row>
    <row r="377">
      <c r="A377" t="inlineStr">
        <is>
          <t>U-CD120-01-12</t>
        </is>
      </c>
      <c r="B377" t="inlineStr">
        <is>
          <t>Cendana</t>
        </is>
      </c>
      <c r="C377" t="inlineStr">
        <is>
          <t>Blk 120 Jalan Cendana Indah #01-12 Singapura 470120</t>
        </is>
      </c>
      <c r="D377" t="inlineStr">
        <is>
          <t>Shop</t>
        </is>
      </c>
      <c r="E377" t="n">
        <v>86.40000000000001</v>
      </c>
      <c r="F377" t="inlineStr">
        <is>
          <t>NC-CD-1</t>
        </is>
      </c>
      <c r="G377" t="inlineStr">
        <is>
          <t>Tenanted</t>
        </is>
      </c>
    </row>
    <row r="378">
      <c r="A378" t="inlineStr">
        <is>
          <t>U-CD120-01-13</t>
        </is>
      </c>
      <c r="B378" t="inlineStr">
        <is>
          <t>Cendana</t>
        </is>
      </c>
      <c r="C378" t="inlineStr">
        <is>
          <t>Blk 120 Jalan Cendana Indah #01-13 Singapura 470120</t>
        </is>
      </c>
      <c r="D378" t="inlineStr">
        <is>
          <t>Office</t>
        </is>
      </c>
      <c r="E378" t="n">
        <v>54.1</v>
      </c>
      <c r="F378" t="inlineStr">
        <is>
          <t>NC-CD-1</t>
        </is>
      </c>
      <c r="G378" t="inlineStr">
        <is>
          <t>Tenanted</t>
        </is>
      </c>
    </row>
    <row r="379">
      <c r="A379" t="inlineStr">
        <is>
          <t>U-CD129-01-01</t>
        </is>
      </c>
      <c r="B379" t="inlineStr">
        <is>
          <t>Cendana</t>
        </is>
      </c>
      <c r="C379" t="inlineStr">
        <is>
          <t>Blk 129 Cendana Street 11 #01-01 Singapura 470129</t>
        </is>
      </c>
      <c r="D379" t="inlineStr">
        <is>
          <t>Shop</t>
        </is>
      </c>
      <c r="E379" t="n">
        <v>78.09999999999999</v>
      </c>
      <c r="F379" t="inlineStr">
        <is>
          <t>NC-CD-3</t>
        </is>
      </c>
      <c r="G379" t="inlineStr">
        <is>
          <t>Tenanted</t>
        </is>
      </c>
    </row>
    <row r="380">
      <c r="A380" t="inlineStr">
        <is>
          <t>U-CD129-01-02</t>
        </is>
      </c>
      <c r="B380" t="inlineStr">
        <is>
          <t>Cendana</t>
        </is>
      </c>
      <c r="C380" t="inlineStr">
        <is>
          <t>Blk 129 Cendana Street 11 #01-02 Singapura 470129</t>
        </is>
      </c>
      <c r="D380" t="inlineStr">
        <is>
          <t>Shop</t>
        </is>
      </c>
      <c r="E380" t="n">
        <v>44.9</v>
      </c>
      <c r="F380" t="inlineStr">
        <is>
          <t>NC-CD-3</t>
        </is>
      </c>
      <c r="G380" t="inlineStr">
        <is>
          <t>Tenanted</t>
        </is>
      </c>
    </row>
    <row r="381">
      <c r="A381" t="inlineStr">
        <is>
          <t>U-CD129-01-03</t>
        </is>
      </c>
      <c r="B381" t="inlineStr">
        <is>
          <t>Cendana</t>
        </is>
      </c>
      <c r="C381" t="inlineStr">
        <is>
          <t>Blk 129 Cendana Street 11 #01-03 Singapura 470129</t>
        </is>
      </c>
      <c r="D381" t="inlineStr">
        <is>
          <t>Shop</t>
        </is>
      </c>
      <c r="E381" t="n">
        <v>111.9</v>
      </c>
      <c r="F381" t="inlineStr">
        <is>
          <t>NC-CD-3</t>
        </is>
      </c>
      <c r="G381" t="inlineStr">
        <is>
          <t>Tenanted</t>
        </is>
      </c>
    </row>
    <row r="382">
      <c r="A382" t="inlineStr">
        <is>
          <t>U-CD129-01-04</t>
        </is>
      </c>
      <c r="B382" t="inlineStr">
        <is>
          <t>Cendana</t>
        </is>
      </c>
      <c r="C382" t="inlineStr">
        <is>
          <t>Blk 129 Cendana Street 11 #01-04 Singapura 470129</t>
        </is>
      </c>
      <c r="D382" t="inlineStr">
        <is>
          <t>Shop</t>
        </is>
      </c>
      <c r="E382" t="n">
        <v>97.09999999999999</v>
      </c>
      <c r="F382" t="inlineStr">
        <is>
          <t>NC-CD-3</t>
        </is>
      </c>
      <c r="G382" t="inlineStr">
        <is>
          <t>Tenanted</t>
        </is>
      </c>
    </row>
    <row r="383">
      <c r="A383" t="inlineStr">
        <is>
          <t>U-CD129-01-05</t>
        </is>
      </c>
      <c r="B383" t="inlineStr">
        <is>
          <t>Cendana</t>
        </is>
      </c>
      <c r="C383" t="inlineStr">
        <is>
          <t>Blk 129 Cendana Street 11 #01-05 Singapura 470129</t>
        </is>
      </c>
      <c r="D383" t="inlineStr">
        <is>
          <t>Shop</t>
        </is>
      </c>
      <c r="E383" t="n">
        <v>53.8</v>
      </c>
      <c r="F383" t="inlineStr">
        <is>
          <t>NC-CD-3</t>
        </is>
      </c>
      <c r="G383" t="inlineStr">
        <is>
          <t>Tenanted</t>
        </is>
      </c>
    </row>
    <row r="384">
      <c r="A384" t="inlineStr">
        <is>
          <t>U-CD129-01-06</t>
        </is>
      </c>
      <c r="B384" t="inlineStr">
        <is>
          <t>Cendana</t>
        </is>
      </c>
      <c r="C384" t="inlineStr">
        <is>
          <t>Blk 129 Cendana Street 11 #01-06 Singapura 470129</t>
        </is>
      </c>
      <c r="D384" t="inlineStr">
        <is>
          <t>Shop</t>
        </is>
      </c>
      <c r="E384" t="n">
        <v>75</v>
      </c>
      <c r="F384" t="inlineStr">
        <is>
          <t>NC-CD-3</t>
        </is>
      </c>
      <c r="G384" t="inlineStr">
        <is>
          <t>Tenanted</t>
        </is>
      </c>
    </row>
    <row r="385">
      <c r="A385" t="inlineStr">
        <is>
          <t>U-CD129-01-07</t>
        </is>
      </c>
      <c r="B385" t="inlineStr">
        <is>
          <t>Cendana</t>
        </is>
      </c>
      <c r="C385" t="inlineStr">
        <is>
          <t>Blk 129 Cendana Street 11 #01-07 Singapura 470129</t>
        </is>
      </c>
      <c r="D385" t="inlineStr">
        <is>
          <t>Shop</t>
        </is>
      </c>
      <c r="E385" t="n">
        <v>81.8</v>
      </c>
      <c r="F385" t="inlineStr">
        <is>
          <t>NC-CD-3</t>
        </is>
      </c>
      <c r="G385" t="inlineStr">
        <is>
          <t>Tenanted</t>
        </is>
      </c>
    </row>
    <row r="386">
      <c r="A386" t="inlineStr">
        <is>
          <t>U-CD129-01-08</t>
        </is>
      </c>
      <c r="B386" t="inlineStr">
        <is>
          <t>Cendana</t>
        </is>
      </c>
      <c r="C386" t="inlineStr">
        <is>
          <t>Blk 129 Cendana Street 11 #01-08 Singapura 470129</t>
        </is>
      </c>
      <c r="D386" t="inlineStr">
        <is>
          <t>Shop</t>
        </is>
      </c>
      <c r="E386" t="n">
        <v>69.8</v>
      </c>
      <c r="F386" t="inlineStr">
        <is>
          <t>NC-CD-3</t>
        </is>
      </c>
      <c r="G386" t="inlineStr">
        <is>
          <t>Tenanted</t>
        </is>
      </c>
    </row>
    <row r="387">
      <c r="A387" t="inlineStr">
        <is>
          <t>U-CD129-01-09</t>
        </is>
      </c>
      <c r="B387" t="inlineStr">
        <is>
          <t>Cendana</t>
        </is>
      </c>
      <c r="C387" t="inlineStr">
        <is>
          <t>Blk 129 Cendana Street 11 #01-09 Singapura 470129</t>
        </is>
      </c>
      <c r="D387" t="inlineStr">
        <is>
          <t>Shop</t>
        </is>
      </c>
      <c r="E387" t="n">
        <v>72.7</v>
      </c>
      <c r="F387" t="inlineStr">
        <is>
          <t>NC-CD-3</t>
        </is>
      </c>
      <c r="G387" t="inlineStr">
        <is>
          <t>Tenanted</t>
        </is>
      </c>
    </row>
    <row r="388">
      <c r="A388" t="inlineStr">
        <is>
          <t>U-CD131-01-01</t>
        </is>
      </c>
      <c r="B388" t="inlineStr">
        <is>
          <t>Cendana</t>
        </is>
      </c>
      <c r="C388" t="inlineStr">
        <is>
          <t>Blk 131 Cendana Street 11 #01-01 Singapura 470131</t>
        </is>
      </c>
      <c r="D388" t="inlineStr">
        <is>
          <t>Eating House</t>
        </is>
      </c>
      <c r="E388" t="n">
        <v>295</v>
      </c>
      <c r="F388" t="inlineStr">
        <is>
          <t>NC-CD-2</t>
        </is>
      </c>
      <c r="G388" t="inlineStr">
        <is>
          <t>Tenanted</t>
        </is>
      </c>
    </row>
    <row r="389">
      <c r="A389" t="inlineStr">
        <is>
          <t>U-CD131-01-02</t>
        </is>
      </c>
      <c r="B389" t="inlineStr">
        <is>
          <t>Cendana</t>
        </is>
      </c>
      <c r="C389" t="inlineStr">
        <is>
          <t>Blk 131 Cendana Street 11 #01-02 Singapura 470131</t>
        </is>
      </c>
      <c r="D389" t="inlineStr">
        <is>
          <t>Shop</t>
        </is>
      </c>
      <c r="E389" t="n">
        <v>90.5</v>
      </c>
      <c r="F389" t="inlineStr">
        <is>
          <t>NC-CD-2</t>
        </is>
      </c>
      <c r="G389" t="inlineStr">
        <is>
          <t>Tenanted</t>
        </is>
      </c>
    </row>
    <row r="390">
      <c r="A390" t="inlineStr">
        <is>
          <t>U-CD131-01-03</t>
        </is>
      </c>
      <c r="B390" t="inlineStr">
        <is>
          <t>Cendana</t>
        </is>
      </c>
      <c r="C390" t="inlineStr">
        <is>
          <t>Blk 131 Cendana Street 11 #01-03 Singapura 470131</t>
        </is>
      </c>
      <c r="D390" t="inlineStr">
        <is>
          <t>Shop</t>
        </is>
      </c>
      <c r="E390" t="n">
        <v>66.40000000000001</v>
      </c>
      <c r="F390" t="inlineStr">
        <is>
          <t>NC-CD-2</t>
        </is>
      </c>
      <c r="G390" t="inlineStr">
        <is>
          <t>Tenanted</t>
        </is>
      </c>
    </row>
    <row r="391">
      <c r="A391" t="inlineStr">
        <is>
          <t>U-CD131-01-04</t>
        </is>
      </c>
      <c r="B391" t="inlineStr">
        <is>
          <t>Cendana</t>
        </is>
      </c>
      <c r="C391" t="inlineStr">
        <is>
          <t>Blk 131 Cendana Street 11 #01-04 Singapura 470131</t>
        </is>
      </c>
      <c r="D391" t="inlineStr">
        <is>
          <t>Shop</t>
        </is>
      </c>
      <c r="E391" t="n">
        <v>70.90000000000001</v>
      </c>
      <c r="F391" t="inlineStr">
        <is>
          <t>NC-CD-2</t>
        </is>
      </c>
      <c r="G391" t="inlineStr">
        <is>
          <t>Tenanted</t>
        </is>
      </c>
    </row>
    <row r="392">
      <c r="A392" t="inlineStr">
        <is>
          <t>U-CD131-01-05</t>
        </is>
      </c>
      <c r="B392" t="inlineStr">
        <is>
          <t>Cendana</t>
        </is>
      </c>
      <c r="C392" t="inlineStr">
        <is>
          <t>Blk 131 Cendana Street 11 #01-05 Singapura 470131</t>
        </is>
      </c>
      <c r="D392" t="inlineStr">
        <is>
          <t>Shop</t>
        </is>
      </c>
      <c r="E392" t="n">
        <v>108.1</v>
      </c>
      <c r="F392" t="inlineStr">
        <is>
          <t>NC-CD-2</t>
        </is>
      </c>
      <c r="G392" t="inlineStr">
        <is>
          <t>Tenanted</t>
        </is>
      </c>
    </row>
    <row r="393">
      <c r="A393" t="inlineStr">
        <is>
          <t>U-CD131-02-06</t>
        </is>
      </c>
      <c r="B393" t="inlineStr">
        <is>
          <t>Cendana</t>
        </is>
      </c>
      <c r="C393" t="inlineStr">
        <is>
          <t>Blk 131 Cendana Street 11 #02-06 Singapura 470131</t>
        </is>
      </c>
      <c r="D393" t="inlineStr">
        <is>
          <t>Office</t>
        </is>
      </c>
      <c r="E393" t="n">
        <v>65</v>
      </c>
      <c r="F393" t="inlineStr">
        <is>
          <t>NC-CD-2</t>
        </is>
      </c>
      <c r="G393" t="inlineStr">
        <is>
          <t>Tenanted</t>
        </is>
      </c>
    </row>
    <row r="394">
      <c r="A394" t="inlineStr">
        <is>
          <t>U-CD131-01-07</t>
        </is>
      </c>
      <c r="B394" t="inlineStr">
        <is>
          <t>Cendana</t>
        </is>
      </c>
      <c r="C394" t="inlineStr">
        <is>
          <t>Blk 131 Cendana Street 11 #01-07 Singapura 470131</t>
        </is>
      </c>
      <c r="D394" t="inlineStr">
        <is>
          <t>Shop</t>
        </is>
      </c>
      <c r="E394" t="n">
        <v>93.09999999999999</v>
      </c>
      <c r="F394" t="inlineStr">
        <is>
          <t>NC-CD-2</t>
        </is>
      </c>
      <c r="G394" t="inlineStr">
        <is>
          <t>Tenanted</t>
        </is>
      </c>
    </row>
    <row r="395">
      <c r="A395" t="inlineStr">
        <is>
          <t>U-CD131-02-08</t>
        </is>
      </c>
      <c r="B395" t="inlineStr">
        <is>
          <t>Cendana</t>
        </is>
      </c>
      <c r="C395" t="inlineStr">
        <is>
          <t>Blk 131 Cendana Street 11 #02-08 Singapura 470131</t>
        </is>
      </c>
      <c r="D395" t="inlineStr">
        <is>
          <t>Office</t>
        </is>
      </c>
      <c r="E395" t="n">
        <v>115.6</v>
      </c>
      <c r="F395" t="inlineStr">
        <is>
          <t>NC-CD-2</t>
        </is>
      </c>
      <c r="G395" t="inlineStr">
        <is>
          <t>Tenanted</t>
        </is>
      </c>
    </row>
    <row r="396">
      <c r="A396" t="inlineStr">
        <is>
          <t>U-CD131-01-09</t>
        </is>
      </c>
      <c r="B396" t="inlineStr">
        <is>
          <t>Cendana</t>
        </is>
      </c>
      <c r="C396" t="inlineStr">
        <is>
          <t>Blk 131 Cendana Street 11 #01-09 Singapura 470131</t>
        </is>
      </c>
      <c r="D396" t="inlineStr">
        <is>
          <t>Shop</t>
        </is>
      </c>
      <c r="E396" t="n">
        <v>50.3</v>
      </c>
      <c r="F396" t="inlineStr">
        <is>
          <t>NC-CD-2</t>
        </is>
      </c>
      <c r="G396" t="inlineStr">
        <is>
          <t>Tenanted</t>
        </is>
      </c>
    </row>
    <row r="397">
      <c r="A397" t="inlineStr">
        <is>
          <t>U-CD131-01-10</t>
        </is>
      </c>
      <c r="B397" t="inlineStr">
        <is>
          <t>Cendana</t>
        </is>
      </c>
      <c r="C397" t="inlineStr">
        <is>
          <t>Blk 131 Cendana Street 11 #01-10 Singapura 470131</t>
        </is>
      </c>
      <c r="D397" t="inlineStr">
        <is>
          <t>Kiosk</t>
        </is>
      </c>
      <c r="E397" t="n">
        <v>6.8</v>
      </c>
      <c r="F397" t="inlineStr">
        <is>
          <t>NC-CD-2</t>
        </is>
      </c>
      <c r="G397" t="inlineStr">
        <is>
          <t>Tenanted</t>
        </is>
      </c>
    </row>
    <row r="398">
      <c r="A398" t="inlineStr">
        <is>
          <t>U-CD131-01-11</t>
        </is>
      </c>
      <c r="B398" t="inlineStr">
        <is>
          <t>Cendana</t>
        </is>
      </c>
      <c r="C398" t="inlineStr">
        <is>
          <t>Blk 131 Cendana Street 11 #01-11 Singapura 470131</t>
        </is>
      </c>
      <c r="D398" t="inlineStr">
        <is>
          <t>Shop</t>
        </is>
      </c>
      <c r="E398" t="n">
        <v>91.5</v>
      </c>
      <c r="F398" t="inlineStr">
        <is>
          <t>NC-CD-2</t>
        </is>
      </c>
      <c r="G398" t="inlineStr">
        <is>
          <t>Tenanted</t>
        </is>
      </c>
    </row>
    <row r="399">
      <c r="A399" t="inlineStr">
        <is>
          <t>U-CD133-01-01</t>
        </is>
      </c>
      <c r="B399" t="inlineStr">
        <is>
          <t>Cendana</t>
        </is>
      </c>
      <c r="C399" t="inlineStr">
        <is>
          <t>Blk 133 Cendana Street 11 #01-01 Singapura 470133</t>
        </is>
      </c>
      <c r="D399" t="inlineStr">
        <is>
          <t>Shop with Living Quarters</t>
        </is>
      </c>
      <c r="E399" t="n">
        <v>93.5</v>
      </c>
      <c r="F399" t="inlineStr">
        <is>
          <t>NC-CD-3</t>
        </is>
      </c>
      <c r="G399" t="inlineStr">
        <is>
          <t>Tenanted</t>
        </is>
      </c>
    </row>
    <row r="400">
      <c r="A400" t="inlineStr">
        <is>
          <t>U-CD133-01-02</t>
        </is>
      </c>
      <c r="B400" t="inlineStr">
        <is>
          <t>Cendana</t>
        </is>
      </c>
      <c r="C400" t="inlineStr">
        <is>
          <t>Blk 133 Cendana Street 11 #01-02 Singapura 470133</t>
        </is>
      </c>
      <c r="D400" t="inlineStr">
        <is>
          <t>Shop with Living Quarters</t>
        </is>
      </c>
      <c r="E400" t="n">
        <v>96.90000000000001</v>
      </c>
      <c r="F400" t="inlineStr">
        <is>
          <t>NC-CD-3</t>
        </is>
      </c>
      <c r="G400" t="inlineStr">
        <is>
          <t>Tenanted</t>
        </is>
      </c>
    </row>
    <row r="401">
      <c r="A401" t="inlineStr">
        <is>
          <t>U-CD133-01-03</t>
        </is>
      </c>
      <c r="B401" t="inlineStr">
        <is>
          <t>Cendana</t>
        </is>
      </c>
      <c r="C401" t="inlineStr">
        <is>
          <t>Blk 133 Cendana Street 11 #01-03 Singapura 470133</t>
        </is>
      </c>
      <c r="D401" t="inlineStr">
        <is>
          <t>Kiosk</t>
        </is>
      </c>
      <c r="E401" t="n">
        <v>10.7</v>
      </c>
      <c r="F401" t="inlineStr">
        <is>
          <t>NC-CD-3</t>
        </is>
      </c>
      <c r="G401" t="inlineStr">
        <is>
          <t>Tenanted</t>
        </is>
      </c>
    </row>
    <row r="402">
      <c r="A402" t="inlineStr">
        <is>
          <t>U-CD133-01-04</t>
        </is>
      </c>
      <c r="B402" t="inlineStr">
        <is>
          <t>Cendana</t>
        </is>
      </c>
      <c r="C402" t="inlineStr">
        <is>
          <t>Blk 133 Cendana Street 11 #01-04 Singapura 470133</t>
        </is>
      </c>
      <c r="D402" t="inlineStr">
        <is>
          <t>Shop</t>
        </is>
      </c>
      <c r="E402" t="n">
        <v>73.90000000000001</v>
      </c>
      <c r="F402" t="inlineStr">
        <is>
          <t>NC-CD-3</t>
        </is>
      </c>
      <c r="G402" t="inlineStr">
        <is>
          <t>Tenanted</t>
        </is>
      </c>
    </row>
    <row r="403">
      <c r="A403" t="inlineStr">
        <is>
          <t>U-CD133-01-05</t>
        </is>
      </c>
      <c r="B403" t="inlineStr">
        <is>
          <t>Cendana</t>
        </is>
      </c>
      <c r="C403" t="inlineStr">
        <is>
          <t>Blk 133 Cendana Street 11 #01-05 Singapura 470133</t>
        </is>
      </c>
      <c r="D403" t="inlineStr">
        <is>
          <t>Shop</t>
        </is>
      </c>
      <c r="E403" t="n">
        <v>69</v>
      </c>
      <c r="F403" t="inlineStr">
        <is>
          <t>NC-CD-3</t>
        </is>
      </c>
      <c r="G403" t="inlineStr">
        <is>
          <t>Tenanted</t>
        </is>
      </c>
    </row>
    <row r="404">
      <c r="A404" t="inlineStr">
        <is>
          <t>U-CD133-01-06</t>
        </is>
      </c>
      <c r="B404" t="inlineStr">
        <is>
          <t>Cendana</t>
        </is>
      </c>
      <c r="C404" t="inlineStr">
        <is>
          <t>Blk 133 Cendana Street 11 #01-06 Singapura 470133</t>
        </is>
      </c>
      <c r="D404" t="inlineStr">
        <is>
          <t>Shop</t>
        </is>
      </c>
      <c r="E404" t="n">
        <v>57.1</v>
      </c>
      <c r="F404" t="inlineStr">
        <is>
          <t>NC-CD-3</t>
        </is>
      </c>
      <c r="G404" t="inlineStr">
        <is>
          <t>Tenanted</t>
        </is>
      </c>
    </row>
    <row r="405">
      <c r="A405" t="inlineStr">
        <is>
          <t>U-CD133-02-07</t>
        </is>
      </c>
      <c r="B405" t="inlineStr">
        <is>
          <t>Cendana</t>
        </is>
      </c>
      <c r="C405" t="inlineStr">
        <is>
          <t>Blk 133 Cendana Street 11 #02-07 Singapura 470133</t>
        </is>
      </c>
      <c r="D405" t="inlineStr">
        <is>
          <t>Office</t>
        </is>
      </c>
      <c r="E405" t="n">
        <v>72.7</v>
      </c>
      <c r="F405" t="inlineStr">
        <is>
          <t>NC-CD-3</t>
        </is>
      </c>
      <c r="G405" t="inlineStr">
        <is>
          <t>Tenanted</t>
        </is>
      </c>
    </row>
    <row r="406">
      <c r="A406" t="inlineStr">
        <is>
          <t>U-CD133-01-08</t>
        </is>
      </c>
      <c r="B406" t="inlineStr">
        <is>
          <t>Cendana</t>
        </is>
      </c>
      <c r="C406" t="inlineStr">
        <is>
          <t>Blk 133 Cendana Street 11 #01-08 Singapura 470133</t>
        </is>
      </c>
      <c r="D406" t="inlineStr">
        <is>
          <t>Shop</t>
        </is>
      </c>
      <c r="E406" t="n">
        <v>46.2</v>
      </c>
      <c r="F406" t="inlineStr">
        <is>
          <t>NC-CD-3</t>
        </is>
      </c>
      <c r="G406" t="inlineStr">
        <is>
          <t>Tenanted</t>
        </is>
      </c>
    </row>
    <row r="407">
      <c r="A407" t="inlineStr">
        <is>
          <t>U-CD133-01-09</t>
        </is>
      </c>
      <c r="B407" t="inlineStr">
        <is>
          <t>Cendana</t>
        </is>
      </c>
      <c r="C407" t="inlineStr">
        <is>
          <t>Blk 133 Cendana Street 11 #01-09 Singapura 470133</t>
        </is>
      </c>
      <c r="D407" t="inlineStr">
        <is>
          <t>Shop with Living Quarters</t>
        </is>
      </c>
      <c r="E407" t="n">
        <v>65.09999999999999</v>
      </c>
      <c r="F407" t="inlineStr">
        <is>
          <t>NC-CD-3</t>
        </is>
      </c>
      <c r="G407" t="inlineStr">
        <is>
          <t>Tenanted</t>
        </is>
      </c>
    </row>
    <row r="408">
      <c r="A408" t="inlineStr">
        <is>
          <t>U-CD133-01-10</t>
        </is>
      </c>
      <c r="B408" t="inlineStr">
        <is>
          <t>Cendana</t>
        </is>
      </c>
      <c r="C408" t="inlineStr">
        <is>
          <t>Blk 133 Cendana Street 11 #01-10 Singapura 470133</t>
        </is>
      </c>
      <c r="D408" t="inlineStr">
        <is>
          <t>Kiosk</t>
        </is>
      </c>
      <c r="E408" t="n">
        <v>13.5</v>
      </c>
      <c r="F408" t="inlineStr">
        <is>
          <t>NC-CD-3</t>
        </is>
      </c>
      <c r="G408" t="inlineStr">
        <is>
          <t>Tenanted</t>
        </is>
      </c>
    </row>
    <row r="409">
      <c r="A409" t="inlineStr">
        <is>
          <t>U-CD133-02-11</t>
        </is>
      </c>
      <c r="B409" t="inlineStr">
        <is>
          <t>Cendana</t>
        </is>
      </c>
      <c r="C409" t="inlineStr">
        <is>
          <t>Blk 133 Cendana Street 11 #02-11 Singapura 470133</t>
        </is>
      </c>
      <c r="D409" t="inlineStr">
        <is>
          <t>Office</t>
        </is>
      </c>
      <c r="E409" t="n">
        <v>83.7</v>
      </c>
      <c r="F409" t="inlineStr">
        <is>
          <t>NC-CD-3</t>
        </is>
      </c>
      <c r="G409" t="inlineStr">
        <is>
          <t>Tenanted</t>
        </is>
      </c>
    </row>
    <row r="410">
      <c r="A410" t="inlineStr">
        <is>
          <t>U-CD135-01-01</t>
        </is>
      </c>
      <c r="B410" t="inlineStr">
        <is>
          <t>Cendana</t>
        </is>
      </c>
      <c r="C410" t="inlineStr">
        <is>
          <t>Blk 135 Jalan Cendana Indah #01-01 Singapura 470135</t>
        </is>
      </c>
      <c r="D410" t="inlineStr">
        <is>
          <t>Shop</t>
        </is>
      </c>
      <c r="E410" t="n">
        <v>52.3</v>
      </c>
      <c r="F410" t="inlineStr">
        <is>
          <t>NC-CD-3</t>
        </is>
      </c>
      <c r="G410" t="inlineStr">
        <is>
          <t>Tenanted</t>
        </is>
      </c>
    </row>
    <row r="411">
      <c r="A411" t="inlineStr">
        <is>
          <t>U-CD135-01-02</t>
        </is>
      </c>
      <c r="B411" t="inlineStr">
        <is>
          <t>Cendana</t>
        </is>
      </c>
      <c r="C411" t="inlineStr">
        <is>
          <t>Blk 135 Jalan Cendana Indah #01-02 Singapura 470135</t>
        </is>
      </c>
      <c r="D411" t="inlineStr">
        <is>
          <t>Shop</t>
        </is>
      </c>
      <c r="E411" t="n">
        <v>95.40000000000001</v>
      </c>
      <c r="F411" t="inlineStr">
        <is>
          <t>NC-CD-3</t>
        </is>
      </c>
      <c r="G411" t="inlineStr">
        <is>
          <t>Tenanted</t>
        </is>
      </c>
    </row>
    <row r="412">
      <c r="A412" t="inlineStr">
        <is>
          <t>U-CD135-01-03</t>
        </is>
      </c>
      <c r="B412" t="inlineStr">
        <is>
          <t>Cendana</t>
        </is>
      </c>
      <c r="C412" t="inlineStr">
        <is>
          <t>Blk 135 Jalan Cendana Indah #01-03 Singapura 470135</t>
        </is>
      </c>
      <c r="D412" t="inlineStr">
        <is>
          <t>Shop</t>
        </is>
      </c>
      <c r="E412" t="n">
        <v>112.2</v>
      </c>
      <c r="F412" t="inlineStr">
        <is>
          <t>NC-CD-3</t>
        </is>
      </c>
      <c r="G412" t="inlineStr">
        <is>
          <t>Tenanted</t>
        </is>
      </c>
    </row>
    <row r="413">
      <c r="A413" t="inlineStr">
        <is>
          <t>U-CD135-01-04</t>
        </is>
      </c>
      <c r="B413" t="inlineStr">
        <is>
          <t>Cendana</t>
        </is>
      </c>
      <c r="C413" t="inlineStr">
        <is>
          <t>Blk 135 Jalan Cendana Indah #01-04 Singapura 470135</t>
        </is>
      </c>
      <c r="D413" t="inlineStr">
        <is>
          <t>Kiosk</t>
        </is>
      </c>
      <c r="E413" t="n">
        <v>6.4</v>
      </c>
      <c r="F413" t="inlineStr">
        <is>
          <t>NC-CD-3</t>
        </is>
      </c>
      <c r="G413" t="inlineStr">
        <is>
          <t>Tenanted</t>
        </is>
      </c>
    </row>
    <row r="414">
      <c r="A414" t="inlineStr">
        <is>
          <t>U-CD135-01-05</t>
        </is>
      </c>
      <c r="B414" t="inlineStr">
        <is>
          <t>Cendana</t>
        </is>
      </c>
      <c r="C414" t="inlineStr">
        <is>
          <t>Blk 135 Jalan Cendana Indah #01-05 Singapura 470135</t>
        </is>
      </c>
      <c r="D414" t="inlineStr">
        <is>
          <t>Shop</t>
        </is>
      </c>
      <c r="E414" t="n">
        <v>97.59999999999999</v>
      </c>
      <c r="F414" t="inlineStr">
        <is>
          <t>NC-CD-3</t>
        </is>
      </c>
      <c r="G414" t="inlineStr">
        <is>
          <t>Tenanted</t>
        </is>
      </c>
    </row>
    <row r="415">
      <c r="A415" t="inlineStr">
        <is>
          <t>U-CD135-02-06</t>
        </is>
      </c>
      <c r="B415" t="inlineStr">
        <is>
          <t>Cendana</t>
        </is>
      </c>
      <c r="C415" t="inlineStr">
        <is>
          <t>Blk 135 Jalan Cendana Indah #02-06 Singapura 470135</t>
        </is>
      </c>
      <c r="D415" t="inlineStr">
        <is>
          <t>Office</t>
        </is>
      </c>
      <c r="E415" t="n">
        <v>125.2</v>
      </c>
      <c r="F415" t="inlineStr">
        <is>
          <t>NC-CD-3</t>
        </is>
      </c>
      <c r="G415" t="inlineStr">
        <is>
          <t>Tenanted</t>
        </is>
      </c>
    </row>
    <row r="416">
      <c r="A416" t="inlineStr">
        <is>
          <t>U-CD135-01-07</t>
        </is>
      </c>
      <c r="B416" t="inlineStr">
        <is>
          <t>Cendana</t>
        </is>
      </c>
      <c r="C416" t="inlineStr">
        <is>
          <t>Blk 135 Jalan Cendana Indah #01-07 Singapura 470135</t>
        </is>
      </c>
      <c r="D416" t="inlineStr">
        <is>
          <t>Shop with Living Quarters</t>
        </is>
      </c>
      <c r="E416" t="n">
        <v>71.7</v>
      </c>
      <c r="F416" t="inlineStr">
        <is>
          <t>NC-CD-3</t>
        </is>
      </c>
      <c r="G416" t="inlineStr">
        <is>
          <t>Tenanted</t>
        </is>
      </c>
    </row>
    <row r="417">
      <c r="A417" t="inlineStr">
        <is>
          <t>U-CD135-01-08</t>
        </is>
      </c>
      <c r="B417" t="inlineStr">
        <is>
          <t>Cendana</t>
        </is>
      </c>
      <c r="C417" t="inlineStr">
        <is>
          <t>Blk 135 Jalan Cendana Indah #01-08 Singapura 470135</t>
        </is>
      </c>
      <c r="D417" t="inlineStr">
        <is>
          <t>Shop</t>
        </is>
      </c>
      <c r="E417" t="n">
        <v>117.2</v>
      </c>
      <c r="F417" t="inlineStr">
        <is>
          <t>NC-CD-3</t>
        </is>
      </c>
      <c r="G417" t="inlineStr">
        <is>
          <t>Tenanted</t>
        </is>
      </c>
    </row>
    <row r="418">
      <c r="A418" t="inlineStr">
        <is>
          <t>U-CD136-02-01</t>
        </is>
      </c>
      <c r="B418" t="inlineStr">
        <is>
          <t>Cendana</t>
        </is>
      </c>
      <c r="C418" t="inlineStr">
        <is>
          <t>Blk 136 Jalan Cendana Indah #02-01 Singapura 470136</t>
        </is>
      </c>
      <c r="D418" t="inlineStr">
        <is>
          <t>Office</t>
        </is>
      </c>
      <c r="E418" t="n">
        <v>117.8</v>
      </c>
      <c r="F418" t="inlineStr">
        <is>
          <t>NC-CD-3</t>
        </is>
      </c>
      <c r="G418" t="inlineStr">
        <is>
          <t>Tenanted</t>
        </is>
      </c>
    </row>
    <row r="419">
      <c r="A419" t="inlineStr">
        <is>
          <t>U-CD136-01-02</t>
        </is>
      </c>
      <c r="B419" t="inlineStr">
        <is>
          <t>Cendana</t>
        </is>
      </c>
      <c r="C419" t="inlineStr">
        <is>
          <t>Blk 136 Jalan Cendana Indah #01-02 Singapura 470136</t>
        </is>
      </c>
      <c r="D419" t="inlineStr">
        <is>
          <t>Shop</t>
        </is>
      </c>
      <c r="E419" t="n">
        <v>75.2</v>
      </c>
      <c r="F419" t="inlineStr">
        <is>
          <t>NC-CD-3</t>
        </is>
      </c>
      <c r="G419" t="inlineStr">
        <is>
          <t>Tenanted</t>
        </is>
      </c>
    </row>
    <row r="420">
      <c r="A420" t="inlineStr">
        <is>
          <t>U-CD136-01-03</t>
        </is>
      </c>
      <c r="B420" t="inlineStr">
        <is>
          <t>Cendana</t>
        </is>
      </c>
      <c r="C420" t="inlineStr">
        <is>
          <t>Blk 136 Jalan Cendana Indah #01-03 Singapura 470136</t>
        </is>
      </c>
      <c r="D420" t="inlineStr">
        <is>
          <t>Kiosk</t>
        </is>
      </c>
      <c r="E420" t="n">
        <v>13</v>
      </c>
      <c r="F420" t="inlineStr">
        <is>
          <t>NC-CD-3</t>
        </is>
      </c>
      <c r="G420" t="inlineStr">
        <is>
          <t>Tenanted</t>
        </is>
      </c>
    </row>
    <row r="421">
      <c r="A421" t="inlineStr">
        <is>
          <t>U-CD136-01-04</t>
        </is>
      </c>
      <c r="B421" t="inlineStr">
        <is>
          <t>Cendana</t>
        </is>
      </c>
      <c r="C421" t="inlineStr">
        <is>
          <t>Blk 136 Jalan Cendana Indah #01-04 Singapura 470136</t>
        </is>
      </c>
      <c r="D421" t="inlineStr">
        <is>
          <t>Shop</t>
        </is>
      </c>
      <c r="E421" t="n">
        <v>73.5</v>
      </c>
      <c r="F421" t="inlineStr">
        <is>
          <t>NC-CD-3</t>
        </is>
      </c>
      <c r="G421" t="inlineStr">
        <is>
          <t>Tenanted</t>
        </is>
      </c>
    </row>
    <row r="422">
      <c r="A422" t="inlineStr">
        <is>
          <t>U-CD136-01-05</t>
        </is>
      </c>
      <c r="B422" t="inlineStr">
        <is>
          <t>Cendana</t>
        </is>
      </c>
      <c r="C422" t="inlineStr">
        <is>
          <t>Blk 136 Jalan Cendana Indah #01-05 Singapura 470136</t>
        </is>
      </c>
      <c r="D422" t="inlineStr">
        <is>
          <t>Shop</t>
        </is>
      </c>
      <c r="E422" t="n">
        <v>56</v>
      </c>
      <c r="F422" t="inlineStr">
        <is>
          <t>NC-CD-3</t>
        </is>
      </c>
      <c r="G422" t="inlineStr">
        <is>
          <t>Tenanted</t>
        </is>
      </c>
    </row>
    <row r="423">
      <c r="A423" t="inlineStr">
        <is>
          <t>U-CD136-01-06</t>
        </is>
      </c>
      <c r="B423" t="inlineStr">
        <is>
          <t>Cendana</t>
        </is>
      </c>
      <c r="C423" t="inlineStr">
        <is>
          <t>Blk 136 Jalan Cendana Indah #01-06 Singapura 470136</t>
        </is>
      </c>
      <c r="D423" t="inlineStr">
        <is>
          <t>Shop</t>
        </is>
      </c>
      <c r="E423" t="n">
        <v>109.8</v>
      </c>
      <c r="F423" t="inlineStr">
        <is>
          <t>NC-CD-3</t>
        </is>
      </c>
      <c r="G423" t="inlineStr">
        <is>
          <t>Tenanted</t>
        </is>
      </c>
    </row>
    <row r="424">
      <c r="A424" t="inlineStr">
        <is>
          <t>U-CD136-01-07</t>
        </is>
      </c>
      <c r="B424" t="inlineStr">
        <is>
          <t>Cendana</t>
        </is>
      </c>
      <c r="C424" t="inlineStr">
        <is>
          <t>Blk 136 Jalan Cendana Indah #01-07 Singapura 470136</t>
        </is>
      </c>
      <c r="D424" t="inlineStr">
        <is>
          <t>Shop</t>
        </is>
      </c>
      <c r="E424" t="n">
        <v>78.40000000000001</v>
      </c>
      <c r="F424" t="inlineStr">
        <is>
          <t>NC-CD-3</t>
        </is>
      </c>
      <c r="G424" t="inlineStr">
        <is>
          <t>Tenanted</t>
        </is>
      </c>
    </row>
    <row r="425">
      <c r="A425" t="inlineStr">
        <is>
          <t>U-CD136-01-08</t>
        </is>
      </c>
      <c r="B425" t="inlineStr">
        <is>
          <t>Cendana</t>
        </is>
      </c>
      <c r="C425" t="inlineStr">
        <is>
          <t>Blk 136 Jalan Cendana Indah #01-08 Singapura 470136</t>
        </is>
      </c>
      <c r="D425" t="inlineStr">
        <is>
          <t>Shop</t>
        </is>
      </c>
      <c r="E425" t="n">
        <v>114.7</v>
      </c>
      <c r="F425" t="inlineStr">
        <is>
          <t>NC-CD-3</t>
        </is>
      </c>
      <c r="G425" t="inlineStr">
        <is>
          <t>Tenanted</t>
        </is>
      </c>
    </row>
    <row r="426">
      <c r="A426" t="inlineStr">
        <is>
          <t>U-CD136-01-09</t>
        </is>
      </c>
      <c r="B426" t="inlineStr">
        <is>
          <t>Cendana</t>
        </is>
      </c>
      <c r="C426" t="inlineStr">
        <is>
          <t>Blk 136 Jalan Cendana Indah #01-09 Singapura 470136</t>
        </is>
      </c>
      <c r="D426" t="inlineStr">
        <is>
          <t>Kiosk</t>
        </is>
      </c>
      <c r="E426" t="n">
        <v>10.6</v>
      </c>
      <c r="F426" t="inlineStr">
        <is>
          <t>NC-CD-3</t>
        </is>
      </c>
      <c r="G426" t="inlineStr">
        <is>
          <t>Tenanted</t>
        </is>
      </c>
    </row>
    <row r="427">
      <c r="A427" t="inlineStr">
        <is>
          <t>U-CD136-01-10</t>
        </is>
      </c>
      <c r="B427" t="inlineStr">
        <is>
          <t>Cendana</t>
        </is>
      </c>
      <c r="C427" t="inlineStr">
        <is>
          <t>Blk 136 Jalan Cendana Indah #01-10 Singapura 470136</t>
        </is>
      </c>
      <c r="D427" t="inlineStr">
        <is>
          <t>Shop</t>
        </is>
      </c>
      <c r="E427" t="n">
        <v>46.7</v>
      </c>
      <c r="F427" t="inlineStr">
        <is>
          <t>NC-CD-3</t>
        </is>
      </c>
      <c r="G427" t="inlineStr">
        <is>
          <t>Tenanted</t>
        </is>
      </c>
    </row>
    <row r="428">
      <c r="A428" t="inlineStr">
        <is>
          <t>U-CD136-01-11</t>
        </is>
      </c>
      <c r="B428" t="inlineStr">
        <is>
          <t>Cendana</t>
        </is>
      </c>
      <c r="C428" t="inlineStr">
        <is>
          <t>Blk 136 Jalan Cendana Indah #01-11 Singapura 470136</t>
        </is>
      </c>
      <c r="D428" t="inlineStr">
        <is>
          <t>Shop</t>
        </is>
      </c>
      <c r="E428" t="n">
        <v>75.90000000000001</v>
      </c>
      <c r="F428" t="inlineStr">
        <is>
          <t>NC-CD-3</t>
        </is>
      </c>
      <c r="G428" t="inlineStr">
        <is>
          <t>Tenanted</t>
        </is>
      </c>
    </row>
    <row r="429">
      <c r="A429" t="inlineStr">
        <is>
          <t>U-CD136-01-12</t>
        </is>
      </c>
      <c r="B429" t="inlineStr">
        <is>
          <t>Cendana</t>
        </is>
      </c>
      <c r="C429" t="inlineStr">
        <is>
          <t>Blk 136 Jalan Cendana Indah #01-12 Singapura 470136</t>
        </is>
      </c>
      <c r="D429" t="inlineStr">
        <is>
          <t>Shop</t>
        </is>
      </c>
      <c r="E429" t="n">
        <v>106.5</v>
      </c>
      <c r="F429" t="inlineStr">
        <is>
          <t>NC-CD-3</t>
        </is>
      </c>
      <c r="G429" t="inlineStr">
        <is>
          <t>Tenanted</t>
        </is>
      </c>
    </row>
    <row r="430">
      <c r="A430" t="inlineStr">
        <is>
          <t>U-CD136-01-13</t>
        </is>
      </c>
      <c r="B430" t="inlineStr">
        <is>
          <t>Cendana</t>
        </is>
      </c>
      <c r="C430" t="inlineStr">
        <is>
          <t>Blk 136 Jalan Cendana Indah #01-13 Singapura 470136</t>
        </is>
      </c>
      <c r="D430" t="inlineStr">
        <is>
          <t>Shop</t>
        </is>
      </c>
      <c r="E430" t="n">
        <v>112.8</v>
      </c>
      <c r="F430" t="inlineStr">
        <is>
          <t>NC-CD-3</t>
        </is>
      </c>
      <c r="G430" t="inlineStr">
        <is>
          <t>Tenanted</t>
        </is>
      </c>
    </row>
    <row r="431">
      <c r="A431" t="inlineStr">
        <is>
          <t>U-CD142-01-01</t>
        </is>
      </c>
      <c r="B431" t="inlineStr">
        <is>
          <t>Cendana</t>
        </is>
      </c>
      <c r="C431" t="inlineStr">
        <is>
          <t>Blk 142 Cendana Street 11 #01-01 Singapura 470142</t>
        </is>
      </c>
      <c r="D431" t="inlineStr">
        <is>
          <t>Office</t>
        </is>
      </c>
      <c r="E431" t="n">
        <v>91.5</v>
      </c>
      <c r="F431" t="inlineStr">
        <is>
          <t>NC-CD-3</t>
        </is>
      </c>
      <c r="G431" t="inlineStr">
        <is>
          <t>Tenanted</t>
        </is>
      </c>
    </row>
    <row r="432">
      <c r="A432" t="inlineStr">
        <is>
          <t>U-CD142-01-02</t>
        </is>
      </c>
      <c r="B432" t="inlineStr">
        <is>
          <t>Cendana</t>
        </is>
      </c>
      <c r="C432" t="inlineStr">
        <is>
          <t>Blk 142 Cendana Street 11 #01-02 Singapura 470142</t>
        </is>
      </c>
      <c r="D432" t="inlineStr">
        <is>
          <t>Shop</t>
        </is>
      </c>
      <c r="E432" t="n">
        <v>69.90000000000001</v>
      </c>
      <c r="F432" t="inlineStr">
        <is>
          <t>NC-CD-3</t>
        </is>
      </c>
      <c r="G432" t="inlineStr">
        <is>
          <t>Tenanted</t>
        </is>
      </c>
    </row>
    <row r="433">
      <c r="A433" t="inlineStr">
        <is>
          <t>U-CD142-01-03</t>
        </is>
      </c>
      <c r="B433" t="inlineStr">
        <is>
          <t>Cendana</t>
        </is>
      </c>
      <c r="C433" t="inlineStr">
        <is>
          <t>Blk 142 Cendana Street 11 #01-03 Singapura 470142</t>
        </is>
      </c>
      <c r="D433" t="inlineStr">
        <is>
          <t>Shop</t>
        </is>
      </c>
      <c r="E433" t="n">
        <v>46.5</v>
      </c>
      <c r="F433" t="inlineStr">
        <is>
          <t>NC-CD-3</t>
        </is>
      </c>
      <c r="G433" t="inlineStr">
        <is>
          <t>Tenanted</t>
        </is>
      </c>
    </row>
    <row r="434">
      <c r="A434" t="inlineStr">
        <is>
          <t>U-CD142-01-04</t>
        </is>
      </c>
      <c r="B434" t="inlineStr">
        <is>
          <t>Cendana</t>
        </is>
      </c>
      <c r="C434" t="inlineStr">
        <is>
          <t>Blk 142 Cendana Street 11 #01-04 Singapura 470142</t>
        </is>
      </c>
      <c r="D434" t="inlineStr">
        <is>
          <t>Shop</t>
        </is>
      </c>
      <c r="E434" t="n">
        <v>65.5</v>
      </c>
      <c r="F434" t="inlineStr">
        <is>
          <t>NC-CD-3</t>
        </is>
      </c>
      <c r="G434" t="inlineStr">
        <is>
          <t>Tenanted</t>
        </is>
      </c>
    </row>
    <row r="435">
      <c r="A435" t="inlineStr">
        <is>
          <t>U-CD142-01-05</t>
        </is>
      </c>
      <c r="B435" t="inlineStr">
        <is>
          <t>Cendana</t>
        </is>
      </c>
      <c r="C435" t="inlineStr">
        <is>
          <t>Blk 142 Cendana Street 11 #01-05 Singapura 470142</t>
        </is>
      </c>
      <c r="D435" t="inlineStr">
        <is>
          <t>Shop</t>
        </is>
      </c>
      <c r="E435" t="n">
        <v>97.2</v>
      </c>
      <c r="F435" t="inlineStr">
        <is>
          <t>NC-CD-3</t>
        </is>
      </c>
      <c r="G435" t="inlineStr">
        <is>
          <t>Tenanted</t>
        </is>
      </c>
    </row>
    <row r="436">
      <c r="A436" t="inlineStr">
        <is>
          <t>U-CD142-01-06</t>
        </is>
      </c>
      <c r="B436" t="inlineStr">
        <is>
          <t>Cendana</t>
        </is>
      </c>
      <c r="C436" t="inlineStr">
        <is>
          <t>Blk 142 Cendana Street 11 #01-06 Singapura 470142</t>
        </is>
      </c>
      <c r="D436" t="inlineStr">
        <is>
          <t>Shop</t>
        </is>
      </c>
      <c r="E436" t="n">
        <v>51.7</v>
      </c>
      <c r="F436" t="inlineStr">
        <is>
          <t>NC-CD-3</t>
        </is>
      </c>
      <c r="G436" t="inlineStr">
        <is>
          <t>Tenanted</t>
        </is>
      </c>
    </row>
    <row r="437">
      <c r="A437" t="inlineStr">
        <is>
          <t>U-CD142-01-07</t>
        </is>
      </c>
      <c r="B437" t="inlineStr">
        <is>
          <t>Cendana</t>
        </is>
      </c>
      <c r="C437" t="inlineStr">
        <is>
          <t>Blk 142 Cendana Street 11 #01-07 Singapura 470142</t>
        </is>
      </c>
      <c r="D437" t="inlineStr">
        <is>
          <t>Shop</t>
        </is>
      </c>
      <c r="E437" t="n">
        <v>113.4</v>
      </c>
      <c r="F437" t="inlineStr">
        <is>
          <t>NC-CD-3</t>
        </is>
      </c>
      <c r="G437" t="inlineStr">
        <is>
          <t>Tenanted</t>
        </is>
      </c>
    </row>
    <row r="438">
      <c r="A438" t="inlineStr">
        <is>
          <t>U-CD142-01-08</t>
        </is>
      </c>
      <c r="B438" t="inlineStr">
        <is>
          <t>Cendana</t>
        </is>
      </c>
      <c r="C438" t="inlineStr">
        <is>
          <t>Blk 142 Cendana Street 11 #01-08 Singapura 470142</t>
        </is>
      </c>
      <c r="D438" t="inlineStr">
        <is>
          <t>Shop</t>
        </is>
      </c>
      <c r="E438" t="n">
        <v>106.5</v>
      </c>
      <c r="F438" t="inlineStr">
        <is>
          <t>NC-CD-3</t>
        </is>
      </c>
      <c r="G438" t="inlineStr">
        <is>
          <t>Tenanted</t>
        </is>
      </c>
    </row>
    <row r="439">
      <c r="A439" t="inlineStr">
        <is>
          <t>U-CD142-01-09</t>
        </is>
      </c>
      <c r="B439" t="inlineStr">
        <is>
          <t>Cendana</t>
        </is>
      </c>
      <c r="C439" t="inlineStr">
        <is>
          <t>Blk 142 Cendana Street 11 #01-09 Singapura 470142</t>
        </is>
      </c>
      <c r="D439" t="inlineStr">
        <is>
          <t>Kiosk</t>
        </is>
      </c>
      <c r="E439" t="n">
        <v>10.2</v>
      </c>
      <c r="F439" t="inlineStr">
        <is>
          <t>NC-CD-3</t>
        </is>
      </c>
      <c r="G439" t="inlineStr">
        <is>
          <t>Tenanted</t>
        </is>
      </c>
    </row>
    <row r="440">
      <c r="A440" t="inlineStr">
        <is>
          <t>U-CD142-01-10</t>
        </is>
      </c>
      <c r="B440" t="inlineStr">
        <is>
          <t>Cendana</t>
        </is>
      </c>
      <c r="C440" t="inlineStr">
        <is>
          <t>Blk 142 Cendana Street 11 #01-10 Singapura 470142</t>
        </is>
      </c>
      <c r="D440" t="inlineStr">
        <is>
          <t>Shop</t>
        </is>
      </c>
      <c r="E440" t="n">
        <v>112.5</v>
      </c>
      <c r="F440" t="inlineStr">
        <is>
          <t>NC-CD-3</t>
        </is>
      </c>
      <c r="G440" t="inlineStr">
        <is>
          <t>Under Tender</t>
        </is>
      </c>
    </row>
    <row r="441">
      <c r="A441" t="inlineStr">
        <is>
          <t>U-CD142-01-11</t>
        </is>
      </c>
      <c r="B441" t="inlineStr">
        <is>
          <t>Cendana</t>
        </is>
      </c>
      <c r="C441" t="inlineStr">
        <is>
          <t>Blk 142 Cendana Street 11 #01-11 Singapura 470142</t>
        </is>
      </c>
      <c r="D441" t="inlineStr">
        <is>
          <t>Shop</t>
        </is>
      </c>
      <c r="E441" t="n">
        <v>57.3</v>
      </c>
      <c r="F441" t="inlineStr">
        <is>
          <t>NC-CD-3</t>
        </is>
      </c>
      <c r="G441" t="inlineStr">
        <is>
          <t>Vacant</t>
        </is>
      </c>
    </row>
    <row r="442">
      <c r="A442" t="inlineStr">
        <is>
          <t>U-CD142-01-12</t>
        </is>
      </c>
      <c r="B442" t="inlineStr">
        <is>
          <t>Cendana</t>
        </is>
      </c>
      <c r="C442" t="inlineStr">
        <is>
          <t>Blk 142 Cendana Street 11 #01-12 Singapura 470142</t>
        </is>
      </c>
      <c r="D442" t="inlineStr">
        <is>
          <t>Shop</t>
        </is>
      </c>
      <c r="E442" t="n">
        <v>115.2</v>
      </c>
      <c r="F442" t="inlineStr">
        <is>
          <t>NC-CD-3</t>
        </is>
      </c>
      <c r="G442" t="inlineStr">
        <is>
          <t>Tenanted</t>
        </is>
      </c>
    </row>
    <row r="443">
      <c r="A443" t="inlineStr">
        <is>
          <t>U-CD142-01-13</t>
        </is>
      </c>
      <c r="B443" t="inlineStr">
        <is>
          <t>Cendana</t>
        </is>
      </c>
      <c r="C443" t="inlineStr">
        <is>
          <t>Blk 142 Cendana Street 11 #01-13 Singapura 470142</t>
        </is>
      </c>
      <c r="D443" t="inlineStr">
        <is>
          <t>Shop</t>
        </is>
      </c>
      <c r="E443" t="n">
        <v>73.90000000000001</v>
      </c>
      <c r="F443" t="inlineStr">
        <is>
          <t>NC-CD-3</t>
        </is>
      </c>
      <c r="G443" t="inlineStr">
        <is>
          <t>Tenanted</t>
        </is>
      </c>
    </row>
    <row r="444">
      <c r="A444" t="inlineStr">
        <is>
          <t>U-CD143-01-01</t>
        </is>
      </c>
      <c r="B444" t="inlineStr">
        <is>
          <t>Cendana</t>
        </is>
      </c>
      <c r="C444" t="inlineStr">
        <is>
          <t>Blk 143 Cendana Street 11 #01-01 Singapura 470143</t>
        </is>
      </c>
      <c r="D444" t="inlineStr">
        <is>
          <t>Shop</t>
        </is>
      </c>
      <c r="E444" t="n">
        <v>49.7</v>
      </c>
      <c r="F444" t="inlineStr">
        <is>
          <t>NC-CD-2</t>
        </is>
      </c>
      <c r="G444" t="inlineStr">
        <is>
          <t>Tenanted</t>
        </is>
      </c>
    </row>
    <row r="445">
      <c r="A445" t="inlineStr">
        <is>
          <t>U-CD143-01-02</t>
        </is>
      </c>
      <c r="B445" t="inlineStr">
        <is>
          <t>Cendana</t>
        </is>
      </c>
      <c r="C445" t="inlineStr">
        <is>
          <t>Blk 143 Cendana Street 11 #01-02 Singapura 470143</t>
        </is>
      </c>
      <c r="D445" t="inlineStr">
        <is>
          <t>Shop</t>
        </is>
      </c>
      <c r="E445" t="n">
        <v>91.09999999999999</v>
      </c>
      <c r="F445" t="inlineStr">
        <is>
          <t>NC-CD-2</t>
        </is>
      </c>
      <c r="G445" t="inlineStr">
        <is>
          <t>Tenanted</t>
        </is>
      </c>
    </row>
    <row r="446">
      <c r="A446" t="inlineStr">
        <is>
          <t>U-CD143-01-03</t>
        </is>
      </c>
      <c r="B446" t="inlineStr">
        <is>
          <t>Cendana</t>
        </is>
      </c>
      <c r="C446" t="inlineStr">
        <is>
          <t>Blk 143 Cendana Street 11 #01-03 Singapura 470143</t>
        </is>
      </c>
      <c r="D446" t="inlineStr">
        <is>
          <t>Shop</t>
        </is>
      </c>
      <c r="E446" t="n">
        <v>45</v>
      </c>
      <c r="F446" t="inlineStr">
        <is>
          <t>NC-CD-2</t>
        </is>
      </c>
      <c r="G446" t="inlineStr">
        <is>
          <t>Tenanted</t>
        </is>
      </c>
    </row>
    <row r="447">
      <c r="A447" t="inlineStr">
        <is>
          <t>U-CD143-01-04</t>
        </is>
      </c>
      <c r="B447" t="inlineStr">
        <is>
          <t>Cendana</t>
        </is>
      </c>
      <c r="C447" t="inlineStr">
        <is>
          <t>Blk 143 Cendana Street 11 #01-04 Singapura 470143</t>
        </is>
      </c>
      <c r="D447" t="inlineStr">
        <is>
          <t>Shop with Living Quarters</t>
        </is>
      </c>
      <c r="E447" t="n">
        <v>85</v>
      </c>
      <c r="F447" t="inlineStr">
        <is>
          <t>NC-CD-2</t>
        </is>
      </c>
      <c r="G447" t="inlineStr">
        <is>
          <t>Tenanted</t>
        </is>
      </c>
    </row>
    <row r="448">
      <c r="A448" t="inlineStr">
        <is>
          <t>U-CD143-01-05</t>
        </is>
      </c>
      <c r="B448" t="inlineStr">
        <is>
          <t>Cendana</t>
        </is>
      </c>
      <c r="C448" t="inlineStr">
        <is>
          <t>Blk 143 Cendana Street 11 #01-05 Singapura 470143</t>
        </is>
      </c>
      <c r="D448" t="inlineStr">
        <is>
          <t>Shop</t>
        </is>
      </c>
      <c r="E448" t="n">
        <v>90.59999999999999</v>
      </c>
      <c r="F448" t="inlineStr">
        <is>
          <t>NC-CD-2</t>
        </is>
      </c>
      <c r="G448" t="inlineStr">
        <is>
          <t>Tenanted</t>
        </is>
      </c>
    </row>
    <row r="449">
      <c r="A449" t="inlineStr">
        <is>
          <t>U-CD143-01-06</t>
        </is>
      </c>
      <c r="B449" t="inlineStr">
        <is>
          <t>Cendana</t>
        </is>
      </c>
      <c r="C449" t="inlineStr">
        <is>
          <t>Blk 143 Cendana Street 11 #01-06 Singapura 470143</t>
        </is>
      </c>
      <c r="D449" t="inlineStr">
        <is>
          <t>Shop</t>
        </is>
      </c>
      <c r="E449" t="n">
        <v>97.5</v>
      </c>
      <c r="F449" t="inlineStr">
        <is>
          <t>NC-CD-2</t>
        </is>
      </c>
      <c r="G449" t="inlineStr">
        <is>
          <t>Vacant</t>
        </is>
      </c>
    </row>
    <row r="450">
      <c r="A450" t="inlineStr">
        <is>
          <t>U-CD143-01-07</t>
        </is>
      </c>
      <c r="B450" t="inlineStr">
        <is>
          <t>Cendana</t>
        </is>
      </c>
      <c r="C450" t="inlineStr">
        <is>
          <t>Blk 143 Cendana Street 11 #01-07 Singapura 470143</t>
        </is>
      </c>
      <c r="D450" t="inlineStr">
        <is>
          <t>Shop</t>
        </is>
      </c>
      <c r="E450" t="n">
        <v>40.1</v>
      </c>
      <c r="F450" t="inlineStr">
        <is>
          <t>NC-CD-2</t>
        </is>
      </c>
      <c r="G450" t="inlineStr">
        <is>
          <t>Tenanted</t>
        </is>
      </c>
    </row>
    <row r="451">
      <c r="A451" t="inlineStr">
        <is>
          <t>U-CD143-01-08</t>
        </is>
      </c>
      <c r="B451" t="inlineStr">
        <is>
          <t>Cendana</t>
        </is>
      </c>
      <c r="C451" t="inlineStr">
        <is>
          <t>Blk 143 Cendana Street 11 #01-08 Singapura 470143</t>
        </is>
      </c>
      <c r="D451" t="inlineStr">
        <is>
          <t>Shop</t>
        </is>
      </c>
      <c r="E451" t="n">
        <v>85.7</v>
      </c>
      <c r="F451" t="inlineStr">
        <is>
          <t>NC-CD-2</t>
        </is>
      </c>
      <c r="G451" t="inlineStr">
        <is>
          <t>Tenanted</t>
        </is>
      </c>
    </row>
    <row r="452">
      <c r="A452" t="inlineStr">
        <is>
          <t>U-CD143-01-09</t>
        </is>
      </c>
      <c r="B452" t="inlineStr">
        <is>
          <t>Cendana</t>
        </is>
      </c>
      <c r="C452" t="inlineStr">
        <is>
          <t>Blk 143 Cendana Street 11 #01-09 Singapura 470143</t>
        </is>
      </c>
      <c r="D452" t="inlineStr">
        <is>
          <t>Shop</t>
        </is>
      </c>
      <c r="E452" t="n">
        <v>93.5</v>
      </c>
      <c r="F452" t="inlineStr">
        <is>
          <t>NC-CD-2</t>
        </is>
      </c>
      <c r="G452" t="inlineStr">
        <is>
          <t>Tenanted</t>
        </is>
      </c>
    </row>
    <row r="453">
      <c r="A453" t="inlineStr">
        <is>
          <t>U-CD143-01-10</t>
        </is>
      </c>
      <c r="B453" t="inlineStr">
        <is>
          <t>Cendana</t>
        </is>
      </c>
      <c r="C453" t="inlineStr">
        <is>
          <t>Blk 143 Cendana Street 11 #01-10 Singapura 470143</t>
        </is>
      </c>
      <c r="D453" t="inlineStr">
        <is>
          <t>Shop</t>
        </is>
      </c>
      <c r="E453" t="n">
        <v>68.8</v>
      </c>
      <c r="F453" t="inlineStr">
        <is>
          <t>NC-CD-2</t>
        </is>
      </c>
      <c r="G453" t="inlineStr">
        <is>
          <t>Tenanted</t>
        </is>
      </c>
    </row>
    <row r="454">
      <c r="A454" t="inlineStr">
        <is>
          <t>U-CD152-01-01</t>
        </is>
      </c>
      <c r="B454" t="inlineStr">
        <is>
          <t>Cendana</t>
        </is>
      </c>
      <c r="C454" t="inlineStr">
        <is>
          <t>Blk 152 Cendana Road #01-01 Singapura 470152</t>
        </is>
      </c>
      <c r="D454" t="inlineStr">
        <is>
          <t>Shop</t>
        </is>
      </c>
      <c r="E454" t="n">
        <v>102.9</v>
      </c>
      <c r="F454" t="inlineStr">
        <is>
          <t>NC-CD-2</t>
        </is>
      </c>
      <c r="G454" t="inlineStr">
        <is>
          <t>Tenanted</t>
        </is>
      </c>
    </row>
    <row r="455">
      <c r="A455" t="inlineStr">
        <is>
          <t>U-CD152-01-02</t>
        </is>
      </c>
      <c r="B455" t="inlineStr">
        <is>
          <t>Cendana</t>
        </is>
      </c>
      <c r="C455" t="inlineStr">
        <is>
          <t>Blk 152 Cendana Road #01-02 Singapura 470152</t>
        </is>
      </c>
      <c r="D455" t="inlineStr">
        <is>
          <t>Shop</t>
        </is>
      </c>
      <c r="E455" t="n">
        <v>41.6</v>
      </c>
      <c r="F455" t="inlineStr">
        <is>
          <t>NC-CD-2</t>
        </is>
      </c>
      <c r="G455" t="inlineStr">
        <is>
          <t>Tenanted</t>
        </is>
      </c>
    </row>
    <row r="456">
      <c r="A456" t="inlineStr">
        <is>
          <t>U-CD152-02-03</t>
        </is>
      </c>
      <c r="B456" t="inlineStr">
        <is>
          <t>Cendana</t>
        </is>
      </c>
      <c r="C456" t="inlineStr">
        <is>
          <t>Blk 152 Cendana Road #02-03 Singapura 470152</t>
        </is>
      </c>
      <c r="D456" t="inlineStr">
        <is>
          <t>Office</t>
        </is>
      </c>
      <c r="E456" t="n">
        <v>88.7</v>
      </c>
      <c r="F456" t="inlineStr">
        <is>
          <t>NC-CD-2</t>
        </is>
      </c>
      <c r="G456" t="inlineStr">
        <is>
          <t>Vacant</t>
        </is>
      </c>
    </row>
    <row r="457">
      <c r="A457" t="inlineStr">
        <is>
          <t>U-CD152-01-04</t>
        </is>
      </c>
      <c r="B457" t="inlineStr">
        <is>
          <t>Cendana</t>
        </is>
      </c>
      <c r="C457" t="inlineStr">
        <is>
          <t>Blk 152 Cendana Road #01-04 Singapura 470152</t>
        </is>
      </c>
      <c r="D457" t="inlineStr">
        <is>
          <t>Shop</t>
        </is>
      </c>
      <c r="E457" t="n">
        <v>99.8</v>
      </c>
      <c r="F457" t="inlineStr">
        <is>
          <t>NC-CD-2</t>
        </is>
      </c>
      <c r="G457" t="inlineStr">
        <is>
          <t>Tenanted</t>
        </is>
      </c>
    </row>
    <row r="458">
      <c r="A458" t="inlineStr">
        <is>
          <t>U-CD152-01-05</t>
        </is>
      </c>
      <c r="B458" t="inlineStr">
        <is>
          <t>Cendana</t>
        </is>
      </c>
      <c r="C458" t="inlineStr">
        <is>
          <t>Blk 152 Cendana Road #01-05 Singapura 470152</t>
        </is>
      </c>
      <c r="D458" t="inlineStr">
        <is>
          <t>Shop</t>
        </is>
      </c>
      <c r="E458" t="n">
        <v>45.4</v>
      </c>
      <c r="F458" t="inlineStr">
        <is>
          <t>NC-CD-2</t>
        </is>
      </c>
      <c r="G458" t="inlineStr">
        <is>
          <t>Tenanted</t>
        </is>
      </c>
    </row>
    <row r="459">
      <c r="A459" t="inlineStr">
        <is>
          <t>U-CD152-01-06</t>
        </is>
      </c>
      <c r="B459" t="inlineStr">
        <is>
          <t>Cendana</t>
        </is>
      </c>
      <c r="C459" t="inlineStr">
        <is>
          <t>Blk 152 Cendana Road #01-06 Singapura 470152</t>
        </is>
      </c>
      <c r="D459" t="inlineStr">
        <is>
          <t>Shop</t>
        </is>
      </c>
      <c r="E459" t="n">
        <v>92.59999999999999</v>
      </c>
      <c r="F459" t="inlineStr">
        <is>
          <t>NC-CD-2</t>
        </is>
      </c>
      <c r="G459" t="inlineStr">
        <is>
          <t>Tenanted</t>
        </is>
      </c>
    </row>
    <row r="460">
      <c r="A460" t="inlineStr">
        <is>
          <t>U-CD152-01-07</t>
        </is>
      </c>
      <c r="B460" t="inlineStr">
        <is>
          <t>Cendana</t>
        </is>
      </c>
      <c r="C460" t="inlineStr">
        <is>
          <t>Blk 152 Cendana Road #01-07 Singapura 470152</t>
        </is>
      </c>
      <c r="D460" t="inlineStr">
        <is>
          <t>Shop</t>
        </is>
      </c>
      <c r="E460" t="n">
        <v>86.59999999999999</v>
      </c>
      <c r="F460" t="inlineStr">
        <is>
          <t>NC-CD-2</t>
        </is>
      </c>
      <c r="G460" t="inlineStr">
        <is>
          <t>Tenanted</t>
        </is>
      </c>
    </row>
    <row r="461">
      <c r="A461" t="inlineStr">
        <is>
          <t>U-CD152-01-08</t>
        </is>
      </c>
      <c r="B461" t="inlineStr">
        <is>
          <t>Cendana</t>
        </is>
      </c>
      <c r="C461" t="inlineStr">
        <is>
          <t>Blk 152 Cendana Road #01-08 Singapura 470152</t>
        </is>
      </c>
      <c r="D461" t="inlineStr">
        <is>
          <t>Kiosk</t>
        </is>
      </c>
      <c r="E461" t="n">
        <v>7.2</v>
      </c>
      <c r="F461" t="inlineStr">
        <is>
          <t>NC-CD-2</t>
        </is>
      </c>
      <c r="G461" t="inlineStr">
        <is>
          <t>Vacant</t>
        </is>
      </c>
    </row>
    <row r="462">
      <c r="A462" t="inlineStr">
        <is>
          <t>U-CD152-01-09</t>
        </is>
      </c>
      <c r="B462" t="inlineStr">
        <is>
          <t>Cendana</t>
        </is>
      </c>
      <c r="C462" t="inlineStr">
        <is>
          <t>Blk 152 Cendana Road #01-09 Singapura 470152</t>
        </is>
      </c>
      <c r="D462" t="inlineStr">
        <is>
          <t>Shop</t>
        </is>
      </c>
      <c r="E462" t="n">
        <v>67.09999999999999</v>
      </c>
      <c r="F462" t="inlineStr">
        <is>
          <t>NC-CD-2</t>
        </is>
      </c>
      <c r="G462" t="inlineStr">
        <is>
          <t>Tenanted</t>
        </is>
      </c>
    </row>
    <row r="463">
      <c r="A463" t="inlineStr">
        <is>
          <t>U-CD152-01-10</t>
        </is>
      </c>
      <c r="B463" t="inlineStr">
        <is>
          <t>Cendana</t>
        </is>
      </c>
      <c r="C463" t="inlineStr">
        <is>
          <t>Blk 152 Cendana Road #01-10 Singapura 470152</t>
        </is>
      </c>
      <c r="D463" t="inlineStr">
        <is>
          <t>Shop</t>
        </is>
      </c>
      <c r="E463" t="n">
        <v>106.4</v>
      </c>
      <c r="F463" t="inlineStr">
        <is>
          <t>NC-CD-2</t>
        </is>
      </c>
      <c r="G463" t="inlineStr">
        <is>
          <t>Tenanted</t>
        </is>
      </c>
    </row>
    <row r="464">
      <c r="A464" t="inlineStr">
        <is>
          <t>U-CD152-01-11</t>
        </is>
      </c>
      <c r="B464" t="inlineStr">
        <is>
          <t>Cendana</t>
        </is>
      </c>
      <c r="C464" t="inlineStr">
        <is>
          <t>Blk 152 Cendana Road #01-11 Singapura 470152</t>
        </is>
      </c>
      <c r="D464" t="inlineStr">
        <is>
          <t>Kiosk</t>
        </is>
      </c>
      <c r="E464" t="n">
        <v>14.8</v>
      </c>
      <c r="F464" t="inlineStr">
        <is>
          <t>NC-CD-2</t>
        </is>
      </c>
      <c r="G464" t="inlineStr">
        <is>
          <t>Tenanted</t>
        </is>
      </c>
    </row>
    <row r="465">
      <c r="A465" t="inlineStr">
        <is>
          <t>U-CD152-01-12</t>
        </is>
      </c>
      <c r="B465" t="inlineStr">
        <is>
          <t>Cendana</t>
        </is>
      </c>
      <c r="C465" t="inlineStr">
        <is>
          <t>Blk 152 Cendana Road #01-12 Singapura 470152</t>
        </is>
      </c>
      <c r="D465" t="inlineStr">
        <is>
          <t>Shop</t>
        </is>
      </c>
      <c r="E465" t="n">
        <v>54.6</v>
      </c>
      <c r="F465" t="inlineStr">
        <is>
          <t>NC-CD-2</t>
        </is>
      </c>
      <c r="G465" t="inlineStr">
        <is>
          <t>Tenanted</t>
        </is>
      </c>
    </row>
    <row r="466">
      <c r="A466" t="inlineStr">
        <is>
          <t>U-CD152-01-13</t>
        </is>
      </c>
      <c r="B466" t="inlineStr">
        <is>
          <t>Cendana</t>
        </is>
      </c>
      <c r="C466" t="inlineStr">
        <is>
          <t>Blk 152 Cendana Road #01-13 Singapura 470152</t>
        </is>
      </c>
      <c r="D466" t="inlineStr">
        <is>
          <t>Shop</t>
        </is>
      </c>
      <c r="E466" t="n">
        <v>97.3</v>
      </c>
      <c r="F466" t="inlineStr">
        <is>
          <t>NC-CD-2</t>
        </is>
      </c>
      <c r="G466" t="inlineStr">
        <is>
          <t>Tenanted</t>
        </is>
      </c>
    </row>
    <row r="467">
      <c r="A467" t="inlineStr">
        <is>
          <t>U-CD152-02-14</t>
        </is>
      </c>
      <c r="B467" t="inlineStr">
        <is>
          <t>Cendana</t>
        </is>
      </c>
      <c r="C467" t="inlineStr">
        <is>
          <t>Blk 152 Cendana Road #02-14 Singapura 470152</t>
        </is>
      </c>
      <c r="D467" t="inlineStr">
        <is>
          <t>Office</t>
        </is>
      </c>
      <c r="E467" t="n">
        <v>70.2</v>
      </c>
      <c r="F467" t="inlineStr">
        <is>
          <t>NC-CD-2</t>
        </is>
      </c>
      <c r="G467" t="inlineStr">
        <is>
          <t>Tenanted</t>
        </is>
      </c>
    </row>
    <row r="468">
      <c r="A468" t="inlineStr">
        <is>
          <t>U-CD153-02-01</t>
        </is>
      </c>
      <c r="B468" t="inlineStr">
        <is>
          <t>Cendana</t>
        </is>
      </c>
      <c r="C468" t="inlineStr">
        <is>
          <t>Blk 153 Cendana Road #02-01 Singapura 470153</t>
        </is>
      </c>
      <c r="D468" t="inlineStr">
        <is>
          <t>Office</t>
        </is>
      </c>
      <c r="E468" t="n">
        <v>81</v>
      </c>
      <c r="F468" t="inlineStr">
        <is>
          <t>NC-CD-3</t>
        </is>
      </c>
      <c r="G468" t="inlineStr">
        <is>
          <t>Tenanted</t>
        </is>
      </c>
    </row>
    <row r="469">
      <c r="A469" t="inlineStr">
        <is>
          <t>U-CD153-01-02</t>
        </is>
      </c>
      <c r="B469" t="inlineStr">
        <is>
          <t>Cendana</t>
        </is>
      </c>
      <c r="C469" t="inlineStr">
        <is>
          <t>Blk 153 Cendana Road #01-02 Singapura 470153</t>
        </is>
      </c>
      <c r="D469" t="inlineStr">
        <is>
          <t>Shop</t>
        </is>
      </c>
      <c r="E469" t="n">
        <v>105.2</v>
      </c>
      <c r="F469" t="inlineStr">
        <is>
          <t>NC-CD-3</t>
        </is>
      </c>
      <c r="G469" t="inlineStr">
        <is>
          <t>Tenanted</t>
        </is>
      </c>
    </row>
    <row r="470">
      <c r="A470" t="inlineStr">
        <is>
          <t>U-CD153-01-03</t>
        </is>
      </c>
      <c r="B470" t="inlineStr">
        <is>
          <t>Cendana</t>
        </is>
      </c>
      <c r="C470" t="inlineStr">
        <is>
          <t>Blk 153 Cendana Road #01-03 Singapura 470153</t>
        </is>
      </c>
      <c r="D470" t="inlineStr">
        <is>
          <t>Shop</t>
        </is>
      </c>
      <c r="E470" t="n">
        <v>42.9</v>
      </c>
      <c r="F470" t="inlineStr">
        <is>
          <t>NC-CD-3</t>
        </is>
      </c>
      <c r="G470" t="inlineStr">
        <is>
          <t>Tenanted</t>
        </is>
      </c>
    </row>
    <row r="471">
      <c r="A471" t="inlineStr">
        <is>
          <t>U-CD153-01-04</t>
        </is>
      </c>
      <c r="B471" t="inlineStr">
        <is>
          <t>Cendana</t>
        </is>
      </c>
      <c r="C471" t="inlineStr">
        <is>
          <t>Blk 153 Cendana Road #01-04 Singapura 470153</t>
        </is>
      </c>
      <c r="D471" t="inlineStr">
        <is>
          <t>Shop</t>
        </is>
      </c>
      <c r="E471" t="n">
        <v>62.9</v>
      </c>
      <c r="F471" t="inlineStr">
        <is>
          <t>NC-CD-3</t>
        </is>
      </c>
      <c r="G471" t="inlineStr">
        <is>
          <t>Tenanted</t>
        </is>
      </c>
    </row>
    <row r="472">
      <c r="A472" t="inlineStr">
        <is>
          <t>U-CD153-01-05</t>
        </is>
      </c>
      <c r="B472" t="inlineStr">
        <is>
          <t>Cendana</t>
        </is>
      </c>
      <c r="C472" t="inlineStr">
        <is>
          <t>Blk 153 Cendana Road #01-05 Singapura 470153</t>
        </is>
      </c>
      <c r="D472" t="inlineStr">
        <is>
          <t>Shop with Living Quarters</t>
        </is>
      </c>
      <c r="E472" t="n">
        <v>62.4</v>
      </c>
      <c r="F472" t="inlineStr">
        <is>
          <t>NC-CD-3</t>
        </is>
      </c>
      <c r="G472" t="inlineStr">
        <is>
          <t>Tenanted</t>
        </is>
      </c>
    </row>
    <row r="473">
      <c r="A473" t="inlineStr">
        <is>
          <t>U-CD153-01-06</t>
        </is>
      </c>
      <c r="B473" t="inlineStr">
        <is>
          <t>Cendana</t>
        </is>
      </c>
      <c r="C473" t="inlineStr">
        <is>
          <t>Blk 153 Cendana Road #01-06 Singapura 470153</t>
        </is>
      </c>
      <c r="D473" t="inlineStr">
        <is>
          <t>Shop</t>
        </is>
      </c>
      <c r="E473" t="n">
        <v>61.9</v>
      </c>
      <c r="F473" t="inlineStr">
        <is>
          <t>NC-CD-3</t>
        </is>
      </c>
      <c r="G473" t="inlineStr">
        <is>
          <t>Tenanted</t>
        </is>
      </c>
    </row>
    <row r="474">
      <c r="A474" t="inlineStr">
        <is>
          <t>U-CD153-01-07</t>
        </is>
      </c>
      <c r="B474" t="inlineStr">
        <is>
          <t>Cendana</t>
        </is>
      </c>
      <c r="C474" t="inlineStr">
        <is>
          <t>Blk 153 Cendana Road #01-07 Singapura 470153</t>
        </is>
      </c>
      <c r="D474" t="inlineStr">
        <is>
          <t>Shop with Living Quarters</t>
        </is>
      </c>
      <c r="E474" t="n">
        <v>81.8</v>
      </c>
      <c r="F474" t="inlineStr">
        <is>
          <t>NC-CD-3</t>
        </is>
      </c>
      <c r="G474" t="inlineStr">
        <is>
          <t>Tenanted</t>
        </is>
      </c>
    </row>
    <row r="475">
      <c r="A475" t="inlineStr">
        <is>
          <t>U-CD153-01-08</t>
        </is>
      </c>
      <c r="B475" t="inlineStr">
        <is>
          <t>Cendana</t>
        </is>
      </c>
      <c r="C475" t="inlineStr">
        <is>
          <t>Blk 153 Cendana Road #01-08 Singapura 470153</t>
        </is>
      </c>
      <c r="D475" t="inlineStr">
        <is>
          <t>Shop</t>
        </is>
      </c>
      <c r="E475" t="n">
        <v>75.2</v>
      </c>
      <c r="F475" t="inlineStr">
        <is>
          <t>NC-CD-3</t>
        </is>
      </c>
      <c r="G475" t="inlineStr">
        <is>
          <t>Tenanted</t>
        </is>
      </c>
    </row>
    <row r="476">
      <c r="A476" t="inlineStr">
        <is>
          <t>U-CD153-02-09</t>
        </is>
      </c>
      <c r="B476" t="inlineStr">
        <is>
          <t>Cendana</t>
        </is>
      </c>
      <c r="C476" t="inlineStr">
        <is>
          <t>Blk 153 Cendana Road #02-09 Singapura 470153</t>
        </is>
      </c>
      <c r="D476" t="inlineStr">
        <is>
          <t>Office</t>
        </is>
      </c>
      <c r="E476" t="n">
        <v>68.7</v>
      </c>
      <c r="F476" t="inlineStr">
        <is>
          <t>NC-CD-3</t>
        </is>
      </c>
      <c r="G476" t="inlineStr">
        <is>
          <t>Tenanted</t>
        </is>
      </c>
    </row>
    <row r="477">
      <c r="A477" t="inlineStr">
        <is>
          <t>U-CD160-01-01</t>
        </is>
      </c>
      <c r="B477" t="inlineStr">
        <is>
          <t>Cendana</t>
        </is>
      </c>
      <c r="C477" t="inlineStr">
        <is>
          <t>Blk 160 Jalan Cendana Indah #01-01 Singapura 470160</t>
        </is>
      </c>
      <c r="D477" t="inlineStr">
        <is>
          <t>Shop</t>
        </is>
      </c>
      <c r="E477" t="n">
        <v>103.8</v>
      </c>
      <c r="F477" t="inlineStr">
        <is>
          <t>NC-CD-1</t>
        </is>
      </c>
      <c r="G477" t="inlineStr">
        <is>
          <t>Tenanted</t>
        </is>
      </c>
    </row>
    <row r="478">
      <c r="A478" t="inlineStr">
        <is>
          <t>U-CD160-01-02</t>
        </is>
      </c>
      <c r="B478" t="inlineStr">
        <is>
          <t>Cendana</t>
        </is>
      </c>
      <c r="C478" t="inlineStr">
        <is>
          <t>Blk 160 Jalan Cendana Indah #01-02 Singapura 470160</t>
        </is>
      </c>
      <c r="D478" t="inlineStr">
        <is>
          <t>Shop</t>
        </is>
      </c>
      <c r="E478" t="n">
        <v>46.6</v>
      </c>
      <c r="F478" t="inlineStr">
        <is>
          <t>NC-CD-1</t>
        </is>
      </c>
      <c r="G478" t="inlineStr">
        <is>
          <t>Tenanted</t>
        </is>
      </c>
    </row>
    <row r="479">
      <c r="A479" t="inlineStr">
        <is>
          <t>U-CD160-01-03</t>
        </is>
      </c>
      <c r="B479" t="inlineStr">
        <is>
          <t>Cendana</t>
        </is>
      </c>
      <c r="C479" t="inlineStr">
        <is>
          <t>Blk 160 Jalan Cendana Indah #01-03 Singapura 470160</t>
        </is>
      </c>
      <c r="D479" t="inlineStr">
        <is>
          <t>Shop</t>
        </is>
      </c>
      <c r="E479" t="n">
        <v>74.40000000000001</v>
      </c>
      <c r="F479" t="inlineStr">
        <is>
          <t>NC-CD-1</t>
        </is>
      </c>
      <c r="G479" t="inlineStr">
        <is>
          <t>Tenanted</t>
        </is>
      </c>
    </row>
    <row r="480">
      <c r="A480" t="inlineStr">
        <is>
          <t>U-CD160-02-04</t>
        </is>
      </c>
      <c r="B480" t="inlineStr">
        <is>
          <t>Cendana</t>
        </is>
      </c>
      <c r="C480" t="inlineStr">
        <is>
          <t>Blk 160 Jalan Cendana Indah #02-04 Singapura 470160</t>
        </is>
      </c>
      <c r="D480" t="inlineStr">
        <is>
          <t>Office</t>
        </is>
      </c>
      <c r="E480" t="n">
        <v>79.40000000000001</v>
      </c>
      <c r="F480" t="inlineStr">
        <is>
          <t>NC-CD-1</t>
        </is>
      </c>
      <c r="G480" t="inlineStr">
        <is>
          <t>Tenanted</t>
        </is>
      </c>
    </row>
    <row r="481">
      <c r="A481" t="inlineStr">
        <is>
          <t>U-CD160-01-05</t>
        </is>
      </c>
      <c r="B481" t="inlineStr">
        <is>
          <t>Cendana</t>
        </is>
      </c>
      <c r="C481" t="inlineStr">
        <is>
          <t>Blk 160 Jalan Cendana Indah #01-05 Singapura 470160</t>
        </is>
      </c>
      <c r="D481" t="inlineStr">
        <is>
          <t>Shop</t>
        </is>
      </c>
      <c r="E481" t="n">
        <v>66.2</v>
      </c>
      <c r="F481" t="inlineStr">
        <is>
          <t>NC-CD-1</t>
        </is>
      </c>
      <c r="G481" t="inlineStr">
        <is>
          <t>Tenanted</t>
        </is>
      </c>
    </row>
    <row r="482">
      <c r="A482" t="inlineStr">
        <is>
          <t>U-CD160-01-06</t>
        </is>
      </c>
      <c r="B482" t="inlineStr">
        <is>
          <t>Cendana</t>
        </is>
      </c>
      <c r="C482" t="inlineStr">
        <is>
          <t>Blk 160 Jalan Cendana Indah #01-06 Singapura 470160</t>
        </is>
      </c>
      <c r="D482" t="inlineStr">
        <is>
          <t>Shop</t>
        </is>
      </c>
      <c r="E482" t="n">
        <v>75.7</v>
      </c>
      <c r="F482" t="inlineStr">
        <is>
          <t>NC-CD-1</t>
        </is>
      </c>
      <c r="G482" t="inlineStr">
        <is>
          <t>Tenanted</t>
        </is>
      </c>
    </row>
    <row r="483">
      <c r="A483" t="inlineStr">
        <is>
          <t>U-CD160-01-07</t>
        </is>
      </c>
      <c r="B483" t="inlineStr">
        <is>
          <t>Cendana</t>
        </is>
      </c>
      <c r="C483" t="inlineStr">
        <is>
          <t>Blk 160 Jalan Cendana Indah #01-07 Singapura 470160</t>
        </is>
      </c>
      <c r="D483" t="inlineStr">
        <is>
          <t>Kiosk</t>
        </is>
      </c>
      <c r="E483" t="n">
        <v>7.5</v>
      </c>
      <c r="F483" t="inlineStr">
        <is>
          <t>NC-CD-1</t>
        </is>
      </c>
      <c r="G483" t="inlineStr">
        <is>
          <t>Tenanted</t>
        </is>
      </c>
    </row>
    <row r="484">
      <c r="A484" t="inlineStr">
        <is>
          <t>U-CD160-01-08</t>
        </is>
      </c>
      <c r="B484" t="inlineStr">
        <is>
          <t>Cendana</t>
        </is>
      </c>
      <c r="C484" t="inlineStr">
        <is>
          <t>Blk 160 Jalan Cendana Indah #01-08 Singapura 470160</t>
        </is>
      </c>
      <c r="D484" t="inlineStr">
        <is>
          <t>Shop</t>
        </is>
      </c>
      <c r="E484" t="n">
        <v>75.8</v>
      </c>
      <c r="F484" t="inlineStr">
        <is>
          <t>NC-CD-1</t>
        </is>
      </c>
      <c r="G484" t="inlineStr">
        <is>
          <t>Tenanted</t>
        </is>
      </c>
    </row>
    <row r="485">
      <c r="A485" t="inlineStr">
        <is>
          <t>U-CD160-01-09</t>
        </is>
      </c>
      <c r="B485" t="inlineStr">
        <is>
          <t>Cendana</t>
        </is>
      </c>
      <c r="C485" t="inlineStr">
        <is>
          <t>Blk 160 Jalan Cendana Indah #01-09 Singapura 470160</t>
        </is>
      </c>
      <c r="D485" t="inlineStr">
        <is>
          <t>Kiosk</t>
        </is>
      </c>
      <c r="E485" t="n">
        <v>14.2</v>
      </c>
      <c r="F485" t="inlineStr">
        <is>
          <t>NC-CD-1</t>
        </is>
      </c>
      <c r="G485" t="inlineStr">
        <is>
          <t>Tenanted</t>
        </is>
      </c>
    </row>
    <row r="486">
      <c r="A486" t="inlineStr">
        <is>
          <t>U-CD160-01-10</t>
        </is>
      </c>
      <c r="B486" t="inlineStr">
        <is>
          <t>Cendana</t>
        </is>
      </c>
      <c r="C486" t="inlineStr">
        <is>
          <t>Blk 160 Jalan Cendana Indah #01-10 Singapura 470160</t>
        </is>
      </c>
      <c r="D486" t="inlineStr">
        <is>
          <t>Shop</t>
        </is>
      </c>
      <c r="E486" t="n">
        <v>74.8</v>
      </c>
      <c r="F486" t="inlineStr">
        <is>
          <t>NC-CD-1</t>
        </is>
      </c>
      <c r="G486" t="inlineStr">
        <is>
          <t>Tenanted</t>
        </is>
      </c>
    </row>
    <row r="487">
      <c r="A487" t="inlineStr">
        <is>
          <t>U-CD160-01-11</t>
        </is>
      </c>
      <c r="B487" t="inlineStr">
        <is>
          <t>Cendana</t>
        </is>
      </c>
      <c r="C487" t="inlineStr">
        <is>
          <t>Blk 160 Jalan Cendana Indah #01-11 Singapura 470160</t>
        </is>
      </c>
      <c r="D487" t="inlineStr">
        <is>
          <t>Shop</t>
        </is>
      </c>
      <c r="E487" t="n">
        <v>103.3</v>
      </c>
      <c r="F487" t="inlineStr">
        <is>
          <t>NC-CD-1</t>
        </is>
      </c>
      <c r="G487" t="inlineStr">
        <is>
          <t>Tenanted</t>
        </is>
      </c>
    </row>
    <row r="488">
      <c r="A488" t="inlineStr">
        <is>
          <t>U-CD160-01-12</t>
        </is>
      </c>
      <c r="B488" t="inlineStr">
        <is>
          <t>Cendana</t>
        </is>
      </c>
      <c r="C488" t="inlineStr">
        <is>
          <t>Blk 160 Jalan Cendana Indah #01-12 Singapura 470160</t>
        </is>
      </c>
      <c r="D488" t="inlineStr">
        <is>
          <t>Shop</t>
        </is>
      </c>
      <c r="E488" t="n">
        <v>93.7</v>
      </c>
      <c r="F488" t="inlineStr">
        <is>
          <t>NC-CD-1</t>
        </is>
      </c>
      <c r="G488" t="inlineStr">
        <is>
          <t>Tenanted</t>
        </is>
      </c>
    </row>
    <row r="489">
      <c r="A489" t="inlineStr">
        <is>
          <t>U-CD160-01-13</t>
        </is>
      </c>
      <c r="B489" t="inlineStr">
        <is>
          <t>Cendana</t>
        </is>
      </c>
      <c r="C489" t="inlineStr">
        <is>
          <t>Blk 160 Jalan Cendana Indah #01-13 Singapura 470160</t>
        </is>
      </c>
      <c r="D489" t="inlineStr">
        <is>
          <t>Shop</t>
        </is>
      </c>
      <c r="E489" t="n">
        <v>81</v>
      </c>
      <c r="F489" t="inlineStr">
        <is>
          <t>NC-CD-1</t>
        </is>
      </c>
      <c r="G489" t="inlineStr">
        <is>
          <t>Tenanted</t>
        </is>
      </c>
    </row>
    <row r="490">
      <c r="A490" t="inlineStr">
        <is>
          <t>U-CD165-02-01</t>
        </is>
      </c>
      <c r="B490" t="inlineStr">
        <is>
          <t>Cendana</t>
        </is>
      </c>
      <c r="C490" t="inlineStr">
        <is>
          <t>Blk 165 Jalan Cendana Indah #02-01 Singapura 470165</t>
        </is>
      </c>
      <c r="D490" t="inlineStr">
        <is>
          <t>Office</t>
        </is>
      </c>
      <c r="E490" t="n">
        <v>110.8</v>
      </c>
      <c r="F490" t="inlineStr">
        <is>
          <t>NC-CD-3</t>
        </is>
      </c>
      <c r="G490" t="inlineStr">
        <is>
          <t>Tenanted</t>
        </is>
      </c>
    </row>
    <row r="491">
      <c r="A491" t="inlineStr">
        <is>
          <t>U-CD165-01-02</t>
        </is>
      </c>
      <c r="B491" t="inlineStr">
        <is>
          <t>Cendana</t>
        </is>
      </c>
      <c r="C491" t="inlineStr">
        <is>
          <t>Blk 165 Jalan Cendana Indah #01-02 Singapura 470165</t>
        </is>
      </c>
      <c r="D491" t="inlineStr">
        <is>
          <t>Shop with Living Quarters</t>
        </is>
      </c>
      <c r="E491" t="n">
        <v>61.7</v>
      </c>
      <c r="F491" t="inlineStr">
        <is>
          <t>NC-CD-3</t>
        </is>
      </c>
      <c r="G491" t="inlineStr">
        <is>
          <t>Tenanted</t>
        </is>
      </c>
    </row>
    <row r="492">
      <c r="A492" t="inlineStr">
        <is>
          <t>U-CD165-01-03</t>
        </is>
      </c>
      <c r="B492" t="inlineStr">
        <is>
          <t>Cendana</t>
        </is>
      </c>
      <c r="C492" t="inlineStr">
        <is>
          <t>Blk 165 Jalan Cendana Indah #01-03 Singapura 470165</t>
        </is>
      </c>
      <c r="D492" t="inlineStr">
        <is>
          <t>Shop</t>
        </is>
      </c>
      <c r="E492" t="n">
        <v>102.3</v>
      </c>
      <c r="F492" t="inlineStr">
        <is>
          <t>NC-CD-3</t>
        </is>
      </c>
      <c r="G492" t="inlineStr">
        <is>
          <t>Tenanted</t>
        </is>
      </c>
    </row>
    <row r="493">
      <c r="A493" t="inlineStr">
        <is>
          <t>U-CD165-01-04</t>
        </is>
      </c>
      <c r="B493" t="inlineStr">
        <is>
          <t>Cendana</t>
        </is>
      </c>
      <c r="C493" t="inlineStr">
        <is>
          <t>Blk 165 Jalan Cendana Indah #01-04 Singapura 470165</t>
        </is>
      </c>
      <c r="D493" t="inlineStr">
        <is>
          <t>Shop</t>
        </is>
      </c>
      <c r="E493" t="n">
        <v>70.59999999999999</v>
      </c>
      <c r="F493" t="inlineStr">
        <is>
          <t>NC-CD-3</t>
        </is>
      </c>
      <c r="G493" t="inlineStr">
        <is>
          <t>Tenanted</t>
        </is>
      </c>
    </row>
    <row r="494">
      <c r="A494" t="inlineStr">
        <is>
          <t>U-CD165-01-05</t>
        </is>
      </c>
      <c r="B494" t="inlineStr">
        <is>
          <t>Cendana</t>
        </is>
      </c>
      <c r="C494" t="inlineStr">
        <is>
          <t>Blk 165 Jalan Cendana Indah #01-05 Singapura 470165</t>
        </is>
      </c>
      <c r="D494" t="inlineStr">
        <is>
          <t>Shop</t>
        </is>
      </c>
      <c r="E494" t="n">
        <v>88.40000000000001</v>
      </c>
      <c r="F494" t="inlineStr">
        <is>
          <t>NC-CD-3</t>
        </is>
      </c>
      <c r="G494" t="inlineStr">
        <is>
          <t>Tenanted</t>
        </is>
      </c>
    </row>
    <row r="495">
      <c r="A495" t="inlineStr">
        <is>
          <t>U-CD165-01-06</t>
        </is>
      </c>
      <c r="B495" t="inlineStr">
        <is>
          <t>Cendana</t>
        </is>
      </c>
      <c r="C495" t="inlineStr">
        <is>
          <t>Blk 165 Jalan Cendana Indah #01-06 Singapura 470165</t>
        </is>
      </c>
      <c r="D495" t="inlineStr">
        <is>
          <t>Shop</t>
        </is>
      </c>
      <c r="E495" t="n">
        <v>115.9</v>
      </c>
      <c r="F495" t="inlineStr">
        <is>
          <t>NC-CD-3</t>
        </is>
      </c>
      <c r="G495" t="inlineStr">
        <is>
          <t>Tenanted</t>
        </is>
      </c>
    </row>
    <row r="496">
      <c r="A496" t="inlineStr">
        <is>
          <t>U-CD165-01-07</t>
        </is>
      </c>
      <c r="B496" t="inlineStr">
        <is>
          <t>Cendana</t>
        </is>
      </c>
      <c r="C496" t="inlineStr">
        <is>
          <t>Blk 165 Jalan Cendana Indah #01-07 Singapura 470165</t>
        </is>
      </c>
      <c r="D496" t="inlineStr">
        <is>
          <t>Shop</t>
        </is>
      </c>
      <c r="E496" t="n">
        <v>101</v>
      </c>
      <c r="F496" t="inlineStr">
        <is>
          <t>NC-CD-3</t>
        </is>
      </c>
      <c r="G496" t="inlineStr">
        <is>
          <t>Tenanted</t>
        </is>
      </c>
    </row>
    <row r="497">
      <c r="A497" t="inlineStr">
        <is>
          <t>U-CD165-01-08</t>
        </is>
      </c>
      <c r="B497" t="inlineStr">
        <is>
          <t>Cendana</t>
        </is>
      </c>
      <c r="C497" t="inlineStr">
        <is>
          <t>Blk 165 Jalan Cendana Indah #01-08 Singapura 470165</t>
        </is>
      </c>
      <c r="D497" t="inlineStr">
        <is>
          <t>Shop</t>
        </is>
      </c>
      <c r="E497" t="n">
        <v>82.40000000000001</v>
      </c>
      <c r="F497" t="inlineStr">
        <is>
          <t>NC-CD-3</t>
        </is>
      </c>
      <c r="G497" t="inlineStr">
        <is>
          <t>Tenanted</t>
        </is>
      </c>
    </row>
    <row r="498">
      <c r="A498" t="inlineStr">
        <is>
          <t>U-CD170-01-01</t>
        </is>
      </c>
      <c r="B498" t="inlineStr">
        <is>
          <t>Cendana</t>
        </is>
      </c>
      <c r="C498" t="inlineStr">
        <is>
          <t>Blk 170 Cendana Street 11 #01-01 Singapura 470170</t>
        </is>
      </c>
      <c r="D498" t="inlineStr">
        <is>
          <t>Shop</t>
        </is>
      </c>
      <c r="E498" t="n">
        <v>62.3</v>
      </c>
      <c r="F498" t="inlineStr">
        <is>
          <t>NC-CD-1</t>
        </is>
      </c>
      <c r="G498" t="inlineStr">
        <is>
          <t>Tenanted</t>
        </is>
      </c>
    </row>
    <row r="499">
      <c r="A499" t="inlineStr">
        <is>
          <t>U-CD170-02-02</t>
        </is>
      </c>
      <c r="B499" t="inlineStr">
        <is>
          <t>Cendana</t>
        </is>
      </c>
      <c r="C499" t="inlineStr">
        <is>
          <t>Blk 170 Cendana Street 11 #02-02 Singapura 470170</t>
        </is>
      </c>
      <c r="D499" t="inlineStr">
        <is>
          <t>Office</t>
        </is>
      </c>
      <c r="E499" t="n">
        <v>68.59999999999999</v>
      </c>
      <c r="F499" t="inlineStr">
        <is>
          <t>NC-CD-1</t>
        </is>
      </c>
      <c r="G499" t="inlineStr">
        <is>
          <t>Tenanted</t>
        </is>
      </c>
    </row>
    <row r="500">
      <c r="A500" t="inlineStr">
        <is>
          <t>U-CD170-01-03</t>
        </is>
      </c>
      <c r="B500" t="inlineStr">
        <is>
          <t>Cendana</t>
        </is>
      </c>
      <c r="C500" t="inlineStr">
        <is>
          <t>Blk 170 Cendana Street 11 #01-03 Singapura 470170</t>
        </is>
      </c>
      <c r="D500" t="inlineStr">
        <is>
          <t>Shop</t>
        </is>
      </c>
      <c r="E500" t="n">
        <v>113.1</v>
      </c>
      <c r="F500" t="inlineStr">
        <is>
          <t>NC-CD-1</t>
        </is>
      </c>
      <c r="G500" t="inlineStr">
        <is>
          <t>Tenanted</t>
        </is>
      </c>
    </row>
    <row r="501">
      <c r="A501" t="inlineStr">
        <is>
          <t>U-CD170-01-04</t>
        </is>
      </c>
      <c r="B501" t="inlineStr">
        <is>
          <t>Cendana</t>
        </is>
      </c>
      <c r="C501" t="inlineStr">
        <is>
          <t>Blk 170 Cendana Street 11 #01-04 Singapura 470170</t>
        </is>
      </c>
      <c r="D501" t="inlineStr">
        <is>
          <t>Shop</t>
        </is>
      </c>
      <c r="E501" t="n">
        <v>102</v>
      </c>
      <c r="F501" t="inlineStr">
        <is>
          <t>NC-CD-1</t>
        </is>
      </c>
      <c r="G501" t="inlineStr">
        <is>
          <t>Tenanted</t>
        </is>
      </c>
    </row>
    <row r="502">
      <c r="A502" t="inlineStr">
        <is>
          <t>U-CD170-01-05</t>
        </is>
      </c>
      <c r="B502" t="inlineStr">
        <is>
          <t>Cendana</t>
        </is>
      </c>
      <c r="C502" t="inlineStr">
        <is>
          <t>Blk 170 Cendana Street 11 #01-05 Singapura 470170</t>
        </is>
      </c>
      <c r="D502" t="inlineStr">
        <is>
          <t>Kiosk</t>
        </is>
      </c>
      <c r="E502" t="n">
        <v>7.9</v>
      </c>
      <c r="F502" t="inlineStr">
        <is>
          <t>NC-CD-1</t>
        </is>
      </c>
      <c r="G502" t="inlineStr">
        <is>
          <t>Vacant</t>
        </is>
      </c>
    </row>
    <row r="503">
      <c r="A503" t="inlineStr">
        <is>
          <t>U-CD170-01-06</t>
        </is>
      </c>
      <c r="B503" t="inlineStr">
        <is>
          <t>Cendana</t>
        </is>
      </c>
      <c r="C503" t="inlineStr">
        <is>
          <t>Blk 170 Cendana Street 11 #01-06 Singapura 470170</t>
        </is>
      </c>
      <c r="D503" t="inlineStr">
        <is>
          <t>Shop</t>
        </is>
      </c>
      <c r="E503" t="n">
        <v>95.5</v>
      </c>
      <c r="F503" t="inlineStr">
        <is>
          <t>NC-CD-1</t>
        </is>
      </c>
      <c r="G503" t="inlineStr">
        <is>
          <t>Tenanted</t>
        </is>
      </c>
    </row>
    <row r="504">
      <c r="A504" t="inlineStr">
        <is>
          <t>U-CD170-02-07</t>
        </is>
      </c>
      <c r="B504" t="inlineStr">
        <is>
          <t>Cendana</t>
        </is>
      </c>
      <c r="C504" t="inlineStr">
        <is>
          <t>Blk 170 Cendana Street 11 #02-07 Singapura 470170</t>
        </is>
      </c>
      <c r="D504" t="inlineStr">
        <is>
          <t>Office</t>
        </is>
      </c>
      <c r="E504" t="n">
        <v>63.6</v>
      </c>
      <c r="F504" t="inlineStr">
        <is>
          <t>NC-CD-1</t>
        </is>
      </c>
      <c r="G504" t="inlineStr">
        <is>
          <t>Tenanted</t>
        </is>
      </c>
    </row>
    <row r="505">
      <c r="A505" t="inlineStr">
        <is>
          <t>U-CD170-01-08</t>
        </is>
      </c>
      <c r="B505" t="inlineStr">
        <is>
          <t>Cendana</t>
        </is>
      </c>
      <c r="C505" t="inlineStr">
        <is>
          <t>Blk 170 Cendana Street 11 #01-08 Singapura 470170</t>
        </is>
      </c>
      <c r="D505" t="inlineStr">
        <is>
          <t>Shop</t>
        </is>
      </c>
      <c r="E505" t="n">
        <v>53.8</v>
      </c>
      <c r="F505" t="inlineStr">
        <is>
          <t>NC-CD-1</t>
        </is>
      </c>
      <c r="G505" t="inlineStr">
        <is>
          <t>Tenanted</t>
        </is>
      </c>
    </row>
    <row r="506">
      <c r="A506" t="inlineStr">
        <is>
          <t>U-CD170-01-09</t>
        </is>
      </c>
      <c r="B506" t="inlineStr">
        <is>
          <t>Cendana</t>
        </is>
      </c>
      <c r="C506" t="inlineStr">
        <is>
          <t>Blk 170 Cendana Street 11 #01-09 Singapura 470170</t>
        </is>
      </c>
      <c r="D506" t="inlineStr">
        <is>
          <t>Kiosk</t>
        </is>
      </c>
      <c r="E506" t="n">
        <v>15</v>
      </c>
      <c r="F506" t="inlineStr">
        <is>
          <t>NC-CD-1</t>
        </is>
      </c>
      <c r="G506" t="inlineStr">
        <is>
          <t>Tenanted</t>
        </is>
      </c>
    </row>
    <row r="507">
      <c r="A507" t="inlineStr">
        <is>
          <t>U-CD170-01-10</t>
        </is>
      </c>
      <c r="B507" t="inlineStr">
        <is>
          <t>Cendana</t>
        </is>
      </c>
      <c r="C507" t="inlineStr">
        <is>
          <t>Blk 170 Cendana Street 11 #01-10 Singapura 470170</t>
        </is>
      </c>
      <c r="D507" t="inlineStr">
        <is>
          <t>Shop with Living Quarters</t>
        </is>
      </c>
      <c r="E507" t="n">
        <v>108.4</v>
      </c>
      <c r="F507" t="inlineStr">
        <is>
          <t>NC-CD-1</t>
        </is>
      </c>
      <c r="G507" t="inlineStr">
        <is>
          <t>Tenanted</t>
        </is>
      </c>
    </row>
    <row r="508">
      <c r="A508" t="inlineStr">
        <is>
          <t>U-CD170-02-11</t>
        </is>
      </c>
      <c r="B508" t="inlineStr">
        <is>
          <t>Cendana</t>
        </is>
      </c>
      <c r="C508" t="inlineStr">
        <is>
          <t>Blk 170 Cendana Street 11 #02-11 Singapura 470170</t>
        </is>
      </c>
      <c r="D508" t="inlineStr">
        <is>
          <t>Office</t>
        </is>
      </c>
      <c r="E508" t="n">
        <v>121</v>
      </c>
      <c r="F508" t="inlineStr">
        <is>
          <t>NC-CD-1</t>
        </is>
      </c>
      <c r="G508" t="inlineStr">
        <is>
          <t>Tenanted</t>
        </is>
      </c>
    </row>
    <row r="509">
      <c r="A509" t="inlineStr">
        <is>
          <t>U-CD170-01-12</t>
        </is>
      </c>
      <c r="B509" t="inlineStr">
        <is>
          <t>Cendana</t>
        </is>
      </c>
      <c r="C509" t="inlineStr">
        <is>
          <t>Blk 170 Cendana Street 11 #01-12 Singapura 470170</t>
        </is>
      </c>
      <c r="D509" t="inlineStr">
        <is>
          <t>Shop</t>
        </is>
      </c>
      <c r="E509" t="n">
        <v>63.2</v>
      </c>
      <c r="F509" t="inlineStr">
        <is>
          <t>NC-CD-1</t>
        </is>
      </c>
      <c r="G509" t="inlineStr">
        <is>
          <t>Tenanted</t>
        </is>
      </c>
    </row>
    <row r="510">
      <c r="A510" t="inlineStr">
        <is>
          <t>U-CD173-01-01</t>
        </is>
      </c>
      <c r="B510" t="inlineStr">
        <is>
          <t>Cendana</t>
        </is>
      </c>
      <c r="C510" t="inlineStr">
        <is>
          <t>Blk 173 Jalan Cendana Indah #01-01 Singapura 470173</t>
        </is>
      </c>
      <c r="D510" t="inlineStr">
        <is>
          <t>Shop with Living Quarters</t>
        </is>
      </c>
      <c r="E510" t="n">
        <v>95.59999999999999</v>
      </c>
      <c r="F510" t="inlineStr">
        <is>
          <t>NC-CD-3</t>
        </is>
      </c>
      <c r="G510" t="inlineStr">
        <is>
          <t>Tenanted</t>
        </is>
      </c>
    </row>
    <row r="511">
      <c r="A511" t="inlineStr">
        <is>
          <t>U-CD173-02-02</t>
        </is>
      </c>
      <c r="B511" t="inlineStr">
        <is>
          <t>Cendana</t>
        </is>
      </c>
      <c r="C511" t="inlineStr">
        <is>
          <t>Blk 173 Jalan Cendana Indah #02-02 Singapura 470173</t>
        </is>
      </c>
      <c r="D511" t="inlineStr">
        <is>
          <t>Office</t>
        </is>
      </c>
      <c r="E511" t="n">
        <v>129.4</v>
      </c>
      <c r="F511" t="inlineStr">
        <is>
          <t>NC-CD-3</t>
        </is>
      </c>
      <c r="G511" t="inlineStr">
        <is>
          <t>Tenanted</t>
        </is>
      </c>
    </row>
    <row r="512">
      <c r="A512" t="inlineStr">
        <is>
          <t>U-CD173-01-03</t>
        </is>
      </c>
      <c r="B512" t="inlineStr">
        <is>
          <t>Cendana</t>
        </is>
      </c>
      <c r="C512" t="inlineStr">
        <is>
          <t>Blk 173 Jalan Cendana Indah #01-03 Singapura 470173</t>
        </is>
      </c>
      <c r="D512" t="inlineStr">
        <is>
          <t>Shop</t>
        </is>
      </c>
      <c r="E512" t="n">
        <v>49.7</v>
      </c>
      <c r="F512" t="inlineStr">
        <is>
          <t>NC-CD-3</t>
        </is>
      </c>
      <c r="G512" t="inlineStr">
        <is>
          <t>Tenanted</t>
        </is>
      </c>
    </row>
    <row r="513">
      <c r="A513" t="inlineStr">
        <is>
          <t>U-CD173-01-04</t>
        </is>
      </c>
      <c r="B513" t="inlineStr">
        <is>
          <t>Cendana</t>
        </is>
      </c>
      <c r="C513" t="inlineStr">
        <is>
          <t>Blk 173 Jalan Cendana Indah #01-04 Singapura 470173</t>
        </is>
      </c>
      <c r="D513" t="inlineStr">
        <is>
          <t>Shop</t>
        </is>
      </c>
      <c r="E513" t="n">
        <v>51.1</v>
      </c>
      <c r="F513" t="inlineStr">
        <is>
          <t>NC-CD-3</t>
        </is>
      </c>
      <c r="G513" t="inlineStr">
        <is>
          <t>Tenanted</t>
        </is>
      </c>
    </row>
    <row r="514">
      <c r="A514" t="inlineStr">
        <is>
          <t>U-CD173-01-05</t>
        </is>
      </c>
      <c r="B514" t="inlineStr">
        <is>
          <t>Cendana</t>
        </is>
      </c>
      <c r="C514" t="inlineStr">
        <is>
          <t>Blk 173 Jalan Cendana Indah #01-05 Singapura 470173</t>
        </is>
      </c>
      <c r="D514" t="inlineStr">
        <is>
          <t>Shop with Living Quarters</t>
        </is>
      </c>
      <c r="E514" t="n">
        <v>61.3</v>
      </c>
      <c r="F514" t="inlineStr">
        <is>
          <t>NC-CD-3</t>
        </is>
      </c>
      <c r="G514" t="inlineStr">
        <is>
          <t>Tenanted</t>
        </is>
      </c>
    </row>
    <row r="515">
      <c r="A515" t="inlineStr">
        <is>
          <t>U-CD173-01-06</t>
        </is>
      </c>
      <c r="B515" t="inlineStr">
        <is>
          <t>Cendana</t>
        </is>
      </c>
      <c r="C515" t="inlineStr">
        <is>
          <t>Blk 173 Jalan Cendana Indah #01-06 Singapura 470173</t>
        </is>
      </c>
      <c r="D515" t="inlineStr">
        <is>
          <t>Shop</t>
        </is>
      </c>
      <c r="E515" t="n">
        <v>69.5</v>
      </c>
      <c r="F515" t="inlineStr">
        <is>
          <t>NC-CD-3</t>
        </is>
      </c>
      <c r="G515" t="inlineStr">
        <is>
          <t>Tenanted</t>
        </is>
      </c>
    </row>
    <row r="516">
      <c r="A516" t="inlineStr">
        <is>
          <t>U-CD173-01-07</t>
        </is>
      </c>
      <c r="B516" t="inlineStr">
        <is>
          <t>Cendana</t>
        </is>
      </c>
      <c r="C516" t="inlineStr">
        <is>
          <t>Blk 173 Jalan Cendana Indah #01-07 Singapura 470173</t>
        </is>
      </c>
      <c r="D516" t="inlineStr">
        <is>
          <t>Shop with Living Quarters</t>
        </is>
      </c>
      <c r="E516" t="n">
        <v>87.59999999999999</v>
      </c>
      <c r="F516" t="inlineStr">
        <is>
          <t>NC-CD-3</t>
        </is>
      </c>
      <c r="G516" t="inlineStr">
        <is>
          <t>Tenanted</t>
        </is>
      </c>
    </row>
    <row r="517">
      <c r="A517" t="inlineStr">
        <is>
          <t>U-CD173-01-08</t>
        </is>
      </c>
      <c r="B517" t="inlineStr">
        <is>
          <t>Cendana</t>
        </is>
      </c>
      <c r="C517" t="inlineStr">
        <is>
          <t>Blk 173 Jalan Cendana Indah #01-08 Singapura 470173</t>
        </is>
      </c>
      <c r="D517" t="inlineStr">
        <is>
          <t>Shop</t>
        </is>
      </c>
      <c r="E517" t="n">
        <v>46.9</v>
      </c>
      <c r="F517" t="inlineStr">
        <is>
          <t>NC-CD-3</t>
        </is>
      </c>
      <c r="G517" t="inlineStr">
        <is>
          <t>Tenanted</t>
        </is>
      </c>
    </row>
    <row r="518">
      <c r="A518" t="inlineStr">
        <is>
          <t>U-CD173-01-09</t>
        </is>
      </c>
      <c r="B518" t="inlineStr">
        <is>
          <t>Cendana</t>
        </is>
      </c>
      <c r="C518" t="inlineStr">
        <is>
          <t>Blk 173 Jalan Cendana Indah #01-09 Singapura 470173</t>
        </is>
      </c>
      <c r="D518" t="inlineStr">
        <is>
          <t>Shop</t>
        </is>
      </c>
      <c r="E518" t="n">
        <v>120</v>
      </c>
      <c r="F518" t="inlineStr">
        <is>
          <t>NC-CD-3</t>
        </is>
      </c>
      <c r="G518" t="inlineStr">
        <is>
          <t>Tenanted</t>
        </is>
      </c>
    </row>
    <row r="519">
      <c r="A519" t="inlineStr">
        <is>
          <t>U-CD173-01-10</t>
        </is>
      </c>
      <c r="B519" t="inlineStr">
        <is>
          <t>Cendana</t>
        </is>
      </c>
      <c r="C519" t="inlineStr">
        <is>
          <t>Blk 173 Jalan Cendana Indah #01-10 Singapura 470173</t>
        </is>
      </c>
      <c r="D519" t="inlineStr">
        <is>
          <t>Kiosk</t>
        </is>
      </c>
      <c r="E519" t="n">
        <v>10.7</v>
      </c>
      <c r="F519" t="inlineStr">
        <is>
          <t>NC-CD-3</t>
        </is>
      </c>
      <c r="G519" t="inlineStr">
        <is>
          <t>Tenanted</t>
        </is>
      </c>
    </row>
    <row r="520">
      <c r="A520" t="inlineStr">
        <is>
          <t>U-CD174-01-01</t>
        </is>
      </c>
      <c r="B520" t="inlineStr">
        <is>
          <t>Cendana</t>
        </is>
      </c>
      <c r="C520" t="inlineStr">
        <is>
          <t>Blk 174 Cendana Street 11 #01-01 Singapura 470174</t>
        </is>
      </c>
      <c r="D520" t="inlineStr">
        <is>
          <t>Shop with Living Quarters</t>
        </is>
      </c>
      <c r="E520" t="n">
        <v>63.7</v>
      </c>
      <c r="F520" t="inlineStr">
        <is>
          <t>NC-CD-3</t>
        </is>
      </c>
      <c r="G520" t="inlineStr">
        <is>
          <t>Tenanted</t>
        </is>
      </c>
    </row>
    <row r="521">
      <c r="A521" t="inlineStr">
        <is>
          <t>U-CD174-02-02</t>
        </is>
      </c>
      <c r="B521" t="inlineStr">
        <is>
          <t>Cendana</t>
        </is>
      </c>
      <c r="C521" t="inlineStr">
        <is>
          <t>Blk 174 Cendana Street 11 #02-02 Singapura 470174</t>
        </is>
      </c>
      <c r="D521" t="inlineStr">
        <is>
          <t>Office</t>
        </is>
      </c>
      <c r="E521" t="n">
        <v>95</v>
      </c>
      <c r="F521" t="inlineStr">
        <is>
          <t>NC-CD-3</t>
        </is>
      </c>
      <c r="G521" t="inlineStr">
        <is>
          <t>Tenanted</t>
        </is>
      </c>
    </row>
    <row r="522">
      <c r="A522" t="inlineStr">
        <is>
          <t>U-CD174-01-03</t>
        </is>
      </c>
      <c r="B522" t="inlineStr">
        <is>
          <t>Cendana</t>
        </is>
      </c>
      <c r="C522" t="inlineStr">
        <is>
          <t>Blk 174 Cendana Street 11 #01-03 Singapura 470174</t>
        </is>
      </c>
      <c r="D522" t="inlineStr">
        <is>
          <t>Shop</t>
        </is>
      </c>
      <c r="E522" t="n">
        <v>67.59999999999999</v>
      </c>
      <c r="F522" t="inlineStr">
        <is>
          <t>NC-CD-3</t>
        </is>
      </c>
      <c r="G522" t="inlineStr">
        <is>
          <t>Tenanted</t>
        </is>
      </c>
    </row>
    <row r="523">
      <c r="A523" t="inlineStr">
        <is>
          <t>U-CD174-01-04</t>
        </is>
      </c>
      <c r="B523" t="inlineStr">
        <is>
          <t>Cendana</t>
        </is>
      </c>
      <c r="C523" t="inlineStr">
        <is>
          <t>Blk 174 Cendana Street 11 #01-04 Singapura 470174</t>
        </is>
      </c>
      <c r="D523" t="inlineStr">
        <is>
          <t>Office</t>
        </is>
      </c>
      <c r="E523" t="n">
        <v>114</v>
      </c>
      <c r="F523" t="inlineStr">
        <is>
          <t>NC-CD-3</t>
        </is>
      </c>
      <c r="G523" t="inlineStr">
        <is>
          <t>Tenanted</t>
        </is>
      </c>
    </row>
    <row r="524">
      <c r="A524" t="inlineStr">
        <is>
          <t>U-CD174-01-05</t>
        </is>
      </c>
      <c r="B524" t="inlineStr">
        <is>
          <t>Cendana</t>
        </is>
      </c>
      <c r="C524" t="inlineStr">
        <is>
          <t>Blk 174 Cendana Street 11 #01-05 Singapura 470174</t>
        </is>
      </c>
      <c r="D524" t="inlineStr">
        <is>
          <t>Shop</t>
        </is>
      </c>
      <c r="E524" t="n">
        <v>117.3</v>
      </c>
      <c r="F524" t="inlineStr">
        <is>
          <t>NC-CD-3</t>
        </is>
      </c>
      <c r="G524" t="inlineStr">
        <is>
          <t>Tenanted</t>
        </is>
      </c>
    </row>
    <row r="525">
      <c r="A525" t="inlineStr">
        <is>
          <t>U-CD174-01-06</t>
        </is>
      </c>
      <c r="B525" t="inlineStr">
        <is>
          <t>Cendana</t>
        </is>
      </c>
      <c r="C525" t="inlineStr">
        <is>
          <t>Blk 174 Cendana Street 11 #01-06 Singapura 470174</t>
        </is>
      </c>
      <c r="D525" t="inlineStr">
        <is>
          <t>Shop</t>
        </is>
      </c>
      <c r="E525" t="n">
        <v>112.9</v>
      </c>
      <c r="F525" t="inlineStr">
        <is>
          <t>NC-CD-3</t>
        </is>
      </c>
      <c r="G525" t="inlineStr">
        <is>
          <t>Tenanted</t>
        </is>
      </c>
    </row>
    <row r="526">
      <c r="A526" t="inlineStr">
        <is>
          <t>U-CD174-01-07</t>
        </is>
      </c>
      <c r="B526" t="inlineStr">
        <is>
          <t>Cendana</t>
        </is>
      </c>
      <c r="C526" t="inlineStr">
        <is>
          <t>Blk 174 Cendana Street 11 #01-07 Singapura 470174</t>
        </is>
      </c>
      <c r="D526" t="inlineStr">
        <is>
          <t>Shop</t>
        </is>
      </c>
      <c r="E526" t="n">
        <v>49.9</v>
      </c>
      <c r="F526" t="inlineStr">
        <is>
          <t>NC-CD-3</t>
        </is>
      </c>
      <c r="G526" t="inlineStr">
        <is>
          <t>Tenanted</t>
        </is>
      </c>
    </row>
    <row r="527">
      <c r="A527" t="inlineStr">
        <is>
          <t>U-CD174-01-08</t>
        </is>
      </c>
      <c r="B527" t="inlineStr">
        <is>
          <t>Cendana</t>
        </is>
      </c>
      <c r="C527" t="inlineStr">
        <is>
          <t>Blk 174 Cendana Street 11 #01-08 Singapura 470174</t>
        </is>
      </c>
      <c r="D527" t="inlineStr">
        <is>
          <t>Shop</t>
        </is>
      </c>
      <c r="E527" t="n">
        <v>53.2</v>
      </c>
      <c r="F527" t="inlineStr">
        <is>
          <t>NC-CD-3</t>
        </is>
      </c>
      <c r="G527" t="inlineStr">
        <is>
          <t>Tenanted</t>
        </is>
      </c>
    </row>
    <row r="528">
      <c r="A528" t="inlineStr">
        <is>
          <t>U-CD174-01-09</t>
        </is>
      </c>
      <c r="B528" t="inlineStr">
        <is>
          <t>Cendana</t>
        </is>
      </c>
      <c r="C528" t="inlineStr">
        <is>
          <t>Blk 174 Cendana Street 11 #01-09 Singapura 470174</t>
        </is>
      </c>
      <c r="D528" t="inlineStr">
        <is>
          <t>Shop</t>
        </is>
      </c>
      <c r="E528" t="n">
        <v>96.7</v>
      </c>
      <c r="F528" t="inlineStr">
        <is>
          <t>NC-CD-3</t>
        </is>
      </c>
      <c r="G528" t="inlineStr">
        <is>
          <t>Tenanted</t>
        </is>
      </c>
    </row>
    <row r="529">
      <c r="A529" t="inlineStr">
        <is>
          <t>U-CD174-01-10</t>
        </is>
      </c>
      <c r="B529" t="inlineStr">
        <is>
          <t>Cendana</t>
        </is>
      </c>
      <c r="C529" t="inlineStr">
        <is>
          <t>Blk 174 Cendana Street 11 #01-10 Singapura 470174</t>
        </is>
      </c>
      <c r="D529" t="inlineStr">
        <is>
          <t>Shop</t>
        </is>
      </c>
      <c r="E529" t="n">
        <v>115.3</v>
      </c>
      <c r="F529" t="inlineStr">
        <is>
          <t>NC-CD-3</t>
        </is>
      </c>
      <c r="G529" t="inlineStr">
        <is>
          <t>Tenanted</t>
        </is>
      </c>
    </row>
    <row r="530">
      <c r="A530" t="inlineStr">
        <is>
          <t>U-CD174-01-11</t>
        </is>
      </c>
      <c r="B530" t="inlineStr">
        <is>
          <t>Cendana</t>
        </is>
      </c>
      <c r="C530" t="inlineStr">
        <is>
          <t>Blk 174 Cendana Street 11 #01-11 Singapura 470174</t>
        </is>
      </c>
      <c r="D530" t="inlineStr">
        <is>
          <t>Office</t>
        </is>
      </c>
      <c r="E530" t="n">
        <v>75.09999999999999</v>
      </c>
      <c r="F530" t="inlineStr">
        <is>
          <t>NC-CD-3</t>
        </is>
      </c>
      <c r="G530" t="inlineStr">
        <is>
          <t>Tenanted</t>
        </is>
      </c>
    </row>
    <row r="531">
      <c r="A531" t="inlineStr">
        <is>
          <t>U-CD174-01-12</t>
        </is>
      </c>
      <c r="B531" t="inlineStr">
        <is>
          <t>Cendana</t>
        </is>
      </c>
      <c r="C531" t="inlineStr">
        <is>
          <t>Blk 174 Cendana Street 11 #01-12 Singapura 470174</t>
        </is>
      </c>
      <c r="D531" t="inlineStr">
        <is>
          <t>Shop</t>
        </is>
      </c>
      <c r="E531" t="n">
        <v>84.09999999999999</v>
      </c>
      <c r="F531" t="inlineStr">
        <is>
          <t>NC-CD-3</t>
        </is>
      </c>
      <c r="G531" t="inlineStr">
        <is>
          <t>Tenanted</t>
        </is>
      </c>
    </row>
    <row r="532">
      <c r="A532" t="inlineStr">
        <is>
          <t>U-CD181-01-01</t>
        </is>
      </c>
      <c r="B532" t="inlineStr">
        <is>
          <t>Cendana</t>
        </is>
      </c>
      <c r="C532" t="inlineStr">
        <is>
          <t>Blk 181 Cendana Road #01-01 Singapura 470181</t>
        </is>
      </c>
      <c r="D532" t="inlineStr">
        <is>
          <t>Shop</t>
        </is>
      </c>
      <c r="E532" t="n">
        <v>89.2</v>
      </c>
      <c r="F532" t="inlineStr">
        <is>
          <t>NC-CD-1</t>
        </is>
      </c>
      <c r="G532" t="inlineStr">
        <is>
          <t>Tenanted</t>
        </is>
      </c>
    </row>
    <row r="533">
      <c r="A533" t="inlineStr">
        <is>
          <t>U-CD181-01-02</t>
        </is>
      </c>
      <c r="B533" t="inlineStr">
        <is>
          <t>Cendana</t>
        </is>
      </c>
      <c r="C533" t="inlineStr">
        <is>
          <t>Blk 181 Cendana Road #01-02 Singapura 470181</t>
        </is>
      </c>
      <c r="D533" t="inlineStr">
        <is>
          <t>Shop</t>
        </is>
      </c>
      <c r="E533" t="n">
        <v>91.3</v>
      </c>
      <c r="F533" t="inlineStr">
        <is>
          <t>NC-CD-1</t>
        </is>
      </c>
      <c r="G533" t="inlineStr">
        <is>
          <t>Tenanted</t>
        </is>
      </c>
    </row>
    <row r="534">
      <c r="A534" t="inlineStr">
        <is>
          <t>U-CD181-01-03</t>
        </is>
      </c>
      <c r="B534" t="inlineStr">
        <is>
          <t>Cendana</t>
        </is>
      </c>
      <c r="C534" t="inlineStr">
        <is>
          <t>Blk 181 Cendana Road #01-03 Singapura 470181</t>
        </is>
      </c>
      <c r="D534" t="inlineStr">
        <is>
          <t>Shop</t>
        </is>
      </c>
      <c r="E534" t="n">
        <v>86.5</v>
      </c>
      <c r="F534" t="inlineStr">
        <is>
          <t>NC-CD-1</t>
        </is>
      </c>
      <c r="G534" t="inlineStr">
        <is>
          <t>Tenanted</t>
        </is>
      </c>
    </row>
    <row r="535">
      <c r="A535" t="inlineStr">
        <is>
          <t>U-CD181-01-04</t>
        </is>
      </c>
      <c r="B535" t="inlineStr">
        <is>
          <t>Cendana</t>
        </is>
      </c>
      <c r="C535" t="inlineStr">
        <is>
          <t>Blk 181 Cendana Road #01-04 Singapura 470181</t>
        </is>
      </c>
      <c r="D535" t="inlineStr">
        <is>
          <t>Shop</t>
        </is>
      </c>
      <c r="E535" t="n">
        <v>90</v>
      </c>
      <c r="F535" t="inlineStr">
        <is>
          <t>NC-CD-1</t>
        </is>
      </c>
      <c r="G535" t="inlineStr">
        <is>
          <t>Tenanted</t>
        </is>
      </c>
    </row>
    <row r="536">
      <c r="A536" t="inlineStr">
        <is>
          <t>U-CD181-02-05</t>
        </is>
      </c>
      <c r="B536" t="inlineStr">
        <is>
          <t>Cendana</t>
        </is>
      </c>
      <c r="C536" t="inlineStr">
        <is>
          <t>Blk 181 Cendana Road #02-05 Singapura 470181</t>
        </is>
      </c>
      <c r="D536" t="inlineStr">
        <is>
          <t>Office</t>
        </is>
      </c>
      <c r="E536" t="n">
        <v>142.4</v>
      </c>
      <c r="F536" t="inlineStr">
        <is>
          <t>NC-CD-1</t>
        </is>
      </c>
      <c r="G536" t="inlineStr">
        <is>
          <t>Tenanted</t>
        </is>
      </c>
    </row>
    <row r="537">
      <c r="A537" t="inlineStr">
        <is>
          <t>U-CD181-01-06</t>
        </is>
      </c>
      <c r="B537" t="inlineStr">
        <is>
          <t>Cendana</t>
        </is>
      </c>
      <c r="C537" t="inlineStr">
        <is>
          <t>Blk 181 Cendana Road #01-06 Singapura 470181</t>
        </is>
      </c>
      <c r="D537" t="inlineStr">
        <is>
          <t>Shop</t>
        </is>
      </c>
      <c r="E537" t="n">
        <v>109.1</v>
      </c>
      <c r="F537" t="inlineStr">
        <is>
          <t>NC-CD-1</t>
        </is>
      </c>
      <c r="G537" t="inlineStr">
        <is>
          <t>Tenanted</t>
        </is>
      </c>
    </row>
    <row r="538">
      <c r="A538" t="inlineStr">
        <is>
          <t>U-CD181-01-07</t>
        </is>
      </c>
      <c r="B538" t="inlineStr">
        <is>
          <t>Cendana</t>
        </is>
      </c>
      <c r="C538" t="inlineStr">
        <is>
          <t>Blk 181 Cendana Road #01-07 Singapura 470181</t>
        </is>
      </c>
      <c r="D538" t="inlineStr">
        <is>
          <t>Shop</t>
        </is>
      </c>
      <c r="E538" t="n">
        <v>115.9</v>
      </c>
      <c r="F538" t="inlineStr">
        <is>
          <t>NC-CD-1</t>
        </is>
      </c>
      <c r="G538" t="inlineStr">
        <is>
          <t>Tenanted</t>
        </is>
      </c>
    </row>
    <row r="539">
      <c r="A539" t="inlineStr">
        <is>
          <t>U-CD181-01-08</t>
        </is>
      </c>
      <c r="B539" t="inlineStr">
        <is>
          <t>Cendana</t>
        </is>
      </c>
      <c r="C539" t="inlineStr">
        <is>
          <t>Blk 181 Cendana Road #01-08 Singapura 470181</t>
        </is>
      </c>
      <c r="D539" t="inlineStr">
        <is>
          <t>Kiosk</t>
        </is>
      </c>
      <c r="E539" t="n">
        <v>8.4</v>
      </c>
      <c r="F539" t="inlineStr">
        <is>
          <t>NC-CD-1</t>
        </is>
      </c>
      <c r="G539" t="inlineStr">
        <is>
          <t>Tenanted</t>
        </is>
      </c>
    </row>
    <row r="540">
      <c r="A540" t="inlineStr">
        <is>
          <t>U-CD185-01-01</t>
        </is>
      </c>
      <c r="B540" t="inlineStr">
        <is>
          <t>Cendana</t>
        </is>
      </c>
      <c r="C540" t="inlineStr">
        <is>
          <t>Blk 185 Cendana Road #01-01 Singapura 470185</t>
        </is>
      </c>
      <c r="D540" t="inlineStr">
        <is>
          <t>Kiosk</t>
        </is>
      </c>
      <c r="E540" t="n">
        <v>9.699999999999999</v>
      </c>
      <c r="F540" t="inlineStr">
        <is>
          <t>NC-CD-2</t>
        </is>
      </c>
      <c r="G540" t="inlineStr">
        <is>
          <t>Tenanted</t>
        </is>
      </c>
    </row>
    <row r="541">
      <c r="A541" t="inlineStr">
        <is>
          <t>U-CD185-01-02</t>
        </is>
      </c>
      <c r="B541" t="inlineStr">
        <is>
          <t>Cendana</t>
        </is>
      </c>
      <c r="C541" t="inlineStr">
        <is>
          <t>Blk 185 Cendana Road #01-02 Singapura 470185</t>
        </is>
      </c>
      <c r="D541" t="inlineStr">
        <is>
          <t>Shop</t>
        </is>
      </c>
      <c r="E541" t="n">
        <v>79.8</v>
      </c>
      <c r="F541" t="inlineStr">
        <is>
          <t>NC-CD-2</t>
        </is>
      </c>
      <c r="G541" t="inlineStr">
        <is>
          <t>Tenanted</t>
        </is>
      </c>
    </row>
    <row r="542">
      <c r="A542" t="inlineStr">
        <is>
          <t>U-CD185-01-03</t>
        </is>
      </c>
      <c r="B542" t="inlineStr">
        <is>
          <t>Cendana</t>
        </is>
      </c>
      <c r="C542" t="inlineStr">
        <is>
          <t>Blk 185 Cendana Road #01-03 Singapura 470185</t>
        </is>
      </c>
      <c r="D542" t="inlineStr">
        <is>
          <t>Shop</t>
        </is>
      </c>
      <c r="E542" t="n">
        <v>63.2</v>
      </c>
      <c r="F542" t="inlineStr">
        <is>
          <t>NC-CD-2</t>
        </is>
      </c>
      <c r="G542" t="inlineStr">
        <is>
          <t>Tenanted</t>
        </is>
      </c>
    </row>
    <row r="543">
      <c r="A543" t="inlineStr">
        <is>
          <t>U-CD185-02-04</t>
        </is>
      </c>
      <c r="B543" t="inlineStr">
        <is>
          <t>Cendana</t>
        </is>
      </c>
      <c r="C543" t="inlineStr">
        <is>
          <t>Blk 185 Cendana Road #02-04 Singapura 470185</t>
        </is>
      </c>
      <c r="D543" t="inlineStr">
        <is>
          <t>Office</t>
        </is>
      </c>
      <c r="E543" t="n">
        <v>130.5</v>
      </c>
      <c r="F543" t="inlineStr">
        <is>
          <t>NC-CD-2</t>
        </is>
      </c>
      <c r="G543" t="inlineStr">
        <is>
          <t>Tenanted</t>
        </is>
      </c>
    </row>
    <row r="544">
      <c r="A544" t="inlineStr">
        <is>
          <t>U-CD185-01-05</t>
        </is>
      </c>
      <c r="B544" t="inlineStr">
        <is>
          <t>Cendana</t>
        </is>
      </c>
      <c r="C544" t="inlineStr">
        <is>
          <t>Blk 185 Cendana Road #01-05 Singapura 470185</t>
        </is>
      </c>
      <c r="D544" t="inlineStr">
        <is>
          <t>Kiosk</t>
        </is>
      </c>
      <c r="E544" t="n">
        <v>8.699999999999999</v>
      </c>
      <c r="F544" t="inlineStr">
        <is>
          <t>NC-CD-2</t>
        </is>
      </c>
      <c r="G544" t="inlineStr">
        <is>
          <t>Tenanted</t>
        </is>
      </c>
    </row>
    <row r="545">
      <c r="A545" t="inlineStr">
        <is>
          <t>U-CD185-01-06</t>
        </is>
      </c>
      <c r="B545" t="inlineStr">
        <is>
          <t>Cendana</t>
        </is>
      </c>
      <c r="C545" t="inlineStr">
        <is>
          <t>Blk 185 Cendana Road #01-06 Singapura 470185</t>
        </is>
      </c>
      <c r="D545" t="inlineStr">
        <is>
          <t>Shop</t>
        </is>
      </c>
      <c r="E545" t="n">
        <v>44.8</v>
      </c>
      <c r="F545" t="inlineStr">
        <is>
          <t>NC-CD-2</t>
        </is>
      </c>
      <c r="G545" t="inlineStr">
        <is>
          <t>Tenanted</t>
        </is>
      </c>
    </row>
    <row r="546">
      <c r="A546" t="inlineStr">
        <is>
          <t>U-CD185-01-07</t>
        </is>
      </c>
      <c r="B546" t="inlineStr">
        <is>
          <t>Cendana</t>
        </is>
      </c>
      <c r="C546" t="inlineStr">
        <is>
          <t>Blk 185 Cendana Road #01-07 Singapura 470185</t>
        </is>
      </c>
      <c r="D546" t="inlineStr">
        <is>
          <t>Shop</t>
        </is>
      </c>
      <c r="E546" t="n">
        <v>78.7</v>
      </c>
      <c r="F546" t="inlineStr">
        <is>
          <t>NC-CD-2</t>
        </is>
      </c>
      <c r="G546" t="inlineStr">
        <is>
          <t>Tenanted</t>
        </is>
      </c>
    </row>
    <row r="547">
      <c r="A547" t="inlineStr">
        <is>
          <t>U-CD185-01-08</t>
        </is>
      </c>
      <c r="B547" t="inlineStr">
        <is>
          <t>Cendana</t>
        </is>
      </c>
      <c r="C547" t="inlineStr">
        <is>
          <t>Blk 185 Cendana Road #01-08 Singapura 470185</t>
        </is>
      </c>
      <c r="D547" t="inlineStr">
        <is>
          <t>Shop</t>
        </is>
      </c>
      <c r="E547" t="n">
        <v>88.5</v>
      </c>
      <c r="F547" t="inlineStr">
        <is>
          <t>NC-CD-2</t>
        </is>
      </c>
      <c r="G547" t="inlineStr">
        <is>
          <t>Tenanted</t>
        </is>
      </c>
    </row>
    <row r="548">
      <c r="A548" t="inlineStr">
        <is>
          <t>U-CD185-01-09</t>
        </is>
      </c>
      <c r="B548" t="inlineStr">
        <is>
          <t>Cendana</t>
        </is>
      </c>
      <c r="C548" t="inlineStr">
        <is>
          <t>Blk 185 Cendana Road #01-09 Singapura 470185</t>
        </is>
      </c>
      <c r="D548" t="inlineStr">
        <is>
          <t>Shop</t>
        </is>
      </c>
      <c r="E548" t="n">
        <v>97.5</v>
      </c>
      <c r="F548" t="inlineStr">
        <is>
          <t>NC-CD-2</t>
        </is>
      </c>
      <c r="G548" t="inlineStr">
        <is>
          <t>Tenanted</t>
        </is>
      </c>
    </row>
    <row r="549">
      <c r="A549" t="inlineStr">
        <is>
          <t>U-CD189-02-01</t>
        </is>
      </c>
      <c r="B549" t="inlineStr">
        <is>
          <t>Cendana</t>
        </is>
      </c>
      <c r="C549" t="inlineStr">
        <is>
          <t>Blk 189 Jalan Cendana Indah #02-01 Singapura 470189</t>
        </is>
      </c>
      <c r="D549" t="inlineStr">
        <is>
          <t>Office</t>
        </is>
      </c>
      <c r="E549" t="n">
        <v>87.09999999999999</v>
      </c>
      <c r="F549" t="inlineStr">
        <is>
          <t>NC-CD-1</t>
        </is>
      </c>
      <c r="G549" t="inlineStr">
        <is>
          <t>Tenanted</t>
        </is>
      </c>
    </row>
    <row r="550">
      <c r="A550" t="inlineStr">
        <is>
          <t>U-CD189-01-02</t>
        </is>
      </c>
      <c r="B550" t="inlineStr">
        <is>
          <t>Cendana</t>
        </is>
      </c>
      <c r="C550" t="inlineStr">
        <is>
          <t>Blk 189 Jalan Cendana Indah #01-02 Singapura 470189</t>
        </is>
      </c>
      <c r="D550" t="inlineStr">
        <is>
          <t>Shop</t>
        </is>
      </c>
      <c r="E550" t="n">
        <v>65.5</v>
      </c>
      <c r="F550" t="inlineStr">
        <is>
          <t>NC-CD-1</t>
        </is>
      </c>
      <c r="G550" t="inlineStr">
        <is>
          <t>Tenanted</t>
        </is>
      </c>
    </row>
    <row r="551">
      <c r="A551" t="inlineStr">
        <is>
          <t>U-CD189-01-03</t>
        </is>
      </c>
      <c r="B551" t="inlineStr">
        <is>
          <t>Cendana</t>
        </is>
      </c>
      <c r="C551" t="inlineStr">
        <is>
          <t>Blk 189 Jalan Cendana Indah #01-03 Singapura 470189</t>
        </is>
      </c>
      <c r="D551" t="inlineStr">
        <is>
          <t>Shop</t>
        </is>
      </c>
      <c r="E551" t="n">
        <v>61.4</v>
      </c>
      <c r="F551" t="inlineStr">
        <is>
          <t>NC-CD-1</t>
        </is>
      </c>
      <c r="G551" t="inlineStr">
        <is>
          <t>Vacant</t>
        </is>
      </c>
    </row>
    <row r="552">
      <c r="A552" t="inlineStr">
        <is>
          <t>U-CD189-01-04</t>
        </is>
      </c>
      <c r="B552" t="inlineStr">
        <is>
          <t>Cendana</t>
        </is>
      </c>
      <c r="C552" t="inlineStr">
        <is>
          <t>Blk 189 Jalan Cendana Indah #01-04 Singapura 470189</t>
        </is>
      </c>
      <c r="D552" t="inlineStr">
        <is>
          <t>Shop</t>
        </is>
      </c>
      <c r="E552" t="n">
        <v>47.7</v>
      </c>
      <c r="F552" t="inlineStr">
        <is>
          <t>NC-CD-1</t>
        </is>
      </c>
      <c r="G552" t="inlineStr">
        <is>
          <t>Tenanted</t>
        </is>
      </c>
    </row>
    <row r="553">
      <c r="A553" t="inlineStr">
        <is>
          <t>U-CD189-01-05</t>
        </is>
      </c>
      <c r="B553" t="inlineStr">
        <is>
          <t>Cendana</t>
        </is>
      </c>
      <c r="C553" t="inlineStr">
        <is>
          <t>Blk 189 Jalan Cendana Indah #01-05 Singapura 470189</t>
        </is>
      </c>
      <c r="D553" t="inlineStr">
        <is>
          <t>Shop</t>
        </is>
      </c>
      <c r="E553" t="n">
        <v>70.7</v>
      </c>
      <c r="F553" t="inlineStr">
        <is>
          <t>NC-CD-1</t>
        </is>
      </c>
      <c r="G553" t="inlineStr">
        <is>
          <t>Tenanted</t>
        </is>
      </c>
    </row>
    <row r="554">
      <c r="A554" t="inlineStr">
        <is>
          <t>U-CD189-01-06</t>
        </is>
      </c>
      <c r="B554" t="inlineStr">
        <is>
          <t>Cendana</t>
        </is>
      </c>
      <c r="C554" t="inlineStr">
        <is>
          <t>Blk 189 Jalan Cendana Indah #01-06 Singapura 470189</t>
        </is>
      </c>
      <c r="D554" t="inlineStr">
        <is>
          <t>Shop</t>
        </is>
      </c>
      <c r="E554" t="n">
        <v>59.9</v>
      </c>
      <c r="F554" t="inlineStr">
        <is>
          <t>NC-CD-1</t>
        </is>
      </c>
      <c r="G554" t="inlineStr">
        <is>
          <t>Tenanted</t>
        </is>
      </c>
    </row>
    <row r="555">
      <c r="A555" t="inlineStr">
        <is>
          <t>U-CD189-02-07</t>
        </is>
      </c>
      <c r="B555" t="inlineStr">
        <is>
          <t>Cendana</t>
        </is>
      </c>
      <c r="C555" t="inlineStr">
        <is>
          <t>Blk 189 Jalan Cendana Indah #02-07 Singapura 470189</t>
        </is>
      </c>
      <c r="D555" t="inlineStr">
        <is>
          <t>Office</t>
        </is>
      </c>
      <c r="E555" t="n">
        <v>82.7</v>
      </c>
      <c r="F555" t="inlineStr">
        <is>
          <t>NC-CD-1</t>
        </is>
      </c>
      <c r="G555" t="inlineStr">
        <is>
          <t>Tenanted</t>
        </is>
      </c>
    </row>
    <row r="556">
      <c r="A556" t="inlineStr">
        <is>
          <t>U-CD189-01-08</t>
        </is>
      </c>
      <c r="B556" t="inlineStr">
        <is>
          <t>Cendana</t>
        </is>
      </c>
      <c r="C556" t="inlineStr">
        <is>
          <t>Blk 189 Jalan Cendana Indah #01-08 Singapura 470189</t>
        </is>
      </c>
      <c r="D556" t="inlineStr">
        <is>
          <t>Shop</t>
        </is>
      </c>
      <c r="E556" t="n">
        <v>65</v>
      </c>
      <c r="F556" t="inlineStr">
        <is>
          <t>NC-CD-1</t>
        </is>
      </c>
      <c r="G556" t="inlineStr">
        <is>
          <t>Tenanted</t>
        </is>
      </c>
    </row>
    <row r="557">
      <c r="A557" t="inlineStr">
        <is>
          <t>U-CD189-01-09</t>
        </is>
      </c>
      <c r="B557" t="inlineStr">
        <is>
          <t>Cendana</t>
        </is>
      </c>
      <c r="C557" t="inlineStr">
        <is>
          <t>Blk 189 Jalan Cendana Indah #01-09 Singapura 470189</t>
        </is>
      </c>
      <c r="D557" t="inlineStr">
        <is>
          <t>Kiosk</t>
        </is>
      </c>
      <c r="E557" t="n">
        <v>10.5</v>
      </c>
      <c r="F557" t="inlineStr">
        <is>
          <t>NC-CD-1</t>
        </is>
      </c>
      <c r="G557" t="inlineStr">
        <is>
          <t>Tenanted</t>
        </is>
      </c>
    </row>
    <row r="558">
      <c r="A558" t="inlineStr">
        <is>
          <t>U-CD189-01-10</t>
        </is>
      </c>
      <c r="B558" t="inlineStr">
        <is>
          <t>Cendana</t>
        </is>
      </c>
      <c r="C558" t="inlineStr">
        <is>
          <t>Blk 189 Jalan Cendana Indah #01-10 Singapura 470189</t>
        </is>
      </c>
      <c r="D558" t="inlineStr">
        <is>
          <t>Shop</t>
        </is>
      </c>
      <c r="E558" t="n">
        <v>79.90000000000001</v>
      </c>
      <c r="F558" t="inlineStr">
        <is>
          <t>NC-CD-1</t>
        </is>
      </c>
      <c r="G558" t="inlineStr">
        <is>
          <t>Tenanted</t>
        </is>
      </c>
    </row>
    <row r="559">
      <c r="A559" t="inlineStr">
        <is>
          <t>U-CD189-01-11</t>
        </is>
      </c>
      <c r="B559" t="inlineStr">
        <is>
          <t>Cendana</t>
        </is>
      </c>
      <c r="C559" t="inlineStr">
        <is>
          <t>Blk 189 Jalan Cendana Indah #01-11 Singapura 470189</t>
        </is>
      </c>
      <c r="D559" t="inlineStr">
        <is>
          <t>Shop</t>
        </is>
      </c>
      <c r="E559" t="n">
        <v>41.9</v>
      </c>
      <c r="F559" t="inlineStr">
        <is>
          <t>NC-CD-1</t>
        </is>
      </c>
      <c r="G559" t="inlineStr">
        <is>
          <t>Vacant</t>
        </is>
      </c>
    </row>
    <row r="560">
      <c r="A560" t="inlineStr">
        <is>
          <t>U-CD190-01-01</t>
        </is>
      </c>
      <c r="B560" t="inlineStr">
        <is>
          <t>Cendana</t>
        </is>
      </c>
      <c r="C560" t="inlineStr">
        <is>
          <t>Blk 190 Jalan Cendana Indah #01-01 Singapura 470190</t>
        </is>
      </c>
      <c r="D560" t="inlineStr">
        <is>
          <t>Shop</t>
        </is>
      </c>
      <c r="E560" t="n">
        <v>117.3</v>
      </c>
      <c r="F560" t="inlineStr">
        <is>
          <t>NC-CD-1</t>
        </is>
      </c>
      <c r="G560" t="inlineStr">
        <is>
          <t>Vacant</t>
        </is>
      </c>
    </row>
    <row r="561">
      <c r="A561" t="inlineStr">
        <is>
          <t>U-CD190-01-02</t>
        </is>
      </c>
      <c r="B561" t="inlineStr">
        <is>
          <t>Cendana</t>
        </is>
      </c>
      <c r="C561" t="inlineStr">
        <is>
          <t>Blk 190 Jalan Cendana Indah #01-02 Singapura 470190</t>
        </is>
      </c>
      <c r="D561" t="inlineStr">
        <is>
          <t>Shop</t>
        </is>
      </c>
      <c r="E561" t="n">
        <v>68.2</v>
      </c>
      <c r="F561" t="inlineStr">
        <is>
          <t>NC-CD-1</t>
        </is>
      </c>
      <c r="G561" t="inlineStr">
        <is>
          <t>Tenanted</t>
        </is>
      </c>
    </row>
    <row r="562">
      <c r="A562" t="inlineStr">
        <is>
          <t>U-CD190-01-03</t>
        </is>
      </c>
      <c r="B562" t="inlineStr">
        <is>
          <t>Cendana</t>
        </is>
      </c>
      <c r="C562" t="inlineStr">
        <is>
          <t>Blk 190 Jalan Cendana Indah #01-03 Singapura 470190</t>
        </is>
      </c>
      <c r="D562" t="inlineStr">
        <is>
          <t>Shop</t>
        </is>
      </c>
      <c r="E562" t="n">
        <v>79.59999999999999</v>
      </c>
      <c r="F562" t="inlineStr">
        <is>
          <t>NC-CD-1</t>
        </is>
      </c>
      <c r="G562" t="inlineStr">
        <is>
          <t>Tenanted</t>
        </is>
      </c>
    </row>
    <row r="563">
      <c r="A563" t="inlineStr">
        <is>
          <t>U-CD190-02-04</t>
        </is>
      </c>
      <c r="B563" t="inlineStr">
        <is>
          <t>Cendana</t>
        </is>
      </c>
      <c r="C563" t="inlineStr">
        <is>
          <t>Blk 190 Jalan Cendana Indah #02-04 Singapura 470190</t>
        </is>
      </c>
      <c r="D563" t="inlineStr">
        <is>
          <t>Office</t>
        </is>
      </c>
      <c r="E563" t="n">
        <v>97.09999999999999</v>
      </c>
      <c r="F563" t="inlineStr">
        <is>
          <t>NC-CD-1</t>
        </is>
      </c>
      <c r="G563" t="inlineStr">
        <is>
          <t>Tenanted</t>
        </is>
      </c>
    </row>
    <row r="564">
      <c r="A564" t="inlineStr">
        <is>
          <t>U-CD190-01-05</t>
        </is>
      </c>
      <c r="B564" t="inlineStr">
        <is>
          <t>Cendana</t>
        </is>
      </c>
      <c r="C564" t="inlineStr">
        <is>
          <t>Blk 190 Jalan Cendana Indah #01-05 Singapura 470190</t>
        </is>
      </c>
      <c r="D564" t="inlineStr">
        <is>
          <t>Shop</t>
        </is>
      </c>
      <c r="E564" t="n">
        <v>107.8</v>
      </c>
      <c r="F564" t="inlineStr">
        <is>
          <t>NC-CD-1</t>
        </is>
      </c>
      <c r="G564" t="inlineStr">
        <is>
          <t>Tenanted</t>
        </is>
      </c>
    </row>
    <row r="565">
      <c r="A565" t="inlineStr">
        <is>
          <t>U-CD190-01-06</t>
        </is>
      </c>
      <c r="B565" t="inlineStr">
        <is>
          <t>Cendana</t>
        </is>
      </c>
      <c r="C565" t="inlineStr">
        <is>
          <t>Blk 190 Jalan Cendana Indah #01-06 Singapura 470190</t>
        </is>
      </c>
      <c r="D565" t="inlineStr">
        <is>
          <t>Shop</t>
        </is>
      </c>
      <c r="E565" t="n">
        <v>110.6</v>
      </c>
      <c r="F565" t="inlineStr">
        <is>
          <t>NC-CD-1</t>
        </is>
      </c>
      <c r="G565" t="inlineStr">
        <is>
          <t>Tenanted</t>
        </is>
      </c>
    </row>
    <row r="566">
      <c r="A566" t="inlineStr">
        <is>
          <t>U-CD190-01-07</t>
        </is>
      </c>
      <c r="B566" t="inlineStr">
        <is>
          <t>Cendana</t>
        </is>
      </c>
      <c r="C566" t="inlineStr">
        <is>
          <t>Blk 190 Jalan Cendana Indah #01-07 Singapura 470190</t>
        </is>
      </c>
      <c r="D566" t="inlineStr">
        <is>
          <t>Kiosk</t>
        </is>
      </c>
      <c r="E566" t="n">
        <v>12.9</v>
      </c>
      <c r="F566" t="inlineStr">
        <is>
          <t>NC-CD-1</t>
        </is>
      </c>
      <c r="G566" t="inlineStr">
        <is>
          <t>Tenanted</t>
        </is>
      </c>
    </row>
    <row r="567">
      <c r="A567" t="inlineStr">
        <is>
          <t>U-CD190-01-08</t>
        </is>
      </c>
      <c r="B567" t="inlineStr">
        <is>
          <t>Cendana</t>
        </is>
      </c>
      <c r="C567" t="inlineStr">
        <is>
          <t>Blk 190 Jalan Cendana Indah #01-08 Singapura 470190</t>
        </is>
      </c>
      <c r="D567" t="inlineStr">
        <is>
          <t>Shop</t>
        </is>
      </c>
      <c r="E567" t="n">
        <v>72</v>
      </c>
      <c r="F567" t="inlineStr">
        <is>
          <t>NC-CD-1</t>
        </is>
      </c>
      <c r="G567" t="inlineStr">
        <is>
          <t>Tenanted</t>
        </is>
      </c>
    </row>
    <row r="568">
      <c r="A568" t="inlineStr">
        <is>
          <t>U-CD190-01-09</t>
        </is>
      </c>
      <c r="B568" t="inlineStr">
        <is>
          <t>Cendana</t>
        </is>
      </c>
      <c r="C568" t="inlineStr">
        <is>
          <t>Blk 190 Jalan Cendana Indah #01-09 Singapura 470190</t>
        </is>
      </c>
      <c r="D568" t="inlineStr">
        <is>
          <t>Shop</t>
        </is>
      </c>
      <c r="E568" t="n">
        <v>55.6</v>
      </c>
      <c r="F568" t="inlineStr">
        <is>
          <t>NC-CD-1</t>
        </is>
      </c>
      <c r="G568" t="inlineStr">
        <is>
          <t>Tenanted</t>
        </is>
      </c>
    </row>
    <row r="569">
      <c r="A569" t="inlineStr">
        <is>
          <t>U-CD190-01-10</t>
        </is>
      </c>
      <c r="B569" t="inlineStr">
        <is>
          <t>Cendana</t>
        </is>
      </c>
      <c r="C569" t="inlineStr">
        <is>
          <t>Blk 190 Jalan Cendana Indah #01-10 Singapura 470190</t>
        </is>
      </c>
      <c r="D569" t="inlineStr">
        <is>
          <t>Shop</t>
        </is>
      </c>
      <c r="E569" t="n">
        <v>45.9</v>
      </c>
      <c r="F569" t="inlineStr">
        <is>
          <t>NC-CD-1</t>
        </is>
      </c>
      <c r="G569" t="inlineStr">
        <is>
          <t>Tenanted</t>
        </is>
      </c>
    </row>
    <row r="570">
      <c r="A570" t="inlineStr">
        <is>
          <t>U-CD190-01-11</t>
        </is>
      </c>
      <c r="B570" t="inlineStr">
        <is>
          <t>Cendana</t>
        </is>
      </c>
      <c r="C570" t="inlineStr">
        <is>
          <t>Blk 190 Jalan Cendana Indah #01-11 Singapura 470190</t>
        </is>
      </c>
      <c r="D570" t="inlineStr">
        <is>
          <t>Shop</t>
        </is>
      </c>
      <c r="E570" t="n">
        <v>101.2</v>
      </c>
      <c r="F570" t="inlineStr">
        <is>
          <t>NC-CD-1</t>
        </is>
      </c>
      <c r="G570" t="inlineStr">
        <is>
          <t>Tenanted</t>
        </is>
      </c>
    </row>
    <row r="571">
      <c r="A571" t="inlineStr">
        <is>
          <t>U-CD190-01-12</t>
        </is>
      </c>
      <c r="B571" t="inlineStr">
        <is>
          <t>Cendana</t>
        </is>
      </c>
      <c r="C571" t="inlineStr">
        <is>
          <t>Blk 190 Jalan Cendana Indah #01-12 Singapura 470190</t>
        </is>
      </c>
      <c r="D571" t="inlineStr">
        <is>
          <t>Shop</t>
        </is>
      </c>
      <c r="E571" t="n">
        <v>119.1</v>
      </c>
      <c r="F571" t="inlineStr">
        <is>
          <t>NC-CD-1</t>
        </is>
      </c>
      <c r="G571" t="inlineStr">
        <is>
          <t>Vacant</t>
        </is>
      </c>
    </row>
    <row r="572">
      <c r="A572" t="inlineStr">
        <is>
          <t>U-CD194-01-01</t>
        </is>
      </c>
      <c r="B572" t="inlineStr">
        <is>
          <t>Cendana</t>
        </is>
      </c>
      <c r="C572" t="inlineStr">
        <is>
          <t>Blk 194 Jalan Cendana Indah #01-01 Singapura 470194</t>
        </is>
      </c>
      <c r="D572" t="inlineStr">
        <is>
          <t>Shop</t>
        </is>
      </c>
      <c r="E572" t="n">
        <v>47.7</v>
      </c>
      <c r="F572" t="inlineStr">
        <is>
          <t>NC-CD-1</t>
        </is>
      </c>
      <c r="G572" t="inlineStr">
        <is>
          <t>Tenanted</t>
        </is>
      </c>
    </row>
    <row r="573">
      <c r="A573" t="inlineStr">
        <is>
          <t>U-CD194-01-02</t>
        </is>
      </c>
      <c r="B573" t="inlineStr">
        <is>
          <t>Cendana</t>
        </is>
      </c>
      <c r="C573" t="inlineStr">
        <is>
          <t>Blk 194 Jalan Cendana Indah #01-02 Singapura 470194</t>
        </is>
      </c>
      <c r="D573" t="inlineStr">
        <is>
          <t>Shop</t>
        </is>
      </c>
      <c r="E573" t="n">
        <v>118.9</v>
      </c>
      <c r="F573" t="inlineStr">
        <is>
          <t>NC-CD-1</t>
        </is>
      </c>
      <c r="G573" t="inlineStr">
        <is>
          <t>Tenanted</t>
        </is>
      </c>
    </row>
    <row r="574">
      <c r="A574" t="inlineStr">
        <is>
          <t>U-CD194-01-03</t>
        </is>
      </c>
      <c r="B574" t="inlineStr">
        <is>
          <t>Cendana</t>
        </is>
      </c>
      <c r="C574" t="inlineStr">
        <is>
          <t>Blk 194 Jalan Cendana Indah #01-03 Singapura 470194</t>
        </is>
      </c>
      <c r="D574" t="inlineStr">
        <is>
          <t>Shop</t>
        </is>
      </c>
      <c r="E574" t="n">
        <v>69.2</v>
      </c>
      <c r="F574" t="inlineStr">
        <is>
          <t>NC-CD-1</t>
        </is>
      </c>
      <c r="G574" t="inlineStr">
        <is>
          <t>Tenanted</t>
        </is>
      </c>
    </row>
    <row r="575">
      <c r="A575" t="inlineStr">
        <is>
          <t>U-CD194-01-04</t>
        </is>
      </c>
      <c r="B575" t="inlineStr">
        <is>
          <t>Cendana</t>
        </is>
      </c>
      <c r="C575" t="inlineStr">
        <is>
          <t>Blk 194 Jalan Cendana Indah #01-04 Singapura 470194</t>
        </is>
      </c>
      <c r="D575" t="inlineStr">
        <is>
          <t>Shop</t>
        </is>
      </c>
      <c r="E575" t="n">
        <v>88.2</v>
      </c>
      <c r="F575" t="inlineStr">
        <is>
          <t>NC-CD-1</t>
        </is>
      </c>
      <c r="G575" t="inlineStr">
        <is>
          <t>Tenanted</t>
        </is>
      </c>
    </row>
    <row r="576">
      <c r="A576" t="inlineStr">
        <is>
          <t>U-CD194-01-05</t>
        </is>
      </c>
      <c r="B576" t="inlineStr">
        <is>
          <t>Cendana</t>
        </is>
      </c>
      <c r="C576" t="inlineStr">
        <is>
          <t>Blk 194 Jalan Cendana Indah #01-05 Singapura 470194</t>
        </is>
      </c>
      <c r="D576" t="inlineStr">
        <is>
          <t>Shop</t>
        </is>
      </c>
      <c r="E576" t="n">
        <v>43.2</v>
      </c>
      <c r="F576" t="inlineStr">
        <is>
          <t>NC-CD-1</t>
        </is>
      </c>
      <c r="G576" t="inlineStr">
        <is>
          <t>Tenanted</t>
        </is>
      </c>
    </row>
    <row r="577">
      <c r="A577" t="inlineStr">
        <is>
          <t>U-CD194-01-06</t>
        </is>
      </c>
      <c r="B577" t="inlineStr">
        <is>
          <t>Cendana</t>
        </is>
      </c>
      <c r="C577" t="inlineStr">
        <is>
          <t>Blk 194 Jalan Cendana Indah #01-06 Singapura 470194</t>
        </is>
      </c>
      <c r="D577" t="inlineStr">
        <is>
          <t>Shop</t>
        </is>
      </c>
      <c r="E577" t="n">
        <v>97.09999999999999</v>
      </c>
      <c r="F577" t="inlineStr">
        <is>
          <t>NC-CD-1</t>
        </is>
      </c>
      <c r="G577" t="inlineStr">
        <is>
          <t>Tenanted</t>
        </is>
      </c>
    </row>
    <row r="578">
      <c r="A578" t="inlineStr">
        <is>
          <t>U-CD194-01-07</t>
        </is>
      </c>
      <c r="B578" t="inlineStr">
        <is>
          <t>Cendana</t>
        </is>
      </c>
      <c r="C578" t="inlineStr">
        <is>
          <t>Blk 194 Jalan Cendana Indah #01-07 Singapura 470194</t>
        </is>
      </c>
      <c r="D578" t="inlineStr">
        <is>
          <t>Shop with Living Quarters</t>
        </is>
      </c>
      <c r="E578" t="n">
        <v>86</v>
      </c>
      <c r="F578" t="inlineStr">
        <is>
          <t>NC-CD-1</t>
        </is>
      </c>
      <c r="G578" t="inlineStr">
        <is>
          <t>Tenanted</t>
        </is>
      </c>
    </row>
    <row r="579">
      <c r="A579" t="inlineStr">
        <is>
          <t>U-KR305-01-01</t>
        </is>
      </c>
      <c r="B579" t="inlineStr">
        <is>
          <t>Kebun Raya</t>
        </is>
      </c>
      <c r="C579" t="inlineStr">
        <is>
          <t>Blk 305 Kebun Raya Avenue 3 #01-01 Singapura 650305</t>
        </is>
      </c>
      <c r="D579" t="inlineStr">
        <is>
          <t>Shop</t>
        </is>
      </c>
      <c r="E579" t="n">
        <v>81.2</v>
      </c>
      <c r="F579" t="inlineStr">
        <is>
          <t>NC-KR-1</t>
        </is>
      </c>
      <c r="G579" t="inlineStr">
        <is>
          <t>Tenanted</t>
        </is>
      </c>
    </row>
    <row r="580">
      <c r="A580" t="inlineStr">
        <is>
          <t>U-KR305-01-02</t>
        </is>
      </c>
      <c r="B580" t="inlineStr">
        <is>
          <t>Kebun Raya</t>
        </is>
      </c>
      <c r="C580" t="inlineStr">
        <is>
          <t>Blk 305 Kebun Raya Avenue 3 #01-02 Singapura 650305</t>
        </is>
      </c>
      <c r="D580" t="inlineStr">
        <is>
          <t>Shop</t>
        </is>
      </c>
      <c r="E580" t="n">
        <v>89</v>
      </c>
      <c r="F580" t="inlineStr">
        <is>
          <t>NC-KR-1</t>
        </is>
      </c>
      <c r="G580" t="inlineStr">
        <is>
          <t>Tenanted</t>
        </is>
      </c>
    </row>
    <row r="581">
      <c r="A581" t="inlineStr">
        <is>
          <t>U-KR305-01-03</t>
        </is>
      </c>
      <c r="B581" t="inlineStr">
        <is>
          <t>Kebun Raya</t>
        </is>
      </c>
      <c r="C581" t="inlineStr">
        <is>
          <t>Blk 305 Kebun Raya Avenue 3 #01-03 Singapura 650305</t>
        </is>
      </c>
      <c r="D581" t="inlineStr">
        <is>
          <t>Shop</t>
        </is>
      </c>
      <c r="E581" t="n">
        <v>119.2</v>
      </c>
      <c r="F581" t="inlineStr">
        <is>
          <t>NC-KR-1</t>
        </is>
      </c>
      <c r="G581" t="inlineStr">
        <is>
          <t>Vacant</t>
        </is>
      </c>
    </row>
    <row r="582">
      <c r="A582" t="inlineStr">
        <is>
          <t>U-KR305-01-04</t>
        </is>
      </c>
      <c r="B582" t="inlineStr">
        <is>
          <t>Kebun Raya</t>
        </is>
      </c>
      <c r="C582" t="inlineStr">
        <is>
          <t>Blk 305 Kebun Raya Avenue 3 #01-04 Singapura 650305</t>
        </is>
      </c>
      <c r="D582" t="inlineStr">
        <is>
          <t>Kiosk</t>
        </is>
      </c>
      <c r="E582" t="n">
        <v>8.699999999999999</v>
      </c>
      <c r="F582" t="inlineStr">
        <is>
          <t>NC-KR-1</t>
        </is>
      </c>
      <c r="G582" t="inlineStr">
        <is>
          <t>Tenanted</t>
        </is>
      </c>
    </row>
    <row r="583">
      <c r="A583" t="inlineStr">
        <is>
          <t>U-KR305-01-05</t>
        </is>
      </c>
      <c r="B583" t="inlineStr">
        <is>
          <t>Kebun Raya</t>
        </is>
      </c>
      <c r="C583" t="inlineStr">
        <is>
          <t>Blk 305 Kebun Raya Avenue 3 #01-05 Singapura 650305</t>
        </is>
      </c>
      <c r="D583" t="inlineStr">
        <is>
          <t>Shop</t>
        </is>
      </c>
      <c r="E583" t="n">
        <v>106.3</v>
      </c>
      <c r="F583" t="inlineStr">
        <is>
          <t>NC-KR-1</t>
        </is>
      </c>
      <c r="G583" t="inlineStr">
        <is>
          <t>Tenanted</t>
        </is>
      </c>
    </row>
    <row r="584">
      <c r="A584" t="inlineStr">
        <is>
          <t>U-KR305-01-06</t>
        </is>
      </c>
      <c r="B584" t="inlineStr">
        <is>
          <t>Kebun Raya</t>
        </is>
      </c>
      <c r="C584" t="inlineStr">
        <is>
          <t>Blk 305 Kebun Raya Avenue 3 #01-06 Singapura 650305</t>
        </is>
      </c>
      <c r="D584" t="inlineStr">
        <is>
          <t>Shop</t>
        </is>
      </c>
      <c r="E584" t="n">
        <v>96.7</v>
      </c>
      <c r="F584" t="inlineStr">
        <is>
          <t>NC-KR-1</t>
        </is>
      </c>
      <c r="G584" t="inlineStr">
        <is>
          <t>Tenanted</t>
        </is>
      </c>
    </row>
    <row r="585">
      <c r="A585" t="inlineStr">
        <is>
          <t>U-KR305-01-07</t>
        </is>
      </c>
      <c r="B585" t="inlineStr">
        <is>
          <t>Kebun Raya</t>
        </is>
      </c>
      <c r="C585" t="inlineStr">
        <is>
          <t>Blk 305 Kebun Raya Avenue 3 #01-07 Singapura 650305</t>
        </is>
      </c>
      <c r="D585" t="inlineStr">
        <is>
          <t>Shop</t>
        </is>
      </c>
      <c r="E585" t="n">
        <v>105.3</v>
      </c>
      <c r="F585" t="inlineStr">
        <is>
          <t>NC-KR-1</t>
        </is>
      </c>
      <c r="G585" t="inlineStr">
        <is>
          <t>Tenanted</t>
        </is>
      </c>
    </row>
    <row r="586">
      <c r="A586" t="inlineStr">
        <is>
          <t>U-KR305-01-08</t>
        </is>
      </c>
      <c r="B586" t="inlineStr">
        <is>
          <t>Kebun Raya</t>
        </is>
      </c>
      <c r="C586" t="inlineStr">
        <is>
          <t>Blk 305 Kebun Raya Avenue 3 #01-08 Singapura 650305</t>
        </is>
      </c>
      <c r="D586" t="inlineStr">
        <is>
          <t>Shop</t>
        </is>
      </c>
      <c r="E586" t="n">
        <v>93.90000000000001</v>
      </c>
      <c r="F586" t="inlineStr">
        <is>
          <t>NC-KR-1</t>
        </is>
      </c>
      <c r="G586" t="inlineStr">
        <is>
          <t>Tenanted</t>
        </is>
      </c>
    </row>
    <row r="587">
      <c r="A587" t="inlineStr">
        <is>
          <t>U-KR305-02-09</t>
        </is>
      </c>
      <c r="B587" t="inlineStr">
        <is>
          <t>Kebun Raya</t>
        </is>
      </c>
      <c r="C587" t="inlineStr">
        <is>
          <t>Blk 305 Kebun Raya Avenue 3 #02-09 Singapura 650305</t>
        </is>
      </c>
      <c r="D587" t="inlineStr">
        <is>
          <t>Office</t>
        </is>
      </c>
      <c r="E587" t="n">
        <v>129.7</v>
      </c>
      <c r="F587" t="inlineStr">
        <is>
          <t>NC-KR-1</t>
        </is>
      </c>
      <c r="G587" t="inlineStr">
        <is>
          <t>Tenanted</t>
        </is>
      </c>
    </row>
    <row r="588">
      <c r="A588" t="inlineStr">
        <is>
          <t>U-KR305-01-10</t>
        </is>
      </c>
      <c r="B588" t="inlineStr">
        <is>
          <t>Kebun Raya</t>
        </is>
      </c>
      <c r="C588" t="inlineStr">
        <is>
          <t>Blk 305 Kebun Raya Avenue 3 #01-10 Singapura 650305</t>
        </is>
      </c>
      <c r="D588" t="inlineStr">
        <is>
          <t>Kiosk</t>
        </is>
      </c>
      <c r="E588" t="n">
        <v>12.2</v>
      </c>
      <c r="F588" t="inlineStr">
        <is>
          <t>NC-KR-1</t>
        </is>
      </c>
      <c r="G588" t="inlineStr">
        <is>
          <t>Tenanted</t>
        </is>
      </c>
    </row>
    <row r="589">
      <c r="A589" t="inlineStr">
        <is>
          <t>U-KR305-01-11</t>
        </is>
      </c>
      <c r="B589" t="inlineStr">
        <is>
          <t>Kebun Raya</t>
        </is>
      </c>
      <c r="C589" t="inlineStr">
        <is>
          <t>Blk 305 Kebun Raya Avenue 3 #01-11 Singapura 650305</t>
        </is>
      </c>
      <c r="D589" t="inlineStr">
        <is>
          <t>Shop</t>
        </is>
      </c>
      <c r="E589" t="n">
        <v>78</v>
      </c>
      <c r="F589" t="inlineStr">
        <is>
          <t>NC-KR-1</t>
        </is>
      </c>
      <c r="G589" t="inlineStr">
        <is>
          <t>Tenanted</t>
        </is>
      </c>
    </row>
    <row r="590">
      <c r="A590" t="inlineStr">
        <is>
          <t>U-KR305-01-12</t>
        </is>
      </c>
      <c r="B590" t="inlineStr">
        <is>
          <t>Kebun Raya</t>
        </is>
      </c>
      <c r="C590" t="inlineStr">
        <is>
          <t>Blk 305 Kebun Raya Avenue 3 #01-12 Singapura 650305</t>
        </is>
      </c>
      <c r="D590" t="inlineStr">
        <is>
          <t>Shop</t>
        </is>
      </c>
      <c r="E590" t="n">
        <v>117.4</v>
      </c>
      <c r="F590" t="inlineStr">
        <is>
          <t>NC-KR-1</t>
        </is>
      </c>
      <c r="G590" t="inlineStr">
        <is>
          <t>Tenanted</t>
        </is>
      </c>
    </row>
    <row r="591">
      <c r="A591" t="inlineStr">
        <is>
          <t>U-KR305-01-13</t>
        </is>
      </c>
      <c r="B591" t="inlineStr">
        <is>
          <t>Kebun Raya</t>
        </is>
      </c>
      <c r="C591" t="inlineStr">
        <is>
          <t>Blk 305 Kebun Raya Avenue 3 #01-13 Singapura 650305</t>
        </is>
      </c>
      <c r="D591" t="inlineStr">
        <is>
          <t>Shop with Living Quarters</t>
        </is>
      </c>
      <c r="E591" t="n">
        <v>98.8</v>
      </c>
      <c r="F591" t="inlineStr">
        <is>
          <t>NC-KR-1</t>
        </is>
      </c>
      <c r="G591" t="inlineStr">
        <is>
          <t>Tenanted</t>
        </is>
      </c>
    </row>
    <row r="592">
      <c r="A592" t="inlineStr">
        <is>
          <t>U-KR305-01-14</t>
        </is>
      </c>
      <c r="B592" t="inlineStr">
        <is>
          <t>Kebun Raya</t>
        </is>
      </c>
      <c r="C592" t="inlineStr">
        <is>
          <t>Blk 305 Kebun Raya Avenue 3 #01-14 Singapura 650305</t>
        </is>
      </c>
      <c r="D592" t="inlineStr">
        <is>
          <t>Shop</t>
        </is>
      </c>
      <c r="E592" t="n">
        <v>97.7</v>
      </c>
      <c r="F592" t="inlineStr">
        <is>
          <t>NC-KR-1</t>
        </is>
      </c>
      <c r="G592" t="inlineStr">
        <is>
          <t>Tenanted</t>
        </is>
      </c>
    </row>
    <row r="593">
      <c r="A593" t="inlineStr">
        <is>
          <t>U-KR305-01-15</t>
        </is>
      </c>
      <c r="B593" t="inlineStr">
        <is>
          <t>Kebun Raya</t>
        </is>
      </c>
      <c r="C593" t="inlineStr">
        <is>
          <t>Blk 305 Kebun Raya Avenue 3 #01-15 Singapura 650305</t>
        </is>
      </c>
      <c r="D593" t="inlineStr">
        <is>
          <t>Shop</t>
        </is>
      </c>
      <c r="E593" t="n">
        <v>53.6</v>
      </c>
      <c r="F593" t="inlineStr">
        <is>
          <t>NC-KR-1</t>
        </is>
      </c>
      <c r="G593" t="inlineStr">
        <is>
          <t>Tenanted</t>
        </is>
      </c>
    </row>
    <row r="594">
      <c r="A594" t="inlineStr">
        <is>
          <t>U-KR305-01-16</t>
        </is>
      </c>
      <c r="B594" t="inlineStr">
        <is>
          <t>Kebun Raya</t>
        </is>
      </c>
      <c r="C594" t="inlineStr">
        <is>
          <t>Blk 305 Kebun Raya Avenue 3 #01-16 Singapura 650305</t>
        </is>
      </c>
      <c r="D594" t="inlineStr">
        <is>
          <t>Shop</t>
        </is>
      </c>
      <c r="E594" t="n">
        <v>89.59999999999999</v>
      </c>
      <c r="F594" t="inlineStr">
        <is>
          <t>NC-KR-1</t>
        </is>
      </c>
      <c r="G594" t="inlineStr">
        <is>
          <t>Tenanted</t>
        </is>
      </c>
    </row>
    <row r="595">
      <c r="A595" t="inlineStr">
        <is>
          <t>U-KR305-01-17</t>
        </is>
      </c>
      <c r="B595" t="inlineStr">
        <is>
          <t>Kebun Raya</t>
        </is>
      </c>
      <c r="C595" t="inlineStr">
        <is>
          <t>Blk 305 Kebun Raya Avenue 3 #01-17 Singapura 650305</t>
        </is>
      </c>
      <c r="D595" t="inlineStr">
        <is>
          <t>Shop with Living Quarters</t>
        </is>
      </c>
      <c r="E595" t="n">
        <v>67.40000000000001</v>
      </c>
      <c r="F595" t="inlineStr">
        <is>
          <t>NC-KR-1</t>
        </is>
      </c>
      <c r="G595" t="inlineStr">
        <is>
          <t>Tenanted</t>
        </is>
      </c>
    </row>
    <row r="596">
      <c r="A596" t="inlineStr">
        <is>
          <t>U-KR305-01-18</t>
        </is>
      </c>
      <c r="B596" t="inlineStr">
        <is>
          <t>Kebun Raya</t>
        </is>
      </c>
      <c r="C596" t="inlineStr">
        <is>
          <t>Blk 305 Kebun Raya Avenue 3 #01-18 Singapura 650305</t>
        </is>
      </c>
      <c r="D596" t="inlineStr">
        <is>
          <t>Shop</t>
        </is>
      </c>
      <c r="E596" t="n">
        <v>42.5</v>
      </c>
      <c r="F596" t="inlineStr">
        <is>
          <t>NC-KR-1</t>
        </is>
      </c>
      <c r="G596" t="inlineStr">
        <is>
          <t>Tenanted</t>
        </is>
      </c>
    </row>
    <row r="597">
      <c r="A597" t="inlineStr">
        <is>
          <t>U-KR305-02-19</t>
        </is>
      </c>
      <c r="B597" t="inlineStr">
        <is>
          <t>Kebun Raya</t>
        </is>
      </c>
      <c r="C597" t="inlineStr">
        <is>
          <t>Blk 305 Kebun Raya Avenue 3 #02-19 Singapura 650305</t>
        </is>
      </c>
      <c r="D597" t="inlineStr">
        <is>
          <t>Office</t>
        </is>
      </c>
      <c r="E597" t="n">
        <v>51.9</v>
      </c>
      <c r="F597" t="inlineStr">
        <is>
          <t>NC-KR-1</t>
        </is>
      </c>
      <c r="G597" t="inlineStr">
        <is>
          <t>Tenanted</t>
        </is>
      </c>
    </row>
    <row r="598">
      <c r="A598" t="inlineStr">
        <is>
          <t>U-KR305-01-20</t>
        </is>
      </c>
      <c r="B598" t="inlineStr">
        <is>
          <t>Kebun Raya</t>
        </is>
      </c>
      <c r="C598" t="inlineStr">
        <is>
          <t>Blk 305 Kebun Raya Avenue 3 #01-20 Singapura 650305</t>
        </is>
      </c>
      <c r="D598" t="inlineStr">
        <is>
          <t>Shop</t>
        </is>
      </c>
      <c r="E598" t="n">
        <v>52.1</v>
      </c>
      <c r="F598" t="inlineStr">
        <is>
          <t>NC-KR-1</t>
        </is>
      </c>
      <c r="G598" t="inlineStr">
        <is>
          <t>Tenanted</t>
        </is>
      </c>
    </row>
    <row r="599">
      <c r="A599" t="inlineStr">
        <is>
          <t>U-KR305-01-21</t>
        </is>
      </c>
      <c r="B599" t="inlineStr">
        <is>
          <t>Kebun Raya</t>
        </is>
      </c>
      <c r="C599" t="inlineStr">
        <is>
          <t>Blk 305 Kebun Raya Avenue 3 #01-21 Singapura 650305</t>
        </is>
      </c>
      <c r="D599" t="inlineStr">
        <is>
          <t>Kiosk</t>
        </is>
      </c>
      <c r="E599" t="n">
        <v>9.699999999999999</v>
      </c>
      <c r="F599" t="inlineStr">
        <is>
          <t>NC-KR-1</t>
        </is>
      </c>
      <c r="G599" t="inlineStr">
        <is>
          <t>Tenanted</t>
        </is>
      </c>
    </row>
    <row r="600">
      <c r="A600" t="inlineStr">
        <is>
          <t>U-KR305-01-22</t>
        </is>
      </c>
      <c r="B600" t="inlineStr">
        <is>
          <t>Kebun Raya</t>
        </is>
      </c>
      <c r="C600" t="inlineStr">
        <is>
          <t>Blk 305 Kebun Raya Avenue 3 #01-22 Singapura 650305</t>
        </is>
      </c>
      <c r="D600" t="inlineStr">
        <is>
          <t>Shop with Living Quarters</t>
        </is>
      </c>
      <c r="E600" t="n">
        <v>106</v>
      </c>
      <c r="F600" t="inlineStr">
        <is>
          <t>NC-KR-1</t>
        </is>
      </c>
      <c r="G600" t="inlineStr">
        <is>
          <t>Tenanted</t>
        </is>
      </c>
    </row>
    <row r="601">
      <c r="A601" t="inlineStr">
        <is>
          <t>U-KR305-01-23</t>
        </is>
      </c>
      <c r="B601" t="inlineStr">
        <is>
          <t>Kebun Raya</t>
        </is>
      </c>
      <c r="C601" t="inlineStr">
        <is>
          <t>Blk 305 Kebun Raya Avenue 3 #01-23 Singapura 650305</t>
        </is>
      </c>
      <c r="D601" t="inlineStr">
        <is>
          <t>Office</t>
        </is>
      </c>
      <c r="E601" t="n">
        <v>56.2</v>
      </c>
      <c r="F601" t="inlineStr">
        <is>
          <t>NC-KR-1</t>
        </is>
      </c>
      <c r="G601" t="inlineStr">
        <is>
          <t>Tenanted</t>
        </is>
      </c>
    </row>
    <row r="602">
      <c r="A602" t="inlineStr">
        <is>
          <t>U-KR305-01-24</t>
        </is>
      </c>
      <c r="B602" t="inlineStr">
        <is>
          <t>Kebun Raya</t>
        </is>
      </c>
      <c r="C602" t="inlineStr">
        <is>
          <t>Blk 305 Kebun Raya Avenue 3 #01-24 Singapura 650305</t>
        </is>
      </c>
      <c r="D602" t="inlineStr">
        <is>
          <t>Shop</t>
        </is>
      </c>
      <c r="E602" t="n">
        <v>56.6</v>
      </c>
      <c r="F602" t="inlineStr">
        <is>
          <t>NC-KR-1</t>
        </is>
      </c>
      <c r="G602" t="inlineStr">
        <is>
          <t>Tenanted</t>
        </is>
      </c>
    </row>
    <row r="603">
      <c r="A603" t="inlineStr">
        <is>
          <t>U-KR305-01-25</t>
        </is>
      </c>
      <c r="B603" t="inlineStr">
        <is>
          <t>Kebun Raya</t>
        </is>
      </c>
      <c r="C603" t="inlineStr">
        <is>
          <t>Blk 305 Kebun Raya Avenue 3 #01-25 Singapura 650305</t>
        </is>
      </c>
      <c r="D603" t="inlineStr">
        <is>
          <t>Shop</t>
        </is>
      </c>
      <c r="E603" t="n">
        <v>93</v>
      </c>
      <c r="F603" t="inlineStr">
        <is>
          <t>NC-KR-1</t>
        </is>
      </c>
      <c r="G603" t="inlineStr">
        <is>
          <t>Tenanted</t>
        </is>
      </c>
    </row>
    <row r="604">
      <c r="A604" t="inlineStr">
        <is>
          <t>U-KR305-01-26</t>
        </is>
      </c>
      <c r="B604" t="inlineStr">
        <is>
          <t>Kebun Raya</t>
        </is>
      </c>
      <c r="C604" t="inlineStr">
        <is>
          <t>Blk 305 Kebun Raya Avenue 3 #01-26 Singapura 650305</t>
        </is>
      </c>
      <c r="D604" t="inlineStr">
        <is>
          <t>Shop</t>
        </is>
      </c>
      <c r="E604" t="n">
        <v>65.09999999999999</v>
      </c>
      <c r="F604" t="inlineStr">
        <is>
          <t>NC-KR-1</t>
        </is>
      </c>
      <c r="G604" t="inlineStr">
        <is>
          <t>Tenanted</t>
        </is>
      </c>
    </row>
    <row r="605">
      <c r="A605" t="inlineStr">
        <is>
          <t>U-KR305-01-27</t>
        </is>
      </c>
      <c r="B605" t="inlineStr">
        <is>
          <t>Kebun Raya</t>
        </is>
      </c>
      <c r="C605" t="inlineStr">
        <is>
          <t>Blk 305 Kebun Raya Avenue 3 #01-27 Singapura 650305</t>
        </is>
      </c>
      <c r="D605" t="inlineStr">
        <is>
          <t>Shop</t>
        </is>
      </c>
      <c r="E605" t="n">
        <v>113</v>
      </c>
      <c r="F605" t="inlineStr">
        <is>
          <t>NC-KR-1</t>
        </is>
      </c>
      <c r="G605" t="inlineStr">
        <is>
          <t>Tenanted</t>
        </is>
      </c>
    </row>
    <row r="606">
      <c r="A606" t="inlineStr">
        <is>
          <t>U-KR305-01-28</t>
        </is>
      </c>
      <c r="B606" t="inlineStr">
        <is>
          <t>Kebun Raya</t>
        </is>
      </c>
      <c r="C606" t="inlineStr">
        <is>
          <t>Blk 305 Kebun Raya Avenue 3 #01-28 Singapura 650305</t>
        </is>
      </c>
      <c r="D606" t="inlineStr">
        <is>
          <t>Shop</t>
        </is>
      </c>
      <c r="E606" t="n">
        <v>68.3</v>
      </c>
      <c r="F606" t="inlineStr">
        <is>
          <t>NC-KR-1</t>
        </is>
      </c>
      <c r="G606" t="inlineStr">
        <is>
          <t>Tenanted</t>
        </is>
      </c>
    </row>
    <row r="607">
      <c r="A607" t="inlineStr">
        <is>
          <t>U-KR305-01-29</t>
        </is>
      </c>
      <c r="B607" t="inlineStr">
        <is>
          <t>Kebun Raya</t>
        </is>
      </c>
      <c r="C607" t="inlineStr">
        <is>
          <t>Blk 305 Kebun Raya Avenue 3 #01-29 Singapura 650305</t>
        </is>
      </c>
      <c r="D607" t="inlineStr">
        <is>
          <t>Kiosk</t>
        </is>
      </c>
      <c r="E607" t="n">
        <v>12.5</v>
      </c>
      <c r="F607" t="inlineStr">
        <is>
          <t>NC-KR-1</t>
        </is>
      </c>
      <c r="G607" t="inlineStr">
        <is>
          <t>Tenanted</t>
        </is>
      </c>
    </row>
    <row r="608">
      <c r="A608" t="inlineStr">
        <is>
          <t>U-KR305-01-30</t>
        </is>
      </c>
      <c r="B608" t="inlineStr">
        <is>
          <t>Kebun Raya</t>
        </is>
      </c>
      <c r="C608" t="inlineStr">
        <is>
          <t>Blk 305 Kebun Raya Avenue 3 #01-30 Singapura 650305</t>
        </is>
      </c>
      <c r="D608" t="inlineStr">
        <is>
          <t>Shop</t>
        </is>
      </c>
      <c r="E608" t="n">
        <v>95.5</v>
      </c>
      <c r="F608" t="inlineStr">
        <is>
          <t>NC-KR-1</t>
        </is>
      </c>
      <c r="G608" t="inlineStr">
        <is>
          <t>Tenanted</t>
        </is>
      </c>
    </row>
    <row r="609">
      <c r="A609" t="inlineStr">
        <is>
          <t>U-KR305-01-31</t>
        </is>
      </c>
      <c r="B609" t="inlineStr">
        <is>
          <t>Kebun Raya</t>
        </is>
      </c>
      <c r="C609" t="inlineStr">
        <is>
          <t>Blk 305 Kebun Raya Avenue 3 #01-31 Singapura 650305</t>
        </is>
      </c>
      <c r="D609" t="inlineStr">
        <is>
          <t>Shop</t>
        </is>
      </c>
      <c r="E609" t="n">
        <v>55.4</v>
      </c>
      <c r="F609" t="inlineStr">
        <is>
          <t>NC-KR-1</t>
        </is>
      </c>
      <c r="G609" t="inlineStr">
        <is>
          <t>Tenanted</t>
        </is>
      </c>
    </row>
    <row r="610">
      <c r="A610" t="inlineStr">
        <is>
          <t>U-KR305-01-32</t>
        </is>
      </c>
      <c r="B610" t="inlineStr">
        <is>
          <t>Kebun Raya</t>
        </is>
      </c>
      <c r="C610" t="inlineStr">
        <is>
          <t>Blk 305 Kebun Raya Avenue 3 #01-32 Singapura 650305</t>
        </is>
      </c>
      <c r="D610" t="inlineStr">
        <is>
          <t>Shop</t>
        </is>
      </c>
      <c r="E610" t="n">
        <v>84.59999999999999</v>
      </c>
      <c r="F610" t="inlineStr">
        <is>
          <t>NC-KR-1</t>
        </is>
      </c>
      <c r="G610" t="inlineStr">
        <is>
          <t>Tenanted</t>
        </is>
      </c>
    </row>
    <row r="611">
      <c r="A611" t="inlineStr">
        <is>
          <t>U-KR305-01-33</t>
        </is>
      </c>
      <c r="B611" t="inlineStr">
        <is>
          <t>Kebun Raya</t>
        </is>
      </c>
      <c r="C611" t="inlineStr">
        <is>
          <t>Blk 305 Kebun Raya Avenue 3 #01-33 Singapura 650305</t>
        </is>
      </c>
      <c r="D611" t="inlineStr">
        <is>
          <t>Shop</t>
        </is>
      </c>
      <c r="E611" t="n">
        <v>117.8</v>
      </c>
      <c r="F611" t="inlineStr">
        <is>
          <t>NC-KR-1</t>
        </is>
      </c>
      <c r="G611" t="inlineStr">
        <is>
          <t>Tenanted</t>
        </is>
      </c>
    </row>
    <row r="612">
      <c r="A612" t="inlineStr">
        <is>
          <t>U-KR305-01-34</t>
        </is>
      </c>
      <c r="B612" t="inlineStr">
        <is>
          <t>Kebun Raya</t>
        </is>
      </c>
      <c r="C612" t="inlineStr">
        <is>
          <t>Blk 305 Kebun Raya Avenue 3 #01-34 Singapura 650305</t>
        </is>
      </c>
      <c r="D612" t="inlineStr">
        <is>
          <t>Shop</t>
        </is>
      </c>
      <c r="E612" t="n">
        <v>63.1</v>
      </c>
      <c r="F612" t="inlineStr">
        <is>
          <t>NC-KR-1</t>
        </is>
      </c>
      <c r="G612" t="inlineStr">
        <is>
          <t>Tenanted</t>
        </is>
      </c>
    </row>
    <row r="613">
      <c r="A613" t="inlineStr">
        <is>
          <t>U-KR310-01-01</t>
        </is>
      </c>
      <c r="B613" t="inlineStr">
        <is>
          <t>Kebun Raya</t>
        </is>
      </c>
      <c r="C613" t="inlineStr">
        <is>
          <t>Blk 310 Kebun Raya Crescent #01-01 Singapura 650310</t>
        </is>
      </c>
      <c r="D613" t="inlineStr">
        <is>
          <t>Eating House</t>
        </is>
      </c>
      <c r="E613" t="n">
        <v>296.6</v>
      </c>
      <c r="F613" t="inlineStr">
        <is>
          <t>NC-KR-3</t>
        </is>
      </c>
      <c r="G613" t="inlineStr">
        <is>
          <t>Tenanted</t>
        </is>
      </c>
    </row>
    <row r="614">
      <c r="A614" t="inlineStr">
        <is>
          <t>U-KR310-01-02</t>
        </is>
      </c>
      <c r="B614" t="inlineStr">
        <is>
          <t>Kebun Raya</t>
        </is>
      </c>
      <c r="C614" t="inlineStr">
        <is>
          <t>Blk 310 Kebun Raya Crescent #01-02 Singapura 650310</t>
        </is>
      </c>
      <c r="D614" t="inlineStr">
        <is>
          <t>Shop</t>
        </is>
      </c>
      <c r="E614" t="n">
        <v>78.40000000000001</v>
      </c>
      <c r="F614" t="inlineStr">
        <is>
          <t>NC-KR-3</t>
        </is>
      </c>
      <c r="G614" t="inlineStr">
        <is>
          <t>Tenanted</t>
        </is>
      </c>
    </row>
    <row r="615">
      <c r="A615" t="inlineStr">
        <is>
          <t>U-KR310-01-03</t>
        </is>
      </c>
      <c r="B615" t="inlineStr">
        <is>
          <t>Kebun Raya</t>
        </is>
      </c>
      <c r="C615" t="inlineStr">
        <is>
          <t>Blk 310 Kebun Raya Crescent #01-03 Singapura 650310</t>
        </is>
      </c>
      <c r="D615" t="inlineStr">
        <is>
          <t>Shop</t>
        </is>
      </c>
      <c r="E615" t="n">
        <v>114.8</v>
      </c>
      <c r="F615" t="inlineStr">
        <is>
          <t>NC-KR-3</t>
        </is>
      </c>
      <c r="G615" t="inlineStr">
        <is>
          <t>Tenanted</t>
        </is>
      </c>
    </row>
    <row r="616">
      <c r="A616" t="inlineStr">
        <is>
          <t>U-KR310-01-04</t>
        </is>
      </c>
      <c r="B616" t="inlineStr">
        <is>
          <t>Kebun Raya</t>
        </is>
      </c>
      <c r="C616" t="inlineStr">
        <is>
          <t>Blk 310 Kebun Raya Crescent #01-04 Singapura 650310</t>
        </is>
      </c>
      <c r="D616" t="inlineStr">
        <is>
          <t>Kiosk</t>
        </is>
      </c>
      <c r="E616" t="n">
        <v>8.6</v>
      </c>
      <c r="F616" t="inlineStr">
        <is>
          <t>NC-KR-3</t>
        </is>
      </c>
      <c r="G616" t="inlineStr">
        <is>
          <t>Tenanted</t>
        </is>
      </c>
    </row>
    <row r="617">
      <c r="A617" t="inlineStr">
        <is>
          <t>U-KR310-01-05</t>
        </is>
      </c>
      <c r="B617" t="inlineStr">
        <is>
          <t>Kebun Raya</t>
        </is>
      </c>
      <c r="C617" t="inlineStr">
        <is>
          <t>Blk 310 Kebun Raya Crescent #01-05 Singapura 650310</t>
        </is>
      </c>
      <c r="D617" t="inlineStr">
        <is>
          <t>Shop</t>
        </is>
      </c>
      <c r="E617" t="n">
        <v>83.5</v>
      </c>
      <c r="F617" t="inlineStr">
        <is>
          <t>NC-KR-3</t>
        </is>
      </c>
      <c r="G617" t="inlineStr">
        <is>
          <t>Tenanted</t>
        </is>
      </c>
    </row>
    <row r="618">
      <c r="A618" t="inlineStr">
        <is>
          <t>U-KR310-02-06</t>
        </is>
      </c>
      <c r="B618" t="inlineStr">
        <is>
          <t>Kebun Raya</t>
        </is>
      </c>
      <c r="C618" t="inlineStr">
        <is>
          <t>Blk 310 Kebun Raya Crescent #02-06 Singapura 650310</t>
        </is>
      </c>
      <c r="D618" t="inlineStr">
        <is>
          <t>Office</t>
        </is>
      </c>
      <c r="E618" t="n">
        <v>84.5</v>
      </c>
      <c r="F618" t="inlineStr">
        <is>
          <t>NC-KR-3</t>
        </is>
      </c>
      <c r="G618" t="inlineStr">
        <is>
          <t>Tenanted</t>
        </is>
      </c>
    </row>
    <row r="619">
      <c r="A619" t="inlineStr">
        <is>
          <t>U-KR310-01-07</t>
        </is>
      </c>
      <c r="B619" t="inlineStr">
        <is>
          <t>Kebun Raya</t>
        </is>
      </c>
      <c r="C619" t="inlineStr">
        <is>
          <t>Blk 310 Kebun Raya Crescent #01-07 Singapura 650310</t>
        </is>
      </c>
      <c r="D619" t="inlineStr">
        <is>
          <t>Shop with Living Quarters</t>
        </is>
      </c>
      <c r="E619" t="n">
        <v>67.3</v>
      </c>
      <c r="F619" t="inlineStr">
        <is>
          <t>NC-KR-3</t>
        </is>
      </c>
      <c r="G619" t="inlineStr">
        <is>
          <t>Tenanted</t>
        </is>
      </c>
    </row>
    <row r="620">
      <c r="A620" t="inlineStr">
        <is>
          <t>U-KR310-01-08</t>
        </is>
      </c>
      <c r="B620" t="inlineStr">
        <is>
          <t>Kebun Raya</t>
        </is>
      </c>
      <c r="C620" t="inlineStr">
        <is>
          <t>Blk 310 Kebun Raya Crescent #01-08 Singapura 650310</t>
        </is>
      </c>
      <c r="D620" t="inlineStr">
        <is>
          <t>Shop</t>
        </is>
      </c>
      <c r="E620" t="n">
        <v>116.4</v>
      </c>
      <c r="F620" t="inlineStr">
        <is>
          <t>NC-KR-3</t>
        </is>
      </c>
      <c r="G620" t="inlineStr">
        <is>
          <t>Tenanted</t>
        </is>
      </c>
    </row>
    <row r="621">
      <c r="A621" t="inlineStr">
        <is>
          <t>U-KR310-01-09</t>
        </is>
      </c>
      <c r="B621" t="inlineStr">
        <is>
          <t>Kebun Raya</t>
        </is>
      </c>
      <c r="C621" t="inlineStr">
        <is>
          <t>Blk 310 Kebun Raya Crescent #01-09 Singapura 650310</t>
        </is>
      </c>
      <c r="D621" t="inlineStr">
        <is>
          <t>Shop</t>
        </is>
      </c>
      <c r="E621" t="n">
        <v>113.9</v>
      </c>
      <c r="F621" t="inlineStr">
        <is>
          <t>NC-KR-3</t>
        </is>
      </c>
      <c r="G621" t="inlineStr">
        <is>
          <t>Tenanted</t>
        </is>
      </c>
    </row>
    <row r="622">
      <c r="A622" t="inlineStr">
        <is>
          <t>U-KR317-01-01</t>
        </is>
      </c>
      <c r="B622" t="inlineStr">
        <is>
          <t>Kebun Raya</t>
        </is>
      </c>
      <c r="C622" t="inlineStr">
        <is>
          <t>Blk 317 Kebun Raya Avenue 3 #01-01 Singapura 650317</t>
        </is>
      </c>
      <c r="D622" t="inlineStr">
        <is>
          <t>Kiosk</t>
        </is>
      </c>
      <c r="E622" t="n">
        <v>7.9</v>
      </c>
      <c r="F622" t="inlineStr">
        <is>
          <t>NC-KR-3</t>
        </is>
      </c>
      <c r="G622" t="inlineStr">
        <is>
          <t>Tenanted</t>
        </is>
      </c>
    </row>
    <row r="623">
      <c r="A623" t="inlineStr">
        <is>
          <t>U-KR317-01-02</t>
        </is>
      </c>
      <c r="B623" t="inlineStr">
        <is>
          <t>Kebun Raya</t>
        </is>
      </c>
      <c r="C623" t="inlineStr">
        <is>
          <t>Blk 317 Kebun Raya Avenue 3 #01-02 Singapura 650317</t>
        </is>
      </c>
      <c r="D623" t="inlineStr">
        <is>
          <t>Shop with Living Quarters</t>
        </is>
      </c>
      <c r="E623" t="n">
        <v>73.59999999999999</v>
      </c>
      <c r="F623" t="inlineStr">
        <is>
          <t>NC-KR-3</t>
        </is>
      </c>
      <c r="G623" t="inlineStr">
        <is>
          <t>Tenanted</t>
        </is>
      </c>
    </row>
    <row r="624">
      <c r="A624" t="inlineStr">
        <is>
          <t>U-KR317-01-03</t>
        </is>
      </c>
      <c r="B624" t="inlineStr">
        <is>
          <t>Kebun Raya</t>
        </is>
      </c>
      <c r="C624" t="inlineStr">
        <is>
          <t>Blk 317 Kebun Raya Avenue 3 #01-03 Singapura 650317</t>
        </is>
      </c>
      <c r="D624" t="inlineStr">
        <is>
          <t>Shop</t>
        </is>
      </c>
      <c r="E624" t="n">
        <v>61.7</v>
      </c>
      <c r="F624" t="inlineStr">
        <is>
          <t>NC-KR-3</t>
        </is>
      </c>
      <c r="G624" t="inlineStr">
        <is>
          <t>Tenanted</t>
        </is>
      </c>
    </row>
    <row r="625">
      <c r="A625" t="inlineStr">
        <is>
          <t>U-KR317-01-04</t>
        </is>
      </c>
      <c r="B625" t="inlineStr">
        <is>
          <t>Kebun Raya</t>
        </is>
      </c>
      <c r="C625" t="inlineStr">
        <is>
          <t>Blk 317 Kebun Raya Avenue 3 #01-04 Singapura 650317</t>
        </is>
      </c>
      <c r="D625" t="inlineStr">
        <is>
          <t>Shop</t>
        </is>
      </c>
      <c r="E625" t="n">
        <v>99.3</v>
      </c>
      <c r="F625" t="inlineStr">
        <is>
          <t>NC-KR-3</t>
        </is>
      </c>
      <c r="G625" t="inlineStr">
        <is>
          <t>Tenanted</t>
        </is>
      </c>
    </row>
    <row r="626">
      <c r="A626" t="inlineStr">
        <is>
          <t>U-KR317-01-05</t>
        </is>
      </c>
      <c r="B626" t="inlineStr">
        <is>
          <t>Kebun Raya</t>
        </is>
      </c>
      <c r="C626" t="inlineStr">
        <is>
          <t>Blk 317 Kebun Raya Avenue 3 #01-05 Singapura 650317</t>
        </is>
      </c>
      <c r="D626" t="inlineStr">
        <is>
          <t>Shop</t>
        </is>
      </c>
      <c r="E626" t="n">
        <v>44.1</v>
      </c>
      <c r="F626" t="inlineStr">
        <is>
          <t>NC-KR-3</t>
        </is>
      </c>
      <c r="G626" t="inlineStr">
        <is>
          <t>Tenanted</t>
        </is>
      </c>
    </row>
    <row r="627">
      <c r="A627" t="inlineStr">
        <is>
          <t>U-KR317-02-06</t>
        </is>
      </c>
      <c r="B627" t="inlineStr">
        <is>
          <t>Kebun Raya</t>
        </is>
      </c>
      <c r="C627" t="inlineStr">
        <is>
          <t>Blk 317 Kebun Raya Avenue 3 #02-06 Singapura 650317</t>
        </is>
      </c>
      <c r="D627" t="inlineStr">
        <is>
          <t>Office</t>
        </is>
      </c>
      <c r="E627" t="n">
        <v>73.3</v>
      </c>
      <c r="F627" t="inlineStr">
        <is>
          <t>NC-KR-3</t>
        </is>
      </c>
      <c r="G627" t="inlineStr">
        <is>
          <t>Tenanted</t>
        </is>
      </c>
    </row>
    <row r="628">
      <c r="A628" t="inlineStr">
        <is>
          <t>U-KR317-01-07</t>
        </is>
      </c>
      <c r="B628" t="inlineStr">
        <is>
          <t>Kebun Raya</t>
        </is>
      </c>
      <c r="C628" t="inlineStr">
        <is>
          <t>Blk 317 Kebun Raya Avenue 3 #01-07 Singapura 650317</t>
        </is>
      </c>
      <c r="D628" t="inlineStr">
        <is>
          <t>Shop</t>
        </is>
      </c>
      <c r="E628" t="n">
        <v>66.40000000000001</v>
      </c>
      <c r="F628" t="inlineStr">
        <is>
          <t>NC-KR-3</t>
        </is>
      </c>
      <c r="G628" t="inlineStr">
        <is>
          <t>Vacant</t>
        </is>
      </c>
    </row>
    <row r="629">
      <c r="A629" t="inlineStr">
        <is>
          <t>U-KR317-01-08</t>
        </is>
      </c>
      <c r="B629" t="inlineStr">
        <is>
          <t>Kebun Raya</t>
        </is>
      </c>
      <c r="C629" t="inlineStr">
        <is>
          <t>Blk 317 Kebun Raya Avenue 3 #01-08 Singapura 650317</t>
        </is>
      </c>
      <c r="D629" t="inlineStr">
        <is>
          <t>Shop</t>
        </is>
      </c>
      <c r="E629" t="n">
        <v>94.5</v>
      </c>
      <c r="F629" t="inlineStr">
        <is>
          <t>NC-KR-3</t>
        </is>
      </c>
      <c r="G629" t="inlineStr">
        <is>
          <t>Tenanted</t>
        </is>
      </c>
    </row>
    <row r="630">
      <c r="A630" t="inlineStr">
        <is>
          <t>U-KR317-01-09</t>
        </is>
      </c>
      <c r="B630" t="inlineStr">
        <is>
          <t>Kebun Raya</t>
        </is>
      </c>
      <c r="C630" t="inlineStr">
        <is>
          <t>Blk 317 Kebun Raya Avenue 3 #01-09 Singapura 650317</t>
        </is>
      </c>
      <c r="D630" t="inlineStr">
        <is>
          <t>Shop</t>
        </is>
      </c>
      <c r="E630" t="n">
        <v>117.2</v>
      </c>
      <c r="F630" t="inlineStr">
        <is>
          <t>NC-KR-3</t>
        </is>
      </c>
      <c r="G630" t="inlineStr">
        <is>
          <t>Tenanted</t>
        </is>
      </c>
    </row>
    <row r="631">
      <c r="A631" t="inlineStr">
        <is>
          <t>U-KR317-02-10</t>
        </is>
      </c>
      <c r="B631" t="inlineStr">
        <is>
          <t>Kebun Raya</t>
        </is>
      </c>
      <c r="C631" t="inlineStr">
        <is>
          <t>Blk 317 Kebun Raya Avenue 3 #02-10 Singapura 650317</t>
        </is>
      </c>
      <c r="D631" t="inlineStr">
        <is>
          <t>Office</t>
        </is>
      </c>
      <c r="E631" t="n">
        <v>115.3</v>
      </c>
      <c r="F631" t="inlineStr">
        <is>
          <t>NC-KR-3</t>
        </is>
      </c>
      <c r="G631" t="inlineStr">
        <is>
          <t>Tenanted</t>
        </is>
      </c>
    </row>
    <row r="632">
      <c r="A632" t="inlineStr">
        <is>
          <t>U-KR318-01-01</t>
        </is>
      </c>
      <c r="B632" t="inlineStr">
        <is>
          <t>Kebun Raya</t>
        </is>
      </c>
      <c r="C632" t="inlineStr">
        <is>
          <t>Blk 318 Kebun Raya Crescent #01-01 Singapura 650318</t>
        </is>
      </c>
      <c r="D632" t="inlineStr">
        <is>
          <t>Eating House</t>
        </is>
      </c>
      <c r="E632" t="n">
        <v>266.8</v>
      </c>
      <c r="F632" t="inlineStr">
        <is>
          <t>NC-KR-1</t>
        </is>
      </c>
      <c r="G632" t="inlineStr">
        <is>
          <t>Tenanted</t>
        </is>
      </c>
    </row>
    <row r="633">
      <c r="A633" t="inlineStr">
        <is>
          <t>U-KR318-01-02</t>
        </is>
      </c>
      <c r="B633" t="inlineStr">
        <is>
          <t>Kebun Raya</t>
        </is>
      </c>
      <c r="C633" t="inlineStr">
        <is>
          <t>Blk 318 Kebun Raya Crescent #01-02 Singapura 650318</t>
        </is>
      </c>
      <c r="D633" t="inlineStr">
        <is>
          <t>Shop</t>
        </is>
      </c>
      <c r="E633" t="n">
        <v>117.1</v>
      </c>
      <c r="F633" t="inlineStr">
        <is>
          <t>NC-KR-1</t>
        </is>
      </c>
      <c r="G633" t="inlineStr">
        <is>
          <t>Tenanted</t>
        </is>
      </c>
    </row>
    <row r="634">
      <c r="A634" t="inlineStr">
        <is>
          <t>U-KR318-01-03</t>
        </is>
      </c>
      <c r="B634" t="inlineStr">
        <is>
          <t>Kebun Raya</t>
        </is>
      </c>
      <c r="C634" t="inlineStr">
        <is>
          <t>Blk 318 Kebun Raya Crescent #01-03 Singapura 650318</t>
        </is>
      </c>
      <c r="D634" t="inlineStr">
        <is>
          <t>Shop</t>
        </is>
      </c>
      <c r="E634" t="n">
        <v>91.7</v>
      </c>
      <c r="F634" t="inlineStr">
        <is>
          <t>NC-KR-1</t>
        </is>
      </c>
      <c r="G634" t="inlineStr">
        <is>
          <t>Tenanted</t>
        </is>
      </c>
    </row>
    <row r="635">
      <c r="A635" t="inlineStr">
        <is>
          <t>U-KR318-02-04</t>
        </is>
      </c>
      <c r="B635" t="inlineStr">
        <is>
          <t>Kebun Raya</t>
        </is>
      </c>
      <c r="C635" t="inlineStr">
        <is>
          <t>Blk 318 Kebun Raya Crescent #02-04 Singapura 650318</t>
        </is>
      </c>
      <c r="D635" t="inlineStr">
        <is>
          <t>Office</t>
        </is>
      </c>
      <c r="E635" t="n">
        <v>107.4</v>
      </c>
      <c r="F635" t="inlineStr">
        <is>
          <t>NC-KR-1</t>
        </is>
      </c>
      <c r="G635" t="inlineStr">
        <is>
          <t>Tenanted</t>
        </is>
      </c>
    </row>
    <row r="636">
      <c r="A636" t="inlineStr">
        <is>
          <t>U-KR318-01-05</t>
        </is>
      </c>
      <c r="B636" t="inlineStr">
        <is>
          <t>Kebun Raya</t>
        </is>
      </c>
      <c r="C636" t="inlineStr">
        <is>
          <t>Blk 318 Kebun Raya Crescent #01-05 Singapura 650318</t>
        </is>
      </c>
      <c r="D636" t="inlineStr">
        <is>
          <t>Shop</t>
        </is>
      </c>
      <c r="E636" t="n">
        <v>97.8</v>
      </c>
      <c r="F636" t="inlineStr">
        <is>
          <t>NC-KR-1</t>
        </is>
      </c>
      <c r="G636" t="inlineStr">
        <is>
          <t>Tenanted</t>
        </is>
      </c>
    </row>
    <row r="637">
      <c r="A637" t="inlineStr">
        <is>
          <t>U-KR318-01-06</t>
        </is>
      </c>
      <c r="B637" t="inlineStr">
        <is>
          <t>Kebun Raya</t>
        </is>
      </c>
      <c r="C637" t="inlineStr">
        <is>
          <t>Blk 318 Kebun Raya Crescent #01-06 Singapura 650318</t>
        </is>
      </c>
      <c r="D637" t="inlineStr">
        <is>
          <t>Office</t>
        </is>
      </c>
      <c r="E637" t="n">
        <v>67.5</v>
      </c>
      <c r="F637" t="inlineStr">
        <is>
          <t>NC-KR-1</t>
        </is>
      </c>
      <c r="G637" t="inlineStr">
        <is>
          <t>Tenanted</t>
        </is>
      </c>
    </row>
    <row r="638">
      <c r="A638" t="inlineStr">
        <is>
          <t>U-KR318-02-07</t>
        </is>
      </c>
      <c r="B638" t="inlineStr">
        <is>
          <t>Kebun Raya</t>
        </is>
      </c>
      <c r="C638" t="inlineStr">
        <is>
          <t>Blk 318 Kebun Raya Crescent #02-07 Singapura 650318</t>
        </is>
      </c>
      <c r="D638" t="inlineStr">
        <is>
          <t>Office</t>
        </is>
      </c>
      <c r="E638" t="n">
        <v>142</v>
      </c>
      <c r="F638" t="inlineStr">
        <is>
          <t>NC-KR-1</t>
        </is>
      </c>
      <c r="G638" t="inlineStr">
        <is>
          <t>Tenanted</t>
        </is>
      </c>
    </row>
    <row r="639">
      <c r="A639" t="inlineStr">
        <is>
          <t>U-KR318-02-08</t>
        </is>
      </c>
      <c r="B639" t="inlineStr">
        <is>
          <t>Kebun Raya</t>
        </is>
      </c>
      <c r="C639" t="inlineStr">
        <is>
          <t>Blk 318 Kebun Raya Crescent #02-08 Singapura 650318</t>
        </is>
      </c>
      <c r="D639" t="inlineStr">
        <is>
          <t>Office</t>
        </is>
      </c>
      <c r="E639" t="n">
        <v>99.5</v>
      </c>
      <c r="F639" t="inlineStr">
        <is>
          <t>NC-KR-1</t>
        </is>
      </c>
      <c r="G639" t="inlineStr">
        <is>
          <t>Tenanted</t>
        </is>
      </c>
    </row>
    <row r="640">
      <c r="A640" t="inlineStr">
        <is>
          <t>U-KR318-01-09</t>
        </is>
      </c>
      <c r="B640" t="inlineStr">
        <is>
          <t>Kebun Raya</t>
        </is>
      </c>
      <c r="C640" t="inlineStr">
        <is>
          <t>Blk 318 Kebun Raya Crescent #01-09 Singapura 650318</t>
        </is>
      </c>
      <c r="D640" t="inlineStr">
        <is>
          <t>Office</t>
        </is>
      </c>
      <c r="E640" t="n">
        <v>142.6</v>
      </c>
      <c r="F640" t="inlineStr">
        <is>
          <t>NC-KR-1</t>
        </is>
      </c>
      <c r="G640" t="inlineStr">
        <is>
          <t>Tenanted</t>
        </is>
      </c>
    </row>
    <row r="641">
      <c r="A641" t="inlineStr">
        <is>
          <t>U-KR318-02-10</t>
        </is>
      </c>
      <c r="B641" t="inlineStr">
        <is>
          <t>Kebun Raya</t>
        </is>
      </c>
      <c r="C641" t="inlineStr">
        <is>
          <t>Blk 318 Kebun Raya Crescent #02-10 Singapura 650318</t>
        </is>
      </c>
      <c r="D641" t="inlineStr">
        <is>
          <t>Office</t>
        </is>
      </c>
      <c r="E641" t="n">
        <v>106.8</v>
      </c>
      <c r="F641" t="inlineStr">
        <is>
          <t>NC-KR-1</t>
        </is>
      </c>
      <c r="G641" t="inlineStr">
        <is>
          <t>Tenanted</t>
        </is>
      </c>
    </row>
    <row r="642">
      <c r="A642" t="inlineStr">
        <is>
          <t>U-KR318-01-11</t>
        </is>
      </c>
      <c r="B642" t="inlineStr">
        <is>
          <t>Kebun Raya</t>
        </is>
      </c>
      <c r="C642" t="inlineStr">
        <is>
          <t>Blk 318 Kebun Raya Crescent #01-11 Singapura 650318</t>
        </is>
      </c>
      <c r="D642" t="inlineStr">
        <is>
          <t>Shop</t>
        </is>
      </c>
      <c r="E642" t="n">
        <v>118.6</v>
      </c>
      <c r="F642" t="inlineStr">
        <is>
          <t>NC-KR-1</t>
        </is>
      </c>
      <c r="G642" t="inlineStr">
        <is>
          <t>Tenanted</t>
        </is>
      </c>
    </row>
    <row r="643">
      <c r="A643" t="inlineStr">
        <is>
          <t>U-KR318-01-12</t>
        </is>
      </c>
      <c r="B643" t="inlineStr">
        <is>
          <t>Kebun Raya</t>
        </is>
      </c>
      <c r="C643" t="inlineStr">
        <is>
          <t>Blk 318 Kebun Raya Crescent #01-12 Singapura 650318</t>
        </is>
      </c>
      <c r="D643" t="inlineStr">
        <is>
          <t>Shop</t>
        </is>
      </c>
      <c r="E643" t="n">
        <v>119.1</v>
      </c>
      <c r="F643" t="inlineStr">
        <is>
          <t>NC-KR-1</t>
        </is>
      </c>
      <c r="G643" t="inlineStr">
        <is>
          <t>Tenanted</t>
        </is>
      </c>
    </row>
    <row r="644">
      <c r="A644" t="inlineStr">
        <is>
          <t>U-KR318-01-13</t>
        </is>
      </c>
      <c r="B644" t="inlineStr">
        <is>
          <t>Kebun Raya</t>
        </is>
      </c>
      <c r="C644" t="inlineStr">
        <is>
          <t>Blk 318 Kebun Raya Crescent #01-13 Singapura 650318</t>
        </is>
      </c>
      <c r="D644" t="inlineStr">
        <is>
          <t>Shop</t>
        </is>
      </c>
      <c r="E644" t="n">
        <v>79.5</v>
      </c>
      <c r="F644" t="inlineStr">
        <is>
          <t>NC-KR-1</t>
        </is>
      </c>
      <c r="G644" t="inlineStr">
        <is>
          <t>Tenanted</t>
        </is>
      </c>
    </row>
    <row r="645">
      <c r="A645" t="inlineStr">
        <is>
          <t>U-KR323-01-01</t>
        </is>
      </c>
      <c r="B645" t="inlineStr">
        <is>
          <t>Kebun Raya</t>
        </is>
      </c>
      <c r="C645" t="inlineStr">
        <is>
          <t>Blk 323 Kebun Raya Avenue 3 #01-01 Singapura 650323</t>
        </is>
      </c>
      <c r="D645" t="inlineStr">
        <is>
          <t>Shop with Living Quarters</t>
        </is>
      </c>
      <c r="E645" t="n">
        <v>83.40000000000001</v>
      </c>
      <c r="F645" t="inlineStr">
        <is>
          <t>NC-KR-1</t>
        </is>
      </c>
      <c r="G645" t="inlineStr">
        <is>
          <t>Tenanted</t>
        </is>
      </c>
    </row>
    <row r="646">
      <c r="A646" t="inlineStr">
        <is>
          <t>U-KR323-01-02</t>
        </is>
      </c>
      <c r="B646" t="inlineStr">
        <is>
          <t>Kebun Raya</t>
        </is>
      </c>
      <c r="C646" t="inlineStr">
        <is>
          <t>Blk 323 Kebun Raya Avenue 3 #01-02 Singapura 650323</t>
        </is>
      </c>
      <c r="D646" t="inlineStr">
        <is>
          <t>Shop</t>
        </is>
      </c>
      <c r="E646" t="n">
        <v>49</v>
      </c>
      <c r="F646" t="inlineStr">
        <is>
          <t>NC-KR-1</t>
        </is>
      </c>
      <c r="G646" t="inlineStr">
        <is>
          <t>Tenanted</t>
        </is>
      </c>
    </row>
    <row r="647">
      <c r="A647" t="inlineStr">
        <is>
          <t>U-KR323-01-03</t>
        </is>
      </c>
      <c r="B647" t="inlineStr">
        <is>
          <t>Kebun Raya</t>
        </is>
      </c>
      <c r="C647" t="inlineStr">
        <is>
          <t>Blk 323 Kebun Raya Avenue 3 #01-03 Singapura 650323</t>
        </is>
      </c>
      <c r="D647" t="inlineStr">
        <is>
          <t>Shop</t>
        </is>
      </c>
      <c r="E647" t="n">
        <v>76.7</v>
      </c>
      <c r="F647" t="inlineStr">
        <is>
          <t>NC-KR-1</t>
        </is>
      </c>
      <c r="G647" t="inlineStr">
        <is>
          <t>Tenanted</t>
        </is>
      </c>
    </row>
    <row r="648">
      <c r="A648" t="inlineStr">
        <is>
          <t>U-KR323-01-04</t>
        </is>
      </c>
      <c r="B648" t="inlineStr">
        <is>
          <t>Kebun Raya</t>
        </is>
      </c>
      <c r="C648" t="inlineStr">
        <is>
          <t>Blk 323 Kebun Raya Avenue 3 #01-04 Singapura 650323</t>
        </is>
      </c>
      <c r="D648" t="inlineStr">
        <is>
          <t>Shop</t>
        </is>
      </c>
      <c r="E648" t="n">
        <v>54.9</v>
      </c>
      <c r="F648" t="inlineStr">
        <is>
          <t>NC-KR-1</t>
        </is>
      </c>
      <c r="G648" t="inlineStr">
        <is>
          <t>Tenanted</t>
        </is>
      </c>
    </row>
    <row r="649">
      <c r="A649" t="inlineStr">
        <is>
          <t>U-KR323-01-05</t>
        </is>
      </c>
      <c r="B649" t="inlineStr">
        <is>
          <t>Kebun Raya</t>
        </is>
      </c>
      <c r="C649" t="inlineStr">
        <is>
          <t>Blk 323 Kebun Raya Avenue 3 #01-05 Singapura 650323</t>
        </is>
      </c>
      <c r="D649" t="inlineStr">
        <is>
          <t>Kiosk</t>
        </is>
      </c>
      <c r="E649" t="n">
        <v>13.1</v>
      </c>
      <c r="F649" t="inlineStr">
        <is>
          <t>NC-KR-1</t>
        </is>
      </c>
      <c r="G649" t="inlineStr">
        <is>
          <t>Tenanted</t>
        </is>
      </c>
    </row>
    <row r="650">
      <c r="A650" t="inlineStr">
        <is>
          <t>U-KR323-01-06</t>
        </is>
      </c>
      <c r="B650" t="inlineStr">
        <is>
          <t>Kebun Raya</t>
        </is>
      </c>
      <c r="C650" t="inlineStr">
        <is>
          <t>Blk 323 Kebun Raya Avenue 3 #01-06 Singapura 650323</t>
        </is>
      </c>
      <c r="D650" t="inlineStr">
        <is>
          <t>Shop</t>
        </is>
      </c>
      <c r="E650" t="n">
        <v>100.6</v>
      </c>
      <c r="F650" t="inlineStr">
        <is>
          <t>NC-KR-1</t>
        </is>
      </c>
      <c r="G650" t="inlineStr">
        <is>
          <t>Tenanted</t>
        </is>
      </c>
    </row>
    <row r="651">
      <c r="A651" t="inlineStr">
        <is>
          <t>U-KR323-01-07</t>
        </is>
      </c>
      <c r="B651" t="inlineStr">
        <is>
          <t>Kebun Raya</t>
        </is>
      </c>
      <c r="C651" t="inlineStr">
        <is>
          <t>Blk 323 Kebun Raya Avenue 3 #01-07 Singapura 650323</t>
        </is>
      </c>
      <c r="D651" t="inlineStr">
        <is>
          <t>Shop</t>
        </is>
      </c>
      <c r="E651" t="n">
        <v>108.5</v>
      </c>
      <c r="F651" t="inlineStr">
        <is>
          <t>NC-KR-1</t>
        </is>
      </c>
      <c r="G651" t="inlineStr">
        <is>
          <t>Tenanted</t>
        </is>
      </c>
    </row>
    <row r="652">
      <c r="A652" t="inlineStr">
        <is>
          <t>U-KR323-01-08</t>
        </is>
      </c>
      <c r="B652" t="inlineStr">
        <is>
          <t>Kebun Raya</t>
        </is>
      </c>
      <c r="C652" t="inlineStr">
        <is>
          <t>Blk 323 Kebun Raya Avenue 3 #01-08 Singapura 650323</t>
        </is>
      </c>
      <c r="D652" t="inlineStr">
        <is>
          <t>Office</t>
        </is>
      </c>
      <c r="E652" t="n">
        <v>101.5</v>
      </c>
      <c r="F652" t="inlineStr">
        <is>
          <t>NC-KR-1</t>
        </is>
      </c>
      <c r="G652" t="inlineStr">
        <is>
          <t>Tenanted</t>
        </is>
      </c>
    </row>
    <row r="653">
      <c r="A653" t="inlineStr">
        <is>
          <t>U-KR327-01-01</t>
        </is>
      </c>
      <c r="B653" t="inlineStr">
        <is>
          <t>Kebun Raya</t>
        </is>
      </c>
      <c r="C653" t="inlineStr">
        <is>
          <t>Blk 327 Kebun Raya Avenue 3 #01-01 Singapura 650327</t>
        </is>
      </c>
      <c r="D653" t="inlineStr">
        <is>
          <t>Eating House</t>
        </is>
      </c>
      <c r="E653" t="n">
        <v>256.1</v>
      </c>
      <c r="F653" t="inlineStr">
        <is>
          <t>NC-KR-2</t>
        </is>
      </c>
      <c r="G653" t="inlineStr">
        <is>
          <t>Tenanted</t>
        </is>
      </c>
    </row>
    <row r="654">
      <c r="A654" t="inlineStr">
        <is>
          <t>U-KR327-01-02</t>
        </is>
      </c>
      <c r="B654" t="inlineStr">
        <is>
          <t>Kebun Raya</t>
        </is>
      </c>
      <c r="C654" t="inlineStr">
        <is>
          <t>Blk 327 Kebun Raya Avenue 3 #01-02 Singapura 650327</t>
        </is>
      </c>
      <c r="D654" t="inlineStr">
        <is>
          <t>Shop</t>
        </is>
      </c>
      <c r="E654" t="n">
        <v>118.5</v>
      </c>
      <c r="F654" t="inlineStr">
        <is>
          <t>NC-KR-2</t>
        </is>
      </c>
      <c r="G654" t="inlineStr">
        <is>
          <t>Tenanted</t>
        </is>
      </c>
    </row>
    <row r="655">
      <c r="A655" t="inlineStr">
        <is>
          <t>U-KR327-01-03</t>
        </is>
      </c>
      <c r="B655" t="inlineStr">
        <is>
          <t>Kebun Raya</t>
        </is>
      </c>
      <c r="C655" t="inlineStr">
        <is>
          <t>Blk 327 Kebun Raya Avenue 3 #01-03 Singapura 650327</t>
        </is>
      </c>
      <c r="D655" t="inlineStr">
        <is>
          <t>Shop</t>
        </is>
      </c>
      <c r="E655" t="n">
        <v>114.9</v>
      </c>
      <c r="F655" t="inlineStr">
        <is>
          <t>NC-KR-2</t>
        </is>
      </c>
      <c r="G655" t="inlineStr">
        <is>
          <t>Tenanted</t>
        </is>
      </c>
    </row>
    <row r="656">
      <c r="A656" t="inlineStr">
        <is>
          <t>U-KR327-01-04</t>
        </is>
      </c>
      <c r="B656" t="inlineStr">
        <is>
          <t>Kebun Raya</t>
        </is>
      </c>
      <c r="C656" t="inlineStr">
        <is>
          <t>Blk 327 Kebun Raya Avenue 3 #01-04 Singapura 650327</t>
        </is>
      </c>
      <c r="D656" t="inlineStr">
        <is>
          <t>Shop</t>
        </is>
      </c>
      <c r="E656" t="n">
        <v>70.7</v>
      </c>
      <c r="F656" t="inlineStr">
        <is>
          <t>NC-KR-2</t>
        </is>
      </c>
      <c r="G656" t="inlineStr">
        <is>
          <t>Tenanted</t>
        </is>
      </c>
    </row>
    <row r="657">
      <c r="A657" t="inlineStr">
        <is>
          <t>U-KR327-01-05</t>
        </is>
      </c>
      <c r="B657" t="inlineStr">
        <is>
          <t>Kebun Raya</t>
        </is>
      </c>
      <c r="C657" t="inlineStr">
        <is>
          <t>Blk 327 Kebun Raya Avenue 3 #01-05 Singapura 650327</t>
        </is>
      </c>
      <c r="D657" t="inlineStr">
        <is>
          <t>Shop</t>
        </is>
      </c>
      <c r="E657" t="n">
        <v>61.4</v>
      </c>
      <c r="F657" t="inlineStr">
        <is>
          <t>NC-KR-2</t>
        </is>
      </c>
      <c r="G657" t="inlineStr">
        <is>
          <t>Tenanted</t>
        </is>
      </c>
    </row>
    <row r="658">
      <c r="A658" t="inlineStr">
        <is>
          <t>U-KR327-01-06</t>
        </is>
      </c>
      <c r="B658" t="inlineStr">
        <is>
          <t>Kebun Raya</t>
        </is>
      </c>
      <c r="C658" t="inlineStr">
        <is>
          <t>Blk 327 Kebun Raya Avenue 3 #01-06 Singapura 650327</t>
        </is>
      </c>
      <c r="D658" t="inlineStr">
        <is>
          <t>Shop</t>
        </is>
      </c>
      <c r="E658" t="n">
        <v>86.59999999999999</v>
      </c>
      <c r="F658" t="inlineStr">
        <is>
          <t>NC-KR-2</t>
        </is>
      </c>
      <c r="G658" t="inlineStr">
        <is>
          <t>Tenanted</t>
        </is>
      </c>
    </row>
    <row r="659">
      <c r="A659" t="inlineStr">
        <is>
          <t>U-KR327-01-07</t>
        </is>
      </c>
      <c r="B659" t="inlineStr">
        <is>
          <t>Kebun Raya</t>
        </is>
      </c>
      <c r="C659" t="inlineStr">
        <is>
          <t>Blk 327 Kebun Raya Avenue 3 #01-07 Singapura 650327</t>
        </is>
      </c>
      <c r="D659" t="inlineStr">
        <is>
          <t>Shop</t>
        </is>
      </c>
      <c r="E659" t="n">
        <v>60.9</v>
      </c>
      <c r="F659" t="inlineStr">
        <is>
          <t>NC-KR-2</t>
        </is>
      </c>
      <c r="G659" t="inlineStr">
        <is>
          <t>Vacant</t>
        </is>
      </c>
    </row>
    <row r="660">
      <c r="A660" t="inlineStr">
        <is>
          <t>U-KR329-01-01</t>
        </is>
      </c>
      <c r="B660" t="inlineStr">
        <is>
          <t>Kebun Raya</t>
        </is>
      </c>
      <c r="C660" t="inlineStr">
        <is>
          <t>Blk 329 Kebun Raya Street 31 #01-01 Singapura 650329</t>
        </is>
      </c>
      <c r="D660" t="inlineStr">
        <is>
          <t>Kiosk</t>
        </is>
      </c>
      <c r="E660" t="n">
        <v>6.6</v>
      </c>
      <c r="F660" t="inlineStr">
        <is>
          <t>NC-KR-1</t>
        </is>
      </c>
      <c r="G660" t="inlineStr">
        <is>
          <t>Tenanted</t>
        </is>
      </c>
    </row>
    <row r="661">
      <c r="A661" t="inlineStr">
        <is>
          <t>U-KR329-01-02</t>
        </is>
      </c>
      <c r="B661" t="inlineStr">
        <is>
          <t>Kebun Raya</t>
        </is>
      </c>
      <c r="C661" t="inlineStr">
        <is>
          <t>Blk 329 Kebun Raya Street 31 #01-02 Singapura 650329</t>
        </is>
      </c>
      <c r="D661" t="inlineStr">
        <is>
          <t>Shop</t>
        </is>
      </c>
      <c r="E661" t="n">
        <v>64.5</v>
      </c>
      <c r="F661" t="inlineStr">
        <is>
          <t>NC-KR-1</t>
        </is>
      </c>
      <c r="G661" t="inlineStr">
        <is>
          <t>Tenanted</t>
        </is>
      </c>
    </row>
    <row r="662">
      <c r="A662" t="inlineStr">
        <is>
          <t>U-KR329-01-03</t>
        </is>
      </c>
      <c r="B662" t="inlineStr">
        <is>
          <t>Kebun Raya</t>
        </is>
      </c>
      <c r="C662" t="inlineStr">
        <is>
          <t>Blk 329 Kebun Raya Street 31 #01-03 Singapura 650329</t>
        </is>
      </c>
      <c r="D662" t="inlineStr">
        <is>
          <t>Shop</t>
        </is>
      </c>
      <c r="E662" t="n">
        <v>80.2</v>
      </c>
      <c r="F662" t="inlineStr">
        <is>
          <t>NC-KR-1</t>
        </is>
      </c>
      <c r="G662" t="inlineStr">
        <is>
          <t>Tenanted</t>
        </is>
      </c>
    </row>
    <row r="663">
      <c r="A663" t="inlineStr">
        <is>
          <t>U-KR329-01-04</t>
        </is>
      </c>
      <c r="B663" t="inlineStr">
        <is>
          <t>Kebun Raya</t>
        </is>
      </c>
      <c r="C663" t="inlineStr">
        <is>
          <t>Blk 329 Kebun Raya Street 31 #01-04 Singapura 650329</t>
        </is>
      </c>
      <c r="D663" t="inlineStr">
        <is>
          <t>Office</t>
        </is>
      </c>
      <c r="E663" t="n">
        <v>81.09999999999999</v>
      </c>
      <c r="F663" t="inlineStr">
        <is>
          <t>NC-KR-1</t>
        </is>
      </c>
      <c r="G663" t="inlineStr">
        <is>
          <t>Tenanted</t>
        </is>
      </c>
    </row>
    <row r="664">
      <c r="A664" t="inlineStr">
        <is>
          <t>U-KR329-01-05</t>
        </is>
      </c>
      <c r="B664" t="inlineStr">
        <is>
          <t>Kebun Raya</t>
        </is>
      </c>
      <c r="C664" t="inlineStr">
        <is>
          <t>Blk 329 Kebun Raya Street 31 #01-05 Singapura 650329</t>
        </is>
      </c>
      <c r="D664" t="inlineStr">
        <is>
          <t>Shop</t>
        </is>
      </c>
      <c r="E664" t="n">
        <v>113.3</v>
      </c>
      <c r="F664" t="inlineStr">
        <is>
          <t>NC-KR-1</t>
        </is>
      </c>
      <c r="G664" t="inlineStr">
        <is>
          <t>Tenanted</t>
        </is>
      </c>
    </row>
    <row r="665">
      <c r="A665" t="inlineStr">
        <is>
          <t>U-KR329-01-06</t>
        </is>
      </c>
      <c r="B665" t="inlineStr">
        <is>
          <t>Kebun Raya</t>
        </is>
      </c>
      <c r="C665" t="inlineStr">
        <is>
          <t>Blk 329 Kebun Raya Street 31 #01-06 Singapura 650329</t>
        </is>
      </c>
      <c r="D665" t="inlineStr">
        <is>
          <t>Shop</t>
        </is>
      </c>
      <c r="E665" t="n">
        <v>89.2</v>
      </c>
      <c r="F665" t="inlineStr">
        <is>
          <t>NC-KR-1</t>
        </is>
      </c>
      <c r="G665" t="inlineStr">
        <is>
          <t>Tenanted</t>
        </is>
      </c>
    </row>
    <row r="666">
      <c r="A666" t="inlineStr">
        <is>
          <t>U-KR329-01-07</t>
        </is>
      </c>
      <c r="B666" t="inlineStr">
        <is>
          <t>Kebun Raya</t>
        </is>
      </c>
      <c r="C666" t="inlineStr">
        <is>
          <t>Blk 329 Kebun Raya Street 31 #01-07 Singapura 650329</t>
        </is>
      </c>
      <c r="D666" t="inlineStr">
        <is>
          <t>Shop</t>
        </is>
      </c>
      <c r="E666" t="n">
        <v>50.7</v>
      </c>
      <c r="F666" t="inlineStr">
        <is>
          <t>NC-KR-1</t>
        </is>
      </c>
      <c r="G666" t="inlineStr">
        <is>
          <t>Tenanted</t>
        </is>
      </c>
    </row>
    <row r="667">
      <c r="A667" t="inlineStr">
        <is>
          <t>U-KR329-01-08</t>
        </is>
      </c>
      <c r="B667" t="inlineStr">
        <is>
          <t>Kebun Raya</t>
        </is>
      </c>
      <c r="C667" t="inlineStr">
        <is>
          <t>Blk 329 Kebun Raya Street 31 #01-08 Singapura 650329</t>
        </is>
      </c>
      <c r="D667" t="inlineStr">
        <is>
          <t>Shop</t>
        </is>
      </c>
      <c r="E667" t="n">
        <v>99.8</v>
      </c>
      <c r="F667" t="inlineStr">
        <is>
          <t>NC-KR-1</t>
        </is>
      </c>
      <c r="G667" t="inlineStr">
        <is>
          <t>Tenanted</t>
        </is>
      </c>
    </row>
    <row r="668">
      <c r="A668" t="inlineStr">
        <is>
          <t>U-KR329-01-09</t>
        </is>
      </c>
      <c r="B668" t="inlineStr">
        <is>
          <t>Kebun Raya</t>
        </is>
      </c>
      <c r="C668" t="inlineStr">
        <is>
          <t>Blk 329 Kebun Raya Street 31 #01-09 Singapura 650329</t>
        </is>
      </c>
      <c r="D668" t="inlineStr">
        <is>
          <t>Shop</t>
        </is>
      </c>
      <c r="E668" t="n">
        <v>73.3</v>
      </c>
      <c r="F668" t="inlineStr">
        <is>
          <t>NC-KR-1</t>
        </is>
      </c>
      <c r="G668" t="inlineStr">
        <is>
          <t>Tenanted</t>
        </is>
      </c>
    </row>
    <row r="669">
      <c r="A669" t="inlineStr">
        <is>
          <t>U-KR329-01-10</t>
        </is>
      </c>
      <c r="B669" t="inlineStr">
        <is>
          <t>Kebun Raya</t>
        </is>
      </c>
      <c r="C669" t="inlineStr">
        <is>
          <t>Blk 329 Kebun Raya Street 31 #01-10 Singapura 650329</t>
        </is>
      </c>
      <c r="D669" t="inlineStr">
        <is>
          <t>Shop</t>
        </is>
      </c>
      <c r="E669" t="n">
        <v>77.7</v>
      </c>
      <c r="F669" t="inlineStr">
        <is>
          <t>NC-KR-1</t>
        </is>
      </c>
      <c r="G669" t="inlineStr">
        <is>
          <t>Tenanted</t>
        </is>
      </c>
    </row>
    <row r="670">
      <c r="A670" t="inlineStr">
        <is>
          <t>U-KR329-01-11</t>
        </is>
      </c>
      <c r="B670" t="inlineStr">
        <is>
          <t>Kebun Raya</t>
        </is>
      </c>
      <c r="C670" t="inlineStr">
        <is>
          <t>Blk 329 Kebun Raya Street 31 #01-11 Singapura 650329</t>
        </is>
      </c>
      <c r="D670" t="inlineStr">
        <is>
          <t>Shop</t>
        </is>
      </c>
      <c r="E670" t="n">
        <v>93.09999999999999</v>
      </c>
      <c r="F670" t="inlineStr">
        <is>
          <t>NC-KR-1</t>
        </is>
      </c>
      <c r="G670" t="inlineStr">
        <is>
          <t>Tenanted</t>
        </is>
      </c>
    </row>
    <row r="671">
      <c r="A671" t="inlineStr">
        <is>
          <t>U-KR330-01-01</t>
        </is>
      </c>
      <c r="B671" t="inlineStr">
        <is>
          <t>Kebun Raya</t>
        </is>
      </c>
      <c r="C671" t="inlineStr">
        <is>
          <t>Blk 330 Kebun Raya Crescent #01-01 Singapura 650330</t>
        </is>
      </c>
      <c r="D671" t="inlineStr">
        <is>
          <t>Kiosk</t>
        </is>
      </c>
      <c r="E671" t="n">
        <v>12.1</v>
      </c>
      <c r="F671" t="inlineStr">
        <is>
          <t>NC-KR-1</t>
        </is>
      </c>
      <c r="G671" t="inlineStr">
        <is>
          <t>Tenanted</t>
        </is>
      </c>
    </row>
    <row r="672">
      <c r="A672" t="inlineStr">
        <is>
          <t>U-KR330-01-02</t>
        </is>
      </c>
      <c r="B672" t="inlineStr">
        <is>
          <t>Kebun Raya</t>
        </is>
      </c>
      <c r="C672" t="inlineStr">
        <is>
          <t>Blk 330 Kebun Raya Crescent #01-02 Singapura 650330</t>
        </is>
      </c>
      <c r="D672" t="inlineStr">
        <is>
          <t>Shop</t>
        </is>
      </c>
      <c r="E672" t="n">
        <v>103</v>
      </c>
      <c r="F672" t="inlineStr">
        <is>
          <t>NC-KR-1</t>
        </is>
      </c>
      <c r="G672" t="inlineStr">
        <is>
          <t>Tenanted</t>
        </is>
      </c>
    </row>
    <row r="673">
      <c r="A673" t="inlineStr">
        <is>
          <t>U-KR330-01-03</t>
        </is>
      </c>
      <c r="B673" t="inlineStr">
        <is>
          <t>Kebun Raya</t>
        </is>
      </c>
      <c r="C673" t="inlineStr">
        <is>
          <t>Blk 330 Kebun Raya Crescent #01-03 Singapura 650330</t>
        </is>
      </c>
      <c r="D673" t="inlineStr">
        <is>
          <t>Shop</t>
        </is>
      </c>
      <c r="E673" t="n">
        <v>82.3</v>
      </c>
      <c r="F673" t="inlineStr">
        <is>
          <t>NC-KR-1</t>
        </is>
      </c>
      <c r="G673" t="inlineStr">
        <is>
          <t>Tenanted</t>
        </is>
      </c>
    </row>
    <row r="674">
      <c r="A674" t="inlineStr">
        <is>
          <t>U-KR330-01-04</t>
        </is>
      </c>
      <c r="B674" t="inlineStr">
        <is>
          <t>Kebun Raya</t>
        </is>
      </c>
      <c r="C674" t="inlineStr">
        <is>
          <t>Blk 330 Kebun Raya Crescent #01-04 Singapura 650330</t>
        </is>
      </c>
      <c r="D674" t="inlineStr">
        <is>
          <t>Shop</t>
        </is>
      </c>
      <c r="E674" t="n">
        <v>113.4</v>
      </c>
      <c r="F674" t="inlineStr">
        <is>
          <t>NC-KR-1</t>
        </is>
      </c>
      <c r="G674" t="inlineStr">
        <is>
          <t>Tenanted</t>
        </is>
      </c>
    </row>
    <row r="675">
      <c r="A675" t="inlineStr">
        <is>
          <t>U-KR330-01-05</t>
        </is>
      </c>
      <c r="B675" t="inlineStr">
        <is>
          <t>Kebun Raya</t>
        </is>
      </c>
      <c r="C675" t="inlineStr">
        <is>
          <t>Blk 330 Kebun Raya Crescent #01-05 Singapura 650330</t>
        </is>
      </c>
      <c r="D675" t="inlineStr">
        <is>
          <t>Shop</t>
        </is>
      </c>
      <c r="E675" t="n">
        <v>106.3</v>
      </c>
      <c r="F675" t="inlineStr">
        <is>
          <t>NC-KR-1</t>
        </is>
      </c>
      <c r="G675" t="inlineStr">
        <is>
          <t>Tenanted</t>
        </is>
      </c>
    </row>
    <row r="676">
      <c r="A676" t="inlineStr">
        <is>
          <t>U-KR330-02-06</t>
        </is>
      </c>
      <c r="B676" t="inlineStr">
        <is>
          <t>Kebun Raya</t>
        </is>
      </c>
      <c r="C676" t="inlineStr">
        <is>
          <t>Blk 330 Kebun Raya Crescent #02-06 Singapura 650330</t>
        </is>
      </c>
      <c r="D676" t="inlineStr">
        <is>
          <t>Office</t>
        </is>
      </c>
      <c r="E676" t="n">
        <v>103.7</v>
      </c>
      <c r="F676" t="inlineStr">
        <is>
          <t>NC-KR-1</t>
        </is>
      </c>
      <c r="G676" t="inlineStr">
        <is>
          <t>Tenanted</t>
        </is>
      </c>
    </row>
    <row r="677">
      <c r="A677" t="inlineStr">
        <is>
          <t>U-KR330-01-07</t>
        </is>
      </c>
      <c r="B677" t="inlineStr">
        <is>
          <t>Kebun Raya</t>
        </is>
      </c>
      <c r="C677" t="inlineStr">
        <is>
          <t>Blk 330 Kebun Raya Crescent #01-07 Singapura 650330</t>
        </is>
      </c>
      <c r="D677" t="inlineStr">
        <is>
          <t>Shop</t>
        </is>
      </c>
      <c r="E677" t="n">
        <v>108.4</v>
      </c>
      <c r="F677" t="inlineStr">
        <is>
          <t>NC-KR-1</t>
        </is>
      </c>
      <c r="G677" t="inlineStr">
        <is>
          <t>Tenanted</t>
        </is>
      </c>
    </row>
    <row r="678">
      <c r="A678" t="inlineStr">
        <is>
          <t>U-KR330-01-08</t>
        </is>
      </c>
      <c r="B678" t="inlineStr">
        <is>
          <t>Kebun Raya</t>
        </is>
      </c>
      <c r="C678" t="inlineStr">
        <is>
          <t>Blk 330 Kebun Raya Crescent #01-08 Singapura 650330</t>
        </is>
      </c>
      <c r="D678" t="inlineStr">
        <is>
          <t>Shop</t>
        </is>
      </c>
      <c r="E678" t="n">
        <v>94.40000000000001</v>
      </c>
      <c r="F678" t="inlineStr">
        <is>
          <t>NC-KR-1</t>
        </is>
      </c>
      <c r="G678" t="inlineStr">
        <is>
          <t>Tenanted</t>
        </is>
      </c>
    </row>
    <row r="679">
      <c r="A679" t="inlineStr">
        <is>
          <t>U-KR330-01-09</t>
        </is>
      </c>
      <c r="B679" t="inlineStr">
        <is>
          <t>Kebun Raya</t>
        </is>
      </c>
      <c r="C679" t="inlineStr">
        <is>
          <t>Blk 330 Kebun Raya Crescent #01-09 Singapura 650330</t>
        </is>
      </c>
      <c r="D679" t="inlineStr">
        <is>
          <t>Kiosk</t>
        </is>
      </c>
      <c r="E679" t="n">
        <v>10.4</v>
      </c>
      <c r="F679" t="inlineStr">
        <is>
          <t>NC-KR-1</t>
        </is>
      </c>
      <c r="G679" t="inlineStr">
        <is>
          <t>Tenanted</t>
        </is>
      </c>
    </row>
    <row r="680">
      <c r="A680" t="inlineStr">
        <is>
          <t>U-KR333-01-01</t>
        </is>
      </c>
      <c r="B680" t="inlineStr">
        <is>
          <t>Kebun Raya</t>
        </is>
      </c>
      <c r="C680" t="inlineStr">
        <is>
          <t>Blk 333 Kebun Raya Crescent #01-01 Singapura 650333</t>
        </is>
      </c>
      <c r="D680" t="inlineStr">
        <is>
          <t>Shop</t>
        </is>
      </c>
      <c r="E680" t="n">
        <v>44.5</v>
      </c>
      <c r="F680" t="inlineStr">
        <is>
          <t>NC-KR-3</t>
        </is>
      </c>
      <c r="G680" t="inlineStr">
        <is>
          <t>Tenanted</t>
        </is>
      </c>
    </row>
    <row r="681">
      <c r="A681" t="inlineStr">
        <is>
          <t>U-KR333-01-02</t>
        </is>
      </c>
      <c r="B681" t="inlineStr">
        <is>
          <t>Kebun Raya</t>
        </is>
      </c>
      <c r="C681" t="inlineStr">
        <is>
          <t>Blk 333 Kebun Raya Crescent #01-02 Singapura 650333</t>
        </is>
      </c>
      <c r="D681" t="inlineStr">
        <is>
          <t>Shop</t>
        </is>
      </c>
      <c r="E681" t="n">
        <v>73.2</v>
      </c>
      <c r="F681" t="inlineStr">
        <is>
          <t>NC-KR-3</t>
        </is>
      </c>
      <c r="G681" t="inlineStr">
        <is>
          <t>Tenanted</t>
        </is>
      </c>
    </row>
    <row r="682">
      <c r="A682" t="inlineStr">
        <is>
          <t>U-KR333-01-03</t>
        </is>
      </c>
      <c r="B682" t="inlineStr">
        <is>
          <t>Kebun Raya</t>
        </is>
      </c>
      <c r="C682" t="inlineStr">
        <is>
          <t>Blk 333 Kebun Raya Crescent #01-03 Singapura 650333</t>
        </is>
      </c>
      <c r="D682" t="inlineStr">
        <is>
          <t>Shop</t>
        </is>
      </c>
      <c r="E682" t="n">
        <v>84.7</v>
      </c>
      <c r="F682" t="inlineStr">
        <is>
          <t>NC-KR-3</t>
        </is>
      </c>
      <c r="G682" t="inlineStr">
        <is>
          <t>Tenanted</t>
        </is>
      </c>
    </row>
    <row r="683">
      <c r="A683" t="inlineStr">
        <is>
          <t>U-KR333-01-04</t>
        </is>
      </c>
      <c r="B683" t="inlineStr">
        <is>
          <t>Kebun Raya</t>
        </is>
      </c>
      <c r="C683" t="inlineStr">
        <is>
          <t>Blk 333 Kebun Raya Crescent #01-04 Singapura 650333</t>
        </is>
      </c>
      <c r="D683" t="inlineStr">
        <is>
          <t>Shop</t>
        </is>
      </c>
      <c r="E683" t="n">
        <v>64.7</v>
      </c>
      <c r="F683" t="inlineStr">
        <is>
          <t>NC-KR-3</t>
        </is>
      </c>
      <c r="G683" t="inlineStr">
        <is>
          <t>Tenanted</t>
        </is>
      </c>
    </row>
    <row r="684">
      <c r="A684" t="inlineStr">
        <is>
          <t>U-KR333-01-05</t>
        </is>
      </c>
      <c r="B684" t="inlineStr">
        <is>
          <t>Kebun Raya</t>
        </is>
      </c>
      <c r="C684" t="inlineStr">
        <is>
          <t>Blk 333 Kebun Raya Crescent #01-05 Singapura 650333</t>
        </is>
      </c>
      <c r="D684" t="inlineStr">
        <is>
          <t>Shop</t>
        </is>
      </c>
      <c r="E684" t="n">
        <v>60.4</v>
      </c>
      <c r="F684" t="inlineStr">
        <is>
          <t>NC-KR-3</t>
        </is>
      </c>
      <c r="G684" t="inlineStr">
        <is>
          <t>Tenanted</t>
        </is>
      </c>
    </row>
    <row r="685">
      <c r="A685" t="inlineStr">
        <is>
          <t>U-KR333-01-06</t>
        </is>
      </c>
      <c r="B685" t="inlineStr">
        <is>
          <t>Kebun Raya</t>
        </is>
      </c>
      <c r="C685" t="inlineStr">
        <is>
          <t>Blk 333 Kebun Raya Crescent #01-06 Singapura 650333</t>
        </is>
      </c>
      <c r="D685" t="inlineStr">
        <is>
          <t>Shop</t>
        </is>
      </c>
      <c r="E685" t="n">
        <v>57.4</v>
      </c>
      <c r="F685" t="inlineStr">
        <is>
          <t>NC-KR-3</t>
        </is>
      </c>
      <c r="G685" t="inlineStr">
        <is>
          <t>Tenanted</t>
        </is>
      </c>
    </row>
    <row r="686">
      <c r="A686" t="inlineStr">
        <is>
          <t>U-KR333-01-07</t>
        </is>
      </c>
      <c r="B686" t="inlineStr">
        <is>
          <t>Kebun Raya</t>
        </is>
      </c>
      <c r="C686" t="inlineStr">
        <is>
          <t>Blk 333 Kebun Raya Crescent #01-07 Singapura 650333</t>
        </is>
      </c>
      <c r="D686" t="inlineStr">
        <is>
          <t>Shop</t>
        </is>
      </c>
      <c r="E686" t="n">
        <v>73.90000000000001</v>
      </c>
      <c r="F686" t="inlineStr">
        <is>
          <t>NC-KR-3</t>
        </is>
      </c>
      <c r="G686" t="inlineStr">
        <is>
          <t>Tenanted</t>
        </is>
      </c>
    </row>
    <row r="687">
      <c r="A687" t="inlineStr">
        <is>
          <t>U-KR333-01-08</t>
        </is>
      </c>
      <c r="B687" t="inlineStr">
        <is>
          <t>Kebun Raya</t>
        </is>
      </c>
      <c r="C687" t="inlineStr">
        <is>
          <t>Blk 333 Kebun Raya Crescent #01-08 Singapura 650333</t>
        </is>
      </c>
      <c r="D687" t="inlineStr">
        <is>
          <t>Kiosk</t>
        </is>
      </c>
      <c r="E687" t="n">
        <v>10.9</v>
      </c>
      <c r="F687" t="inlineStr">
        <is>
          <t>NC-KR-3</t>
        </is>
      </c>
      <c r="G687" t="inlineStr">
        <is>
          <t>Tenanted</t>
        </is>
      </c>
    </row>
    <row r="688">
      <c r="A688" t="inlineStr">
        <is>
          <t>U-KR333-01-09</t>
        </is>
      </c>
      <c r="B688" t="inlineStr">
        <is>
          <t>Kebun Raya</t>
        </is>
      </c>
      <c r="C688" t="inlineStr">
        <is>
          <t>Blk 333 Kebun Raya Crescent #01-09 Singapura 650333</t>
        </is>
      </c>
      <c r="D688" t="inlineStr">
        <is>
          <t>Shop</t>
        </is>
      </c>
      <c r="E688" t="n">
        <v>111.5</v>
      </c>
      <c r="F688" t="inlineStr">
        <is>
          <t>NC-KR-3</t>
        </is>
      </c>
      <c r="G688" t="inlineStr">
        <is>
          <t>Tenanted</t>
        </is>
      </c>
    </row>
    <row r="689">
      <c r="A689" t="inlineStr">
        <is>
          <t>U-KR333-02-10</t>
        </is>
      </c>
      <c r="B689" t="inlineStr">
        <is>
          <t>Kebun Raya</t>
        </is>
      </c>
      <c r="C689" t="inlineStr">
        <is>
          <t>Blk 333 Kebun Raya Crescent #02-10 Singapura 650333</t>
        </is>
      </c>
      <c r="D689" t="inlineStr">
        <is>
          <t>Office</t>
        </is>
      </c>
      <c r="E689" t="n">
        <v>78.7</v>
      </c>
      <c r="F689" t="inlineStr">
        <is>
          <t>NC-KR-3</t>
        </is>
      </c>
      <c r="G689" t="inlineStr">
        <is>
          <t>Tenanted</t>
        </is>
      </c>
    </row>
    <row r="690">
      <c r="A690" t="inlineStr">
        <is>
          <t>U-KR333-01-11</t>
        </is>
      </c>
      <c r="B690" t="inlineStr">
        <is>
          <t>Kebun Raya</t>
        </is>
      </c>
      <c r="C690" t="inlineStr">
        <is>
          <t>Blk 333 Kebun Raya Crescent #01-11 Singapura 650333</t>
        </is>
      </c>
      <c r="D690" t="inlineStr">
        <is>
          <t>Shop</t>
        </is>
      </c>
      <c r="E690" t="n">
        <v>50.8</v>
      </c>
      <c r="F690" t="inlineStr">
        <is>
          <t>NC-KR-3</t>
        </is>
      </c>
      <c r="G690" t="inlineStr">
        <is>
          <t>Vacant</t>
        </is>
      </c>
    </row>
    <row r="691">
      <c r="A691" t="inlineStr">
        <is>
          <t>U-KR333-01-12</t>
        </is>
      </c>
      <c r="B691" t="inlineStr">
        <is>
          <t>Kebun Raya</t>
        </is>
      </c>
      <c r="C691" t="inlineStr">
        <is>
          <t>Blk 333 Kebun Raya Crescent #01-12 Singapura 650333</t>
        </is>
      </c>
      <c r="D691" t="inlineStr">
        <is>
          <t>Shop</t>
        </is>
      </c>
      <c r="E691" t="n">
        <v>98.3</v>
      </c>
      <c r="F691" t="inlineStr">
        <is>
          <t>NC-KR-3</t>
        </is>
      </c>
      <c r="G691" t="inlineStr">
        <is>
          <t>Tenanted</t>
        </is>
      </c>
    </row>
    <row r="692">
      <c r="A692" t="inlineStr">
        <is>
          <t>U-KR333-02-13</t>
        </is>
      </c>
      <c r="B692" t="inlineStr">
        <is>
          <t>Kebun Raya</t>
        </is>
      </c>
      <c r="C692" t="inlineStr">
        <is>
          <t>Blk 333 Kebun Raya Crescent #02-13 Singapura 650333</t>
        </is>
      </c>
      <c r="D692" t="inlineStr">
        <is>
          <t>Office</t>
        </is>
      </c>
      <c r="E692" t="n">
        <v>139.1</v>
      </c>
      <c r="F692" t="inlineStr">
        <is>
          <t>NC-KR-3</t>
        </is>
      </c>
      <c r="G692" t="inlineStr">
        <is>
          <t>Tenanted</t>
        </is>
      </c>
    </row>
    <row r="693">
      <c r="A693" t="inlineStr">
        <is>
          <t>U-KR333-01-14</t>
        </is>
      </c>
      <c r="B693" t="inlineStr">
        <is>
          <t>Kebun Raya</t>
        </is>
      </c>
      <c r="C693" t="inlineStr">
        <is>
          <t>Blk 333 Kebun Raya Crescent #01-14 Singapura 650333</t>
        </is>
      </c>
      <c r="D693" t="inlineStr">
        <is>
          <t>Shop</t>
        </is>
      </c>
      <c r="E693" t="n">
        <v>113.4</v>
      </c>
      <c r="F693" t="inlineStr">
        <is>
          <t>NC-KR-3</t>
        </is>
      </c>
      <c r="G693" t="inlineStr">
        <is>
          <t>Tenanted</t>
        </is>
      </c>
    </row>
    <row r="694">
      <c r="A694" t="inlineStr">
        <is>
          <t>U-KR335-01-01</t>
        </is>
      </c>
      <c r="B694" t="inlineStr">
        <is>
          <t>Kebun Raya</t>
        </is>
      </c>
      <c r="C694" t="inlineStr">
        <is>
          <t>Blk 335 Kebun Raya Street 31 #01-01 Singapura 650335</t>
        </is>
      </c>
      <c r="D694" t="inlineStr">
        <is>
          <t>Shop</t>
        </is>
      </c>
      <c r="E694" t="n">
        <v>94.59999999999999</v>
      </c>
      <c r="F694" t="inlineStr">
        <is>
          <t>NC-KR-1</t>
        </is>
      </c>
      <c r="G694" t="inlineStr">
        <is>
          <t>Vacant</t>
        </is>
      </c>
    </row>
    <row r="695">
      <c r="A695" t="inlineStr">
        <is>
          <t>U-KR335-01-02</t>
        </is>
      </c>
      <c r="B695" t="inlineStr">
        <is>
          <t>Kebun Raya</t>
        </is>
      </c>
      <c r="C695" t="inlineStr">
        <is>
          <t>Blk 335 Kebun Raya Street 31 #01-02 Singapura 650335</t>
        </is>
      </c>
      <c r="D695" t="inlineStr">
        <is>
          <t>Shop</t>
        </is>
      </c>
      <c r="E695" t="n">
        <v>83.09999999999999</v>
      </c>
      <c r="F695" t="inlineStr">
        <is>
          <t>NC-KR-1</t>
        </is>
      </c>
      <c r="G695" t="inlineStr">
        <is>
          <t>Tenanted</t>
        </is>
      </c>
    </row>
    <row r="696">
      <c r="A696" t="inlineStr">
        <is>
          <t>U-KR335-01-03</t>
        </is>
      </c>
      <c r="B696" t="inlineStr">
        <is>
          <t>Kebun Raya</t>
        </is>
      </c>
      <c r="C696" t="inlineStr">
        <is>
          <t>Blk 335 Kebun Raya Street 31 #01-03 Singapura 650335</t>
        </is>
      </c>
      <c r="D696" t="inlineStr">
        <is>
          <t>Shop</t>
        </is>
      </c>
      <c r="E696" t="n">
        <v>67.8</v>
      </c>
      <c r="F696" t="inlineStr">
        <is>
          <t>NC-KR-1</t>
        </is>
      </c>
      <c r="G696" t="inlineStr">
        <is>
          <t>Tenanted</t>
        </is>
      </c>
    </row>
    <row r="697">
      <c r="A697" t="inlineStr">
        <is>
          <t>U-KR335-01-04</t>
        </is>
      </c>
      <c r="B697" t="inlineStr">
        <is>
          <t>Kebun Raya</t>
        </is>
      </c>
      <c r="C697" t="inlineStr">
        <is>
          <t>Blk 335 Kebun Raya Street 31 #01-04 Singapura 650335</t>
        </is>
      </c>
      <c r="D697" t="inlineStr">
        <is>
          <t>Shop</t>
        </is>
      </c>
      <c r="E697" t="n">
        <v>83</v>
      </c>
      <c r="F697" t="inlineStr">
        <is>
          <t>NC-KR-1</t>
        </is>
      </c>
      <c r="G697" t="inlineStr">
        <is>
          <t>Tenanted</t>
        </is>
      </c>
    </row>
    <row r="698">
      <c r="A698" t="inlineStr">
        <is>
          <t>U-KR335-01-05</t>
        </is>
      </c>
      <c r="B698" t="inlineStr">
        <is>
          <t>Kebun Raya</t>
        </is>
      </c>
      <c r="C698" t="inlineStr">
        <is>
          <t>Blk 335 Kebun Raya Street 31 #01-05 Singapura 650335</t>
        </is>
      </c>
      <c r="D698" t="inlineStr">
        <is>
          <t>Shop</t>
        </is>
      </c>
      <c r="E698" t="n">
        <v>98.2</v>
      </c>
      <c r="F698" t="inlineStr">
        <is>
          <t>NC-KR-1</t>
        </is>
      </c>
      <c r="G698" t="inlineStr">
        <is>
          <t>Tenanted</t>
        </is>
      </c>
    </row>
    <row r="699">
      <c r="A699" t="inlineStr">
        <is>
          <t>U-KR335-01-06</t>
        </is>
      </c>
      <c r="B699" t="inlineStr">
        <is>
          <t>Kebun Raya</t>
        </is>
      </c>
      <c r="C699" t="inlineStr">
        <is>
          <t>Blk 335 Kebun Raya Street 31 #01-06 Singapura 650335</t>
        </is>
      </c>
      <c r="D699" t="inlineStr">
        <is>
          <t>Shop</t>
        </is>
      </c>
      <c r="E699" t="n">
        <v>40.3</v>
      </c>
      <c r="F699" t="inlineStr">
        <is>
          <t>NC-KR-1</t>
        </is>
      </c>
      <c r="G699" t="inlineStr">
        <is>
          <t>Tenanted</t>
        </is>
      </c>
    </row>
    <row r="700">
      <c r="A700" t="inlineStr">
        <is>
          <t>U-KR335-01-07</t>
        </is>
      </c>
      <c r="B700" t="inlineStr">
        <is>
          <t>Kebun Raya</t>
        </is>
      </c>
      <c r="C700" t="inlineStr">
        <is>
          <t>Blk 335 Kebun Raya Street 31 #01-07 Singapura 650335</t>
        </is>
      </c>
      <c r="D700" t="inlineStr">
        <is>
          <t>Shop</t>
        </is>
      </c>
      <c r="E700" t="n">
        <v>63.9</v>
      </c>
      <c r="F700" t="inlineStr">
        <is>
          <t>NC-KR-1</t>
        </is>
      </c>
      <c r="G700" t="inlineStr">
        <is>
          <t>Tenanted</t>
        </is>
      </c>
    </row>
    <row r="701">
      <c r="A701" t="inlineStr">
        <is>
          <t>U-KR335-01-08</t>
        </is>
      </c>
      <c r="B701" t="inlineStr">
        <is>
          <t>Kebun Raya</t>
        </is>
      </c>
      <c r="C701" t="inlineStr">
        <is>
          <t>Blk 335 Kebun Raya Street 31 #01-08 Singapura 650335</t>
        </is>
      </c>
      <c r="D701" t="inlineStr">
        <is>
          <t>Shop</t>
        </is>
      </c>
      <c r="E701" t="n">
        <v>83.59999999999999</v>
      </c>
      <c r="F701" t="inlineStr">
        <is>
          <t>NC-KR-1</t>
        </is>
      </c>
      <c r="G701" t="inlineStr">
        <is>
          <t>Tenanted</t>
        </is>
      </c>
    </row>
    <row r="702">
      <c r="A702" t="inlineStr">
        <is>
          <t>U-KR335-01-09</t>
        </is>
      </c>
      <c r="B702" t="inlineStr">
        <is>
          <t>Kebun Raya</t>
        </is>
      </c>
      <c r="C702" t="inlineStr">
        <is>
          <t>Blk 335 Kebun Raya Street 31 #01-09 Singapura 650335</t>
        </is>
      </c>
      <c r="D702" t="inlineStr">
        <is>
          <t>Shop</t>
        </is>
      </c>
      <c r="E702" t="n">
        <v>105.9</v>
      </c>
      <c r="F702" t="inlineStr">
        <is>
          <t>NC-KR-1</t>
        </is>
      </c>
      <c r="G702" t="inlineStr">
        <is>
          <t>Tenanted</t>
        </is>
      </c>
    </row>
    <row r="703">
      <c r="A703" t="inlineStr">
        <is>
          <t>U-KR335-01-10</t>
        </is>
      </c>
      <c r="B703" t="inlineStr">
        <is>
          <t>Kebun Raya</t>
        </is>
      </c>
      <c r="C703" t="inlineStr">
        <is>
          <t>Blk 335 Kebun Raya Street 31 #01-10 Singapura 650335</t>
        </is>
      </c>
      <c r="D703" t="inlineStr">
        <is>
          <t>Shop</t>
        </is>
      </c>
      <c r="E703" t="n">
        <v>67.7</v>
      </c>
      <c r="F703" t="inlineStr">
        <is>
          <t>NC-KR-1</t>
        </is>
      </c>
      <c r="G703" t="inlineStr">
        <is>
          <t>Tenanted</t>
        </is>
      </c>
    </row>
    <row r="704">
      <c r="A704" t="inlineStr">
        <is>
          <t>U-KR335-01-11</t>
        </is>
      </c>
      <c r="B704" t="inlineStr">
        <is>
          <t>Kebun Raya</t>
        </is>
      </c>
      <c r="C704" t="inlineStr">
        <is>
          <t>Blk 335 Kebun Raya Street 31 #01-11 Singapura 650335</t>
        </is>
      </c>
      <c r="D704" t="inlineStr">
        <is>
          <t>Shop</t>
        </is>
      </c>
      <c r="E704" t="n">
        <v>115</v>
      </c>
      <c r="F704" t="inlineStr">
        <is>
          <t>NC-KR-1</t>
        </is>
      </c>
      <c r="G704" t="inlineStr">
        <is>
          <t>Tenanted</t>
        </is>
      </c>
    </row>
    <row r="705">
      <c r="A705" t="inlineStr">
        <is>
          <t>U-KR335-01-12</t>
        </is>
      </c>
      <c r="B705" t="inlineStr">
        <is>
          <t>Kebun Raya</t>
        </is>
      </c>
      <c r="C705" t="inlineStr">
        <is>
          <t>Blk 335 Kebun Raya Street 31 #01-12 Singapura 650335</t>
        </is>
      </c>
      <c r="D705" t="inlineStr">
        <is>
          <t>Kiosk</t>
        </is>
      </c>
      <c r="E705" t="n">
        <v>7</v>
      </c>
      <c r="F705" t="inlineStr">
        <is>
          <t>NC-KR-1</t>
        </is>
      </c>
      <c r="G705" t="inlineStr">
        <is>
          <t>Tenanted</t>
        </is>
      </c>
    </row>
    <row r="706">
      <c r="A706" t="inlineStr">
        <is>
          <t>U-KR341-01-01</t>
        </is>
      </c>
      <c r="B706" t="inlineStr">
        <is>
          <t>Kebun Raya</t>
        </is>
      </c>
      <c r="C706" t="inlineStr">
        <is>
          <t>Blk 341 Kebun Raya Avenue 3 #01-01 Singapura 650341</t>
        </is>
      </c>
      <c r="D706" t="inlineStr">
        <is>
          <t>Shop</t>
        </is>
      </c>
      <c r="E706" t="n">
        <v>114.9</v>
      </c>
      <c r="F706" t="inlineStr">
        <is>
          <t>NC-KR-1</t>
        </is>
      </c>
      <c r="G706" t="inlineStr">
        <is>
          <t>Tenanted</t>
        </is>
      </c>
    </row>
    <row r="707">
      <c r="A707" t="inlineStr">
        <is>
          <t>U-KR341-02-02</t>
        </is>
      </c>
      <c r="B707" t="inlineStr">
        <is>
          <t>Kebun Raya</t>
        </is>
      </c>
      <c r="C707" t="inlineStr">
        <is>
          <t>Blk 341 Kebun Raya Avenue 3 #02-02 Singapura 650341</t>
        </is>
      </c>
      <c r="D707" t="inlineStr">
        <is>
          <t>Office</t>
        </is>
      </c>
      <c r="E707" t="n">
        <v>56.7</v>
      </c>
      <c r="F707" t="inlineStr">
        <is>
          <t>NC-KR-1</t>
        </is>
      </c>
      <c r="G707" t="inlineStr">
        <is>
          <t>Tenanted</t>
        </is>
      </c>
    </row>
    <row r="708">
      <c r="A708" t="inlineStr">
        <is>
          <t>U-KR341-01-03</t>
        </is>
      </c>
      <c r="B708" t="inlineStr">
        <is>
          <t>Kebun Raya</t>
        </is>
      </c>
      <c r="C708" t="inlineStr">
        <is>
          <t>Blk 341 Kebun Raya Avenue 3 #01-03 Singapura 650341</t>
        </is>
      </c>
      <c r="D708" t="inlineStr">
        <is>
          <t>Shop</t>
        </is>
      </c>
      <c r="E708" t="n">
        <v>75.7</v>
      </c>
      <c r="F708" t="inlineStr">
        <is>
          <t>NC-KR-1</t>
        </is>
      </c>
      <c r="G708" t="inlineStr">
        <is>
          <t>Tenanted</t>
        </is>
      </c>
    </row>
    <row r="709">
      <c r="A709" t="inlineStr">
        <is>
          <t>U-KR341-01-04</t>
        </is>
      </c>
      <c r="B709" t="inlineStr">
        <is>
          <t>Kebun Raya</t>
        </is>
      </c>
      <c r="C709" t="inlineStr">
        <is>
          <t>Blk 341 Kebun Raya Avenue 3 #01-04 Singapura 650341</t>
        </is>
      </c>
      <c r="D709" t="inlineStr">
        <is>
          <t>Shop</t>
        </is>
      </c>
      <c r="E709" t="n">
        <v>109.8</v>
      </c>
      <c r="F709" t="inlineStr">
        <is>
          <t>NC-KR-1</t>
        </is>
      </c>
      <c r="G709" t="inlineStr">
        <is>
          <t>Tenanted</t>
        </is>
      </c>
    </row>
    <row r="710">
      <c r="A710" t="inlineStr">
        <is>
          <t>U-KR341-01-05</t>
        </is>
      </c>
      <c r="B710" t="inlineStr">
        <is>
          <t>Kebun Raya</t>
        </is>
      </c>
      <c r="C710" t="inlineStr">
        <is>
          <t>Blk 341 Kebun Raya Avenue 3 #01-05 Singapura 650341</t>
        </is>
      </c>
      <c r="D710" t="inlineStr">
        <is>
          <t>Shop</t>
        </is>
      </c>
      <c r="E710" t="n">
        <v>43.5</v>
      </c>
      <c r="F710" t="inlineStr">
        <is>
          <t>NC-KR-1</t>
        </is>
      </c>
      <c r="G710" t="inlineStr">
        <is>
          <t>Tenanted</t>
        </is>
      </c>
    </row>
    <row r="711">
      <c r="A711" t="inlineStr">
        <is>
          <t>U-KR341-01-06</t>
        </is>
      </c>
      <c r="B711" t="inlineStr">
        <is>
          <t>Kebun Raya</t>
        </is>
      </c>
      <c r="C711" t="inlineStr">
        <is>
          <t>Blk 341 Kebun Raya Avenue 3 #01-06 Singapura 650341</t>
        </is>
      </c>
      <c r="D711" t="inlineStr">
        <is>
          <t>Shop</t>
        </is>
      </c>
      <c r="E711" t="n">
        <v>83.2</v>
      </c>
      <c r="F711" t="inlineStr">
        <is>
          <t>NC-KR-1</t>
        </is>
      </c>
      <c r="G711" t="inlineStr">
        <is>
          <t>Tenanted</t>
        </is>
      </c>
    </row>
    <row r="712">
      <c r="A712" t="inlineStr">
        <is>
          <t>U-KR341-01-07</t>
        </is>
      </c>
      <c r="B712" t="inlineStr">
        <is>
          <t>Kebun Raya</t>
        </is>
      </c>
      <c r="C712" t="inlineStr">
        <is>
          <t>Blk 341 Kebun Raya Avenue 3 #01-07 Singapura 650341</t>
        </is>
      </c>
      <c r="D712" t="inlineStr">
        <is>
          <t>Kiosk</t>
        </is>
      </c>
      <c r="E712" t="n">
        <v>13</v>
      </c>
      <c r="F712" t="inlineStr">
        <is>
          <t>NC-KR-1</t>
        </is>
      </c>
      <c r="G712" t="inlineStr">
        <is>
          <t>Tenanted</t>
        </is>
      </c>
    </row>
    <row r="713">
      <c r="A713" t="inlineStr">
        <is>
          <t>U-KR341-01-08</t>
        </is>
      </c>
      <c r="B713" t="inlineStr">
        <is>
          <t>Kebun Raya</t>
        </is>
      </c>
      <c r="C713" t="inlineStr">
        <is>
          <t>Blk 341 Kebun Raya Avenue 3 #01-08 Singapura 650341</t>
        </is>
      </c>
      <c r="D713" t="inlineStr">
        <is>
          <t>Shop</t>
        </is>
      </c>
      <c r="E713" t="n">
        <v>119.5</v>
      </c>
      <c r="F713" t="inlineStr">
        <is>
          <t>NC-KR-1</t>
        </is>
      </c>
      <c r="G713" t="inlineStr">
        <is>
          <t>Tenanted</t>
        </is>
      </c>
    </row>
    <row r="714">
      <c r="A714" t="inlineStr">
        <is>
          <t>U-KR341-01-09</t>
        </is>
      </c>
      <c r="B714" t="inlineStr">
        <is>
          <t>Kebun Raya</t>
        </is>
      </c>
      <c r="C714" t="inlineStr">
        <is>
          <t>Blk 341 Kebun Raya Avenue 3 #01-09 Singapura 650341</t>
        </is>
      </c>
      <c r="D714" t="inlineStr">
        <is>
          <t>Shop</t>
        </is>
      </c>
      <c r="E714" t="n">
        <v>113.3</v>
      </c>
      <c r="F714" t="inlineStr">
        <is>
          <t>NC-KR-1</t>
        </is>
      </c>
      <c r="G714" t="inlineStr">
        <is>
          <t>Tenanted</t>
        </is>
      </c>
    </row>
    <row r="715">
      <c r="A715" t="inlineStr">
        <is>
          <t>U-KR341-01-10</t>
        </is>
      </c>
      <c r="B715" t="inlineStr">
        <is>
          <t>Kebun Raya</t>
        </is>
      </c>
      <c r="C715" t="inlineStr">
        <is>
          <t>Blk 341 Kebun Raya Avenue 3 #01-10 Singapura 650341</t>
        </is>
      </c>
      <c r="D715" t="inlineStr">
        <is>
          <t>Shop</t>
        </is>
      </c>
      <c r="E715" t="n">
        <v>86.2</v>
      </c>
      <c r="F715" t="inlineStr">
        <is>
          <t>NC-KR-1</t>
        </is>
      </c>
      <c r="G715" t="inlineStr">
        <is>
          <t>Tenanted</t>
        </is>
      </c>
    </row>
    <row r="716">
      <c r="A716" t="inlineStr">
        <is>
          <t>U-KR341-01-11</t>
        </is>
      </c>
      <c r="B716" t="inlineStr">
        <is>
          <t>Kebun Raya</t>
        </is>
      </c>
      <c r="C716" t="inlineStr">
        <is>
          <t>Blk 341 Kebun Raya Avenue 3 #01-11 Singapura 650341</t>
        </is>
      </c>
      <c r="D716" t="inlineStr">
        <is>
          <t>Kiosk</t>
        </is>
      </c>
      <c r="E716" t="n">
        <v>13.4</v>
      </c>
      <c r="F716" t="inlineStr">
        <is>
          <t>NC-KR-1</t>
        </is>
      </c>
      <c r="G716" t="inlineStr">
        <is>
          <t>Tenanted</t>
        </is>
      </c>
    </row>
    <row r="717">
      <c r="A717" t="inlineStr">
        <is>
          <t>U-KR341-01-12</t>
        </is>
      </c>
      <c r="B717" t="inlineStr">
        <is>
          <t>Kebun Raya</t>
        </is>
      </c>
      <c r="C717" t="inlineStr">
        <is>
          <t>Blk 341 Kebun Raya Avenue 3 #01-12 Singapura 650341</t>
        </is>
      </c>
      <c r="D717" t="inlineStr">
        <is>
          <t>Shop</t>
        </is>
      </c>
      <c r="E717" t="n">
        <v>110.1</v>
      </c>
      <c r="F717" t="inlineStr">
        <is>
          <t>NC-KR-1</t>
        </is>
      </c>
      <c r="G717" t="inlineStr">
        <is>
          <t>Tenanted</t>
        </is>
      </c>
    </row>
    <row r="718">
      <c r="A718" t="inlineStr">
        <is>
          <t>U-KR345-01-01</t>
        </is>
      </c>
      <c r="B718" t="inlineStr">
        <is>
          <t>Kebun Raya</t>
        </is>
      </c>
      <c r="C718" t="inlineStr">
        <is>
          <t>Blk 345 Kebun Raya Street 31 #01-01 Singapura 650345</t>
        </is>
      </c>
      <c r="D718" t="inlineStr">
        <is>
          <t>Shop</t>
        </is>
      </c>
      <c r="E718" t="n">
        <v>64</v>
      </c>
      <c r="F718" t="inlineStr">
        <is>
          <t>NC-KR-3</t>
        </is>
      </c>
      <c r="G718" t="inlineStr">
        <is>
          <t>Tenanted</t>
        </is>
      </c>
    </row>
    <row r="719">
      <c r="A719" t="inlineStr">
        <is>
          <t>U-KR345-01-02</t>
        </is>
      </c>
      <c r="B719" t="inlineStr">
        <is>
          <t>Kebun Raya</t>
        </is>
      </c>
      <c r="C719" t="inlineStr">
        <is>
          <t>Blk 345 Kebun Raya Street 31 #01-02 Singapura 650345</t>
        </is>
      </c>
      <c r="D719" t="inlineStr">
        <is>
          <t>Shop</t>
        </is>
      </c>
      <c r="E719" t="n">
        <v>115.9</v>
      </c>
      <c r="F719" t="inlineStr">
        <is>
          <t>NC-KR-3</t>
        </is>
      </c>
      <c r="G719" t="inlineStr">
        <is>
          <t>Tenanted</t>
        </is>
      </c>
    </row>
    <row r="720">
      <c r="A720" t="inlineStr">
        <is>
          <t>U-KR345-01-03</t>
        </is>
      </c>
      <c r="B720" t="inlineStr">
        <is>
          <t>Kebun Raya</t>
        </is>
      </c>
      <c r="C720" t="inlineStr">
        <is>
          <t>Blk 345 Kebun Raya Street 31 #01-03 Singapura 650345</t>
        </is>
      </c>
      <c r="D720" t="inlineStr">
        <is>
          <t>Office</t>
        </is>
      </c>
      <c r="E720" t="n">
        <v>112.6</v>
      </c>
      <c r="F720" t="inlineStr">
        <is>
          <t>NC-KR-3</t>
        </is>
      </c>
      <c r="G720" t="inlineStr">
        <is>
          <t>Tenanted</t>
        </is>
      </c>
    </row>
    <row r="721">
      <c r="A721" t="inlineStr">
        <is>
          <t>U-KR345-01-04</t>
        </is>
      </c>
      <c r="B721" t="inlineStr">
        <is>
          <t>Kebun Raya</t>
        </is>
      </c>
      <c r="C721" t="inlineStr">
        <is>
          <t>Blk 345 Kebun Raya Street 31 #01-04 Singapura 650345</t>
        </is>
      </c>
      <c r="D721" t="inlineStr">
        <is>
          <t>Shop</t>
        </is>
      </c>
      <c r="E721" t="n">
        <v>79.59999999999999</v>
      </c>
      <c r="F721" t="inlineStr">
        <is>
          <t>NC-KR-3</t>
        </is>
      </c>
      <c r="G721" t="inlineStr">
        <is>
          <t>Tenanted</t>
        </is>
      </c>
    </row>
    <row r="722">
      <c r="A722" t="inlineStr">
        <is>
          <t>U-KR345-01-05</t>
        </is>
      </c>
      <c r="B722" t="inlineStr">
        <is>
          <t>Kebun Raya</t>
        </is>
      </c>
      <c r="C722" t="inlineStr">
        <is>
          <t>Blk 345 Kebun Raya Street 31 #01-05 Singapura 650345</t>
        </is>
      </c>
      <c r="D722" t="inlineStr">
        <is>
          <t>Office</t>
        </is>
      </c>
      <c r="E722" t="n">
        <v>117.1</v>
      </c>
      <c r="F722" t="inlineStr">
        <is>
          <t>NC-KR-3</t>
        </is>
      </c>
      <c r="G722" t="inlineStr">
        <is>
          <t>Tenanted</t>
        </is>
      </c>
    </row>
    <row r="723">
      <c r="A723" t="inlineStr">
        <is>
          <t>U-KR345-01-06</t>
        </is>
      </c>
      <c r="B723" t="inlineStr">
        <is>
          <t>Kebun Raya</t>
        </is>
      </c>
      <c r="C723" t="inlineStr">
        <is>
          <t>Blk 345 Kebun Raya Street 31 #01-06 Singapura 650345</t>
        </is>
      </c>
      <c r="D723" t="inlineStr">
        <is>
          <t>Shop with Living Quarters</t>
        </is>
      </c>
      <c r="E723" t="n">
        <v>75.90000000000001</v>
      </c>
      <c r="F723" t="inlineStr">
        <is>
          <t>NC-KR-3</t>
        </is>
      </c>
      <c r="G723" t="inlineStr">
        <is>
          <t>Tenanted</t>
        </is>
      </c>
    </row>
    <row r="724">
      <c r="A724" t="inlineStr">
        <is>
          <t>U-KR345-01-07</t>
        </is>
      </c>
      <c r="B724" t="inlineStr">
        <is>
          <t>Kebun Raya</t>
        </is>
      </c>
      <c r="C724" t="inlineStr">
        <is>
          <t>Blk 345 Kebun Raya Street 31 #01-07 Singapura 650345</t>
        </is>
      </c>
      <c r="D724" t="inlineStr">
        <is>
          <t>Shop</t>
        </is>
      </c>
      <c r="E724" t="n">
        <v>51.9</v>
      </c>
      <c r="F724" t="inlineStr">
        <is>
          <t>NC-KR-3</t>
        </is>
      </c>
      <c r="G724" t="inlineStr">
        <is>
          <t>Tenanted</t>
        </is>
      </c>
    </row>
    <row r="725">
      <c r="A725" t="inlineStr">
        <is>
          <t>U-KR345-01-08</t>
        </is>
      </c>
      <c r="B725" t="inlineStr">
        <is>
          <t>Kebun Raya</t>
        </is>
      </c>
      <c r="C725" t="inlineStr">
        <is>
          <t>Blk 345 Kebun Raya Street 31 #01-08 Singapura 650345</t>
        </is>
      </c>
      <c r="D725" t="inlineStr">
        <is>
          <t>Shop</t>
        </is>
      </c>
      <c r="E725" t="n">
        <v>100.4</v>
      </c>
      <c r="F725" t="inlineStr">
        <is>
          <t>NC-KR-3</t>
        </is>
      </c>
      <c r="G725" t="inlineStr">
        <is>
          <t>Tenanted</t>
        </is>
      </c>
    </row>
    <row r="726">
      <c r="A726" t="inlineStr">
        <is>
          <t>U-KR345-01-09</t>
        </is>
      </c>
      <c r="B726" t="inlineStr">
        <is>
          <t>Kebun Raya</t>
        </is>
      </c>
      <c r="C726" t="inlineStr">
        <is>
          <t>Blk 345 Kebun Raya Street 31 #01-09 Singapura 650345</t>
        </is>
      </c>
      <c r="D726" t="inlineStr">
        <is>
          <t>Shop</t>
        </is>
      </c>
      <c r="E726" t="n">
        <v>107.9</v>
      </c>
      <c r="F726" t="inlineStr">
        <is>
          <t>NC-KR-3</t>
        </is>
      </c>
      <c r="G726" t="inlineStr">
        <is>
          <t>Tenanted</t>
        </is>
      </c>
    </row>
    <row r="727">
      <c r="A727" t="inlineStr">
        <is>
          <t>U-KR345-01-10</t>
        </is>
      </c>
      <c r="B727" t="inlineStr">
        <is>
          <t>Kebun Raya</t>
        </is>
      </c>
      <c r="C727" t="inlineStr">
        <is>
          <t>Blk 345 Kebun Raya Street 31 #01-10 Singapura 650345</t>
        </is>
      </c>
      <c r="D727" t="inlineStr">
        <is>
          <t>Shop</t>
        </is>
      </c>
      <c r="E727" t="n">
        <v>96.59999999999999</v>
      </c>
      <c r="F727" t="inlineStr">
        <is>
          <t>NC-KR-3</t>
        </is>
      </c>
      <c r="G727" t="inlineStr">
        <is>
          <t>Tenanted</t>
        </is>
      </c>
    </row>
    <row r="728">
      <c r="A728" t="inlineStr">
        <is>
          <t>U-KR345-01-11</t>
        </is>
      </c>
      <c r="B728" t="inlineStr">
        <is>
          <t>Kebun Raya</t>
        </is>
      </c>
      <c r="C728" t="inlineStr">
        <is>
          <t>Blk 345 Kebun Raya Street 31 #01-11 Singapura 650345</t>
        </is>
      </c>
      <c r="D728" t="inlineStr">
        <is>
          <t>Shop with Living Quarters</t>
        </is>
      </c>
      <c r="E728" t="n">
        <v>105.7</v>
      </c>
      <c r="F728" t="inlineStr">
        <is>
          <t>NC-KR-3</t>
        </is>
      </c>
      <c r="G728" t="inlineStr">
        <is>
          <t>Tenanted</t>
        </is>
      </c>
    </row>
    <row r="729">
      <c r="A729" t="inlineStr">
        <is>
          <t>U-KR345-01-12</t>
        </is>
      </c>
      <c r="B729" t="inlineStr">
        <is>
          <t>Kebun Raya</t>
        </is>
      </c>
      <c r="C729" t="inlineStr">
        <is>
          <t>Blk 345 Kebun Raya Street 31 #01-12 Singapura 650345</t>
        </is>
      </c>
      <c r="D729" t="inlineStr">
        <is>
          <t>Shop</t>
        </is>
      </c>
      <c r="E729" t="n">
        <v>117.4</v>
      </c>
      <c r="F729" t="inlineStr">
        <is>
          <t>NC-KR-3</t>
        </is>
      </c>
      <c r="G729" t="inlineStr">
        <is>
          <t>Tenanted</t>
        </is>
      </c>
    </row>
    <row r="730">
      <c r="A730" t="inlineStr">
        <is>
          <t>U-KR345-01-13</t>
        </is>
      </c>
      <c r="B730" t="inlineStr">
        <is>
          <t>Kebun Raya</t>
        </is>
      </c>
      <c r="C730" t="inlineStr">
        <is>
          <t>Blk 345 Kebun Raya Street 31 #01-13 Singapura 650345</t>
        </is>
      </c>
      <c r="D730" t="inlineStr">
        <is>
          <t>Shop</t>
        </is>
      </c>
      <c r="E730" t="n">
        <v>50.7</v>
      </c>
      <c r="F730" t="inlineStr">
        <is>
          <t>NC-KR-3</t>
        </is>
      </c>
      <c r="G730" t="inlineStr">
        <is>
          <t>Tenanted</t>
        </is>
      </c>
    </row>
    <row r="731">
      <c r="A731" t="inlineStr">
        <is>
          <t>U-KR345-01-14</t>
        </is>
      </c>
      <c r="B731" t="inlineStr">
        <is>
          <t>Kebun Raya</t>
        </is>
      </c>
      <c r="C731" t="inlineStr">
        <is>
          <t>Blk 345 Kebun Raya Street 31 #01-14 Singapura 650345</t>
        </is>
      </c>
      <c r="D731" t="inlineStr">
        <is>
          <t>Shop</t>
        </is>
      </c>
      <c r="E731" t="n">
        <v>56.3</v>
      </c>
      <c r="F731" t="inlineStr">
        <is>
          <t>NC-KR-3</t>
        </is>
      </c>
      <c r="G731" t="inlineStr">
        <is>
          <t>Tenanted</t>
        </is>
      </c>
    </row>
    <row r="732">
      <c r="A732" t="inlineStr">
        <is>
          <t>U-KR349-01-01</t>
        </is>
      </c>
      <c r="B732" t="inlineStr">
        <is>
          <t>Kebun Raya</t>
        </is>
      </c>
      <c r="C732" t="inlineStr">
        <is>
          <t>Blk 349 Kebun Raya Street 31 #01-01 Singapura 650349</t>
        </is>
      </c>
      <c r="D732" t="inlineStr">
        <is>
          <t>Office</t>
        </is>
      </c>
      <c r="E732" t="n">
        <v>59.2</v>
      </c>
      <c r="F732" t="inlineStr">
        <is>
          <t>NC-KR-2</t>
        </is>
      </c>
      <c r="G732" t="inlineStr">
        <is>
          <t>Tenanted</t>
        </is>
      </c>
    </row>
    <row r="733">
      <c r="A733" t="inlineStr">
        <is>
          <t>U-KR349-01-02</t>
        </is>
      </c>
      <c r="B733" t="inlineStr">
        <is>
          <t>Kebun Raya</t>
        </is>
      </c>
      <c r="C733" t="inlineStr">
        <is>
          <t>Blk 349 Kebun Raya Street 31 #01-02 Singapura 650349</t>
        </is>
      </c>
      <c r="D733" t="inlineStr">
        <is>
          <t>Kiosk</t>
        </is>
      </c>
      <c r="E733" t="n">
        <v>7.7</v>
      </c>
      <c r="F733" t="inlineStr">
        <is>
          <t>NC-KR-2</t>
        </is>
      </c>
      <c r="G733" t="inlineStr">
        <is>
          <t>Tenanted</t>
        </is>
      </c>
    </row>
    <row r="734">
      <c r="A734" t="inlineStr">
        <is>
          <t>U-KR349-01-03</t>
        </is>
      </c>
      <c r="B734" t="inlineStr">
        <is>
          <t>Kebun Raya</t>
        </is>
      </c>
      <c r="C734" t="inlineStr">
        <is>
          <t>Blk 349 Kebun Raya Street 31 #01-03 Singapura 650349</t>
        </is>
      </c>
      <c r="D734" t="inlineStr">
        <is>
          <t>Shop</t>
        </is>
      </c>
      <c r="E734" t="n">
        <v>93.90000000000001</v>
      </c>
      <c r="F734" t="inlineStr">
        <is>
          <t>NC-KR-2</t>
        </is>
      </c>
      <c r="G734" t="inlineStr">
        <is>
          <t>Tenanted</t>
        </is>
      </c>
    </row>
    <row r="735">
      <c r="A735" t="inlineStr">
        <is>
          <t>U-KR349-01-04</t>
        </is>
      </c>
      <c r="B735" t="inlineStr">
        <is>
          <t>Kebun Raya</t>
        </is>
      </c>
      <c r="C735" t="inlineStr">
        <is>
          <t>Blk 349 Kebun Raya Street 31 #01-04 Singapura 650349</t>
        </is>
      </c>
      <c r="D735" t="inlineStr">
        <is>
          <t>Shop</t>
        </is>
      </c>
      <c r="E735" t="n">
        <v>109.9</v>
      </c>
      <c r="F735" t="inlineStr">
        <is>
          <t>NC-KR-2</t>
        </is>
      </c>
      <c r="G735" t="inlineStr">
        <is>
          <t>Tenanted</t>
        </is>
      </c>
    </row>
    <row r="736">
      <c r="A736" t="inlineStr">
        <is>
          <t>U-KR349-01-05</t>
        </is>
      </c>
      <c r="B736" t="inlineStr">
        <is>
          <t>Kebun Raya</t>
        </is>
      </c>
      <c r="C736" t="inlineStr">
        <is>
          <t>Blk 349 Kebun Raya Street 31 #01-05 Singapura 650349</t>
        </is>
      </c>
      <c r="D736" t="inlineStr">
        <is>
          <t>Shop</t>
        </is>
      </c>
      <c r="E736" t="n">
        <v>100.9</v>
      </c>
      <c r="F736" t="inlineStr">
        <is>
          <t>NC-KR-2</t>
        </is>
      </c>
      <c r="G736" t="inlineStr">
        <is>
          <t>Tenanted</t>
        </is>
      </c>
    </row>
    <row r="737">
      <c r="A737" t="inlineStr">
        <is>
          <t>U-KR349-01-06</t>
        </is>
      </c>
      <c r="B737" t="inlineStr">
        <is>
          <t>Kebun Raya</t>
        </is>
      </c>
      <c r="C737" t="inlineStr">
        <is>
          <t>Blk 349 Kebun Raya Street 31 #01-06 Singapura 650349</t>
        </is>
      </c>
      <c r="D737" t="inlineStr">
        <is>
          <t>Kiosk</t>
        </is>
      </c>
      <c r="E737" t="n">
        <v>11</v>
      </c>
      <c r="F737" t="inlineStr">
        <is>
          <t>NC-KR-2</t>
        </is>
      </c>
      <c r="G737" t="inlineStr">
        <is>
          <t>Tenanted</t>
        </is>
      </c>
    </row>
    <row r="738">
      <c r="A738" t="inlineStr">
        <is>
          <t>U-KR349-01-07</t>
        </is>
      </c>
      <c r="B738" t="inlineStr">
        <is>
          <t>Kebun Raya</t>
        </is>
      </c>
      <c r="C738" t="inlineStr">
        <is>
          <t>Blk 349 Kebun Raya Street 31 #01-07 Singapura 650349</t>
        </is>
      </c>
      <c r="D738" t="inlineStr">
        <is>
          <t>Shop</t>
        </is>
      </c>
      <c r="E738" t="n">
        <v>109.6</v>
      </c>
      <c r="F738" t="inlineStr">
        <is>
          <t>NC-KR-2</t>
        </is>
      </c>
      <c r="G738" t="inlineStr">
        <is>
          <t>Tenanted</t>
        </is>
      </c>
    </row>
    <row r="739">
      <c r="A739" t="inlineStr">
        <is>
          <t>U-KR353-01-01</t>
        </is>
      </c>
      <c r="B739" t="inlineStr">
        <is>
          <t>Kebun Raya</t>
        </is>
      </c>
      <c r="C739" t="inlineStr">
        <is>
          <t>Blk 353 Kebun Raya Avenue 3 #01-01 Singapura 650353</t>
        </is>
      </c>
      <c r="D739" t="inlineStr">
        <is>
          <t>Shop</t>
        </is>
      </c>
      <c r="E739" t="n">
        <v>112.7</v>
      </c>
      <c r="F739" t="inlineStr">
        <is>
          <t>NC-KR-3</t>
        </is>
      </c>
      <c r="G739" t="inlineStr">
        <is>
          <t>Tenanted</t>
        </is>
      </c>
    </row>
    <row r="740">
      <c r="A740" t="inlineStr">
        <is>
          <t>U-KR353-01-02</t>
        </is>
      </c>
      <c r="B740" t="inlineStr">
        <is>
          <t>Kebun Raya</t>
        </is>
      </c>
      <c r="C740" t="inlineStr">
        <is>
          <t>Blk 353 Kebun Raya Avenue 3 #01-02 Singapura 650353</t>
        </is>
      </c>
      <c r="D740" t="inlineStr">
        <is>
          <t>Shop</t>
        </is>
      </c>
      <c r="E740" t="n">
        <v>55.2</v>
      </c>
      <c r="F740" t="inlineStr">
        <is>
          <t>NC-KR-3</t>
        </is>
      </c>
      <c r="G740" t="inlineStr">
        <is>
          <t>Tenanted</t>
        </is>
      </c>
    </row>
    <row r="741">
      <c r="A741" t="inlineStr">
        <is>
          <t>U-KR353-01-03</t>
        </is>
      </c>
      <c r="B741" t="inlineStr">
        <is>
          <t>Kebun Raya</t>
        </is>
      </c>
      <c r="C741" t="inlineStr">
        <is>
          <t>Blk 353 Kebun Raya Avenue 3 #01-03 Singapura 650353</t>
        </is>
      </c>
      <c r="D741" t="inlineStr">
        <is>
          <t>Kiosk</t>
        </is>
      </c>
      <c r="E741" t="n">
        <v>12.7</v>
      </c>
      <c r="F741" t="inlineStr">
        <is>
          <t>NC-KR-3</t>
        </is>
      </c>
      <c r="G741" t="inlineStr">
        <is>
          <t>Vacant</t>
        </is>
      </c>
    </row>
    <row r="742">
      <c r="A742" t="inlineStr">
        <is>
          <t>U-KR353-01-04</t>
        </is>
      </c>
      <c r="B742" t="inlineStr">
        <is>
          <t>Kebun Raya</t>
        </is>
      </c>
      <c r="C742" t="inlineStr">
        <is>
          <t>Blk 353 Kebun Raya Avenue 3 #01-04 Singapura 650353</t>
        </is>
      </c>
      <c r="D742" t="inlineStr">
        <is>
          <t>Kiosk</t>
        </is>
      </c>
      <c r="E742" t="n">
        <v>14.2</v>
      </c>
      <c r="F742" t="inlineStr">
        <is>
          <t>NC-KR-3</t>
        </is>
      </c>
      <c r="G742" t="inlineStr">
        <is>
          <t>Tenanted</t>
        </is>
      </c>
    </row>
    <row r="743">
      <c r="A743" t="inlineStr">
        <is>
          <t>U-KR353-01-05</t>
        </is>
      </c>
      <c r="B743" t="inlineStr">
        <is>
          <t>Kebun Raya</t>
        </is>
      </c>
      <c r="C743" t="inlineStr">
        <is>
          <t>Blk 353 Kebun Raya Avenue 3 #01-05 Singapura 650353</t>
        </is>
      </c>
      <c r="D743" t="inlineStr">
        <is>
          <t>Kiosk</t>
        </is>
      </c>
      <c r="E743" t="n">
        <v>12.3</v>
      </c>
      <c r="F743" t="inlineStr">
        <is>
          <t>NC-KR-3</t>
        </is>
      </c>
      <c r="G743" t="inlineStr">
        <is>
          <t>Tenanted</t>
        </is>
      </c>
    </row>
    <row r="744">
      <c r="A744" t="inlineStr">
        <is>
          <t>U-KR353-01-06</t>
        </is>
      </c>
      <c r="B744" t="inlineStr">
        <is>
          <t>Kebun Raya</t>
        </is>
      </c>
      <c r="C744" t="inlineStr">
        <is>
          <t>Blk 353 Kebun Raya Avenue 3 #01-06 Singapura 650353</t>
        </is>
      </c>
      <c r="D744" t="inlineStr">
        <is>
          <t>Shop</t>
        </is>
      </c>
      <c r="E744" t="n">
        <v>59.1</v>
      </c>
      <c r="F744" t="inlineStr">
        <is>
          <t>NC-KR-3</t>
        </is>
      </c>
      <c r="G744" t="inlineStr">
        <is>
          <t>Tenanted</t>
        </is>
      </c>
    </row>
    <row r="745">
      <c r="A745" t="inlineStr">
        <is>
          <t>U-KR353-01-07</t>
        </is>
      </c>
      <c r="B745" t="inlineStr">
        <is>
          <t>Kebun Raya</t>
        </is>
      </c>
      <c r="C745" t="inlineStr">
        <is>
          <t>Blk 353 Kebun Raya Avenue 3 #01-07 Singapura 650353</t>
        </is>
      </c>
      <c r="D745" t="inlineStr">
        <is>
          <t>Shop</t>
        </is>
      </c>
      <c r="E745" t="n">
        <v>62.6</v>
      </c>
      <c r="F745" t="inlineStr">
        <is>
          <t>NC-KR-3</t>
        </is>
      </c>
      <c r="G745" t="inlineStr">
        <is>
          <t>Tenanted</t>
        </is>
      </c>
    </row>
    <row r="746">
      <c r="A746" t="inlineStr">
        <is>
          <t>U-KR353-01-08</t>
        </is>
      </c>
      <c r="B746" t="inlineStr">
        <is>
          <t>Kebun Raya</t>
        </is>
      </c>
      <c r="C746" t="inlineStr">
        <is>
          <t>Blk 353 Kebun Raya Avenue 3 #01-08 Singapura 650353</t>
        </is>
      </c>
      <c r="D746" t="inlineStr">
        <is>
          <t>Shop</t>
        </is>
      </c>
      <c r="E746" t="n">
        <v>91.90000000000001</v>
      </c>
      <c r="F746" t="inlineStr">
        <is>
          <t>NC-KR-3</t>
        </is>
      </c>
      <c r="G746" t="inlineStr">
        <is>
          <t>Tenanted</t>
        </is>
      </c>
    </row>
    <row r="747">
      <c r="A747" t="inlineStr">
        <is>
          <t>U-KR353-01-09</t>
        </is>
      </c>
      <c r="B747" t="inlineStr">
        <is>
          <t>Kebun Raya</t>
        </is>
      </c>
      <c r="C747" t="inlineStr">
        <is>
          <t>Blk 353 Kebun Raya Avenue 3 #01-09 Singapura 650353</t>
        </is>
      </c>
      <c r="D747" t="inlineStr">
        <is>
          <t>Shop</t>
        </is>
      </c>
      <c r="E747" t="n">
        <v>68.8</v>
      </c>
      <c r="F747" t="inlineStr">
        <is>
          <t>NC-KR-3</t>
        </is>
      </c>
      <c r="G747" t="inlineStr">
        <is>
          <t>Tenanted</t>
        </is>
      </c>
    </row>
    <row r="748">
      <c r="A748" t="inlineStr">
        <is>
          <t>U-KR353-02-10</t>
        </is>
      </c>
      <c r="B748" t="inlineStr">
        <is>
          <t>Kebun Raya</t>
        </is>
      </c>
      <c r="C748" t="inlineStr">
        <is>
          <t>Blk 353 Kebun Raya Avenue 3 #02-10 Singapura 650353</t>
        </is>
      </c>
      <c r="D748" t="inlineStr">
        <is>
          <t>Office</t>
        </is>
      </c>
      <c r="E748" t="n">
        <v>130.3</v>
      </c>
      <c r="F748" t="inlineStr">
        <is>
          <t>NC-KR-3</t>
        </is>
      </c>
      <c r="G748" t="inlineStr">
        <is>
          <t>Tenanted</t>
        </is>
      </c>
    </row>
    <row r="749">
      <c r="A749" t="inlineStr">
        <is>
          <t>U-KR353-01-11</t>
        </is>
      </c>
      <c r="B749" t="inlineStr">
        <is>
          <t>Kebun Raya</t>
        </is>
      </c>
      <c r="C749" t="inlineStr">
        <is>
          <t>Blk 353 Kebun Raya Avenue 3 #01-11 Singapura 650353</t>
        </is>
      </c>
      <c r="D749" t="inlineStr">
        <is>
          <t>Kiosk</t>
        </is>
      </c>
      <c r="E749" t="n">
        <v>12.9</v>
      </c>
      <c r="F749" t="inlineStr">
        <is>
          <t>NC-KR-3</t>
        </is>
      </c>
      <c r="G749" t="inlineStr">
        <is>
          <t>Tenanted</t>
        </is>
      </c>
    </row>
    <row r="750">
      <c r="A750" t="inlineStr">
        <is>
          <t>U-KR356-02-01</t>
        </is>
      </c>
      <c r="B750" t="inlineStr">
        <is>
          <t>Kebun Raya</t>
        </is>
      </c>
      <c r="C750" t="inlineStr">
        <is>
          <t>Blk 356 Kebun Raya Street 31 #02-01 Singapura 650356</t>
        </is>
      </c>
      <c r="D750" t="inlineStr">
        <is>
          <t>Office</t>
        </is>
      </c>
      <c r="E750" t="n">
        <v>91.40000000000001</v>
      </c>
      <c r="F750" t="inlineStr">
        <is>
          <t>NC-KR-1</t>
        </is>
      </c>
      <c r="G750" t="inlineStr">
        <is>
          <t>Tenanted</t>
        </is>
      </c>
    </row>
    <row r="751">
      <c r="A751" t="inlineStr">
        <is>
          <t>U-KR356-01-02</t>
        </is>
      </c>
      <c r="B751" t="inlineStr">
        <is>
          <t>Kebun Raya</t>
        </is>
      </c>
      <c r="C751" t="inlineStr">
        <is>
          <t>Blk 356 Kebun Raya Street 31 #01-02 Singapura 650356</t>
        </is>
      </c>
      <c r="D751" t="inlineStr">
        <is>
          <t>Shop</t>
        </is>
      </c>
      <c r="E751" t="n">
        <v>57.7</v>
      </c>
      <c r="F751" t="inlineStr">
        <is>
          <t>NC-KR-1</t>
        </is>
      </c>
      <c r="G751" t="inlineStr">
        <is>
          <t>Tenanted</t>
        </is>
      </c>
    </row>
    <row r="752">
      <c r="A752" t="inlineStr">
        <is>
          <t>U-KR356-01-03</t>
        </is>
      </c>
      <c r="B752" t="inlineStr">
        <is>
          <t>Kebun Raya</t>
        </is>
      </c>
      <c r="C752" t="inlineStr">
        <is>
          <t>Blk 356 Kebun Raya Street 31 #01-03 Singapura 650356</t>
        </is>
      </c>
      <c r="D752" t="inlineStr">
        <is>
          <t>Shop</t>
        </is>
      </c>
      <c r="E752" t="n">
        <v>60.9</v>
      </c>
      <c r="F752" t="inlineStr">
        <is>
          <t>NC-KR-1</t>
        </is>
      </c>
      <c r="G752" t="inlineStr">
        <is>
          <t>Tenanted</t>
        </is>
      </c>
    </row>
    <row r="753">
      <c r="A753" t="inlineStr">
        <is>
          <t>U-KR356-02-04</t>
        </is>
      </c>
      <c r="B753" t="inlineStr">
        <is>
          <t>Kebun Raya</t>
        </is>
      </c>
      <c r="C753" t="inlineStr">
        <is>
          <t>Blk 356 Kebun Raya Street 31 #02-04 Singapura 650356</t>
        </is>
      </c>
      <c r="D753" t="inlineStr">
        <is>
          <t>Office</t>
        </is>
      </c>
      <c r="E753" t="n">
        <v>91.8</v>
      </c>
      <c r="F753" t="inlineStr">
        <is>
          <t>NC-KR-1</t>
        </is>
      </c>
      <c r="G753" t="inlineStr">
        <is>
          <t>Tenanted</t>
        </is>
      </c>
    </row>
    <row r="754">
      <c r="A754" t="inlineStr">
        <is>
          <t>U-KR356-01-05</t>
        </is>
      </c>
      <c r="B754" t="inlineStr">
        <is>
          <t>Kebun Raya</t>
        </is>
      </c>
      <c r="C754" t="inlineStr">
        <is>
          <t>Blk 356 Kebun Raya Street 31 #01-05 Singapura 650356</t>
        </is>
      </c>
      <c r="D754" t="inlineStr">
        <is>
          <t>Shop</t>
        </is>
      </c>
      <c r="E754" t="n">
        <v>66.40000000000001</v>
      </c>
      <c r="F754" t="inlineStr">
        <is>
          <t>NC-KR-1</t>
        </is>
      </c>
      <c r="G754" t="inlineStr">
        <is>
          <t>Tenanted</t>
        </is>
      </c>
    </row>
    <row r="755">
      <c r="A755" t="inlineStr">
        <is>
          <t>U-KR356-01-06</t>
        </is>
      </c>
      <c r="B755" t="inlineStr">
        <is>
          <t>Kebun Raya</t>
        </is>
      </c>
      <c r="C755" t="inlineStr">
        <is>
          <t>Blk 356 Kebun Raya Street 31 #01-06 Singapura 650356</t>
        </is>
      </c>
      <c r="D755" t="inlineStr">
        <is>
          <t>Shop</t>
        </is>
      </c>
      <c r="E755" t="n">
        <v>106.7</v>
      </c>
      <c r="F755" t="inlineStr">
        <is>
          <t>NC-KR-1</t>
        </is>
      </c>
      <c r="G755" t="inlineStr">
        <is>
          <t>Tenanted</t>
        </is>
      </c>
    </row>
    <row r="756">
      <c r="A756" t="inlineStr">
        <is>
          <t>U-KR356-01-07</t>
        </is>
      </c>
      <c r="B756" t="inlineStr">
        <is>
          <t>Kebun Raya</t>
        </is>
      </c>
      <c r="C756" t="inlineStr">
        <is>
          <t>Blk 356 Kebun Raya Street 31 #01-07 Singapura 650356</t>
        </is>
      </c>
      <c r="D756" t="inlineStr">
        <is>
          <t>Shop</t>
        </is>
      </c>
      <c r="E756" t="n">
        <v>92.40000000000001</v>
      </c>
      <c r="F756" t="inlineStr">
        <is>
          <t>NC-KR-1</t>
        </is>
      </c>
      <c r="G756" t="inlineStr">
        <is>
          <t>Vacant</t>
        </is>
      </c>
    </row>
    <row r="757">
      <c r="A757" t="inlineStr">
        <is>
          <t>U-KR356-01-08</t>
        </is>
      </c>
      <c r="B757" t="inlineStr">
        <is>
          <t>Kebun Raya</t>
        </is>
      </c>
      <c r="C757" t="inlineStr">
        <is>
          <t>Blk 356 Kebun Raya Street 31 #01-08 Singapura 650356</t>
        </is>
      </c>
      <c r="D757" t="inlineStr">
        <is>
          <t>Kiosk</t>
        </is>
      </c>
      <c r="E757" t="n">
        <v>8.300000000000001</v>
      </c>
      <c r="F757" t="inlineStr">
        <is>
          <t>NC-KR-1</t>
        </is>
      </c>
      <c r="G757" t="inlineStr">
        <is>
          <t>Tenanted</t>
        </is>
      </c>
    </row>
    <row r="758">
      <c r="A758" t="inlineStr">
        <is>
          <t>U-KR356-01-09</t>
        </is>
      </c>
      <c r="B758" t="inlineStr">
        <is>
          <t>Kebun Raya</t>
        </is>
      </c>
      <c r="C758" t="inlineStr">
        <is>
          <t>Blk 356 Kebun Raya Street 31 #01-09 Singapura 650356</t>
        </is>
      </c>
      <c r="D758" t="inlineStr">
        <is>
          <t>Shop with Living Quarters</t>
        </is>
      </c>
      <c r="E758" t="n">
        <v>108.3</v>
      </c>
      <c r="F758" t="inlineStr">
        <is>
          <t>NC-KR-1</t>
        </is>
      </c>
      <c r="G758" t="inlineStr">
        <is>
          <t>Tenanted</t>
        </is>
      </c>
    </row>
    <row r="759">
      <c r="A759" t="inlineStr">
        <is>
          <t>U-KR356-01-10</t>
        </is>
      </c>
      <c r="B759" t="inlineStr">
        <is>
          <t>Kebun Raya</t>
        </is>
      </c>
      <c r="C759" t="inlineStr">
        <is>
          <t>Blk 356 Kebun Raya Street 31 #01-10 Singapura 650356</t>
        </is>
      </c>
      <c r="D759" t="inlineStr">
        <is>
          <t>Shop</t>
        </is>
      </c>
      <c r="E759" t="n">
        <v>79.2</v>
      </c>
      <c r="F759" t="inlineStr">
        <is>
          <t>NC-KR-1</t>
        </is>
      </c>
      <c r="G759" t="inlineStr">
        <is>
          <t>Tenanted</t>
        </is>
      </c>
    </row>
    <row r="760">
      <c r="A760" t="inlineStr">
        <is>
          <t>U-KR356-01-11</t>
        </is>
      </c>
      <c r="B760" t="inlineStr">
        <is>
          <t>Kebun Raya</t>
        </is>
      </c>
      <c r="C760" t="inlineStr">
        <is>
          <t>Blk 356 Kebun Raya Street 31 #01-11 Singapura 650356</t>
        </is>
      </c>
      <c r="D760" t="inlineStr">
        <is>
          <t>Shop</t>
        </is>
      </c>
      <c r="E760" t="n">
        <v>103.6</v>
      </c>
      <c r="F760" t="inlineStr">
        <is>
          <t>NC-KR-1</t>
        </is>
      </c>
      <c r="G760" t="inlineStr">
        <is>
          <t>Tenanted</t>
        </is>
      </c>
    </row>
    <row r="761">
      <c r="A761" t="inlineStr">
        <is>
          <t>U-KR358-01-01</t>
        </is>
      </c>
      <c r="B761" t="inlineStr">
        <is>
          <t>Kebun Raya</t>
        </is>
      </c>
      <c r="C761" t="inlineStr">
        <is>
          <t>Blk 358 Kebun Raya Avenue 3 #01-01 Singapura 650358</t>
        </is>
      </c>
      <c r="D761" t="inlineStr">
        <is>
          <t>Shop</t>
        </is>
      </c>
      <c r="E761" t="n">
        <v>83.7</v>
      </c>
      <c r="F761" t="inlineStr">
        <is>
          <t>NC-KR-1</t>
        </is>
      </c>
      <c r="G761" t="inlineStr">
        <is>
          <t>Tenanted</t>
        </is>
      </c>
    </row>
    <row r="762">
      <c r="A762" t="inlineStr">
        <is>
          <t>U-KR358-01-02</t>
        </is>
      </c>
      <c r="B762" t="inlineStr">
        <is>
          <t>Kebun Raya</t>
        </is>
      </c>
      <c r="C762" t="inlineStr">
        <is>
          <t>Blk 358 Kebun Raya Avenue 3 #01-02 Singapura 650358</t>
        </is>
      </c>
      <c r="D762" t="inlineStr">
        <is>
          <t>Shop</t>
        </is>
      </c>
      <c r="E762" t="n">
        <v>111.1</v>
      </c>
      <c r="F762" t="inlineStr">
        <is>
          <t>NC-KR-1</t>
        </is>
      </c>
      <c r="G762" t="inlineStr">
        <is>
          <t>Tenanted</t>
        </is>
      </c>
    </row>
    <row r="763">
      <c r="A763" t="inlineStr">
        <is>
          <t>U-KR358-01-03</t>
        </is>
      </c>
      <c r="B763" t="inlineStr">
        <is>
          <t>Kebun Raya</t>
        </is>
      </c>
      <c r="C763" t="inlineStr">
        <is>
          <t>Blk 358 Kebun Raya Avenue 3 #01-03 Singapura 650358</t>
        </is>
      </c>
      <c r="D763" t="inlineStr">
        <is>
          <t>Office</t>
        </is>
      </c>
      <c r="E763" t="n">
        <v>102.4</v>
      </c>
      <c r="F763" t="inlineStr">
        <is>
          <t>NC-KR-1</t>
        </is>
      </c>
      <c r="G763" t="inlineStr">
        <is>
          <t>Tenanted</t>
        </is>
      </c>
    </row>
    <row r="764">
      <c r="A764" t="inlineStr">
        <is>
          <t>U-KR358-01-04</t>
        </is>
      </c>
      <c r="B764" t="inlineStr">
        <is>
          <t>Kebun Raya</t>
        </is>
      </c>
      <c r="C764" t="inlineStr">
        <is>
          <t>Blk 358 Kebun Raya Avenue 3 #01-04 Singapura 650358</t>
        </is>
      </c>
      <c r="D764" t="inlineStr">
        <is>
          <t>Shop with Living Quarters</t>
        </is>
      </c>
      <c r="E764" t="n">
        <v>63.7</v>
      </c>
      <c r="F764" t="inlineStr">
        <is>
          <t>NC-KR-1</t>
        </is>
      </c>
      <c r="G764" t="inlineStr">
        <is>
          <t>Tenanted</t>
        </is>
      </c>
    </row>
    <row r="765">
      <c r="A765" t="inlineStr">
        <is>
          <t>U-KR358-01-05</t>
        </is>
      </c>
      <c r="B765" t="inlineStr">
        <is>
          <t>Kebun Raya</t>
        </is>
      </c>
      <c r="C765" t="inlineStr">
        <is>
          <t>Blk 358 Kebun Raya Avenue 3 #01-05 Singapura 650358</t>
        </is>
      </c>
      <c r="D765" t="inlineStr">
        <is>
          <t>Shop with Living Quarters</t>
        </is>
      </c>
      <c r="E765" t="n">
        <v>62.4</v>
      </c>
      <c r="F765" t="inlineStr">
        <is>
          <t>NC-KR-1</t>
        </is>
      </c>
      <c r="G765" t="inlineStr">
        <is>
          <t>Tenanted</t>
        </is>
      </c>
    </row>
    <row r="766">
      <c r="A766" t="inlineStr">
        <is>
          <t>U-KR358-01-06</t>
        </is>
      </c>
      <c r="B766" t="inlineStr">
        <is>
          <t>Kebun Raya</t>
        </is>
      </c>
      <c r="C766" t="inlineStr">
        <is>
          <t>Blk 358 Kebun Raya Avenue 3 #01-06 Singapura 650358</t>
        </is>
      </c>
      <c r="D766" t="inlineStr">
        <is>
          <t>Shop</t>
        </is>
      </c>
      <c r="E766" t="n">
        <v>51</v>
      </c>
      <c r="F766" t="inlineStr">
        <is>
          <t>NC-KR-1</t>
        </is>
      </c>
      <c r="G766" t="inlineStr">
        <is>
          <t>Tenanted</t>
        </is>
      </c>
    </row>
    <row r="767">
      <c r="A767" t="inlineStr">
        <is>
          <t>U-KR358-01-07</t>
        </is>
      </c>
      <c r="B767" t="inlineStr">
        <is>
          <t>Kebun Raya</t>
        </is>
      </c>
      <c r="C767" t="inlineStr">
        <is>
          <t>Blk 358 Kebun Raya Avenue 3 #01-07 Singapura 650358</t>
        </is>
      </c>
      <c r="D767" t="inlineStr">
        <is>
          <t>Shop</t>
        </is>
      </c>
      <c r="E767" t="n">
        <v>45.4</v>
      </c>
      <c r="F767" t="inlineStr">
        <is>
          <t>NC-KR-1</t>
        </is>
      </c>
      <c r="G767" t="inlineStr">
        <is>
          <t>Tenanted</t>
        </is>
      </c>
    </row>
    <row r="768">
      <c r="A768" t="inlineStr">
        <is>
          <t>U-KR358-01-08</t>
        </is>
      </c>
      <c r="B768" t="inlineStr">
        <is>
          <t>Kebun Raya</t>
        </is>
      </c>
      <c r="C768" t="inlineStr">
        <is>
          <t>Blk 358 Kebun Raya Avenue 3 #01-08 Singapura 650358</t>
        </is>
      </c>
      <c r="D768" t="inlineStr">
        <is>
          <t>Shop</t>
        </is>
      </c>
      <c r="E768" t="n">
        <v>57.5</v>
      </c>
      <c r="F768" t="inlineStr">
        <is>
          <t>NC-KR-1</t>
        </is>
      </c>
      <c r="G768" t="inlineStr">
        <is>
          <t>Tenanted</t>
        </is>
      </c>
    </row>
    <row r="769">
      <c r="A769" t="inlineStr">
        <is>
          <t>U-KR359-01-01</t>
        </is>
      </c>
      <c r="B769" t="inlineStr">
        <is>
          <t>Kebun Raya</t>
        </is>
      </c>
      <c r="C769" t="inlineStr">
        <is>
          <t>Blk 359 Kebun Raya Crescent #01-01 Singapura 650359</t>
        </is>
      </c>
      <c r="D769" t="inlineStr">
        <is>
          <t>Shop</t>
        </is>
      </c>
      <c r="E769" t="n">
        <v>89.40000000000001</v>
      </c>
      <c r="F769" t="inlineStr">
        <is>
          <t>NC-KR-1</t>
        </is>
      </c>
      <c r="G769" t="inlineStr">
        <is>
          <t>Tenanted</t>
        </is>
      </c>
    </row>
    <row r="770">
      <c r="A770" t="inlineStr">
        <is>
          <t>U-KR359-01-02</t>
        </is>
      </c>
      <c r="B770" t="inlineStr">
        <is>
          <t>Kebun Raya</t>
        </is>
      </c>
      <c r="C770" t="inlineStr">
        <is>
          <t>Blk 359 Kebun Raya Crescent #01-02 Singapura 650359</t>
        </is>
      </c>
      <c r="D770" t="inlineStr">
        <is>
          <t>Shop</t>
        </is>
      </c>
      <c r="E770" t="n">
        <v>89.3</v>
      </c>
      <c r="F770" t="inlineStr">
        <is>
          <t>NC-KR-1</t>
        </is>
      </c>
      <c r="G770" t="inlineStr">
        <is>
          <t>Tenanted</t>
        </is>
      </c>
    </row>
    <row r="771">
      <c r="A771" t="inlineStr">
        <is>
          <t>U-KR359-01-03</t>
        </is>
      </c>
      <c r="B771" t="inlineStr">
        <is>
          <t>Kebun Raya</t>
        </is>
      </c>
      <c r="C771" t="inlineStr">
        <is>
          <t>Blk 359 Kebun Raya Crescent #01-03 Singapura 650359</t>
        </is>
      </c>
      <c r="D771" t="inlineStr">
        <is>
          <t>Shop</t>
        </is>
      </c>
      <c r="E771" t="n">
        <v>79</v>
      </c>
      <c r="F771" t="inlineStr">
        <is>
          <t>NC-KR-1</t>
        </is>
      </c>
      <c r="G771" t="inlineStr">
        <is>
          <t>Tenanted</t>
        </is>
      </c>
    </row>
    <row r="772">
      <c r="A772" t="inlineStr">
        <is>
          <t>U-KR359-01-04</t>
        </is>
      </c>
      <c r="B772" t="inlineStr">
        <is>
          <t>Kebun Raya</t>
        </is>
      </c>
      <c r="C772" t="inlineStr">
        <is>
          <t>Blk 359 Kebun Raya Crescent #01-04 Singapura 650359</t>
        </is>
      </c>
      <c r="D772" t="inlineStr">
        <is>
          <t>Shop</t>
        </is>
      </c>
      <c r="E772" t="n">
        <v>84.09999999999999</v>
      </c>
      <c r="F772" t="inlineStr">
        <is>
          <t>NC-KR-1</t>
        </is>
      </c>
      <c r="G772" t="inlineStr">
        <is>
          <t>Tenanted</t>
        </is>
      </c>
    </row>
    <row r="773">
      <c r="A773" t="inlineStr">
        <is>
          <t>U-KR359-01-05</t>
        </is>
      </c>
      <c r="B773" t="inlineStr">
        <is>
          <t>Kebun Raya</t>
        </is>
      </c>
      <c r="C773" t="inlineStr">
        <is>
          <t>Blk 359 Kebun Raya Crescent #01-05 Singapura 650359</t>
        </is>
      </c>
      <c r="D773" t="inlineStr">
        <is>
          <t>Shop</t>
        </is>
      </c>
      <c r="E773" t="n">
        <v>82.40000000000001</v>
      </c>
      <c r="F773" t="inlineStr">
        <is>
          <t>NC-KR-1</t>
        </is>
      </c>
      <c r="G773" t="inlineStr">
        <is>
          <t>Tenanted</t>
        </is>
      </c>
    </row>
    <row r="774">
      <c r="A774" t="inlineStr">
        <is>
          <t>U-KR359-01-06</t>
        </is>
      </c>
      <c r="B774" t="inlineStr">
        <is>
          <t>Kebun Raya</t>
        </is>
      </c>
      <c r="C774" t="inlineStr">
        <is>
          <t>Blk 359 Kebun Raya Crescent #01-06 Singapura 650359</t>
        </is>
      </c>
      <c r="D774" t="inlineStr">
        <is>
          <t>Shop</t>
        </is>
      </c>
      <c r="E774" t="n">
        <v>118.2</v>
      </c>
      <c r="F774" t="inlineStr">
        <is>
          <t>NC-KR-1</t>
        </is>
      </c>
      <c r="G774" t="inlineStr">
        <is>
          <t>Tenanted</t>
        </is>
      </c>
    </row>
    <row r="775">
      <c r="A775" t="inlineStr">
        <is>
          <t>U-KR359-01-07</t>
        </is>
      </c>
      <c r="B775" t="inlineStr">
        <is>
          <t>Kebun Raya</t>
        </is>
      </c>
      <c r="C775" t="inlineStr">
        <is>
          <t>Blk 359 Kebun Raya Crescent #01-07 Singapura 650359</t>
        </is>
      </c>
      <c r="D775" t="inlineStr">
        <is>
          <t>Shop</t>
        </is>
      </c>
      <c r="E775" t="n">
        <v>105.1</v>
      </c>
      <c r="F775" t="inlineStr">
        <is>
          <t>NC-KR-1</t>
        </is>
      </c>
      <c r="G775" t="inlineStr">
        <is>
          <t>Tenanted</t>
        </is>
      </c>
    </row>
    <row r="776">
      <c r="A776" t="inlineStr">
        <is>
          <t>U-KR359-01-08</t>
        </is>
      </c>
      <c r="B776" t="inlineStr">
        <is>
          <t>Kebun Raya</t>
        </is>
      </c>
      <c r="C776" t="inlineStr">
        <is>
          <t>Blk 359 Kebun Raya Crescent #01-08 Singapura 650359</t>
        </is>
      </c>
      <c r="D776" t="inlineStr">
        <is>
          <t>Shop</t>
        </is>
      </c>
      <c r="E776" t="n">
        <v>104.5</v>
      </c>
      <c r="F776" t="inlineStr">
        <is>
          <t>NC-KR-1</t>
        </is>
      </c>
      <c r="G776" t="inlineStr">
        <is>
          <t>Tenanted</t>
        </is>
      </c>
    </row>
    <row r="777">
      <c r="A777" t="inlineStr">
        <is>
          <t>U-KR359-02-09</t>
        </is>
      </c>
      <c r="B777" t="inlineStr">
        <is>
          <t>Kebun Raya</t>
        </is>
      </c>
      <c r="C777" t="inlineStr">
        <is>
          <t>Blk 359 Kebun Raya Crescent #02-09 Singapura 650359</t>
        </is>
      </c>
      <c r="D777" t="inlineStr">
        <is>
          <t>Office</t>
        </is>
      </c>
      <c r="E777" t="n">
        <v>59.6</v>
      </c>
      <c r="F777" t="inlineStr">
        <is>
          <t>NC-KR-1</t>
        </is>
      </c>
      <c r="G777" t="inlineStr">
        <is>
          <t>Tenanted</t>
        </is>
      </c>
    </row>
    <row r="778">
      <c r="A778" t="inlineStr">
        <is>
          <t>U-KR359-01-10</t>
        </is>
      </c>
      <c r="B778" t="inlineStr">
        <is>
          <t>Kebun Raya</t>
        </is>
      </c>
      <c r="C778" t="inlineStr">
        <is>
          <t>Blk 359 Kebun Raya Crescent #01-10 Singapura 650359</t>
        </is>
      </c>
      <c r="D778" t="inlineStr">
        <is>
          <t>Shop</t>
        </is>
      </c>
      <c r="E778" t="n">
        <v>55.4</v>
      </c>
      <c r="F778" t="inlineStr">
        <is>
          <t>NC-KR-1</t>
        </is>
      </c>
      <c r="G778" t="inlineStr">
        <is>
          <t>Tenanted</t>
        </is>
      </c>
    </row>
    <row r="779">
      <c r="A779" t="inlineStr">
        <is>
          <t>U-KR359-01-11</t>
        </is>
      </c>
      <c r="B779" t="inlineStr">
        <is>
          <t>Kebun Raya</t>
        </is>
      </c>
      <c r="C779" t="inlineStr">
        <is>
          <t>Blk 359 Kebun Raya Crescent #01-11 Singapura 650359</t>
        </is>
      </c>
      <c r="D779" t="inlineStr">
        <is>
          <t>Shop</t>
        </is>
      </c>
      <c r="E779" t="n">
        <v>105.2</v>
      </c>
      <c r="F779" t="inlineStr">
        <is>
          <t>NC-KR-1</t>
        </is>
      </c>
      <c r="G779" t="inlineStr">
        <is>
          <t>Tenanted</t>
        </is>
      </c>
    </row>
    <row r="780">
      <c r="A780" t="inlineStr">
        <is>
          <t>U-KR359-01-12</t>
        </is>
      </c>
      <c r="B780" t="inlineStr">
        <is>
          <t>Kebun Raya</t>
        </is>
      </c>
      <c r="C780" t="inlineStr">
        <is>
          <t>Blk 359 Kebun Raya Crescent #01-12 Singapura 650359</t>
        </is>
      </c>
      <c r="D780" t="inlineStr">
        <is>
          <t>Shop</t>
        </is>
      </c>
      <c r="E780" t="n">
        <v>71.8</v>
      </c>
      <c r="F780" t="inlineStr">
        <is>
          <t>NC-KR-1</t>
        </is>
      </c>
      <c r="G780" t="inlineStr">
        <is>
          <t>Tenanted</t>
        </is>
      </c>
    </row>
    <row r="781">
      <c r="A781" t="inlineStr">
        <is>
          <t>U-KR359-01-13</t>
        </is>
      </c>
      <c r="B781" t="inlineStr">
        <is>
          <t>Kebun Raya</t>
        </is>
      </c>
      <c r="C781" t="inlineStr">
        <is>
          <t>Blk 359 Kebun Raya Crescent #01-13 Singapura 650359</t>
        </is>
      </c>
      <c r="D781" t="inlineStr">
        <is>
          <t>Shop</t>
        </is>
      </c>
      <c r="E781" t="n">
        <v>72.5</v>
      </c>
      <c r="F781" t="inlineStr">
        <is>
          <t>NC-KR-1</t>
        </is>
      </c>
      <c r="G781" t="inlineStr">
        <is>
          <t>Tenanted</t>
        </is>
      </c>
    </row>
    <row r="782">
      <c r="A782" t="inlineStr">
        <is>
          <t>U-KR362-02-01</t>
        </is>
      </c>
      <c r="B782" t="inlineStr">
        <is>
          <t>Kebun Raya</t>
        </is>
      </c>
      <c r="C782" t="inlineStr">
        <is>
          <t>Blk 362 Kebun Raya Street 31 #02-01 Singapura 650362</t>
        </is>
      </c>
      <c r="D782" t="inlineStr">
        <is>
          <t>Office</t>
        </is>
      </c>
      <c r="E782" t="n">
        <v>118.4</v>
      </c>
      <c r="F782" t="inlineStr">
        <is>
          <t>NC-KR-1</t>
        </is>
      </c>
      <c r="G782" t="inlineStr">
        <is>
          <t>Tenanted</t>
        </is>
      </c>
    </row>
    <row r="783">
      <c r="A783" t="inlineStr">
        <is>
          <t>U-KR362-01-02</t>
        </is>
      </c>
      <c r="B783" t="inlineStr">
        <is>
          <t>Kebun Raya</t>
        </is>
      </c>
      <c r="C783" t="inlineStr">
        <is>
          <t>Blk 362 Kebun Raya Street 31 #01-02 Singapura 650362</t>
        </is>
      </c>
      <c r="D783" t="inlineStr">
        <is>
          <t>Shop with Living Quarters</t>
        </is>
      </c>
      <c r="E783" t="n">
        <v>92.7</v>
      </c>
      <c r="F783" t="inlineStr">
        <is>
          <t>NC-KR-1</t>
        </is>
      </c>
      <c r="G783" t="inlineStr">
        <is>
          <t>Tenanted</t>
        </is>
      </c>
    </row>
    <row r="784">
      <c r="A784" t="inlineStr">
        <is>
          <t>U-KR362-01-03</t>
        </is>
      </c>
      <c r="B784" t="inlineStr">
        <is>
          <t>Kebun Raya</t>
        </is>
      </c>
      <c r="C784" t="inlineStr">
        <is>
          <t>Blk 362 Kebun Raya Street 31 #01-03 Singapura 650362</t>
        </is>
      </c>
      <c r="D784" t="inlineStr">
        <is>
          <t>Shop with Living Quarters</t>
        </is>
      </c>
      <c r="E784" t="n">
        <v>98</v>
      </c>
      <c r="F784" t="inlineStr">
        <is>
          <t>NC-KR-1</t>
        </is>
      </c>
      <c r="G784" t="inlineStr">
        <is>
          <t>Tenanted</t>
        </is>
      </c>
    </row>
    <row r="785">
      <c r="A785" t="inlineStr">
        <is>
          <t>U-KR362-01-04</t>
        </is>
      </c>
      <c r="B785" t="inlineStr">
        <is>
          <t>Kebun Raya</t>
        </is>
      </c>
      <c r="C785" t="inlineStr">
        <is>
          <t>Blk 362 Kebun Raya Street 31 #01-04 Singapura 650362</t>
        </is>
      </c>
      <c r="D785" t="inlineStr">
        <is>
          <t>Shop</t>
        </is>
      </c>
      <c r="E785" t="n">
        <v>70.3</v>
      </c>
      <c r="F785" t="inlineStr">
        <is>
          <t>NC-KR-1</t>
        </is>
      </c>
      <c r="G785" t="inlineStr">
        <is>
          <t>Tenanted</t>
        </is>
      </c>
    </row>
    <row r="786">
      <c r="A786" t="inlineStr">
        <is>
          <t>U-KR362-01-05</t>
        </is>
      </c>
      <c r="B786" t="inlineStr">
        <is>
          <t>Kebun Raya</t>
        </is>
      </c>
      <c r="C786" t="inlineStr">
        <is>
          <t>Blk 362 Kebun Raya Street 31 #01-05 Singapura 650362</t>
        </is>
      </c>
      <c r="D786" t="inlineStr">
        <is>
          <t>Shop</t>
        </is>
      </c>
      <c r="E786" t="n">
        <v>44.5</v>
      </c>
      <c r="F786" t="inlineStr">
        <is>
          <t>NC-KR-1</t>
        </is>
      </c>
      <c r="G786" t="inlineStr">
        <is>
          <t>Tenanted</t>
        </is>
      </c>
    </row>
    <row r="787">
      <c r="A787" t="inlineStr">
        <is>
          <t>U-KR362-01-06</t>
        </is>
      </c>
      <c r="B787" t="inlineStr">
        <is>
          <t>Kebun Raya</t>
        </is>
      </c>
      <c r="C787" t="inlineStr">
        <is>
          <t>Blk 362 Kebun Raya Street 31 #01-06 Singapura 650362</t>
        </is>
      </c>
      <c r="D787" t="inlineStr">
        <is>
          <t>Shop</t>
        </is>
      </c>
      <c r="E787" t="n">
        <v>53.7</v>
      </c>
      <c r="F787" t="inlineStr">
        <is>
          <t>NC-KR-1</t>
        </is>
      </c>
      <c r="G787" t="inlineStr">
        <is>
          <t>Tenanted</t>
        </is>
      </c>
    </row>
    <row r="788">
      <c r="A788" t="inlineStr">
        <is>
          <t>U-KR362-01-07</t>
        </is>
      </c>
      <c r="B788" t="inlineStr">
        <is>
          <t>Kebun Raya</t>
        </is>
      </c>
      <c r="C788" t="inlineStr">
        <is>
          <t>Blk 362 Kebun Raya Street 31 #01-07 Singapura 650362</t>
        </is>
      </c>
      <c r="D788" t="inlineStr">
        <is>
          <t>Shop</t>
        </is>
      </c>
      <c r="E788" t="n">
        <v>74.7</v>
      </c>
      <c r="F788" t="inlineStr">
        <is>
          <t>NC-KR-1</t>
        </is>
      </c>
      <c r="G788" t="inlineStr">
        <is>
          <t>Tenanted</t>
        </is>
      </c>
    </row>
    <row r="789">
      <c r="A789" t="inlineStr">
        <is>
          <t>U-KR362-01-08</t>
        </is>
      </c>
      <c r="B789" t="inlineStr">
        <is>
          <t>Kebun Raya</t>
        </is>
      </c>
      <c r="C789" t="inlineStr">
        <is>
          <t>Blk 362 Kebun Raya Street 31 #01-08 Singapura 650362</t>
        </is>
      </c>
      <c r="D789" t="inlineStr">
        <is>
          <t>Shop with Living Quarters</t>
        </is>
      </c>
      <c r="E789" t="n">
        <v>88.3</v>
      </c>
      <c r="F789" t="inlineStr">
        <is>
          <t>NC-KR-1</t>
        </is>
      </c>
      <c r="G789" t="inlineStr">
        <is>
          <t>Tenanted</t>
        </is>
      </c>
    </row>
    <row r="790">
      <c r="A790" t="inlineStr">
        <is>
          <t>U-KR362-01-09</t>
        </is>
      </c>
      <c r="B790" t="inlineStr">
        <is>
          <t>Kebun Raya</t>
        </is>
      </c>
      <c r="C790" t="inlineStr">
        <is>
          <t>Blk 362 Kebun Raya Street 31 #01-09 Singapura 650362</t>
        </is>
      </c>
      <c r="D790" t="inlineStr">
        <is>
          <t>Shop with Living Quarters</t>
        </is>
      </c>
      <c r="E790" t="n">
        <v>64.8</v>
      </c>
      <c r="F790" t="inlineStr">
        <is>
          <t>NC-KR-1</t>
        </is>
      </c>
      <c r="G790" t="inlineStr">
        <is>
          <t>Tenanted</t>
        </is>
      </c>
    </row>
    <row r="791">
      <c r="A791" t="inlineStr">
        <is>
          <t>U-KR368-02-01</t>
        </is>
      </c>
      <c r="B791" t="inlineStr">
        <is>
          <t>Kebun Raya</t>
        </is>
      </c>
      <c r="C791" t="inlineStr">
        <is>
          <t>Blk 368 Kebun Raya Street 31 #02-01 Singapura 650368</t>
        </is>
      </c>
      <c r="D791" t="inlineStr">
        <is>
          <t>Office</t>
        </is>
      </c>
      <c r="E791" t="n">
        <v>140.1</v>
      </c>
      <c r="F791" t="inlineStr">
        <is>
          <t>NC-KR-2</t>
        </is>
      </c>
      <c r="G791" t="inlineStr">
        <is>
          <t>Tenanted</t>
        </is>
      </c>
    </row>
    <row r="792">
      <c r="A792" t="inlineStr">
        <is>
          <t>U-KR368-01-02</t>
        </is>
      </c>
      <c r="B792" t="inlineStr">
        <is>
          <t>Kebun Raya</t>
        </is>
      </c>
      <c r="C792" t="inlineStr">
        <is>
          <t>Blk 368 Kebun Raya Street 31 #01-02 Singapura 650368</t>
        </is>
      </c>
      <c r="D792" t="inlineStr">
        <is>
          <t>Kiosk</t>
        </is>
      </c>
      <c r="E792" t="n">
        <v>11.1</v>
      </c>
      <c r="F792" t="inlineStr">
        <is>
          <t>NC-KR-2</t>
        </is>
      </c>
      <c r="G792" t="inlineStr">
        <is>
          <t>Tenanted</t>
        </is>
      </c>
    </row>
    <row r="793">
      <c r="A793" t="inlineStr">
        <is>
          <t>U-KR368-01-03</t>
        </is>
      </c>
      <c r="B793" t="inlineStr">
        <is>
          <t>Kebun Raya</t>
        </is>
      </c>
      <c r="C793" t="inlineStr">
        <is>
          <t>Blk 368 Kebun Raya Street 31 #01-03 Singapura 650368</t>
        </is>
      </c>
      <c r="D793" t="inlineStr">
        <is>
          <t>Shop</t>
        </is>
      </c>
      <c r="E793" t="n">
        <v>113.9</v>
      </c>
      <c r="F793" t="inlineStr">
        <is>
          <t>NC-KR-2</t>
        </is>
      </c>
      <c r="G793" t="inlineStr">
        <is>
          <t>Tenanted</t>
        </is>
      </c>
    </row>
    <row r="794">
      <c r="A794" t="inlineStr">
        <is>
          <t>U-KR368-01-04</t>
        </is>
      </c>
      <c r="B794" t="inlineStr">
        <is>
          <t>Kebun Raya</t>
        </is>
      </c>
      <c r="C794" t="inlineStr">
        <is>
          <t>Blk 368 Kebun Raya Street 31 #01-04 Singapura 650368</t>
        </is>
      </c>
      <c r="D794" t="inlineStr">
        <is>
          <t>Kiosk</t>
        </is>
      </c>
      <c r="E794" t="n">
        <v>8.5</v>
      </c>
      <c r="F794" t="inlineStr">
        <is>
          <t>NC-KR-2</t>
        </is>
      </c>
      <c r="G794" t="inlineStr">
        <is>
          <t>Tenanted</t>
        </is>
      </c>
    </row>
    <row r="795">
      <c r="A795" t="inlineStr">
        <is>
          <t>U-KR368-01-05</t>
        </is>
      </c>
      <c r="B795" t="inlineStr">
        <is>
          <t>Kebun Raya</t>
        </is>
      </c>
      <c r="C795" t="inlineStr">
        <is>
          <t>Blk 368 Kebun Raya Street 31 #01-05 Singapura 650368</t>
        </is>
      </c>
      <c r="D795" t="inlineStr">
        <is>
          <t>Shop</t>
        </is>
      </c>
      <c r="E795" t="n">
        <v>92.59999999999999</v>
      </c>
      <c r="F795" t="inlineStr">
        <is>
          <t>NC-KR-2</t>
        </is>
      </c>
      <c r="G795" t="inlineStr">
        <is>
          <t>Tenanted</t>
        </is>
      </c>
    </row>
    <row r="796">
      <c r="A796" t="inlineStr">
        <is>
          <t>U-KR368-01-06</t>
        </is>
      </c>
      <c r="B796" t="inlineStr">
        <is>
          <t>Kebun Raya</t>
        </is>
      </c>
      <c r="C796" t="inlineStr">
        <is>
          <t>Blk 368 Kebun Raya Street 31 #01-06 Singapura 650368</t>
        </is>
      </c>
      <c r="D796" t="inlineStr">
        <is>
          <t>Shop</t>
        </is>
      </c>
      <c r="E796" t="n">
        <v>108</v>
      </c>
      <c r="F796" t="inlineStr">
        <is>
          <t>NC-KR-2</t>
        </is>
      </c>
      <c r="G796" t="inlineStr">
        <is>
          <t>Tenanted</t>
        </is>
      </c>
    </row>
    <row r="797">
      <c r="A797" t="inlineStr">
        <is>
          <t>U-KR368-01-07</t>
        </is>
      </c>
      <c r="B797" t="inlineStr">
        <is>
          <t>Kebun Raya</t>
        </is>
      </c>
      <c r="C797" t="inlineStr">
        <is>
          <t>Blk 368 Kebun Raya Street 31 #01-07 Singapura 650368</t>
        </is>
      </c>
      <c r="D797" t="inlineStr">
        <is>
          <t>Shop</t>
        </is>
      </c>
      <c r="E797" t="n">
        <v>56.6</v>
      </c>
      <c r="F797" t="inlineStr">
        <is>
          <t>NC-KR-2</t>
        </is>
      </c>
      <c r="G797" t="inlineStr">
        <is>
          <t>Tenanted</t>
        </is>
      </c>
    </row>
    <row r="798">
      <c r="A798" t="inlineStr">
        <is>
          <t>U-KR368-01-08</t>
        </is>
      </c>
      <c r="B798" t="inlineStr">
        <is>
          <t>Kebun Raya</t>
        </is>
      </c>
      <c r="C798" t="inlineStr">
        <is>
          <t>Blk 368 Kebun Raya Street 31 #01-08 Singapura 650368</t>
        </is>
      </c>
      <c r="D798" t="inlineStr">
        <is>
          <t>Shop</t>
        </is>
      </c>
      <c r="E798" t="n">
        <v>105.7</v>
      </c>
      <c r="F798" t="inlineStr">
        <is>
          <t>NC-KR-2</t>
        </is>
      </c>
      <c r="G798" t="inlineStr">
        <is>
          <t>Tenanted</t>
        </is>
      </c>
    </row>
    <row r="799">
      <c r="A799" t="inlineStr">
        <is>
          <t>U-KR368-01-09</t>
        </is>
      </c>
      <c r="B799" t="inlineStr">
        <is>
          <t>Kebun Raya</t>
        </is>
      </c>
      <c r="C799" t="inlineStr">
        <is>
          <t>Blk 368 Kebun Raya Street 31 #01-09 Singapura 650368</t>
        </is>
      </c>
      <c r="D799" t="inlineStr">
        <is>
          <t>Shop with Living Quarters</t>
        </is>
      </c>
      <c r="E799" t="n">
        <v>106.4</v>
      </c>
      <c r="F799" t="inlineStr">
        <is>
          <t>NC-KR-2</t>
        </is>
      </c>
      <c r="G799" t="inlineStr">
        <is>
          <t>Tenanted</t>
        </is>
      </c>
    </row>
    <row r="800">
      <c r="A800" t="inlineStr">
        <is>
          <t>U-KR368-01-10</t>
        </is>
      </c>
      <c r="B800" t="inlineStr">
        <is>
          <t>Kebun Raya</t>
        </is>
      </c>
      <c r="C800" t="inlineStr">
        <is>
          <t>Blk 368 Kebun Raya Street 31 #01-10 Singapura 650368</t>
        </is>
      </c>
      <c r="D800" t="inlineStr">
        <is>
          <t>Shop</t>
        </is>
      </c>
      <c r="E800" t="n">
        <v>85.09999999999999</v>
      </c>
      <c r="F800" t="inlineStr">
        <is>
          <t>NC-KR-2</t>
        </is>
      </c>
      <c r="G800" t="inlineStr">
        <is>
          <t>Tenanted</t>
        </is>
      </c>
    </row>
    <row r="801">
      <c r="A801" t="inlineStr">
        <is>
          <t>U-KR368-01-11</t>
        </is>
      </c>
      <c r="B801" t="inlineStr">
        <is>
          <t>Kebun Raya</t>
        </is>
      </c>
      <c r="C801" t="inlineStr">
        <is>
          <t>Blk 368 Kebun Raya Street 31 #01-11 Singapura 650368</t>
        </is>
      </c>
      <c r="D801" t="inlineStr">
        <is>
          <t>Shop</t>
        </is>
      </c>
      <c r="E801" t="n">
        <v>108</v>
      </c>
      <c r="F801" t="inlineStr">
        <is>
          <t>NC-KR-2</t>
        </is>
      </c>
      <c r="G801" t="inlineStr">
        <is>
          <t>Tenanted</t>
        </is>
      </c>
    </row>
    <row r="802">
      <c r="A802" t="inlineStr">
        <is>
          <t>U-KR368-01-12</t>
        </is>
      </c>
      <c r="B802" t="inlineStr">
        <is>
          <t>Kebun Raya</t>
        </is>
      </c>
      <c r="C802" t="inlineStr">
        <is>
          <t>Blk 368 Kebun Raya Street 31 #01-12 Singapura 650368</t>
        </is>
      </c>
      <c r="D802" t="inlineStr">
        <is>
          <t>Shop</t>
        </is>
      </c>
      <c r="E802" t="n">
        <v>83.2</v>
      </c>
      <c r="F802" t="inlineStr">
        <is>
          <t>NC-KR-2</t>
        </is>
      </c>
      <c r="G802" t="inlineStr">
        <is>
          <t>Tenanted</t>
        </is>
      </c>
    </row>
    <row r="803">
      <c r="A803" t="inlineStr">
        <is>
          <t>U-KR368-01-13</t>
        </is>
      </c>
      <c r="B803" t="inlineStr">
        <is>
          <t>Kebun Raya</t>
        </is>
      </c>
      <c r="C803" t="inlineStr">
        <is>
          <t>Blk 368 Kebun Raya Street 31 #01-13 Singapura 650368</t>
        </is>
      </c>
      <c r="D803" t="inlineStr">
        <is>
          <t>Shop</t>
        </is>
      </c>
      <c r="E803" t="n">
        <v>99.2</v>
      </c>
      <c r="F803" t="inlineStr">
        <is>
          <t>NC-KR-2</t>
        </is>
      </c>
      <c r="G803" t="inlineStr">
        <is>
          <t>Tenanted</t>
        </is>
      </c>
    </row>
    <row r="804">
      <c r="A804" t="inlineStr">
        <is>
          <t>U-KR368-01-14</t>
        </is>
      </c>
      <c r="B804" t="inlineStr">
        <is>
          <t>Kebun Raya</t>
        </is>
      </c>
      <c r="C804" t="inlineStr">
        <is>
          <t>Blk 368 Kebun Raya Street 31 #01-14 Singapura 650368</t>
        </is>
      </c>
      <c r="D804" t="inlineStr">
        <is>
          <t>Shop with Living Quarters</t>
        </is>
      </c>
      <c r="E804" t="n">
        <v>94.5</v>
      </c>
      <c r="F804" t="inlineStr">
        <is>
          <t>NC-KR-2</t>
        </is>
      </c>
      <c r="G804" t="inlineStr">
        <is>
          <t>Tenanted</t>
        </is>
      </c>
    </row>
    <row r="805">
      <c r="A805" t="inlineStr">
        <is>
          <t>U-KR369-01-01</t>
        </is>
      </c>
      <c r="B805" t="inlineStr">
        <is>
          <t>Kebun Raya</t>
        </is>
      </c>
      <c r="C805" t="inlineStr">
        <is>
          <t>Blk 369 Kebun Raya Street 31 #01-01 Singapura 650369</t>
        </is>
      </c>
      <c r="D805" t="inlineStr">
        <is>
          <t>Shop</t>
        </is>
      </c>
      <c r="E805" t="n">
        <v>117.9</v>
      </c>
      <c r="F805" t="inlineStr">
        <is>
          <t>NC-KR-1</t>
        </is>
      </c>
      <c r="G805" t="inlineStr">
        <is>
          <t>Tenanted</t>
        </is>
      </c>
    </row>
    <row r="806">
      <c r="A806" t="inlineStr">
        <is>
          <t>U-KR369-01-02</t>
        </is>
      </c>
      <c r="B806" t="inlineStr">
        <is>
          <t>Kebun Raya</t>
        </is>
      </c>
      <c r="C806" t="inlineStr">
        <is>
          <t>Blk 369 Kebun Raya Street 31 #01-02 Singapura 650369</t>
        </is>
      </c>
      <c r="D806" t="inlineStr">
        <is>
          <t>Shop</t>
        </is>
      </c>
      <c r="E806" t="n">
        <v>75</v>
      </c>
      <c r="F806" t="inlineStr">
        <is>
          <t>NC-KR-1</t>
        </is>
      </c>
      <c r="G806" t="inlineStr">
        <is>
          <t>Tenanted</t>
        </is>
      </c>
    </row>
    <row r="807">
      <c r="A807" t="inlineStr">
        <is>
          <t>U-KR369-01-03</t>
        </is>
      </c>
      <c r="B807" t="inlineStr">
        <is>
          <t>Kebun Raya</t>
        </is>
      </c>
      <c r="C807" t="inlineStr">
        <is>
          <t>Blk 369 Kebun Raya Street 31 #01-03 Singapura 650369</t>
        </is>
      </c>
      <c r="D807" t="inlineStr">
        <is>
          <t>Shop with Living Quarters</t>
        </is>
      </c>
      <c r="E807" t="n">
        <v>77</v>
      </c>
      <c r="F807" t="inlineStr">
        <is>
          <t>NC-KR-1</t>
        </is>
      </c>
      <c r="G807" t="inlineStr">
        <is>
          <t>Tenanted</t>
        </is>
      </c>
    </row>
    <row r="808">
      <c r="A808" t="inlineStr">
        <is>
          <t>U-KR369-01-04</t>
        </is>
      </c>
      <c r="B808" t="inlineStr">
        <is>
          <t>Kebun Raya</t>
        </is>
      </c>
      <c r="C808" t="inlineStr">
        <is>
          <t>Blk 369 Kebun Raya Street 31 #01-04 Singapura 650369</t>
        </is>
      </c>
      <c r="D808" t="inlineStr">
        <is>
          <t>Kiosk</t>
        </is>
      </c>
      <c r="E808" t="n">
        <v>14.6</v>
      </c>
      <c r="F808" t="inlineStr">
        <is>
          <t>NC-KR-1</t>
        </is>
      </c>
      <c r="G808" t="inlineStr">
        <is>
          <t>Tenanted</t>
        </is>
      </c>
    </row>
    <row r="809">
      <c r="A809" t="inlineStr">
        <is>
          <t>U-KR369-01-05</t>
        </is>
      </c>
      <c r="B809" t="inlineStr">
        <is>
          <t>Kebun Raya</t>
        </is>
      </c>
      <c r="C809" t="inlineStr">
        <is>
          <t>Blk 369 Kebun Raya Street 31 #01-05 Singapura 650369</t>
        </is>
      </c>
      <c r="D809" t="inlineStr">
        <is>
          <t>Shop</t>
        </is>
      </c>
      <c r="E809" t="n">
        <v>101.9</v>
      </c>
      <c r="F809" t="inlineStr">
        <is>
          <t>NC-KR-1</t>
        </is>
      </c>
      <c r="G809" t="inlineStr">
        <is>
          <t>Tenanted</t>
        </is>
      </c>
    </row>
    <row r="810">
      <c r="A810" t="inlineStr">
        <is>
          <t>U-KR369-01-06</t>
        </is>
      </c>
      <c r="B810" t="inlineStr">
        <is>
          <t>Kebun Raya</t>
        </is>
      </c>
      <c r="C810" t="inlineStr">
        <is>
          <t>Blk 369 Kebun Raya Street 31 #01-06 Singapura 650369</t>
        </is>
      </c>
      <c r="D810" t="inlineStr">
        <is>
          <t>Shop</t>
        </is>
      </c>
      <c r="E810" t="n">
        <v>61.9</v>
      </c>
      <c r="F810" t="inlineStr">
        <is>
          <t>NC-KR-1</t>
        </is>
      </c>
      <c r="G810" t="inlineStr">
        <is>
          <t>Tenanted</t>
        </is>
      </c>
    </row>
    <row r="811">
      <c r="A811" t="inlineStr">
        <is>
          <t>U-KR369-02-07</t>
        </is>
      </c>
      <c r="B811" t="inlineStr">
        <is>
          <t>Kebun Raya</t>
        </is>
      </c>
      <c r="C811" t="inlineStr">
        <is>
          <t>Blk 369 Kebun Raya Street 31 #02-07 Singapura 650369</t>
        </is>
      </c>
      <c r="D811" t="inlineStr">
        <is>
          <t>Office</t>
        </is>
      </c>
      <c r="E811" t="n">
        <v>85.59999999999999</v>
      </c>
      <c r="F811" t="inlineStr">
        <is>
          <t>NC-KR-1</t>
        </is>
      </c>
      <c r="G811" t="inlineStr">
        <is>
          <t>Tenanted</t>
        </is>
      </c>
    </row>
    <row r="812">
      <c r="A812" t="inlineStr">
        <is>
          <t>U-KR371-01-01</t>
        </is>
      </c>
      <c r="B812" t="inlineStr">
        <is>
          <t>Kebun Raya</t>
        </is>
      </c>
      <c r="C812" t="inlineStr">
        <is>
          <t>Blk 371 Kebun Raya Crescent #01-01 Singapura 650371</t>
        </is>
      </c>
      <c r="D812" t="inlineStr">
        <is>
          <t>Shop</t>
        </is>
      </c>
      <c r="E812" t="n">
        <v>94.40000000000001</v>
      </c>
      <c r="F812" t="inlineStr">
        <is>
          <t>NC-KR-1</t>
        </is>
      </c>
      <c r="G812" t="inlineStr">
        <is>
          <t>Tenanted</t>
        </is>
      </c>
    </row>
    <row r="813">
      <c r="A813" t="inlineStr">
        <is>
          <t>U-KR371-01-02</t>
        </is>
      </c>
      <c r="B813" t="inlineStr">
        <is>
          <t>Kebun Raya</t>
        </is>
      </c>
      <c r="C813" t="inlineStr">
        <is>
          <t>Blk 371 Kebun Raya Crescent #01-02 Singapura 650371</t>
        </is>
      </c>
      <c r="D813" t="inlineStr">
        <is>
          <t>Shop</t>
        </is>
      </c>
      <c r="E813" t="n">
        <v>46.9</v>
      </c>
      <c r="F813" t="inlineStr">
        <is>
          <t>NC-KR-1</t>
        </is>
      </c>
      <c r="G813" t="inlineStr">
        <is>
          <t>Tenanted</t>
        </is>
      </c>
    </row>
    <row r="814">
      <c r="A814" t="inlineStr">
        <is>
          <t>U-KR371-01-03</t>
        </is>
      </c>
      <c r="B814" t="inlineStr">
        <is>
          <t>Kebun Raya</t>
        </is>
      </c>
      <c r="C814" t="inlineStr">
        <is>
          <t>Blk 371 Kebun Raya Crescent #01-03 Singapura 650371</t>
        </is>
      </c>
      <c r="D814" t="inlineStr">
        <is>
          <t>Shop</t>
        </is>
      </c>
      <c r="E814" t="n">
        <v>103.8</v>
      </c>
      <c r="F814" t="inlineStr">
        <is>
          <t>NC-KR-1</t>
        </is>
      </c>
      <c r="G814" t="inlineStr">
        <is>
          <t>Tenanted</t>
        </is>
      </c>
    </row>
    <row r="815">
      <c r="A815" t="inlineStr">
        <is>
          <t>U-KR371-01-04</t>
        </is>
      </c>
      <c r="B815" t="inlineStr">
        <is>
          <t>Kebun Raya</t>
        </is>
      </c>
      <c r="C815" t="inlineStr">
        <is>
          <t>Blk 371 Kebun Raya Crescent #01-04 Singapura 650371</t>
        </is>
      </c>
      <c r="D815" t="inlineStr">
        <is>
          <t>Kiosk</t>
        </is>
      </c>
      <c r="E815" t="n">
        <v>6.7</v>
      </c>
      <c r="F815" t="inlineStr">
        <is>
          <t>NC-KR-1</t>
        </is>
      </c>
      <c r="G815" t="inlineStr">
        <is>
          <t>Tenanted</t>
        </is>
      </c>
    </row>
    <row r="816">
      <c r="A816" t="inlineStr">
        <is>
          <t>U-KR371-01-05</t>
        </is>
      </c>
      <c r="B816" t="inlineStr">
        <is>
          <t>Kebun Raya</t>
        </is>
      </c>
      <c r="C816" t="inlineStr">
        <is>
          <t>Blk 371 Kebun Raya Crescent #01-05 Singapura 650371</t>
        </is>
      </c>
      <c r="D816" t="inlineStr">
        <is>
          <t>Shop</t>
        </is>
      </c>
      <c r="E816" t="n">
        <v>96.90000000000001</v>
      </c>
      <c r="F816" t="inlineStr">
        <is>
          <t>NC-KR-1</t>
        </is>
      </c>
      <c r="G816" t="inlineStr">
        <is>
          <t>Vacant</t>
        </is>
      </c>
    </row>
    <row r="817">
      <c r="A817" t="inlineStr">
        <is>
          <t>U-KR371-01-06</t>
        </is>
      </c>
      <c r="B817" t="inlineStr">
        <is>
          <t>Kebun Raya</t>
        </is>
      </c>
      <c r="C817" t="inlineStr">
        <is>
          <t>Blk 371 Kebun Raya Crescent #01-06 Singapura 650371</t>
        </is>
      </c>
      <c r="D817" t="inlineStr">
        <is>
          <t>Shop</t>
        </is>
      </c>
      <c r="E817" t="n">
        <v>99.2</v>
      </c>
      <c r="F817" t="inlineStr">
        <is>
          <t>NC-KR-1</t>
        </is>
      </c>
      <c r="G817" t="inlineStr">
        <is>
          <t>Tenanted</t>
        </is>
      </c>
    </row>
    <row r="818">
      <c r="A818" t="inlineStr">
        <is>
          <t>U-KR371-01-07</t>
        </is>
      </c>
      <c r="B818" t="inlineStr">
        <is>
          <t>Kebun Raya</t>
        </is>
      </c>
      <c r="C818" t="inlineStr">
        <is>
          <t>Blk 371 Kebun Raya Crescent #01-07 Singapura 650371</t>
        </is>
      </c>
      <c r="D818" t="inlineStr">
        <is>
          <t>Shop</t>
        </is>
      </c>
      <c r="E818" t="n">
        <v>48.5</v>
      </c>
      <c r="F818" t="inlineStr">
        <is>
          <t>NC-KR-1</t>
        </is>
      </c>
      <c r="G818" t="inlineStr">
        <is>
          <t>Tenanted</t>
        </is>
      </c>
    </row>
    <row r="819">
      <c r="A819" t="inlineStr">
        <is>
          <t>U-KR371-01-08</t>
        </is>
      </c>
      <c r="B819" t="inlineStr">
        <is>
          <t>Kebun Raya</t>
        </is>
      </c>
      <c r="C819" t="inlineStr">
        <is>
          <t>Blk 371 Kebun Raya Crescent #01-08 Singapura 650371</t>
        </is>
      </c>
      <c r="D819" t="inlineStr">
        <is>
          <t>Shop</t>
        </is>
      </c>
      <c r="E819" t="n">
        <v>64.7</v>
      </c>
      <c r="F819" t="inlineStr">
        <is>
          <t>NC-KR-1</t>
        </is>
      </c>
      <c r="G819" t="inlineStr">
        <is>
          <t>Tenanted</t>
        </is>
      </c>
    </row>
    <row r="820">
      <c r="A820" t="inlineStr">
        <is>
          <t>U-KR371-01-09</t>
        </is>
      </c>
      <c r="B820" t="inlineStr">
        <is>
          <t>Kebun Raya</t>
        </is>
      </c>
      <c r="C820" t="inlineStr">
        <is>
          <t>Blk 371 Kebun Raya Crescent #01-09 Singapura 650371</t>
        </is>
      </c>
      <c r="D820" t="inlineStr">
        <is>
          <t>Shop</t>
        </is>
      </c>
      <c r="E820" t="n">
        <v>61.6</v>
      </c>
      <c r="F820" t="inlineStr">
        <is>
          <t>NC-KR-1</t>
        </is>
      </c>
      <c r="G820" t="inlineStr">
        <is>
          <t>Tenanted</t>
        </is>
      </c>
    </row>
    <row r="821">
      <c r="A821" t="inlineStr">
        <is>
          <t>U-KR371-01-10</t>
        </is>
      </c>
      <c r="B821" t="inlineStr">
        <is>
          <t>Kebun Raya</t>
        </is>
      </c>
      <c r="C821" t="inlineStr">
        <is>
          <t>Blk 371 Kebun Raya Crescent #01-10 Singapura 650371</t>
        </is>
      </c>
      <c r="D821" t="inlineStr">
        <is>
          <t>Shop</t>
        </is>
      </c>
      <c r="E821" t="n">
        <v>55</v>
      </c>
      <c r="F821" t="inlineStr">
        <is>
          <t>NC-KR-1</t>
        </is>
      </c>
      <c r="G821" t="inlineStr">
        <is>
          <t>Tenanted</t>
        </is>
      </c>
    </row>
    <row r="822">
      <c r="A822" t="inlineStr">
        <is>
          <t>U-KR371-01-11</t>
        </is>
      </c>
      <c r="B822" t="inlineStr">
        <is>
          <t>Kebun Raya</t>
        </is>
      </c>
      <c r="C822" t="inlineStr">
        <is>
          <t>Blk 371 Kebun Raya Crescent #01-11 Singapura 650371</t>
        </is>
      </c>
      <c r="D822" t="inlineStr">
        <is>
          <t>Shop</t>
        </is>
      </c>
      <c r="E822" t="n">
        <v>84.40000000000001</v>
      </c>
      <c r="F822" t="inlineStr">
        <is>
          <t>NC-KR-1</t>
        </is>
      </c>
      <c r="G822" t="inlineStr">
        <is>
          <t>Tenanted</t>
        </is>
      </c>
    </row>
    <row r="823">
      <c r="A823" t="inlineStr">
        <is>
          <t>U-KR371-01-12</t>
        </is>
      </c>
      <c r="B823" t="inlineStr">
        <is>
          <t>Kebun Raya</t>
        </is>
      </c>
      <c r="C823" t="inlineStr">
        <is>
          <t>Blk 371 Kebun Raya Crescent #01-12 Singapura 650371</t>
        </is>
      </c>
      <c r="D823" t="inlineStr">
        <is>
          <t>Shop</t>
        </is>
      </c>
      <c r="E823" t="n">
        <v>42.1</v>
      </c>
      <c r="F823" t="inlineStr">
        <is>
          <t>NC-KR-1</t>
        </is>
      </c>
      <c r="G823" t="inlineStr">
        <is>
          <t>Tenanted</t>
        </is>
      </c>
    </row>
    <row r="824">
      <c r="A824" t="inlineStr">
        <is>
          <t>U-KR372-01-01</t>
        </is>
      </c>
      <c r="B824" t="inlineStr">
        <is>
          <t>Kebun Raya</t>
        </is>
      </c>
      <c r="C824" t="inlineStr">
        <is>
          <t>Blk 372 Kebun Raya Avenue 3 #01-01 Singapura 650372</t>
        </is>
      </c>
      <c r="D824" t="inlineStr">
        <is>
          <t>Shop</t>
        </is>
      </c>
      <c r="E824" t="n">
        <v>87.8</v>
      </c>
      <c r="F824" t="inlineStr">
        <is>
          <t>NC-KR-1</t>
        </is>
      </c>
      <c r="G824" t="inlineStr">
        <is>
          <t>Tenanted</t>
        </is>
      </c>
    </row>
    <row r="825">
      <c r="A825" t="inlineStr">
        <is>
          <t>U-KR372-01-02</t>
        </is>
      </c>
      <c r="B825" t="inlineStr">
        <is>
          <t>Kebun Raya</t>
        </is>
      </c>
      <c r="C825" t="inlineStr">
        <is>
          <t>Blk 372 Kebun Raya Avenue 3 #01-02 Singapura 650372</t>
        </is>
      </c>
      <c r="D825" t="inlineStr">
        <is>
          <t>Shop with Living Quarters</t>
        </is>
      </c>
      <c r="E825" t="n">
        <v>103.2</v>
      </c>
      <c r="F825" t="inlineStr">
        <is>
          <t>NC-KR-1</t>
        </is>
      </c>
      <c r="G825" t="inlineStr">
        <is>
          <t>Tenanted</t>
        </is>
      </c>
    </row>
    <row r="826">
      <c r="A826" t="inlineStr">
        <is>
          <t>U-KR372-01-03</t>
        </is>
      </c>
      <c r="B826" t="inlineStr">
        <is>
          <t>Kebun Raya</t>
        </is>
      </c>
      <c r="C826" t="inlineStr">
        <is>
          <t>Blk 372 Kebun Raya Avenue 3 #01-03 Singapura 650372</t>
        </is>
      </c>
      <c r="D826" t="inlineStr">
        <is>
          <t>Shop</t>
        </is>
      </c>
      <c r="E826" t="n">
        <v>73.09999999999999</v>
      </c>
      <c r="F826" t="inlineStr">
        <is>
          <t>NC-KR-1</t>
        </is>
      </c>
      <c r="G826" t="inlineStr">
        <is>
          <t>Tenanted</t>
        </is>
      </c>
    </row>
    <row r="827">
      <c r="A827" t="inlineStr">
        <is>
          <t>U-KR372-01-04</t>
        </is>
      </c>
      <c r="B827" t="inlineStr">
        <is>
          <t>Kebun Raya</t>
        </is>
      </c>
      <c r="C827" t="inlineStr">
        <is>
          <t>Blk 372 Kebun Raya Avenue 3 #01-04 Singapura 650372</t>
        </is>
      </c>
      <c r="D827" t="inlineStr">
        <is>
          <t>Shop with Living Quarters</t>
        </is>
      </c>
      <c r="E827" t="n">
        <v>96.2</v>
      </c>
      <c r="F827" t="inlineStr">
        <is>
          <t>NC-KR-1</t>
        </is>
      </c>
      <c r="G827" t="inlineStr">
        <is>
          <t>Tenanted</t>
        </is>
      </c>
    </row>
    <row r="828">
      <c r="A828" t="inlineStr">
        <is>
          <t>U-KR372-01-05</t>
        </is>
      </c>
      <c r="B828" t="inlineStr">
        <is>
          <t>Kebun Raya</t>
        </is>
      </c>
      <c r="C828" t="inlineStr">
        <is>
          <t>Blk 372 Kebun Raya Avenue 3 #01-05 Singapura 650372</t>
        </is>
      </c>
      <c r="D828" t="inlineStr">
        <is>
          <t>Shop</t>
        </is>
      </c>
      <c r="E828" t="n">
        <v>119.4</v>
      </c>
      <c r="F828" t="inlineStr">
        <is>
          <t>NC-KR-1</t>
        </is>
      </c>
      <c r="G828" t="inlineStr">
        <is>
          <t>Tenanted</t>
        </is>
      </c>
    </row>
    <row r="829">
      <c r="A829" t="inlineStr">
        <is>
          <t>U-KR372-01-06</t>
        </is>
      </c>
      <c r="B829" t="inlineStr">
        <is>
          <t>Kebun Raya</t>
        </is>
      </c>
      <c r="C829" t="inlineStr">
        <is>
          <t>Blk 372 Kebun Raya Avenue 3 #01-06 Singapura 650372</t>
        </is>
      </c>
      <c r="D829" t="inlineStr">
        <is>
          <t>Shop</t>
        </is>
      </c>
      <c r="E829" t="n">
        <v>81.7</v>
      </c>
      <c r="F829" t="inlineStr">
        <is>
          <t>NC-KR-1</t>
        </is>
      </c>
      <c r="G829" t="inlineStr">
        <is>
          <t>Tenanted</t>
        </is>
      </c>
    </row>
    <row r="830">
      <c r="A830" t="inlineStr">
        <is>
          <t>U-KR372-01-07</t>
        </is>
      </c>
      <c r="B830" t="inlineStr">
        <is>
          <t>Kebun Raya</t>
        </is>
      </c>
      <c r="C830" t="inlineStr">
        <is>
          <t>Blk 372 Kebun Raya Avenue 3 #01-07 Singapura 650372</t>
        </is>
      </c>
      <c r="D830" t="inlineStr">
        <is>
          <t>Kiosk</t>
        </is>
      </c>
      <c r="E830" t="n">
        <v>7.5</v>
      </c>
      <c r="F830" t="inlineStr">
        <is>
          <t>NC-KR-1</t>
        </is>
      </c>
      <c r="G830" t="inlineStr">
        <is>
          <t>Tenanted</t>
        </is>
      </c>
    </row>
    <row r="831">
      <c r="A831" t="inlineStr">
        <is>
          <t>U-KR372-01-08</t>
        </is>
      </c>
      <c r="B831" t="inlineStr">
        <is>
          <t>Kebun Raya</t>
        </is>
      </c>
      <c r="C831" t="inlineStr">
        <is>
          <t>Blk 372 Kebun Raya Avenue 3 #01-08 Singapura 650372</t>
        </is>
      </c>
      <c r="D831" t="inlineStr">
        <is>
          <t>Shop</t>
        </is>
      </c>
      <c r="E831" t="n">
        <v>61.5</v>
      </c>
      <c r="F831" t="inlineStr">
        <is>
          <t>NC-KR-1</t>
        </is>
      </c>
      <c r="G831" t="inlineStr">
        <is>
          <t>Tenanted</t>
        </is>
      </c>
    </row>
    <row r="832">
      <c r="A832" t="inlineStr">
        <is>
          <t>U-KR372-01-09</t>
        </is>
      </c>
      <c r="B832" t="inlineStr">
        <is>
          <t>Kebun Raya</t>
        </is>
      </c>
      <c r="C832" t="inlineStr">
        <is>
          <t>Blk 372 Kebun Raya Avenue 3 #01-09 Singapura 650372</t>
        </is>
      </c>
      <c r="D832" t="inlineStr">
        <is>
          <t>Shop</t>
        </is>
      </c>
      <c r="E832" t="n">
        <v>53.4</v>
      </c>
      <c r="F832" t="inlineStr">
        <is>
          <t>NC-KR-1</t>
        </is>
      </c>
      <c r="G832" t="inlineStr">
        <is>
          <t>Tenanted</t>
        </is>
      </c>
    </row>
    <row r="833">
      <c r="A833" t="inlineStr">
        <is>
          <t>U-KR372-01-10</t>
        </is>
      </c>
      <c r="B833" t="inlineStr">
        <is>
          <t>Kebun Raya</t>
        </is>
      </c>
      <c r="C833" t="inlineStr">
        <is>
          <t>Blk 372 Kebun Raya Avenue 3 #01-10 Singapura 650372</t>
        </is>
      </c>
      <c r="D833" t="inlineStr">
        <is>
          <t>Shop</t>
        </is>
      </c>
      <c r="E833" t="n">
        <v>64</v>
      </c>
      <c r="F833" t="inlineStr">
        <is>
          <t>NC-KR-1</t>
        </is>
      </c>
      <c r="G833" t="inlineStr">
        <is>
          <t>Tenanted</t>
        </is>
      </c>
    </row>
    <row r="834">
      <c r="A834" t="inlineStr">
        <is>
          <t>U-KR372-01-11</t>
        </is>
      </c>
      <c r="B834" t="inlineStr">
        <is>
          <t>Kebun Raya</t>
        </is>
      </c>
      <c r="C834" t="inlineStr">
        <is>
          <t>Blk 372 Kebun Raya Avenue 3 #01-11 Singapura 650372</t>
        </is>
      </c>
      <c r="D834" t="inlineStr">
        <is>
          <t>Shop with Living Quarters</t>
        </is>
      </c>
      <c r="E834" t="n">
        <v>78.09999999999999</v>
      </c>
      <c r="F834" t="inlineStr">
        <is>
          <t>NC-KR-1</t>
        </is>
      </c>
      <c r="G834" t="inlineStr">
        <is>
          <t>Tenanted</t>
        </is>
      </c>
    </row>
    <row r="835">
      <c r="A835" t="inlineStr">
        <is>
          <t>U-KR379-01-01</t>
        </is>
      </c>
      <c r="B835" t="inlineStr">
        <is>
          <t>Kebun Raya</t>
        </is>
      </c>
      <c r="C835" t="inlineStr">
        <is>
          <t>Blk 379 Kebun Raya Street 31 #01-01 Singapura 650379</t>
        </is>
      </c>
      <c r="D835" t="inlineStr">
        <is>
          <t>Kiosk</t>
        </is>
      </c>
      <c r="E835" t="n">
        <v>10.5</v>
      </c>
      <c r="F835" t="inlineStr">
        <is>
          <t>NC-KR-1</t>
        </is>
      </c>
      <c r="G835" t="inlineStr">
        <is>
          <t>Tenanted</t>
        </is>
      </c>
    </row>
    <row r="836">
      <c r="A836" t="inlineStr">
        <is>
          <t>U-KR379-01-02</t>
        </is>
      </c>
      <c r="B836" t="inlineStr">
        <is>
          <t>Kebun Raya</t>
        </is>
      </c>
      <c r="C836" t="inlineStr">
        <is>
          <t>Blk 379 Kebun Raya Street 31 #01-02 Singapura 650379</t>
        </is>
      </c>
      <c r="D836" t="inlineStr">
        <is>
          <t>Shop</t>
        </is>
      </c>
      <c r="E836" t="n">
        <v>76.59999999999999</v>
      </c>
      <c r="F836" t="inlineStr">
        <is>
          <t>NC-KR-1</t>
        </is>
      </c>
      <c r="G836" t="inlineStr">
        <is>
          <t>Tenanted</t>
        </is>
      </c>
    </row>
    <row r="837">
      <c r="A837" t="inlineStr">
        <is>
          <t>U-KR379-01-03</t>
        </is>
      </c>
      <c r="B837" t="inlineStr">
        <is>
          <t>Kebun Raya</t>
        </is>
      </c>
      <c r="C837" t="inlineStr">
        <is>
          <t>Blk 379 Kebun Raya Street 31 #01-03 Singapura 650379</t>
        </is>
      </c>
      <c r="D837" t="inlineStr">
        <is>
          <t>Shop</t>
        </is>
      </c>
      <c r="E837" t="n">
        <v>40.5</v>
      </c>
      <c r="F837" t="inlineStr">
        <is>
          <t>NC-KR-1</t>
        </is>
      </c>
      <c r="G837" t="inlineStr">
        <is>
          <t>Tenanted</t>
        </is>
      </c>
    </row>
    <row r="838">
      <c r="A838" t="inlineStr">
        <is>
          <t>U-KR379-01-04</t>
        </is>
      </c>
      <c r="B838" t="inlineStr">
        <is>
          <t>Kebun Raya</t>
        </is>
      </c>
      <c r="C838" t="inlineStr">
        <is>
          <t>Blk 379 Kebun Raya Street 31 #01-04 Singapura 650379</t>
        </is>
      </c>
      <c r="D838" t="inlineStr">
        <is>
          <t>Shop</t>
        </is>
      </c>
      <c r="E838" t="n">
        <v>107.3</v>
      </c>
      <c r="F838" t="inlineStr">
        <is>
          <t>NC-KR-1</t>
        </is>
      </c>
      <c r="G838" t="inlineStr">
        <is>
          <t>Tenanted</t>
        </is>
      </c>
    </row>
    <row r="839">
      <c r="A839" t="inlineStr">
        <is>
          <t>U-KR379-01-05</t>
        </is>
      </c>
      <c r="B839" t="inlineStr">
        <is>
          <t>Kebun Raya</t>
        </is>
      </c>
      <c r="C839" t="inlineStr">
        <is>
          <t>Blk 379 Kebun Raya Street 31 #01-05 Singapura 650379</t>
        </is>
      </c>
      <c r="D839" t="inlineStr">
        <is>
          <t>Shop</t>
        </is>
      </c>
      <c r="E839" t="n">
        <v>109</v>
      </c>
      <c r="F839" t="inlineStr">
        <is>
          <t>NC-KR-1</t>
        </is>
      </c>
      <c r="G839" t="inlineStr">
        <is>
          <t>Tenanted</t>
        </is>
      </c>
    </row>
    <row r="840">
      <c r="A840" t="inlineStr">
        <is>
          <t>U-KR379-01-06</t>
        </is>
      </c>
      <c r="B840" t="inlineStr">
        <is>
          <t>Kebun Raya</t>
        </is>
      </c>
      <c r="C840" t="inlineStr">
        <is>
          <t>Blk 379 Kebun Raya Street 31 #01-06 Singapura 650379</t>
        </is>
      </c>
      <c r="D840" t="inlineStr">
        <is>
          <t>Shop</t>
        </is>
      </c>
      <c r="E840" t="n">
        <v>74.40000000000001</v>
      </c>
      <c r="F840" t="inlineStr">
        <is>
          <t>NC-KR-1</t>
        </is>
      </c>
      <c r="G840" t="inlineStr">
        <is>
          <t>Tenanted</t>
        </is>
      </c>
    </row>
    <row r="841">
      <c r="A841" t="inlineStr">
        <is>
          <t>U-KR379-01-07</t>
        </is>
      </c>
      <c r="B841" t="inlineStr">
        <is>
          <t>Kebun Raya</t>
        </is>
      </c>
      <c r="C841" t="inlineStr">
        <is>
          <t>Blk 379 Kebun Raya Street 31 #01-07 Singapura 650379</t>
        </is>
      </c>
      <c r="D841" t="inlineStr">
        <is>
          <t>Shop with Living Quarters</t>
        </is>
      </c>
      <c r="E841" t="n">
        <v>92.59999999999999</v>
      </c>
      <c r="F841" t="inlineStr">
        <is>
          <t>NC-KR-1</t>
        </is>
      </c>
      <c r="G841" t="inlineStr">
        <is>
          <t>Tenanted</t>
        </is>
      </c>
    </row>
    <row r="842">
      <c r="A842" t="inlineStr">
        <is>
          <t>U-KR379-01-08</t>
        </is>
      </c>
      <c r="B842" t="inlineStr">
        <is>
          <t>Kebun Raya</t>
        </is>
      </c>
      <c r="C842" t="inlineStr">
        <is>
          <t>Blk 379 Kebun Raya Street 31 #01-08 Singapura 650379</t>
        </is>
      </c>
      <c r="D842" t="inlineStr">
        <is>
          <t>Shop</t>
        </is>
      </c>
      <c r="E842" t="n">
        <v>64</v>
      </c>
      <c r="F842" t="inlineStr">
        <is>
          <t>NC-KR-1</t>
        </is>
      </c>
      <c r="G842" t="inlineStr">
        <is>
          <t>Tenanted</t>
        </is>
      </c>
    </row>
    <row r="843">
      <c r="A843" t="inlineStr">
        <is>
          <t>U-KR379-01-09</t>
        </is>
      </c>
      <c r="B843" t="inlineStr">
        <is>
          <t>Kebun Raya</t>
        </is>
      </c>
      <c r="C843" t="inlineStr">
        <is>
          <t>Blk 379 Kebun Raya Street 31 #01-09 Singapura 650379</t>
        </is>
      </c>
      <c r="D843" t="inlineStr">
        <is>
          <t>Shop</t>
        </is>
      </c>
      <c r="E843" t="n">
        <v>95.59999999999999</v>
      </c>
      <c r="F843" t="inlineStr">
        <is>
          <t>NC-KR-1</t>
        </is>
      </c>
      <c r="G843" t="inlineStr">
        <is>
          <t>Tenanted</t>
        </is>
      </c>
    </row>
    <row r="844">
      <c r="A844" t="inlineStr">
        <is>
          <t>U-KR385-01-01</t>
        </is>
      </c>
      <c r="B844" t="inlineStr">
        <is>
          <t>Kebun Raya</t>
        </is>
      </c>
      <c r="C844" t="inlineStr">
        <is>
          <t>Blk 385 Kebun Raya Avenue 3 #01-01 Singapura 650385</t>
        </is>
      </c>
      <c r="D844" t="inlineStr">
        <is>
          <t>Shop</t>
        </is>
      </c>
      <c r="E844" t="n">
        <v>117.2</v>
      </c>
      <c r="F844" t="inlineStr">
        <is>
          <t>NC-KR-2</t>
        </is>
      </c>
      <c r="G844" t="inlineStr">
        <is>
          <t>Tenanted</t>
        </is>
      </c>
    </row>
    <row r="845">
      <c r="A845" t="inlineStr">
        <is>
          <t>U-KR385-02-02</t>
        </is>
      </c>
      <c r="B845" t="inlineStr">
        <is>
          <t>Kebun Raya</t>
        </is>
      </c>
      <c r="C845" t="inlineStr">
        <is>
          <t>Blk 385 Kebun Raya Avenue 3 #02-02 Singapura 650385</t>
        </is>
      </c>
      <c r="D845" t="inlineStr">
        <is>
          <t>Office</t>
        </is>
      </c>
      <c r="E845" t="n">
        <v>119.5</v>
      </c>
      <c r="F845" t="inlineStr">
        <is>
          <t>NC-KR-2</t>
        </is>
      </c>
      <c r="G845" t="inlineStr">
        <is>
          <t>Tenanted</t>
        </is>
      </c>
    </row>
    <row r="846">
      <c r="A846" t="inlineStr">
        <is>
          <t>U-KR385-01-03</t>
        </is>
      </c>
      <c r="B846" t="inlineStr">
        <is>
          <t>Kebun Raya</t>
        </is>
      </c>
      <c r="C846" t="inlineStr">
        <is>
          <t>Blk 385 Kebun Raya Avenue 3 #01-03 Singapura 650385</t>
        </is>
      </c>
      <c r="D846" t="inlineStr">
        <is>
          <t>Shop</t>
        </is>
      </c>
      <c r="E846" t="n">
        <v>86.09999999999999</v>
      </c>
      <c r="F846" t="inlineStr">
        <is>
          <t>NC-KR-2</t>
        </is>
      </c>
      <c r="G846" t="inlineStr">
        <is>
          <t>Tenanted</t>
        </is>
      </c>
    </row>
    <row r="847">
      <c r="A847" t="inlineStr">
        <is>
          <t>U-KR385-01-04</t>
        </is>
      </c>
      <c r="B847" t="inlineStr">
        <is>
          <t>Kebun Raya</t>
        </is>
      </c>
      <c r="C847" t="inlineStr">
        <is>
          <t>Blk 385 Kebun Raya Avenue 3 #01-04 Singapura 650385</t>
        </is>
      </c>
      <c r="D847" t="inlineStr">
        <is>
          <t>Shop</t>
        </is>
      </c>
      <c r="E847" t="n">
        <v>70.09999999999999</v>
      </c>
      <c r="F847" t="inlineStr">
        <is>
          <t>NC-KR-2</t>
        </is>
      </c>
      <c r="G847" t="inlineStr">
        <is>
          <t>Tenanted</t>
        </is>
      </c>
    </row>
    <row r="848">
      <c r="A848" t="inlineStr">
        <is>
          <t>U-KR385-01-05</t>
        </is>
      </c>
      <c r="B848" t="inlineStr">
        <is>
          <t>Kebun Raya</t>
        </is>
      </c>
      <c r="C848" t="inlineStr">
        <is>
          <t>Blk 385 Kebun Raya Avenue 3 #01-05 Singapura 650385</t>
        </is>
      </c>
      <c r="D848" t="inlineStr">
        <is>
          <t>Shop with Living Quarters</t>
        </is>
      </c>
      <c r="E848" t="n">
        <v>79.59999999999999</v>
      </c>
      <c r="F848" t="inlineStr">
        <is>
          <t>NC-KR-2</t>
        </is>
      </c>
      <c r="G848" t="inlineStr">
        <is>
          <t>Tenanted</t>
        </is>
      </c>
    </row>
    <row r="849">
      <c r="A849" t="inlineStr">
        <is>
          <t>U-KR385-01-06</t>
        </is>
      </c>
      <c r="B849" t="inlineStr">
        <is>
          <t>Kebun Raya</t>
        </is>
      </c>
      <c r="C849" t="inlineStr">
        <is>
          <t>Blk 385 Kebun Raya Avenue 3 #01-06 Singapura 650385</t>
        </is>
      </c>
      <c r="D849" t="inlineStr">
        <is>
          <t>Shop</t>
        </is>
      </c>
      <c r="E849" t="n">
        <v>85.09999999999999</v>
      </c>
      <c r="F849" t="inlineStr">
        <is>
          <t>NC-KR-2</t>
        </is>
      </c>
      <c r="G849" t="inlineStr">
        <is>
          <t>Tenanted</t>
        </is>
      </c>
    </row>
    <row r="850">
      <c r="A850" t="inlineStr">
        <is>
          <t>U-KR385-01-07</t>
        </is>
      </c>
      <c r="B850" t="inlineStr">
        <is>
          <t>Kebun Raya</t>
        </is>
      </c>
      <c r="C850" t="inlineStr">
        <is>
          <t>Blk 385 Kebun Raya Avenue 3 #01-07 Singapura 650385</t>
        </is>
      </c>
      <c r="D850" t="inlineStr">
        <is>
          <t>Shop</t>
        </is>
      </c>
      <c r="E850" t="n">
        <v>83.7</v>
      </c>
      <c r="F850" t="inlineStr">
        <is>
          <t>NC-KR-2</t>
        </is>
      </c>
      <c r="G850" t="inlineStr">
        <is>
          <t>Tenanted</t>
        </is>
      </c>
    </row>
    <row r="851">
      <c r="A851" t="inlineStr">
        <is>
          <t>U-KR385-01-08</t>
        </is>
      </c>
      <c r="B851" t="inlineStr">
        <is>
          <t>Kebun Raya</t>
        </is>
      </c>
      <c r="C851" t="inlineStr">
        <is>
          <t>Blk 385 Kebun Raya Avenue 3 #01-08 Singapura 650385</t>
        </is>
      </c>
      <c r="D851" t="inlineStr">
        <is>
          <t>Shop</t>
        </is>
      </c>
      <c r="E851" t="n">
        <v>84</v>
      </c>
      <c r="F851" t="inlineStr">
        <is>
          <t>NC-KR-2</t>
        </is>
      </c>
      <c r="G851" t="inlineStr">
        <is>
          <t>Tenanted</t>
        </is>
      </c>
    </row>
    <row r="852">
      <c r="A852" t="inlineStr">
        <is>
          <t>U-KR385-02-09</t>
        </is>
      </c>
      <c r="B852" t="inlineStr">
        <is>
          <t>Kebun Raya</t>
        </is>
      </c>
      <c r="C852" t="inlineStr">
        <is>
          <t>Blk 385 Kebun Raya Avenue 3 #02-09 Singapura 650385</t>
        </is>
      </c>
      <c r="D852" t="inlineStr">
        <is>
          <t>Office</t>
        </is>
      </c>
      <c r="E852" t="n">
        <v>120.8</v>
      </c>
      <c r="F852" t="inlineStr">
        <is>
          <t>NC-KR-2</t>
        </is>
      </c>
      <c r="G852" t="inlineStr">
        <is>
          <t>Tenanted</t>
        </is>
      </c>
    </row>
    <row r="853">
      <c r="A853" t="inlineStr">
        <is>
          <t>U-KR385-01-10</t>
        </is>
      </c>
      <c r="B853" t="inlineStr">
        <is>
          <t>Kebun Raya</t>
        </is>
      </c>
      <c r="C853" t="inlineStr">
        <is>
          <t>Blk 385 Kebun Raya Avenue 3 #01-10 Singapura 650385</t>
        </is>
      </c>
      <c r="D853" t="inlineStr">
        <is>
          <t>Shop</t>
        </is>
      </c>
      <c r="E853" t="n">
        <v>63.3</v>
      </c>
      <c r="F853" t="inlineStr">
        <is>
          <t>NC-KR-2</t>
        </is>
      </c>
      <c r="G853" t="inlineStr">
        <is>
          <t>Tenanted</t>
        </is>
      </c>
    </row>
    <row r="854">
      <c r="A854" t="inlineStr">
        <is>
          <t>U-KR385-01-11</t>
        </is>
      </c>
      <c r="B854" t="inlineStr">
        <is>
          <t>Kebun Raya</t>
        </is>
      </c>
      <c r="C854" t="inlineStr">
        <is>
          <t>Blk 385 Kebun Raya Avenue 3 #01-11 Singapura 650385</t>
        </is>
      </c>
      <c r="D854" t="inlineStr">
        <is>
          <t>Kiosk</t>
        </is>
      </c>
      <c r="E854" t="n">
        <v>13.4</v>
      </c>
      <c r="F854" t="inlineStr">
        <is>
          <t>NC-KR-2</t>
        </is>
      </c>
      <c r="G854" t="inlineStr">
        <is>
          <t>Tenanted</t>
        </is>
      </c>
    </row>
    <row r="855">
      <c r="A855" t="inlineStr">
        <is>
          <t>U-KR385-01-12</t>
        </is>
      </c>
      <c r="B855" t="inlineStr">
        <is>
          <t>Kebun Raya</t>
        </is>
      </c>
      <c r="C855" t="inlineStr">
        <is>
          <t>Blk 385 Kebun Raya Avenue 3 #01-12 Singapura 650385</t>
        </is>
      </c>
      <c r="D855" t="inlineStr">
        <is>
          <t>Shop with Living Quarters</t>
        </is>
      </c>
      <c r="E855" t="n">
        <v>80.5</v>
      </c>
      <c r="F855" t="inlineStr">
        <is>
          <t>NC-KR-2</t>
        </is>
      </c>
      <c r="G855" t="inlineStr">
        <is>
          <t>Tenanted</t>
        </is>
      </c>
    </row>
    <row r="856">
      <c r="A856" t="inlineStr">
        <is>
          <t>U-KR385-01-13</t>
        </is>
      </c>
      <c r="B856" t="inlineStr">
        <is>
          <t>Kebun Raya</t>
        </is>
      </c>
      <c r="C856" t="inlineStr">
        <is>
          <t>Blk 385 Kebun Raya Avenue 3 #01-13 Singapura 650385</t>
        </is>
      </c>
      <c r="D856" t="inlineStr">
        <is>
          <t>Shop</t>
        </is>
      </c>
      <c r="E856" t="n">
        <v>90.7</v>
      </c>
      <c r="F856" t="inlineStr">
        <is>
          <t>NC-KR-2</t>
        </is>
      </c>
      <c r="G856" t="inlineStr">
        <is>
          <t>Tenanted</t>
        </is>
      </c>
    </row>
    <row r="857">
      <c r="A857" t="inlineStr">
        <is>
          <t>U-KR386-01-01</t>
        </is>
      </c>
      <c r="B857" t="inlineStr">
        <is>
          <t>Kebun Raya</t>
        </is>
      </c>
      <c r="C857" t="inlineStr">
        <is>
          <t>Blk 386 Kebun Raya Avenue 3 #01-01 Singapura 650386</t>
        </is>
      </c>
      <c r="D857" t="inlineStr">
        <is>
          <t>Shop</t>
        </is>
      </c>
      <c r="E857" t="n">
        <v>52.3</v>
      </c>
      <c r="F857" t="inlineStr">
        <is>
          <t>NC-KR-1</t>
        </is>
      </c>
      <c r="G857" t="inlineStr">
        <is>
          <t>Tenanted</t>
        </is>
      </c>
    </row>
    <row r="858">
      <c r="A858" t="inlineStr">
        <is>
          <t>U-KR386-01-02</t>
        </is>
      </c>
      <c r="B858" t="inlineStr">
        <is>
          <t>Kebun Raya</t>
        </is>
      </c>
      <c r="C858" t="inlineStr">
        <is>
          <t>Blk 386 Kebun Raya Avenue 3 #01-02 Singapura 650386</t>
        </is>
      </c>
      <c r="D858" t="inlineStr">
        <is>
          <t>Shop</t>
        </is>
      </c>
      <c r="E858" t="n">
        <v>70.2</v>
      </c>
      <c r="F858" t="inlineStr">
        <is>
          <t>NC-KR-1</t>
        </is>
      </c>
      <c r="G858" t="inlineStr">
        <is>
          <t>Tenanted</t>
        </is>
      </c>
    </row>
    <row r="859">
      <c r="A859" t="inlineStr">
        <is>
          <t>U-KR386-01-03</t>
        </is>
      </c>
      <c r="B859" t="inlineStr">
        <is>
          <t>Kebun Raya</t>
        </is>
      </c>
      <c r="C859" t="inlineStr">
        <is>
          <t>Blk 386 Kebun Raya Avenue 3 #01-03 Singapura 650386</t>
        </is>
      </c>
      <c r="D859" t="inlineStr">
        <is>
          <t>Shop</t>
        </is>
      </c>
      <c r="E859" t="n">
        <v>87.8</v>
      </c>
      <c r="F859" t="inlineStr">
        <is>
          <t>NC-KR-1</t>
        </is>
      </c>
      <c r="G859" t="inlineStr">
        <is>
          <t>Tenanted</t>
        </is>
      </c>
    </row>
    <row r="860">
      <c r="A860" t="inlineStr">
        <is>
          <t>U-KR386-01-04</t>
        </is>
      </c>
      <c r="B860" t="inlineStr">
        <is>
          <t>Kebun Raya</t>
        </is>
      </c>
      <c r="C860" t="inlineStr">
        <is>
          <t>Blk 386 Kebun Raya Avenue 3 #01-04 Singapura 650386</t>
        </is>
      </c>
      <c r="D860" t="inlineStr">
        <is>
          <t>Shop</t>
        </is>
      </c>
      <c r="E860" t="n">
        <v>82.7</v>
      </c>
      <c r="F860" t="inlineStr">
        <is>
          <t>NC-KR-1</t>
        </is>
      </c>
      <c r="G860" t="inlineStr">
        <is>
          <t>Tenanted</t>
        </is>
      </c>
    </row>
    <row r="861">
      <c r="A861" t="inlineStr">
        <is>
          <t>U-KR386-01-05</t>
        </is>
      </c>
      <c r="B861" t="inlineStr">
        <is>
          <t>Kebun Raya</t>
        </is>
      </c>
      <c r="C861" t="inlineStr">
        <is>
          <t>Blk 386 Kebun Raya Avenue 3 #01-05 Singapura 650386</t>
        </is>
      </c>
      <c r="D861" t="inlineStr">
        <is>
          <t>Office</t>
        </is>
      </c>
      <c r="E861" t="n">
        <v>91.8</v>
      </c>
      <c r="F861" t="inlineStr">
        <is>
          <t>NC-KR-1</t>
        </is>
      </c>
      <c r="G861" t="inlineStr">
        <is>
          <t>Tenanted</t>
        </is>
      </c>
    </row>
    <row r="862">
      <c r="A862" t="inlineStr">
        <is>
          <t>U-KR386-01-06</t>
        </is>
      </c>
      <c r="B862" t="inlineStr">
        <is>
          <t>Kebun Raya</t>
        </is>
      </c>
      <c r="C862" t="inlineStr">
        <is>
          <t>Blk 386 Kebun Raya Avenue 3 #01-06 Singapura 650386</t>
        </is>
      </c>
      <c r="D862" t="inlineStr">
        <is>
          <t>Shop</t>
        </is>
      </c>
      <c r="E862" t="n">
        <v>117.5</v>
      </c>
      <c r="F862" t="inlineStr">
        <is>
          <t>NC-KR-1</t>
        </is>
      </c>
      <c r="G862" t="inlineStr">
        <is>
          <t>Tenanted</t>
        </is>
      </c>
    </row>
    <row r="863">
      <c r="A863" t="inlineStr">
        <is>
          <t>U-KR386-01-07</t>
        </is>
      </c>
      <c r="B863" t="inlineStr">
        <is>
          <t>Kebun Raya</t>
        </is>
      </c>
      <c r="C863" t="inlineStr">
        <is>
          <t>Blk 386 Kebun Raya Avenue 3 #01-07 Singapura 650386</t>
        </is>
      </c>
      <c r="D863" t="inlineStr">
        <is>
          <t>Kiosk</t>
        </is>
      </c>
      <c r="E863" t="n">
        <v>13.3</v>
      </c>
      <c r="F863" t="inlineStr">
        <is>
          <t>NC-KR-1</t>
        </is>
      </c>
      <c r="G863" t="inlineStr">
        <is>
          <t>Vacant</t>
        </is>
      </c>
    </row>
    <row r="864">
      <c r="A864" t="inlineStr">
        <is>
          <t>U-KR386-01-08</t>
        </is>
      </c>
      <c r="B864" t="inlineStr">
        <is>
          <t>Kebun Raya</t>
        </is>
      </c>
      <c r="C864" t="inlineStr">
        <is>
          <t>Blk 386 Kebun Raya Avenue 3 #01-08 Singapura 650386</t>
        </is>
      </c>
      <c r="D864" t="inlineStr">
        <is>
          <t>Shop</t>
        </is>
      </c>
      <c r="E864" t="n">
        <v>113.2</v>
      </c>
      <c r="F864" t="inlineStr">
        <is>
          <t>NC-KR-1</t>
        </is>
      </c>
      <c r="G864" t="inlineStr">
        <is>
          <t>Tenanted</t>
        </is>
      </c>
    </row>
    <row r="865">
      <c r="A865" t="inlineStr">
        <is>
          <t>U-KR386-01-09</t>
        </is>
      </c>
      <c r="B865" t="inlineStr">
        <is>
          <t>Kebun Raya</t>
        </is>
      </c>
      <c r="C865" t="inlineStr">
        <is>
          <t>Blk 386 Kebun Raya Avenue 3 #01-09 Singapura 650386</t>
        </is>
      </c>
      <c r="D865" t="inlineStr">
        <is>
          <t>Shop</t>
        </is>
      </c>
      <c r="E865" t="n">
        <v>59.9</v>
      </c>
      <c r="F865" t="inlineStr">
        <is>
          <t>NC-KR-1</t>
        </is>
      </c>
      <c r="G865" t="inlineStr">
        <is>
          <t>Vacant</t>
        </is>
      </c>
    </row>
    <row r="866">
      <c r="A866" t="inlineStr">
        <is>
          <t>U-RH401-01-01</t>
        </is>
      </c>
      <c r="B866" t="inlineStr">
        <is>
          <t>Rimba Heights</t>
        </is>
      </c>
      <c r="C866" t="inlineStr">
        <is>
          <t>Blk 401 Rimba Heights Road #01-01 Singapura 670401</t>
        </is>
      </c>
      <c r="D866" t="inlineStr">
        <is>
          <t>Eating House</t>
        </is>
      </c>
      <c r="E866" t="n">
        <v>223.3</v>
      </c>
      <c r="F866" t="inlineStr">
        <is>
          <t>NC-RH-3</t>
        </is>
      </c>
      <c r="G866" t="inlineStr">
        <is>
          <t>Tenanted</t>
        </is>
      </c>
    </row>
    <row r="867">
      <c r="A867" t="inlineStr">
        <is>
          <t>U-RH401-01-02</t>
        </is>
      </c>
      <c r="B867" t="inlineStr">
        <is>
          <t>Rimba Heights</t>
        </is>
      </c>
      <c r="C867" t="inlineStr">
        <is>
          <t>Blk 401 Rimba Heights Road #01-02 Singapura 670401</t>
        </is>
      </c>
      <c r="D867" t="inlineStr">
        <is>
          <t>Shop</t>
        </is>
      </c>
      <c r="E867" t="n">
        <v>85.09999999999999</v>
      </c>
      <c r="F867" t="inlineStr">
        <is>
          <t>NC-RH-3</t>
        </is>
      </c>
      <c r="G867" t="inlineStr">
        <is>
          <t>Tenanted</t>
        </is>
      </c>
    </row>
    <row r="868">
      <c r="A868" t="inlineStr">
        <is>
          <t>U-RH401-01-03</t>
        </is>
      </c>
      <c r="B868" t="inlineStr">
        <is>
          <t>Rimba Heights</t>
        </is>
      </c>
      <c r="C868" t="inlineStr">
        <is>
          <t>Blk 401 Rimba Heights Road #01-03 Singapura 670401</t>
        </is>
      </c>
      <c r="D868" t="inlineStr">
        <is>
          <t>Shop</t>
        </is>
      </c>
      <c r="E868" t="n">
        <v>91.7</v>
      </c>
      <c r="F868" t="inlineStr">
        <is>
          <t>NC-RH-3</t>
        </is>
      </c>
      <c r="G868" t="inlineStr">
        <is>
          <t>Tenanted</t>
        </is>
      </c>
    </row>
    <row r="869">
      <c r="A869" t="inlineStr">
        <is>
          <t>U-RH401-02-04</t>
        </is>
      </c>
      <c r="B869" t="inlineStr">
        <is>
          <t>Rimba Heights</t>
        </is>
      </c>
      <c r="C869" t="inlineStr">
        <is>
          <t>Blk 401 Rimba Heights Road #02-04 Singapura 670401</t>
        </is>
      </c>
      <c r="D869" t="inlineStr">
        <is>
          <t>Office</t>
        </is>
      </c>
      <c r="E869" t="n">
        <v>129.6</v>
      </c>
      <c r="F869" t="inlineStr">
        <is>
          <t>NC-RH-3</t>
        </is>
      </c>
      <c r="G869" t="inlineStr">
        <is>
          <t>Tenanted</t>
        </is>
      </c>
    </row>
    <row r="870">
      <c r="A870" t="inlineStr">
        <is>
          <t>U-RH401-01-05</t>
        </is>
      </c>
      <c r="B870" t="inlineStr">
        <is>
          <t>Rimba Heights</t>
        </is>
      </c>
      <c r="C870" t="inlineStr">
        <is>
          <t>Blk 401 Rimba Heights Road #01-05 Singapura 670401</t>
        </is>
      </c>
      <c r="D870" t="inlineStr">
        <is>
          <t>Shop</t>
        </is>
      </c>
      <c r="E870" t="n">
        <v>47.9</v>
      </c>
      <c r="F870" t="inlineStr">
        <is>
          <t>NC-RH-3</t>
        </is>
      </c>
      <c r="G870" t="inlineStr">
        <is>
          <t>Tenanted</t>
        </is>
      </c>
    </row>
    <row r="871">
      <c r="A871" t="inlineStr">
        <is>
          <t>U-RH401-01-06</t>
        </is>
      </c>
      <c r="B871" t="inlineStr">
        <is>
          <t>Rimba Heights</t>
        </is>
      </c>
      <c r="C871" t="inlineStr">
        <is>
          <t>Blk 401 Rimba Heights Road #01-06 Singapura 670401</t>
        </is>
      </c>
      <c r="D871" t="inlineStr">
        <is>
          <t>Shop</t>
        </is>
      </c>
      <c r="E871" t="n">
        <v>99.7</v>
      </c>
      <c r="F871" t="inlineStr">
        <is>
          <t>NC-RH-3</t>
        </is>
      </c>
      <c r="G871" t="inlineStr">
        <is>
          <t>Tenanted</t>
        </is>
      </c>
    </row>
    <row r="872">
      <c r="A872" t="inlineStr">
        <is>
          <t>U-RH401-01-07</t>
        </is>
      </c>
      <c r="B872" t="inlineStr">
        <is>
          <t>Rimba Heights</t>
        </is>
      </c>
      <c r="C872" t="inlineStr">
        <is>
          <t>Blk 401 Rimba Heights Road #01-07 Singapura 670401</t>
        </is>
      </c>
      <c r="D872" t="inlineStr">
        <is>
          <t>Shop</t>
        </is>
      </c>
      <c r="E872" t="n">
        <v>95</v>
      </c>
      <c r="F872" t="inlineStr">
        <is>
          <t>NC-RH-3</t>
        </is>
      </c>
      <c r="G872" t="inlineStr">
        <is>
          <t>Tenanted</t>
        </is>
      </c>
    </row>
    <row r="873">
      <c r="A873" t="inlineStr">
        <is>
          <t>U-RH401-01-08</t>
        </is>
      </c>
      <c r="B873" t="inlineStr">
        <is>
          <t>Rimba Heights</t>
        </is>
      </c>
      <c r="C873" t="inlineStr">
        <is>
          <t>Blk 401 Rimba Heights Road #01-08 Singapura 670401</t>
        </is>
      </c>
      <c r="D873" t="inlineStr">
        <is>
          <t>Shop</t>
        </is>
      </c>
      <c r="E873" t="n">
        <v>69.90000000000001</v>
      </c>
      <c r="F873" t="inlineStr">
        <is>
          <t>NC-RH-3</t>
        </is>
      </c>
      <c r="G873" t="inlineStr">
        <is>
          <t>Tenanted</t>
        </is>
      </c>
    </row>
    <row r="874">
      <c r="A874" t="inlineStr">
        <is>
          <t>U-RH401-01-09</t>
        </is>
      </c>
      <c r="B874" t="inlineStr">
        <is>
          <t>Rimba Heights</t>
        </is>
      </c>
      <c r="C874" t="inlineStr">
        <is>
          <t>Blk 401 Rimba Heights Road #01-09 Singapura 670401</t>
        </is>
      </c>
      <c r="D874" t="inlineStr">
        <is>
          <t>Shop</t>
        </is>
      </c>
      <c r="E874" t="n">
        <v>94.40000000000001</v>
      </c>
      <c r="F874" t="inlineStr">
        <is>
          <t>NC-RH-3</t>
        </is>
      </c>
      <c r="G874" t="inlineStr">
        <is>
          <t>Tenanted</t>
        </is>
      </c>
    </row>
    <row r="875">
      <c r="A875" t="inlineStr">
        <is>
          <t>U-RH401-01-10</t>
        </is>
      </c>
      <c r="B875" t="inlineStr">
        <is>
          <t>Rimba Heights</t>
        </is>
      </c>
      <c r="C875" t="inlineStr">
        <is>
          <t>Blk 401 Rimba Heights Road #01-10 Singapura 670401</t>
        </is>
      </c>
      <c r="D875" t="inlineStr">
        <is>
          <t>Kiosk</t>
        </is>
      </c>
      <c r="E875" t="n">
        <v>7.4</v>
      </c>
      <c r="F875" t="inlineStr">
        <is>
          <t>NC-RH-3</t>
        </is>
      </c>
      <c r="G875" t="inlineStr">
        <is>
          <t>Tenanted</t>
        </is>
      </c>
    </row>
    <row r="876">
      <c r="A876" t="inlineStr">
        <is>
          <t>U-RH401-02-11</t>
        </is>
      </c>
      <c r="B876" t="inlineStr">
        <is>
          <t>Rimba Heights</t>
        </is>
      </c>
      <c r="C876" t="inlineStr">
        <is>
          <t>Blk 401 Rimba Heights Road #02-11 Singapura 670401</t>
        </is>
      </c>
      <c r="D876" t="inlineStr">
        <is>
          <t>Office</t>
        </is>
      </c>
      <c r="E876" t="n">
        <v>79.5</v>
      </c>
      <c r="F876" t="inlineStr">
        <is>
          <t>NC-RH-3</t>
        </is>
      </c>
      <c r="G876" t="inlineStr">
        <is>
          <t>Tenanted</t>
        </is>
      </c>
    </row>
    <row r="877">
      <c r="A877" t="inlineStr">
        <is>
          <t>U-RH407-01-01</t>
        </is>
      </c>
      <c r="B877" t="inlineStr">
        <is>
          <t>Rimba Heights</t>
        </is>
      </c>
      <c r="C877" t="inlineStr">
        <is>
          <t>Blk 407 Rimba Heights Road #01-01 Singapura 670407</t>
        </is>
      </c>
      <c r="D877" t="inlineStr">
        <is>
          <t>Shop</t>
        </is>
      </c>
      <c r="E877" t="n">
        <v>115.3</v>
      </c>
      <c r="F877" t="inlineStr">
        <is>
          <t>NC-RH-3</t>
        </is>
      </c>
      <c r="G877" t="inlineStr">
        <is>
          <t>Tenanted</t>
        </is>
      </c>
    </row>
    <row r="878">
      <c r="A878" t="inlineStr">
        <is>
          <t>U-RH407-01-02</t>
        </is>
      </c>
      <c r="B878" t="inlineStr">
        <is>
          <t>Rimba Heights</t>
        </is>
      </c>
      <c r="C878" t="inlineStr">
        <is>
          <t>Blk 407 Rimba Heights Road #01-02 Singapura 670407</t>
        </is>
      </c>
      <c r="D878" t="inlineStr">
        <is>
          <t>Shop</t>
        </is>
      </c>
      <c r="E878" t="n">
        <v>65</v>
      </c>
      <c r="F878" t="inlineStr">
        <is>
          <t>NC-RH-3</t>
        </is>
      </c>
      <c r="G878" t="inlineStr">
        <is>
          <t>Tenanted</t>
        </is>
      </c>
    </row>
    <row r="879">
      <c r="A879" t="inlineStr">
        <is>
          <t>U-RH407-01-03</t>
        </is>
      </c>
      <c r="B879" t="inlineStr">
        <is>
          <t>Rimba Heights</t>
        </is>
      </c>
      <c r="C879" t="inlineStr">
        <is>
          <t>Blk 407 Rimba Heights Road #01-03 Singapura 670407</t>
        </is>
      </c>
      <c r="D879" t="inlineStr">
        <is>
          <t>Shop</t>
        </is>
      </c>
      <c r="E879" t="n">
        <v>56.5</v>
      </c>
      <c r="F879" t="inlineStr">
        <is>
          <t>NC-RH-3</t>
        </is>
      </c>
      <c r="G879" t="inlineStr">
        <is>
          <t>Tenanted</t>
        </is>
      </c>
    </row>
    <row r="880">
      <c r="A880" t="inlineStr">
        <is>
          <t>U-RH407-01-04</t>
        </is>
      </c>
      <c r="B880" t="inlineStr">
        <is>
          <t>Rimba Heights</t>
        </is>
      </c>
      <c r="C880" t="inlineStr">
        <is>
          <t>Blk 407 Rimba Heights Road #01-04 Singapura 670407</t>
        </is>
      </c>
      <c r="D880" t="inlineStr">
        <is>
          <t>Shop</t>
        </is>
      </c>
      <c r="E880" t="n">
        <v>78.09999999999999</v>
      </c>
      <c r="F880" t="inlineStr">
        <is>
          <t>NC-RH-3</t>
        </is>
      </c>
      <c r="G880" t="inlineStr">
        <is>
          <t>Tenanted</t>
        </is>
      </c>
    </row>
    <row r="881">
      <c r="A881" t="inlineStr">
        <is>
          <t>U-RH407-01-05</t>
        </is>
      </c>
      <c r="B881" t="inlineStr">
        <is>
          <t>Rimba Heights</t>
        </is>
      </c>
      <c r="C881" t="inlineStr">
        <is>
          <t>Blk 407 Rimba Heights Road #01-05 Singapura 670407</t>
        </is>
      </c>
      <c r="D881" t="inlineStr">
        <is>
          <t>Shop</t>
        </is>
      </c>
      <c r="E881" t="n">
        <v>95.7</v>
      </c>
      <c r="F881" t="inlineStr">
        <is>
          <t>NC-RH-3</t>
        </is>
      </c>
      <c r="G881" t="inlineStr">
        <is>
          <t>Tenanted</t>
        </is>
      </c>
    </row>
    <row r="882">
      <c r="A882" t="inlineStr">
        <is>
          <t>U-RH407-01-06</t>
        </is>
      </c>
      <c r="B882" t="inlineStr">
        <is>
          <t>Rimba Heights</t>
        </is>
      </c>
      <c r="C882" t="inlineStr">
        <is>
          <t>Blk 407 Rimba Heights Road #01-06 Singapura 670407</t>
        </is>
      </c>
      <c r="D882" t="inlineStr">
        <is>
          <t>Shop</t>
        </is>
      </c>
      <c r="E882" t="n">
        <v>64</v>
      </c>
      <c r="F882" t="inlineStr">
        <is>
          <t>NC-RH-3</t>
        </is>
      </c>
      <c r="G882" t="inlineStr">
        <is>
          <t>Tenanted</t>
        </is>
      </c>
    </row>
    <row r="883">
      <c r="A883" t="inlineStr">
        <is>
          <t>U-RH407-01-07</t>
        </is>
      </c>
      <c r="B883" t="inlineStr">
        <is>
          <t>Rimba Heights</t>
        </is>
      </c>
      <c r="C883" t="inlineStr">
        <is>
          <t>Blk 407 Rimba Heights Road #01-07 Singapura 670407</t>
        </is>
      </c>
      <c r="D883" t="inlineStr">
        <is>
          <t>Shop with Living Quarters</t>
        </is>
      </c>
      <c r="E883" t="n">
        <v>65.8</v>
      </c>
      <c r="F883" t="inlineStr">
        <is>
          <t>NC-RH-3</t>
        </is>
      </c>
      <c r="G883" t="inlineStr">
        <is>
          <t>Tenanted</t>
        </is>
      </c>
    </row>
    <row r="884">
      <c r="A884" t="inlineStr">
        <is>
          <t>U-RH408-01-01</t>
        </is>
      </c>
      <c r="B884" t="inlineStr">
        <is>
          <t>Rimba Heights</t>
        </is>
      </c>
      <c r="C884" t="inlineStr">
        <is>
          <t>Blk 408 Rimba Walk #01-01 Singapura 670408</t>
        </is>
      </c>
      <c r="D884" t="inlineStr">
        <is>
          <t>Eating House</t>
        </is>
      </c>
      <c r="E884" t="n">
        <v>290.7</v>
      </c>
      <c r="F884" t="inlineStr">
        <is>
          <t>NC-RH-1</t>
        </is>
      </c>
      <c r="G884" t="inlineStr">
        <is>
          <t>Tenanted</t>
        </is>
      </c>
    </row>
    <row r="885">
      <c r="A885" t="inlineStr">
        <is>
          <t>U-RH408-01-02</t>
        </is>
      </c>
      <c r="B885" t="inlineStr">
        <is>
          <t>Rimba Heights</t>
        </is>
      </c>
      <c r="C885" t="inlineStr">
        <is>
          <t>Blk 408 Rimba Walk #01-02 Singapura 670408</t>
        </is>
      </c>
      <c r="D885" t="inlineStr">
        <is>
          <t>Shop</t>
        </is>
      </c>
      <c r="E885" t="n">
        <v>53.1</v>
      </c>
      <c r="F885" t="inlineStr">
        <is>
          <t>NC-RH-1</t>
        </is>
      </c>
      <c r="G885" t="inlineStr">
        <is>
          <t>Tenanted</t>
        </is>
      </c>
    </row>
    <row r="886">
      <c r="A886" t="inlineStr">
        <is>
          <t>U-RH408-02-03</t>
        </is>
      </c>
      <c r="B886" t="inlineStr">
        <is>
          <t>Rimba Heights</t>
        </is>
      </c>
      <c r="C886" t="inlineStr">
        <is>
          <t>Blk 408 Rimba Walk #02-03 Singapura 670408</t>
        </is>
      </c>
      <c r="D886" t="inlineStr">
        <is>
          <t>Office</t>
        </is>
      </c>
      <c r="E886" t="n">
        <v>67.40000000000001</v>
      </c>
      <c r="F886" t="inlineStr">
        <is>
          <t>NC-RH-1</t>
        </is>
      </c>
      <c r="G886" t="inlineStr">
        <is>
          <t>Tenanted</t>
        </is>
      </c>
    </row>
    <row r="887">
      <c r="A887" t="inlineStr">
        <is>
          <t>U-RH408-01-04</t>
        </is>
      </c>
      <c r="B887" t="inlineStr">
        <is>
          <t>Rimba Heights</t>
        </is>
      </c>
      <c r="C887" t="inlineStr">
        <is>
          <t>Blk 408 Rimba Walk #01-04 Singapura 670408</t>
        </is>
      </c>
      <c r="D887" t="inlineStr">
        <is>
          <t>Shop</t>
        </is>
      </c>
      <c r="E887" t="n">
        <v>84.8</v>
      </c>
      <c r="F887" t="inlineStr">
        <is>
          <t>NC-RH-1</t>
        </is>
      </c>
      <c r="G887" t="inlineStr">
        <is>
          <t>Tenanted</t>
        </is>
      </c>
    </row>
    <row r="888">
      <c r="A888" t="inlineStr">
        <is>
          <t>U-RH408-02-05</t>
        </is>
      </c>
      <c r="B888" t="inlineStr">
        <is>
          <t>Rimba Heights</t>
        </is>
      </c>
      <c r="C888" t="inlineStr">
        <is>
          <t>Blk 408 Rimba Walk #02-05 Singapura 670408</t>
        </is>
      </c>
      <c r="D888" t="inlineStr">
        <is>
          <t>Office</t>
        </is>
      </c>
      <c r="E888" t="n">
        <v>90.5</v>
      </c>
      <c r="F888" t="inlineStr">
        <is>
          <t>NC-RH-1</t>
        </is>
      </c>
      <c r="G888" t="inlineStr">
        <is>
          <t>Vacant</t>
        </is>
      </c>
    </row>
    <row r="889">
      <c r="A889" t="inlineStr">
        <is>
          <t>U-RH408-01-06</t>
        </is>
      </c>
      <c r="B889" t="inlineStr">
        <is>
          <t>Rimba Heights</t>
        </is>
      </c>
      <c r="C889" t="inlineStr">
        <is>
          <t>Blk 408 Rimba Walk #01-06 Singapura 670408</t>
        </is>
      </c>
      <c r="D889" t="inlineStr">
        <is>
          <t>Shop</t>
        </is>
      </c>
      <c r="E889" t="n">
        <v>91.2</v>
      </c>
      <c r="F889" t="inlineStr">
        <is>
          <t>NC-RH-1</t>
        </is>
      </c>
      <c r="G889" t="inlineStr">
        <is>
          <t>Tenanted</t>
        </is>
      </c>
    </row>
    <row r="890">
      <c r="A890" t="inlineStr">
        <is>
          <t>U-RH408-01-07</t>
        </is>
      </c>
      <c r="B890" t="inlineStr">
        <is>
          <t>Rimba Heights</t>
        </is>
      </c>
      <c r="C890" t="inlineStr">
        <is>
          <t>Blk 408 Rimba Walk #01-07 Singapura 670408</t>
        </is>
      </c>
      <c r="D890" t="inlineStr">
        <is>
          <t>Shop</t>
        </is>
      </c>
      <c r="E890" t="n">
        <v>42.3</v>
      </c>
      <c r="F890" t="inlineStr">
        <is>
          <t>NC-RH-1</t>
        </is>
      </c>
      <c r="G890" t="inlineStr">
        <is>
          <t>Tenanted</t>
        </is>
      </c>
    </row>
    <row r="891">
      <c r="A891" t="inlineStr">
        <is>
          <t>U-RH408-01-08</t>
        </is>
      </c>
      <c r="B891" t="inlineStr">
        <is>
          <t>Rimba Heights</t>
        </is>
      </c>
      <c r="C891" t="inlineStr">
        <is>
          <t>Blk 408 Rimba Walk #01-08 Singapura 670408</t>
        </is>
      </c>
      <c r="D891" t="inlineStr">
        <is>
          <t>Shop</t>
        </is>
      </c>
      <c r="E891" t="n">
        <v>55.8</v>
      </c>
      <c r="F891" t="inlineStr">
        <is>
          <t>NC-RH-1</t>
        </is>
      </c>
      <c r="G891" t="inlineStr">
        <is>
          <t>Tenanted</t>
        </is>
      </c>
    </row>
    <row r="892">
      <c r="A892" t="inlineStr">
        <is>
          <t>U-RH408-01-09</t>
        </is>
      </c>
      <c r="B892" t="inlineStr">
        <is>
          <t>Rimba Heights</t>
        </is>
      </c>
      <c r="C892" t="inlineStr">
        <is>
          <t>Blk 408 Rimba Walk #01-09 Singapura 670408</t>
        </is>
      </c>
      <c r="D892" t="inlineStr">
        <is>
          <t>Shop</t>
        </is>
      </c>
      <c r="E892" t="n">
        <v>71.09999999999999</v>
      </c>
      <c r="F892" t="inlineStr">
        <is>
          <t>NC-RH-1</t>
        </is>
      </c>
      <c r="G892" t="inlineStr">
        <is>
          <t>Vacant</t>
        </is>
      </c>
    </row>
    <row r="893">
      <c r="A893" t="inlineStr">
        <is>
          <t>U-RH408-01-10</t>
        </is>
      </c>
      <c r="B893" t="inlineStr">
        <is>
          <t>Rimba Heights</t>
        </is>
      </c>
      <c r="C893" t="inlineStr">
        <is>
          <t>Blk 408 Rimba Walk #01-10 Singapura 670408</t>
        </is>
      </c>
      <c r="D893" t="inlineStr">
        <is>
          <t>Kiosk</t>
        </is>
      </c>
      <c r="E893" t="n">
        <v>7.9</v>
      </c>
      <c r="F893" t="inlineStr">
        <is>
          <t>NC-RH-1</t>
        </is>
      </c>
      <c r="G893" t="inlineStr">
        <is>
          <t>Vacant</t>
        </is>
      </c>
    </row>
    <row r="894">
      <c r="A894" t="inlineStr">
        <is>
          <t>U-RH408-01-11</t>
        </is>
      </c>
      <c r="B894" t="inlineStr">
        <is>
          <t>Rimba Heights</t>
        </is>
      </c>
      <c r="C894" t="inlineStr">
        <is>
          <t>Blk 408 Rimba Walk #01-11 Singapura 670408</t>
        </is>
      </c>
      <c r="D894" t="inlineStr">
        <is>
          <t>Kiosk</t>
        </is>
      </c>
      <c r="E894" t="n">
        <v>13.3</v>
      </c>
      <c r="F894" t="inlineStr">
        <is>
          <t>NC-RH-1</t>
        </is>
      </c>
      <c r="G894" t="inlineStr">
        <is>
          <t>Tenanted</t>
        </is>
      </c>
    </row>
    <row r="895">
      <c r="A895" t="inlineStr">
        <is>
          <t>U-RH420-01-01</t>
        </is>
      </c>
      <c r="B895" t="inlineStr">
        <is>
          <t>Rimba Heights</t>
        </is>
      </c>
      <c r="C895" t="inlineStr">
        <is>
          <t>Blk 420 Rimba Heights Road #01-01 Singapura 670420</t>
        </is>
      </c>
      <c r="D895" t="inlineStr">
        <is>
          <t>Shop</t>
        </is>
      </c>
      <c r="E895" t="n">
        <v>104</v>
      </c>
      <c r="F895" t="inlineStr">
        <is>
          <t>NC-RH-3</t>
        </is>
      </c>
      <c r="G895" t="inlineStr">
        <is>
          <t>Tenanted</t>
        </is>
      </c>
    </row>
    <row r="896">
      <c r="A896" t="inlineStr">
        <is>
          <t>U-RH420-01-02</t>
        </is>
      </c>
      <c r="B896" t="inlineStr">
        <is>
          <t>Rimba Heights</t>
        </is>
      </c>
      <c r="C896" t="inlineStr">
        <is>
          <t>Blk 420 Rimba Heights Road #01-02 Singapura 670420</t>
        </is>
      </c>
      <c r="D896" t="inlineStr">
        <is>
          <t>Shop</t>
        </is>
      </c>
      <c r="E896" t="n">
        <v>69.3</v>
      </c>
      <c r="F896" t="inlineStr">
        <is>
          <t>NC-RH-3</t>
        </is>
      </c>
      <c r="G896" t="inlineStr">
        <is>
          <t>Tenanted</t>
        </is>
      </c>
    </row>
    <row r="897">
      <c r="A897" t="inlineStr">
        <is>
          <t>U-RH420-01-03</t>
        </is>
      </c>
      <c r="B897" t="inlineStr">
        <is>
          <t>Rimba Heights</t>
        </is>
      </c>
      <c r="C897" t="inlineStr">
        <is>
          <t>Blk 420 Rimba Heights Road #01-03 Singapura 670420</t>
        </is>
      </c>
      <c r="D897" t="inlineStr">
        <is>
          <t>Shop</t>
        </is>
      </c>
      <c r="E897" t="n">
        <v>49.1</v>
      </c>
      <c r="F897" t="inlineStr">
        <is>
          <t>NC-RH-3</t>
        </is>
      </c>
      <c r="G897" t="inlineStr">
        <is>
          <t>Tenanted</t>
        </is>
      </c>
    </row>
    <row r="898">
      <c r="A898" t="inlineStr">
        <is>
          <t>U-RH420-01-04</t>
        </is>
      </c>
      <c r="B898" t="inlineStr">
        <is>
          <t>Rimba Heights</t>
        </is>
      </c>
      <c r="C898" t="inlineStr">
        <is>
          <t>Blk 420 Rimba Heights Road #01-04 Singapura 670420</t>
        </is>
      </c>
      <c r="D898" t="inlineStr">
        <is>
          <t>Shop</t>
        </is>
      </c>
      <c r="E898" t="n">
        <v>79.2</v>
      </c>
      <c r="F898" t="inlineStr">
        <is>
          <t>NC-RH-3</t>
        </is>
      </c>
      <c r="G898" t="inlineStr">
        <is>
          <t>Tenanted</t>
        </is>
      </c>
    </row>
    <row r="899">
      <c r="A899" t="inlineStr">
        <is>
          <t>U-RH420-02-05</t>
        </is>
      </c>
      <c r="B899" t="inlineStr">
        <is>
          <t>Rimba Heights</t>
        </is>
      </c>
      <c r="C899" t="inlineStr">
        <is>
          <t>Blk 420 Rimba Heights Road #02-05 Singapura 670420</t>
        </is>
      </c>
      <c r="D899" t="inlineStr">
        <is>
          <t>Office</t>
        </is>
      </c>
      <c r="E899" t="n">
        <v>88.90000000000001</v>
      </c>
      <c r="F899" t="inlineStr">
        <is>
          <t>NC-RH-3</t>
        </is>
      </c>
      <c r="G899" t="inlineStr">
        <is>
          <t>Tenanted</t>
        </is>
      </c>
    </row>
    <row r="900">
      <c r="A900" t="inlineStr">
        <is>
          <t>U-RH420-01-06</t>
        </is>
      </c>
      <c r="B900" t="inlineStr">
        <is>
          <t>Rimba Heights</t>
        </is>
      </c>
      <c r="C900" t="inlineStr">
        <is>
          <t>Blk 420 Rimba Heights Road #01-06 Singapura 670420</t>
        </is>
      </c>
      <c r="D900" t="inlineStr">
        <is>
          <t>Shop</t>
        </is>
      </c>
      <c r="E900" t="n">
        <v>49.1</v>
      </c>
      <c r="F900" t="inlineStr">
        <is>
          <t>NC-RH-3</t>
        </is>
      </c>
      <c r="G900" t="inlineStr">
        <is>
          <t>Tenanted</t>
        </is>
      </c>
    </row>
    <row r="901">
      <c r="A901" t="inlineStr">
        <is>
          <t>U-RH420-01-07</t>
        </is>
      </c>
      <c r="B901" t="inlineStr">
        <is>
          <t>Rimba Heights</t>
        </is>
      </c>
      <c r="C901" t="inlineStr">
        <is>
          <t>Blk 420 Rimba Heights Road #01-07 Singapura 670420</t>
        </is>
      </c>
      <c r="D901" t="inlineStr">
        <is>
          <t>Shop</t>
        </is>
      </c>
      <c r="E901" t="n">
        <v>76.59999999999999</v>
      </c>
      <c r="F901" t="inlineStr">
        <is>
          <t>NC-RH-3</t>
        </is>
      </c>
      <c r="G901" t="inlineStr">
        <is>
          <t>Tenanted</t>
        </is>
      </c>
    </row>
    <row r="902">
      <c r="A902" t="inlineStr">
        <is>
          <t>U-RH425-01-01</t>
        </is>
      </c>
      <c r="B902" t="inlineStr">
        <is>
          <t>Rimba Heights</t>
        </is>
      </c>
      <c r="C902" t="inlineStr">
        <is>
          <t>Blk 425 Rimba Walk #01-01 Singapura 670425</t>
        </is>
      </c>
      <c r="D902" t="inlineStr">
        <is>
          <t>Shop with Living Quarters</t>
        </is>
      </c>
      <c r="E902" t="n">
        <v>95.3</v>
      </c>
      <c r="F902" t="inlineStr">
        <is>
          <t>NC-RH-1</t>
        </is>
      </c>
      <c r="G902" t="inlineStr">
        <is>
          <t>Tenanted</t>
        </is>
      </c>
    </row>
    <row r="903">
      <c r="A903" t="inlineStr">
        <is>
          <t>U-RH425-01-02</t>
        </is>
      </c>
      <c r="B903" t="inlineStr">
        <is>
          <t>Rimba Heights</t>
        </is>
      </c>
      <c r="C903" t="inlineStr">
        <is>
          <t>Blk 425 Rimba Walk #01-02 Singapura 670425</t>
        </is>
      </c>
      <c r="D903" t="inlineStr">
        <is>
          <t>Shop</t>
        </is>
      </c>
      <c r="E903" t="n">
        <v>89.2</v>
      </c>
      <c r="F903" t="inlineStr">
        <is>
          <t>NC-RH-1</t>
        </is>
      </c>
      <c r="G903" t="inlineStr">
        <is>
          <t>Not Lettable</t>
        </is>
      </c>
    </row>
    <row r="904">
      <c r="A904" t="inlineStr">
        <is>
          <t>U-RH425-01-03</t>
        </is>
      </c>
      <c r="B904" t="inlineStr">
        <is>
          <t>Rimba Heights</t>
        </is>
      </c>
      <c r="C904" t="inlineStr">
        <is>
          <t>Blk 425 Rimba Walk #01-03 Singapura 670425</t>
        </is>
      </c>
      <c r="D904" t="inlineStr">
        <is>
          <t>Shop</t>
        </is>
      </c>
      <c r="E904" t="n">
        <v>50.7</v>
      </c>
      <c r="F904" t="inlineStr">
        <is>
          <t>NC-RH-1</t>
        </is>
      </c>
      <c r="G904" t="inlineStr">
        <is>
          <t>Tenanted</t>
        </is>
      </c>
    </row>
    <row r="905">
      <c r="A905" t="inlineStr">
        <is>
          <t>U-RH425-01-04</t>
        </is>
      </c>
      <c r="B905" t="inlineStr">
        <is>
          <t>Rimba Heights</t>
        </is>
      </c>
      <c r="C905" t="inlineStr">
        <is>
          <t>Blk 425 Rimba Walk #01-04 Singapura 670425</t>
        </is>
      </c>
      <c r="D905" t="inlineStr">
        <is>
          <t>Shop</t>
        </is>
      </c>
      <c r="E905" t="n">
        <v>64.40000000000001</v>
      </c>
      <c r="F905" t="inlineStr">
        <is>
          <t>NC-RH-1</t>
        </is>
      </c>
      <c r="G905" t="inlineStr">
        <is>
          <t>Tenanted</t>
        </is>
      </c>
    </row>
    <row r="906">
      <c r="A906" t="inlineStr">
        <is>
          <t>U-RH425-01-05</t>
        </is>
      </c>
      <c r="B906" t="inlineStr">
        <is>
          <t>Rimba Heights</t>
        </is>
      </c>
      <c r="C906" t="inlineStr">
        <is>
          <t>Blk 425 Rimba Walk #01-05 Singapura 670425</t>
        </is>
      </c>
      <c r="D906" t="inlineStr">
        <is>
          <t>Shop</t>
        </is>
      </c>
      <c r="E906" t="n">
        <v>95.5</v>
      </c>
      <c r="F906" t="inlineStr">
        <is>
          <t>NC-RH-1</t>
        </is>
      </c>
      <c r="G906" t="inlineStr">
        <is>
          <t>Tenanted</t>
        </is>
      </c>
    </row>
    <row r="907">
      <c r="A907" t="inlineStr">
        <is>
          <t>U-RH425-01-06</t>
        </is>
      </c>
      <c r="B907" t="inlineStr">
        <is>
          <t>Rimba Heights</t>
        </is>
      </c>
      <c r="C907" t="inlineStr">
        <is>
          <t>Blk 425 Rimba Walk #01-06 Singapura 670425</t>
        </is>
      </c>
      <c r="D907" t="inlineStr">
        <is>
          <t>Shop</t>
        </is>
      </c>
      <c r="E907" t="n">
        <v>73.5</v>
      </c>
      <c r="F907" t="inlineStr">
        <is>
          <t>NC-RH-1</t>
        </is>
      </c>
      <c r="G907" t="inlineStr">
        <is>
          <t>Tenanted</t>
        </is>
      </c>
    </row>
    <row r="908">
      <c r="A908" t="inlineStr">
        <is>
          <t>U-RH425-01-07</t>
        </is>
      </c>
      <c r="B908" t="inlineStr">
        <is>
          <t>Rimba Heights</t>
        </is>
      </c>
      <c r="C908" t="inlineStr">
        <is>
          <t>Blk 425 Rimba Walk #01-07 Singapura 670425</t>
        </is>
      </c>
      <c r="D908" t="inlineStr">
        <is>
          <t>Shop</t>
        </is>
      </c>
      <c r="E908" t="n">
        <v>70.7</v>
      </c>
      <c r="F908" t="inlineStr">
        <is>
          <t>NC-RH-1</t>
        </is>
      </c>
      <c r="G908" t="inlineStr">
        <is>
          <t>Tenanted</t>
        </is>
      </c>
    </row>
    <row r="909">
      <c r="A909" t="inlineStr">
        <is>
          <t>U-RH425-01-08</t>
        </is>
      </c>
      <c r="B909" t="inlineStr">
        <is>
          <t>Rimba Heights</t>
        </is>
      </c>
      <c r="C909" t="inlineStr">
        <is>
          <t>Blk 425 Rimba Walk #01-08 Singapura 670425</t>
        </is>
      </c>
      <c r="D909" t="inlineStr">
        <is>
          <t>Shop</t>
        </is>
      </c>
      <c r="E909" t="n">
        <v>90.8</v>
      </c>
      <c r="F909" t="inlineStr">
        <is>
          <t>NC-RH-1</t>
        </is>
      </c>
      <c r="G909" t="inlineStr">
        <is>
          <t>Tenanted</t>
        </is>
      </c>
    </row>
    <row r="910">
      <c r="A910" t="inlineStr">
        <is>
          <t>U-RH428-01-01</t>
        </is>
      </c>
      <c r="B910" t="inlineStr">
        <is>
          <t>Rimba Heights</t>
        </is>
      </c>
      <c r="C910" t="inlineStr">
        <is>
          <t>Blk 428 Rimba Walk #01-01 Singapura 670428</t>
        </is>
      </c>
      <c r="D910" t="inlineStr">
        <is>
          <t>Shop</t>
        </is>
      </c>
      <c r="E910" t="n">
        <v>79.2</v>
      </c>
      <c r="F910" t="inlineStr">
        <is>
          <t>NC-RH-3</t>
        </is>
      </c>
      <c r="G910" t="inlineStr">
        <is>
          <t>Tenanted</t>
        </is>
      </c>
    </row>
    <row r="911">
      <c r="A911" t="inlineStr">
        <is>
          <t>U-RH428-01-02</t>
        </is>
      </c>
      <c r="B911" t="inlineStr">
        <is>
          <t>Rimba Heights</t>
        </is>
      </c>
      <c r="C911" t="inlineStr">
        <is>
          <t>Blk 428 Rimba Walk #01-02 Singapura 670428</t>
        </is>
      </c>
      <c r="D911" t="inlineStr">
        <is>
          <t>Shop</t>
        </is>
      </c>
      <c r="E911" t="n">
        <v>65.2</v>
      </c>
      <c r="F911" t="inlineStr">
        <is>
          <t>NC-RH-3</t>
        </is>
      </c>
      <c r="G911" t="inlineStr">
        <is>
          <t>Tenanted</t>
        </is>
      </c>
    </row>
    <row r="912">
      <c r="A912" t="inlineStr">
        <is>
          <t>U-RH428-01-03</t>
        </is>
      </c>
      <c r="B912" t="inlineStr">
        <is>
          <t>Rimba Heights</t>
        </is>
      </c>
      <c r="C912" t="inlineStr">
        <is>
          <t>Blk 428 Rimba Walk #01-03 Singapura 670428</t>
        </is>
      </c>
      <c r="D912" t="inlineStr">
        <is>
          <t>Shop</t>
        </is>
      </c>
      <c r="E912" t="n">
        <v>44.3</v>
      </c>
      <c r="F912" t="inlineStr">
        <is>
          <t>NC-RH-3</t>
        </is>
      </c>
      <c r="G912" t="inlineStr">
        <is>
          <t>Tenanted</t>
        </is>
      </c>
    </row>
    <row r="913">
      <c r="A913" t="inlineStr">
        <is>
          <t>U-RH428-01-04</t>
        </is>
      </c>
      <c r="B913" t="inlineStr">
        <is>
          <t>Rimba Heights</t>
        </is>
      </c>
      <c r="C913" t="inlineStr">
        <is>
          <t>Blk 428 Rimba Walk #01-04 Singapura 670428</t>
        </is>
      </c>
      <c r="D913" t="inlineStr">
        <is>
          <t>Shop</t>
        </is>
      </c>
      <c r="E913" t="n">
        <v>40.8</v>
      </c>
      <c r="F913" t="inlineStr">
        <is>
          <t>NC-RH-3</t>
        </is>
      </c>
      <c r="G913" t="inlineStr">
        <is>
          <t>Tenanted</t>
        </is>
      </c>
    </row>
    <row r="914">
      <c r="A914" t="inlineStr">
        <is>
          <t>U-RH428-01-05</t>
        </is>
      </c>
      <c r="B914" t="inlineStr">
        <is>
          <t>Rimba Heights</t>
        </is>
      </c>
      <c r="C914" t="inlineStr">
        <is>
          <t>Blk 428 Rimba Walk #01-05 Singapura 670428</t>
        </is>
      </c>
      <c r="D914" t="inlineStr">
        <is>
          <t>Shop</t>
        </is>
      </c>
      <c r="E914" t="n">
        <v>105.2</v>
      </c>
      <c r="F914" t="inlineStr">
        <is>
          <t>NC-RH-3</t>
        </is>
      </c>
      <c r="G914" t="inlineStr">
        <is>
          <t>Tenanted</t>
        </is>
      </c>
    </row>
    <row r="915">
      <c r="A915" t="inlineStr">
        <is>
          <t>U-RH428-02-06</t>
        </is>
      </c>
      <c r="B915" t="inlineStr">
        <is>
          <t>Rimba Heights</t>
        </is>
      </c>
      <c r="C915" t="inlineStr">
        <is>
          <t>Blk 428 Rimba Walk #02-06 Singapura 670428</t>
        </is>
      </c>
      <c r="D915" t="inlineStr">
        <is>
          <t>Office</t>
        </is>
      </c>
      <c r="E915" t="n">
        <v>99.5</v>
      </c>
      <c r="F915" t="inlineStr">
        <is>
          <t>NC-RH-3</t>
        </is>
      </c>
      <c r="G915" t="inlineStr">
        <is>
          <t>Tenanted</t>
        </is>
      </c>
    </row>
    <row r="916">
      <c r="A916" t="inlineStr">
        <is>
          <t>U-RH428-01-07</t>
        </is>
      </c>
      <c r="B916" t="inlineStr">
        <is>
          <t>Rimba Heights</t>
        </is>
      </c>
      <c r="C916" t="inlineStr">
        <is>
          <t>Blk 428 Rimba Walk #01-07 Singapura 670428</t>
        </is>
      </c>
      <c r="D916" t="inlineStr">
        <is>
          <t>Kiosk</t>
        </is>
      </c>
      <c r="E916" t="n">
        <v>9.699999999999999</v>
      </c>
      <c r="F916" t="inlineStr">
        <is>
          <t>NC-RH-3</t>
        </is>
      </c>
      <c r="G916" t="inlineStr">
        <is>
          <t>Tenanted</t>
        </is>
      </c>
    </row>
    <row r="917">
      <c r="A917" t="inlineStr">
        <is>
          <t>U-RH428-01-08</t>
        </is>
      </c>
      <c r="B917" t="inlineStr">
        <is>
          <t>Rimba Heights</t>
        </is>
      </c>
      <c r="C917" t="inlineStr">
        <is>
          <t>Blk 428 Rimba Walk #01-08 Singapura 670428</t>
        </is>
      </c>
      <c r="D917" t="inlineStr">
        <is>
          <t>Shop with Living Quarters</t>
        </is>
      </c>
      <c r="E917" t="n">
        <v>84.40000000000001</v>
      </c>
      <c r="F917" t="inlineStr">
        <is>
          <t>NC-RH-3</t>
        </is>
      </c>
      <c r="G917" t="inlineStr">
        <is>
          <t>Tenanted</t>
        </is>
      </c>
    </row>
    <row r="918">
      <c r="A918" t="inlineStr">
        <is>
          <t>U-RH434-01-01</t>
        </is>
      </c>
      <c r="B918" t="inlineStr">
        <is>
          <t>Rimba Heights</t>
        </is>
      </c>
      <c r="C918" t="inlineStr">
        <is>
          <t>Blk 434 Rimba Heights Road #01-01 Singapura 670434</t>
        </is>
      </c>
      <c r="D918" t="inlineStr">
        <is>
          <t>Shop</t>
        </is>
      </c>
      <c r="E918" t="n">
        <v>103.7</v>
      </c>
      <c r="F918" t="inlineStr">
        <is>
          <t>NC-RH-3</t>
        </is>
      </c>
      <c r="G918" t="inlineStr">
        <is>
          <t>Tenanted</t>
        </is>
      </c>
    </row>
    <row r="919">
      <c r="A919" t="inlineStr">
        <is>
          <t>U-RH434-01-02</t>
        </is>
      </c>
      <c r="B919" t="inlineStr">
        <is>
          <t>Rimba Heights</t>
        </is>
      </c>
      <c r="C919" t="inlineStr">
        <is>
          <t>Blk 434 Rimba Heights Road #01-02 Singapura 670434</t>
        </is>
      </c>
      <c r="D919" t="inlineStr">
        <is>
          <t>Shop</t>
        </is>
      </c>
      <c r="E919" t="n">
        <v>42.6</v>
      </c>
      <c r="F919" t="inlineStr">
        <is>
          <t>NC-RH-3</t>
        </is>
      </c>
      <c r="G919" t="inlineStr">
        <is>
          <t>Tenanted</t>
        </is>
      </c>
    </row>
    <row r="920">
      <c r="A920" t="inlineStr">
        <is>
          <t>U-RH434-01-03</t>
        </is>
      </c>
      <c r="B920" t="inlineStr">
        <is>
          <t>Rimba Heights</t>
        </is>
      </c>
      <c r="C920" t="inlineStr">
        <is>
          <t>Blk 434 Rimba Heights Road #01-03 Singapura 670434</t>
        </is>
      </c>
      <c r="D920" t="inlineStr">
        <is>
          <t>Shop</t>
        </is>
      </c>
      <c r="E920" t="n">
        <v>63.1</v>
      </c>
      <c r="F920" t="inlineStr">
        <is>
          <t>NC-RH-3</t>
        </is>
      </c>
      <c r="G920" t="inlineStr">
        <is>
          <t>Tenanted</t>
        </is>
      </c>
    </row>
    <row r="921">
      <c r="A921" t="inlineStr">
        <is>
          <t>U-RH434-01-04</t>
        </is>
      </c>
      <c r="B921" t="inlineStr">
        <is>
          <t>Rimba Heights</t>
        </is>
      </c>
      <c r="C921" t="inlineStr">
        <is>
          <t>Blk 434 Rimba Heights Road #01-04 Singapura 670434</t>
        </is>
      </c>
      <c r="D921" t="inlineStr">
        <is>
          <t>Shop with Living Quarters</t>
        </is>
      </c>
      <c r="E921" t="n">
        <v>88.3</v>
      </c>
      <c r="F921" t="inlineStr">
        <is>
          <t>NC-RH-3</t>
        </is>
      </c>
      <c r="G921" t="inlineStr">
        <is>
          <t>Tenanted</t>
        </is>
      </c>
    </row>
    <row r="922">
      <c r="A922" t="inlineStr">
        <is>
          <t>U-RH434-01-05</t>
        </is>
      </c>
      <c r="B922" t="inlineStr">
        <is>
          <t>Rimba Heights</t>
        </is>
      </c>
      <c r="C922" t="inlineStr">
        <is>
          <t>Blk 434 Rimba Heights Road #01-05 Singapura 670434</t>
        </is>
      </c>
      <c r="D922" t="inlineStr">
        <is>
          <t>Kiosk</t>
        </is>
      </c>
      <c r="E922" t="n">
        <v>10.5</v>
      </c>
      <c r="F922" t="inlineStr">
        <is>
          <t>NC-RH-3</t>
        </is>
      </c>
      <c r="G922" t="inlineStr">
        <is>
          <t>Tenanted</t>
        </is>
      </c>
    </row>
    <row r="923">
      <c r="A923" t="inlineStr">
        <is>
          <t>U-RH434-01-06</t>
        </is>
      </c>
      <c r="B923" t="inlineStr">
        <is>
          <t>Rimba Heights</t>
        </is>
      </c>
      <c r="C923" t="inlineStr">
        <is>
          <t>Blk 434 Rimba Heights Road #01-06 Singapura 670434</t>
        </is>
      </c>
      <c r="D923" t="inlineStr">
        <is>
          <t>Shop</t>
        </is>
      </c>
      <c r="E923" t="n">
        <v>85.8</v>
      </c>
      <c r="F923" t="inlineStr">
        <is>
          <t>NC-RH-3</t>
        </is>
      </c>
      <c r="G923" t="inlineStr">
        <is>
          <t>Tenanted</t>
        </is>
      </c>
    </row>
    <row r="924">
      <c r="A924" t="inlineStr">
        <is>
          <t>U-RH434-01-07</t>
        </is>
      </c>
      <c r="B924" t="inlineStr">
        <is>
          <t>Rimba Heights</t>
        </is>
      </c>
      <c r="C924" t="inlineStr">
        <is>
          <t>Blk 434 Rimba Heights Road #01-07 Singapura 670434</t>
        </is>
      </c>
      <c r="D924" t="inlineStr">
        <is>
          <t>Shop</t>
        </is>
      </c>
      <c r="E924" t="n">
        <v>83.40000000000001</v>
      </c>
      <c r="F924" t="inlineStr">
        <is>
          <t>NC-RH-3</t>
        </is>
      </c>
      <c r="G924" t="inlineStr">
        <is>
          <t>Tenanted</t>
        </is>
      </c>
    </row>
    <row r="925">
      <c r="A925" t="inlineStr">
        <is>
          <t>U-RH437-01-01</t>
        </is>
      </c>
      <c r="B925" t="inlineStr">
        <is>
          <t>Rimba Heights</t>
        </is>
      </c>
      <c r="C925" t="inlineStr">
        <is>
          <t>Blk 437 Rimba Walk #01-01 Singapura 670437</t>
        </is>
      </c>
      <c r="D925" t="inlineStr">
        <is>
          <t>Shop</t>
        </is>
      </c>
      <c r="E925" t="n">
        <v>100.5</v>
      </c>
      <c r="F925" t="inlineStr">
        <is>
          <t>NC-RH-3</t>
        </is>
      </c>
      <c r="G925" t="inlineStr">
        <is>
          <t>Tenanted</t>
        </is>
      </c>
    </row>
    <row r="926">
      <c r="A926" t="inlineStr">
        <is>
          <t>U-RH437-01-02</t>
        </is>
      </c>
      <c r="B926" t="inlineStr">
        <is>
          <t>Rimba Heights</t>
        </is>
      </c>
      <c r="C926" t="inlineStr">
        <is>
          <t>Blk 437 Rimba Walk #01-02 Singapura 670437</t>
        </is>
      </c>
      <c r="D926" t="inlineStr">
        <is>
          <t>Kiosk</t>
        </is>
      </c>
      <c r="E926" t="n">
        <v>10</v>
      </c>
      <c r="F926" t="inlineStr">
        <is>
          <t>NC-RH-3</t>
        </is>
      </c>
      <c r="G926" t="inlineStr">
        <is>
          <t>Tenanted</t>
        </is>
      </c>
    </row>
    <row r="927">
      <c r="A927" t="inlineStr">
        <is>
          <t>U-RH437-01-03</t>
        </is>
      </c>
      <c r="B927" t="inlineStr">
        <is>
          <t>Rimba Heights</t>
        </is>
      </c>
      <c r="C927" t="inlineStr">
        <is>
          <t>Blk 437 Rimba Walk #01-03 Singapura 670437</t>
        </is>
      </c>
      <c r="D927" t="inlineStr">
        <is>
          <t>Shop</t>
        </is>
      </c>
      <c r="E927" t="n">
        <v>74</v>
      </c>
      <c r="F927" t="inlineStr">
        <is>
          <t>NC-RH-3</t>
        </is>
      </c>
      <c r="G927" t="inlineStr">
        <is>
          <t>Tenanted</t>
        </is>
      </c>
    </row>
    <row r="928">
      <c r="A928" t="inlineStr">
        <is>
          <t>U-RH437-01-04</t>
        </is>
      </c>
      <c r="B928" t="inlineStr">
        <is>
          <t>Rimba Heights</t>
        </is>
      </c>
      <c r="C928" t="inlineStr">
        <is>
          <t>Blk 437 Rimba Walk #01-04 Singapura 670437</t>
        </is>
      </c>
      <c r="D928" t="inlineStr">
        <is>
          <t>Kiosk</t>
        </is>
      </c>
      <c r="E928" t="n">
        <v>11.9</v>
      </c>
      <c r="F928" t="inlineStr">
        <is>
          <t>NC-RH-3</t>
        </is>
      </c>
      <c r="G928" t="inlineStr">
        <is>
          <t>Tenanted</t>
        </is>
      </c>
    </row>
    <row r="929">
      <c r="A929" t="inlineStr">
        <is>
          <t>U-RH437-01-05</t>
        </is>
      </c>
      <c r="B929" t="inlineStr">
        <is>
          <t>Rimba Heights</t>
        </is>
      </c>
      <c r="C929" t="inlineStr">
        <is>
          <t>Blk 437 Rimba Walk #01-05 Singapura 670437</t>
        </is>
      </c>
      <c r="D929" t="inlineStr">
        <is>
          <t>Shop</t>
        </is>
      </c>
      <c r="E929" t="n">
        <v>110</v>
      </c>
      <c r="F929" t="inlineStr">
        <is>
          <t>NC-RH-3</t>
        </is>
      </c>
      <c r="G929" t="inlineStr">
        <is>
          <t>Tenanted</t>
        </is>
      </c>
    </row>
    <row r="930">
      <c r="A930" t="inlineStr">
        <is>
          <t>U-RH437-01-06</t>
        </is>
      </c>
      <c r="B930" t="inlineStr">
        <is>
          <t>Rimba Heights</t>
        </is>
      </c>
      <c r="C930" t="inlineStr">
        <is>
          <t>Blk 437 Rimba Walk #01-06 Singapura 670437</t>
        </is>
      </c>
      <c r="D930" t="inlineStr">
        <is>
          <t>Shop</t>
        </is>
      </c>
      <c r="E930" t="n">
        <v>61</v>
      </c>
      <c r="F930" t="inlineStr">
        <is>
          <t>NC-RH-3</t>
        </is>
      </c>
      <c r="G930" t="inlineStr">
        <is>
          <t>Tenanted</t>
        </is>
      </c>
    </row>
    <row r="931">
      <c r="A931" t="inlineStr">
        <is>
          <t>U-RH437-01-07</t>
        </is>
      </c>
      <c r="B931" t="inlineStr">
        <is>
          <t>Rimba Heights</t>
        </is>
      </c>
      <c r="C931" t="inlineStr">
        <is>
          <t>Blk 437 Rimba Walk #01-07 Singapura 670437</t>
        </is>
      </c>
      <c r="D931" t="inlineStr">
        <is>
          <t>Shop with Living Quarters</t>
        </is>
      </c>
      <c r="E931" t="n">
        <v>64.3</v>
      </c>
      <c r="F931" t="inlineStr">
        <is>
          <t>NC-RH-3</t>
        </is>
      </c>
      <c r="G931" t="inlineStr">
        <is>
          <t>Tenanted</t>
        </is>
      </c>
    </row>
    <row r="932">
      <c r="A932" t="inlineStr">
        <is>
          <t>U-RH437-02-08</t>
        </is>
      </c>
      <c r="B932" t="inlineStr">
        <is>
          <t>Rimba Heights</t>
        </is>
      </c>
      <c r="C932" t="inlineStr">
        <is>
          <t>Blk 437 Rimba Walk #02-08 Singapura 670437</t>
        </is>
      </c>
      <c r="D932" t="inlineStr">
        <is>
          <t>Office</t>
        </is>
      </c>
      <c r="E932" t="n">
        <v>131.2</v>
      </c>
      <c r="F932" t="inlineStr">
        <is>
          <t>NC-RH-3</t>
        </is>
      </c>
      <c r="G932" t="inlineStr">
        <is>
          <t>Tenanted</t>
        </is>
      </c>
    </row>
    <row r="933">
      <c r="A933" t="inlineStr">
        <is>
          <t>U-RH437-01-09</t>
        </is>
      </c>
      <c r="B933" t="inlineStr">
        <is>
          <t>Rimba Heights</t>
        </is>
      </c>
      <c r="C933" t="inlineStr">
        <is>
          <t>Blk 437 Rimba Walk #01-09 Singapura 670437</t>
        </is>
      </c>
      <c r="D933" t="inlineStr">
        <is>
          <t>Shop</t>
        </is>
      </c>
      <c r="E933" t="n">
        <v>99</v>
      </c>
      <c r="F933" t="inlineStr">
        <is>
          <t>NC-RH-3</t>
        </is>
      </c>
      <c r="G933" t="inlineStr">
        <is>
          <t>Tenanted</t>
        </is>
      </c>
    </row>
    <row r="934">
      <c r="A934" t="inlineStr">
        <is>
          <t>U-RH437-01-10</t>
        </is>
      </c>
      <c r="B934" t="inlineStr">
        <is>
          <t>Rimba Heights</t>
        </is>
      </c>
      <c r="C934" t="inlineStr">
        <is>
          <t>Blk 437 Rimba Walk #01-10 Singapura 670437</t>
        </is>
      </c>
      <c r="D934" t="inlineStr">
        <is>
          <t>Kiosk</t>
        </is>
      </c>
      <c r="E934" t="n">
        <v>13.7</v>
      </c>
      <c r="F934" t="inlineStr">
        <is>
          <t>NC-RH-3</t>
        </is>
      </c>
      <c r="G934" t="inlineStr">
        <is>
          <t>Tenanted</t>
        </is>
      </c>
    </row>
    <row r="935">
      <c r="A935" t="inlineStr">
        <is>
          <t>U-RH437-01-11</t>
        </is>
      </c>
      <c r="B935" t="inlineStr">
        <is>
          <t>Rimba Heights</t>
        </is>
      </c>
      <c r="C935" t="inlineStr">
        <is>
          <t>Blk 437 Rimba Walk #01-11 Singapura 670437</t>
        </is>
      </c>
      <c r="D935" t="inlineStr">
        <is>
          <t>Shop</t>
        </is>
      </c>
      <c r="E935" t="n">
        <v>74.3</v>
      </c>
      <c r="F935" t="inlineStr">
        <is>
          <t>NC-RH-3</t>
        </is>
      </c>
      <c r="G935" t="inlineStr">
        <is>
          <t>Tenanted</t>
        </is>
      </c>
    </row>
    <row r="936">
      <c r="A936" t="inlineStr">
        <is>
          <t>U-RH438-01-01</t>
        </is>
      </c>
      <c r="B936" t="inlineStr">
        <is>
          <t>Rimba Heights</t>
        </is>
      </c>
      <c r="C936" t="inlineStr">
        <is>
          <t>Blk 438 Rimba Heights Street 45 #01-01 Singapura 670438</t>
        </is>
      </c>
      <c r="D936" t="inlineStr">
        <is>
          <t>Eating House</t>
        </is>
      </c>
      <c r="E936" t="n">
        <v>309.9</v>
      </c>
      <c r="F936" t="inlineStr">
        <is>
          <t>NC-RH-2</t>
        </is>
      </c>
      <c r="G936" t="inlineStr">
        <is>
          <t>Tenanted</t>
        </is>
      </c>
    </row>
    <row r="937">
      <c r="A937" t="inlineStr">
        <is>
          <t>U-RH438-01-02</t>
        </is>
      </c>
      <c r="B937" t="inlineStr">
        <is>
          <t>Rimba Heights</t>
        </is>
      </c>
      <c r="C937" t="inlineStr">
        <is>
          <t>Blk 438 Rimba Heights Street 45 #01-02 Singapura 670438</t>
        </is>
      </c>
      <c r="D937" t="inlineStr">
        <is>
          <t>Shop with Living Quarters</t>
        </is>
      </c>
      <c r="E937" t="n">
        <v>100.3</v>
      </c>
      <c r="F937" t="inlineStr">
        <is>
          <t>NC-RH-2</t>
        </is>
      </c>
      <c r="G937" t="inlineStr">
        <is>
          <t>Tenanted</t>
        </is>
      </c>
    </row>
    <row r="938">
      <c r="A938" t="inlineStr">
        <is>
          <t>U-RH438-01-03</t>
        </is>
      </c>
      <c r="B938" t="inlineStr">
        <is>
          <t>Rimba Heights</t>
        </is>
      </c>
      <c r="C938" t="inlineStr">
        <is>
          <t>Blk 438 Rimba Heights Street 45 #01-03 Singapura 670438</t>
        </is>
      </c>
      <c r="D938" t="inlineStr">
        <is>
          <t>Shop</t>
        </is>
      </c>
      <c r="E938" t="n">
        <v>82.59999999999999</v>
      </c>
      <c r="F938" t="inlineStr">
        <is>
          <t>NC-RH-2</t>
        </is>
      </c>
      <c r="G938" t="inlineStr">
        <is>
          <t>Tenanted</t>
        </is>
      </c>
    </row>
    <row r="939">
      <c r="A939" t="inlineStr">
        <is>
          <t>U-RH438-01-04</t>
        </is>
      </c>
      <c r="B939" t="inlineStr">
        <is>
          <t>Rimba Heights</t>
        </is>
      </c>
      <c r="C939" t="inlineStr">
        <is>
          <t>Blk 438 Rimba Heights Street 45 #01-04 Singapura 670438</t>
        </is>
      </c>
      <c r="D939" t="inlineStr">
        <is>
          <t>Shop</t>
        </is>
      </c>
      <c r="E939" t="n">
        <v>53.5</v>
      </c>
      <c r="F939" t="inlineStr">
        <is>
          <t>NC-RH-2</t>
        </is>
      </c>
      <c r="G939" t="inlineStr">
        <is>
          <t>Tenanted</t>
        </is>
      </c>
    </row>
    <row r="940">
      <c r="A940" t="inlineStr">
        <is>
          <t>U-RH438-02-05</t>
        </is>
      </c>
      <c r="B940" t="inlineStr">
        <is>
          <t>Rimba Heights</t>
        </is>
      </c>
      <c r="C940" t="inlineStr">
        <is>
          <t>Blk 438 Rimba Heights Street 45 #02-05 Singapura 670438</t>
        </is>
      </c>
      <c r="D940" t="inlineStr">
        <is>
          <t>Office</t>
        </is>
      </c>
      <c r="E940" t="n">
        <v>107.3</v>
      </c>
      <c r="F940" t="inlineStr">
        <is>
          <t>NC-RH-2</t>
        </is>
      </c>
      <c r="G940" t="inlineStr">
        <is>
          <t>Tenanted</t>
        </is>
      </c>
    </row>
    <row r="941">
      <c r="A941" t="inlineStr">
        <is>
          <t>U-RH438-02-06</t>
        </is>
      </c>
      <c r="B941" t="inlineStr">
        <is>
          <t>Rimba Heights</t>
        </is>
      </c>
      <c r="C941" t="inlineStr">
        <is>
          <t>Blk 438 Rimba Heights Street 45 #02-06 Singapura 670438</t>
        </is>
      </c>
      <c r="D941" t="inlineStr">
        <is>
          <t>Office</t>
        </is>
      </c>
      <c r="E941" t="n">
        <v>140</v>
      </c>
      <c r="F941" t="inlineStr">
        <is>
          <t>NC-RH-2</t>
        </is>
      </c>
      <c r="G941" t="inlineStr">
        <is>
          <t>Tenanted</t>
        </is>
      </c>
    </row>
    <row r="942">
      <c r="A942" t="inlineStr">
        <is>
          <t>U-RH438-01-07</t>
        </is>
      </c>
      <c r="B942" t="inlineStr">
        <is>
          <t>Rimba Heights</t>
        </is>
      </c>
      <c r="C942" t="inlineStr">
        <is>
          <t>Blk 438 Rimba Heights Street 45 #01-07 Singapura 670438</t>
        </is>
      </c>
      <c r="D942" t="inlineStr">
        <is>
          <t>Shop with Living Quarters</t>
        </is>
      </c>
      <c r="E942" t="n">
        <v>66.8</v>
      </c>
      <c r="F942" t="inlineStr">
        <is>
          <t>NC-RH-2</t>
        </is>
      </c>
      <c r="G942" t="inlineStr">
        <is>
          <t>Tenanted</t>
        </is>
      </c>
    </row>
    <row r="943">
      <c r="A943" t="inlineStr">
        <is>
          <t>U-RH438-01-08</t>
        </is>
      </c>
      <c r="B943" t="inlineStr">
        <is>
          <t>Rimba Heights</t>
        </is>
      </c>
      <c r="C943" t="inlineStr">
        <is>
          <t>Blk 438 Rimba Heights Street 45 #01-08 Singapura 670438</t>
        </is>
      </c>
      <c r="D943" t="inlineStr">
        <is>
          <t>Kiosk</t>
        </is>
      </c>
      <c r="E943" t="n">
        <v>9.699999999999999</v>
      </c>
      <c r="F943" t="inlineStr">
        <is>
          <t>NC-RH-2</t>
        </is>
      </c>
      <c r="G943" t="inlineStr">
        <is>
          <t>Tenanted</t>
        </is>
      </c>
    </row>
    <row r="944">
      <c r="A944" t="inlineStr">
        <is>
          <t>U-RH441-01-01</t>
        </is>
      </c>
      <c r="B944" t="inlineStr">
        <is>
          <t>Rimba Heights</t>
        </is>
      </c>
      <c r="C944" t="inlineStr">
        <is>
          <t>Blk 441 Rimba Walk #01-01 Singapura 670441</t>
        </is>
      </c>
      <c r="D944" t="inlineStr">
        <is>
          <t>Office</t>
        </is>
      </c>
      <c r="E944" t="n">
        <v>62.7</v>
      </c>
      <c r="F944" t="inlineStr">
        <is>
          <t>NC-RH-3</t>
        </is>
      </c>
      <c r="G944" t="inlineStr">
        <is>
          <t>Tenanted</t>
        </is>
      </c>
    </row>
    <row r="945">
      <c r="A945" t="inlineStr">
        <is>
          <t>U-RH441-02-02</t>
        </is>
      </c>
      <c r="B945" t="inlineStr">
        <is>
          <t>Rimba Heights</t>
        </is>
      </c>
      <c r="C945" t="inlineStr">
        <is>
          <t>Blk 441 Rimba Walk #02-02 Singapura 670441</t>
        </is>
      </c>
      <c r="D945" t="inlineStr">
        <is>
          <t>Office</t>
        </is>
      </c>
      <c r="E945" t="n">
        <v>121.1</v>
      </c>
      <c r="F945" t="inlineStr">
        <is>
          <t>NC-RH-3</t>
        </is>
      </c>
      <c r="G945" t="inlineStr">
        <is>
          <t>Tenanted</t>
        </is>
      </c>
    </row>
    <row r="946">
      <c r="A946" t="inlineStr">
        <is>
          <t>U-RH441-01-03</t>
        </is>
      </c>
      <c r="B946" t="inlineStr">
        <is>
          <t>Rimba Heights</t>
        </is>
      </c>
      <c r="C946" t="inlineStr">
        <is>
          <t>Blk 441 Rimba Walk #01-03 Singapura 670441</t>
        </is>
      </c>
      <c r="D946" t="inlineStr">
        <is>
          <t>Shop with Living Quarters</t>
        </is>
      </c>
      <c r="E946" t="n">
        <v>98.09999999999999</v>
      </c>
      <c r="F946" t="inlineStr">
        <is>
          <t>NC-RH-3</t>
        </is>
      </c>
      <c r="G946" t="inlineStr">
        <is>
          <t>Tenanted</t>
        </is>
      </c>
    </row>
    <row r="947">
      <c r="A947" t="inlineStr">
        <is>
          <t>U-RH441-01-04</t>
        </is>
      </c>
      <c r="B947" t="inlineStr">
        <is>
          <t>Rimba Heights</t>
        </is>
      </c>
      <c r="C947" t="inlineStr">
        <is>
          <t>Blk 441 Rimba Walk #01-04 Singapura 670441</t>
        </is>
      </c>
      <c r="D947" t="inlineStr">
        <is>
          <t>Shop</t>
        </is>
      </c>
      <c r="E947" t="n">
        <v>79.2</v>
      </c>
      <c r="F947" t="inlineStr">
        <is>
          <t>NC-RH-3</t>
        </is>
      </c>
      <c r="G947" t="inlineStr">
        <is>
          <t>Tenanted</t>
        </is>
      </c>
    </row>
    <row r="948">
      <c r="A948" t="inlineStr">
        <is>
          <t>U-RH441-01-05</t>
        </is>
      </c>
      <c r="B948" t="inlineStr">
        <is>
          <t>Rimba Heights</t>
        </is>
      </c>
      <c r="C948" t="inlineStr">
        <is>
          <t>Blk 441 Rimba Walk #01-05 Singapura 670441</t>
        </is>
      </c>
      <c r="D948" t="inlineStr">
        <is>
          <t>Shop</t>
        </is>
      </c>
      <c r="E948" t="n">
        <v>61.5</v>
      </c>
      <c r="F948" t="inlineStr">
        <is>
          <t>NC-RH-3</t>
        </is>
      </c>
      <c r="G948" t="inlineStr">
        <is>
          <t>Tenanted</t>
        </is>
      </c>
    </row>
    <row r="949">
      <c r="A949" t="inlineStr">
        <is>
          <t>U-RH441-01-06</t>
        </is>
      </c>
      <c r="B949" t="inlineStr">
        <is>
          <t>Rimba Heights</t>
        </is>
      </c>
      <c r="C949" t="inlineStr">
        <is>
          <t>Blk 441 Rimba Walk #01-06 Singapura 670441</t>
        </is>
      </c>
      <c r="D949" t="inlineStr">
        <is>
          <t>Shop</t>
        </is>
      </c>
      <c r="E949" t="n">
        <v>76.2</v>
      </c>
      <c r="F949" t="inlineStr">
        <is>
          <t>NC-RH-3</t>
        </is>
      </c>
      <c r="G949" t="inlineStr">
        <is>
          <t>Tenanted</t>
        </is>
      </c>
    </row>
    <row r="950">
      <c r="A950" t="inlineStr">
        <is>
          <t>U-RH450-01-01</t>
        </is>
      </c>
      <c r="B950" t="inlineStr">
        <is>
          <t>Rimba Heights</t>
        </is>
      </c>
      <c r="C950" t="inlineStr">
        <is>
          <t>Blk 450 Rimba Heights Street 45 #01-01 Singapura 670450</t>
        </is>
      </c>
      <c r="D950" t="inlineStr">
        <is>
          <t>Shop</t>
        </is>
      </c>
      <c r="E950" t="n">
        <v>100</v>
      </c>
      <c r="F950" t="inlineStr">
        <is>
          <t>NC-RH-1</t>
        </is>
      </c>
      <c r="G950" t="inlineStr">
        <is>
          <t>Tenanted</t>
        </is>
      </c>
    </row>
    <row r="951">
      <c r="A951" t="inlineStr">
        <is>
          <t>U-RH450-01-02</t>
        </is>
      </c>
      <c r="B951" t="inlineStr">
        <is>
          <t>Rimba Heights</t>
        </is>
      </c>
      <c r="C951" t="inlineStr">
        <is>
          <t>Blk 450 Rimba Heights Street 45 #01-02 Singapura 670450</t>
        </is>
      </c>
      <c r="D951" t="inlineStr">
        <is>
          <t>Kiosk</t>
        </is>
      </c>
      <c r="E951" t="n">
        <v>13.9</v>
      </c>
      <c r="F951" t="inlineStr">
        <is>
          <t>NC-RH-1</t>
        </is>
      </c>
      <c r="G951" t="inlineStr">
        <is>
          <t>Tenanted</t>
        </is>
      </c>
    </row>
    <row r="952">
      <c r="A952" t="inlineStr">
        <is>
          <t>U-RH450-01-03</t>
        </is>
      </c>
      <c r="B952" t="inlineStr">
        <is>
          <t>Rimba Heights</t>
        </is>
      </c>
      <c r="C952" t="inlineStr">
        <is>
          <t>Blk 450 Rimba Heights Street 45 #01-03 Singapura 670450</t>
        </is>
      </c>
      <c r="D952" t="inlineStr">
        <is>
          <t>Shop</t>
        </is>
      </c>
      <c r="E952" t="n">
        <v>79</v>
      </c>
      <c r="F952" t="inlineStr">
        <is>
          <t>NC-RH-1</t>
        </is>
      </c>
      <c r="G952" t="inlineStr">
        <is>
          <t>Tenanted</t>
        </is>
      </c>
    </row>
    <row r="953">
      <c r="A953" t="inlineStr">
        <is>
          <t>U-RH450-01-04</t>
        </is>
      </c>
      <c r="B953" t="inlineStr">
        <is>
          <t>Rimba Heights</t>
        </is>
      </c>
      <c r="C953" t="inlineStr">
        <is>
          <t>Blk 450 Rimba Heights Street 45 #01-04 Singapura 670450</t>
        </is>
      </c>
      <c r="D953" t="inlineStr">
        <is>
          <t>Shop</t>
        </is>
      </c>
      <c r="E953" t="n">
        <v>109.5</v>
      </c>
      <c r="F953" t="inlineStr">
        <is>
          <t>NC-RH-1</t>
        </is>
      </c>
      <c r="G953" t="inlineStr">
        <is>
          <t>Tenanted</t>
        </is>
      </c>
    </row>
    <row r="954">
      <c r="A954" t="inlineStr">
        <is>
          <t>U-RH450-01-05</t>
        </is>
      </c>
      <c r="B954" t="inlineStr">
        <is>
          <t>Rimba Heights</t>
        </is>
      </c>
      <c r="C954" t="inlineStr">
        <is>
          <t>Blk 450 Rimba Heights Street 45 #01-05 Singapura 670450</t>
        </is>
      </c>
      <c r="D954" t="inlineStr">
        <is>
          <t>Shop with Living Quarters</t>
        </is>
      </c>
      <c r="E954" t="n">
        <v>64.7</v>
      </c>
      <c r="F954" t="inlineStr">
        <is>
          <t>NC-RH-1</t>
        </is>
      </c>
      <c r="G954" t="inlineStr">
        <is>
          <t>Tenanted</t>
        </is>
      </c>
    </row>
    <row r="955">
      <c r="A955" t="inlineStr">
        <is>
          <t>U-RH450-02-06</t>
        </is>
      </c>
      <c r="B955" t="inlineStr">
        <is>
          <t>Rimba Heights</t>
        </is>
      </c>
      <c r="C955" t="inlineStr">
        <is>
          <t>Blk 450 Rimba Heights Street 45 #02-06 Singapura 670450</t>
        </is>
      </c>
      <c r="D955" t="inlineStr">
        <is>
          <t>Office</t>
        </is>
      </c>
      <c r="E955" t="n">
        <v>119.7</v>
      </c>
      <c r="F955" t="inlineStr">
        <is>
          <t>NC-RH-1</t>
        </is>
      </c>
      <c r="G955" t="inlineStr">
        <is>
          <t>Tenanted</t>
        </is>
      </c>
    </row>
    <row r="956">
      <c r="A956" t="inlineStr">
        <is>
          <t>U-RH450-01-07</t>
        </is>
      </c>
      <c r="B956" t="inlineStr">
        <is>
          <t>Rimba Heights</t>
        </is>
      </c>
      <c r="C956" t="inlineStr">
        <is>
          <t>Blk 450 Rimba Heights Street 45 #01-07 Singapura 670450</t>
        </is>
      </c>
      <c r="D956" t="inlineStr">
        <is>
          <t>Shop with Living Quarters</t>
        </is>
      </c>
      <c r="E956" t="n">
        <v>99.8</v>
      </c>
      <c r="F956" t="inlineStr">
        <is>
          <t>NC-RH-1</t>
        </is>
      </c>
      <c r="G956" t="inlineStr">
        <is>
          <t>Tenanted</t>
        </is>
      </c>
    </row>
    <row r="957">
      <c r="A957" t="inlineStr">
        <is>
          <t>U-RH455-01-01</t>
        </is>
      </c>
      <c r="B957" t="inlineStr">
        <is>
          <t>Rimba Heights</t>
        </is>
      </c>
      <c r="C957" t="inlineStr">
        <is>
          <t>Blk 455 Rimba Heights Street 45 #01-01 Singapura 670455</t>
        </is>
      </c>
      <c r="D957" t="inlineStr">
        <is>
          <t>Shop</t>
        </is>
      </c>
      <c r="E957" t="n">
        <v>74.40000000000001</v>
      </c>
      <c r="F957" t="inlineStr">
        <is>
          <t>NC-RH-1</t>
        </is>
      </c>
      <c r="G957" t="inlineStr">
        <is>
          <t>Tenanted</t>
        </is>
      </c>
    </row>
    <row r="958">
      <c r="A958" t="inlineStr">
        <is>
          <t>U-RH455-01-02</t>
        </is>
      </c>
      <c r="B958" t="inlineStr">
        <is>
          <t>Rimba Heights</t>
        </is>
      </c>
      <c r="C958" t="inlineStr">
        <is>
          <t>Blk 455 Rimba Heights Street 45 #01-02 Singapura 670455</t>
        </is>
      </c>
      <c r="D958" t="inlineStr">
        <is>
          <t>Shop</t>
        </is>
      </c>
      <c r="E958" t="n">
        <v>61.5</v>
      </c>
      <c r="F958" t="inlineStr">
        <is>
          <t>NC-RH-1</t>
        </is>
      </c>
      <c r="G958" t="inlineStr">
        <is>
          <t>Vacant</t>
        </is>
      </c>
    </row>
    <row r="959">
      <c r="A959" t="inlineStr">
        <is>
          <t>U-RH455-01-03</t>
        </is>
      </c>
      <c r="B959" t="inlineStr">
        <is>
          <t>Rimba Heights</t>
        </is>
      </c>
      <c r="C959" t="inlineStr">
        <is>
          <t>Blk 455 Rimba Heights Street 45 #01-03 Singapura 670455</t>
        </is>
      </c>
      <c r="D959" t="inlineStr">
        <is>
          <t>Shop with Living Quarters</t>
        </is>
      </c>
      <c r="E959" t="n">
        <v>76.90000000000001</v>
      </c>
      <c r="F959" t="inlineStr">
        <is>
          <t>NC-RH-1</t>
        </is>
      </c>
      <c r="G959" t="inlineStr">
        <is>
          <t>Tenanted</t>
        </is>
      </c>
    </row>
    <row r="960">
      <c r="A960" t="inlineStr">
        <is>
          <t>U-RH455-01-04</t>
        </is>
      </c>
      <c r="B960" t="inlineStr">
        <is>
          <t>Rimba Heights</t>
        </is>
      </c>
      <c r="C960" t="inlineStr">
        <is>
          <t>Blk 455 Rimba Heights Street 45 #01-04 Singapura 670455</t>
        </is>
      </c>
      <c r="D960" t="inlineStr">
        <is>
          <t>Shop</t>
        </is>
      </c>
      <c r="E960" t="n">
        <v>85.3</v>
      </c>
      <c r="F960" t="inlineStr">
        <is>
          <t>NC-RH-1</t>
        </is>
      </c>
      <c r="G960" t="inlineStr">
        <is>
          <t>Tenanted</t>
        </is>
      </c>
    </row>
    <row r="961">
      <c r="A961" t="inlineStr">
        <is>
          <t>U-RH455-01-05</t>
        </is>
      </c>
      <c r="B961" t="inlineStr">
        <is>
          <t>Rimba Heights</t>
        </is>
      </c>
      <c r="C961" t="inlineStr">
        <is>
          <t>Blk 455 Rimba Heights Street 45 #01-05 Singapura 670455</t>
        </is>
      </c>
      <c r="D961" t="inlineStr">
        <is>
          <t>Shop</t>
        </is>
      </c>
      <c r="E961" t="n">
        <v>67.5</v>
      </c>
      <c r="F961" t="inlineStr">
        <is>
          <t>NC-RH-1</t>
        </is>
      </c>
      <c r="G961" t="inlineStr">
        <is>
          <t>Tenanted</t>
        </is>
      </c>
    </row>
    <row r="962">
      <c r="A962" t="inlineStr">
        <is>
          <t>U-RH455-01-06</t>
        </is>
      </c>
      <c r="B962" t="inlineStr">
        <is>
          <t>Rimba Heights</t>
        </is>
      </c>
      <c r="C962" t="inlineStr">
        <is>
          <t>Blk 455 Rimba Heights Street 45 #01-06 Singapura 670455</t>
        </is>
      </c>
      <c r="D962" t="inlineStr">
        <is>
          <t>Kiosk</t>
        </is>
      </c>
      <c r="E962" t="n">
        <v>6.4</v>
      </c>
      <c r="F962" t="inlineStr">
        <is>
          <t>NC-RH-1</t>
        </is>
      </c>
      <c r="G962" t="inlineStr">
        <is>
          <t>Tenanted</t>
        </is>
      </c>
    </row>
    <row r="963">
      <c r="A963" t="inlineStr">
        <is>
          <t>U-RH455-01-07</t>
        </is>
      </c>
      <c r="B963" t="inlineStr">
        <is>
          <t>Rimba Heights</t>
        </is>
      </c>
      <c r="C963" t="inlineStr">
        <is>
          <t>Blk 455 Rimba Heights Street 45 #01-07 Singapura 670455</t>
        </is>
      </c>
      <c r="D963" t="inlineStr">
        <is>
          <t>Shop</t>
        </is>
      </c>
      <c r="E963" t="n">
        <v>102.7</v>
      </c>
      <c r="F963" t="inlineStr">
        <is>
          <t>NC-RH-1</t>
        </is>
      </c>
      <c r="G963" t="inlineStr">
        <is>
          <t>Tenanted</t>
        </is>
      </c>
    </row>
    <row r="964">
      <c r="A964" t="inlineStr">
        <is>
          <t>U-RH455-01-08</t>
        </is>
      </c>
      <c r="B964" t="inlineStr">
        <is>
          <t>Rimba Heights</t>
        </is>
      </c>
      <c r="C964" t="inlineStr">
        <is>
          <t>Blk 455 Rimba Heights Street 45 #01-08 Singapura 670455</t>
        </is>
      </c>
      <c r="D964" t="inlineStr">
        <is>
          <t>Shop</t>
        </is>
      </c>
      <c r="E964" t="n">
        <v>49.9</v>
      </c>
      <c r="F964" t="inlineStr">
        <is>
          <t>NC-RH-1</t>
        </is>
      </c>
      <c r="G964" t="inlineStr">
        <is>
          <t>Tenanted</t>
        </is>
      </c>
    </row>
    <row r="965">
      <c r="A965" t="inlineStr">
        <is>
          <t>U-RH455-01-09</t>
        </is>
      </c>
      <c r="B965" t="inlineStr">
        <is>
          <t>Rimba Heights</t>
        </is>
      </c>
      <c r="C965" t="inlineStr">
        <is>
          <t>Blk 455 Rimba Heights Street 45 #01-09 Singapura 670455</t>
        </is>
      </c>
      <c r="D965" t="inlineStr">
        <is>
          <t>Shop with Living Quarters</t>
        </is>
      </c>
      <c r="E965" t="n">
        <v>82.09999999999999</v>
      </c>
      <c r="F965" t="inlineStr">
        <is>
          <t>NC-RH-1</t>
        </is>
      </c>
      <c r="G965" t="inlineStr">
        <is>
          <t>Tenanted</t>
        </is>
      </c>
    </row>
    <row r="966">
      <c r="A966" t="inlineStr">
        <is>
          <t>U-RH455-01-10</t>
        </is>
      </c>
      <c r="B966" t="inlineStr">
        <is>
          <t>Rimba Heights</t>
        </is>
      </c>
      <c r="C966" t="inlineStr">
        <is>
          <t>Blk 455 Rimba Heights Street 45 #01-10 Singapura 670455</t>
        </is>
      </c>
      <c r="D966" t="inlineStr">
        <is>
          <t>Shop</t>
        </is>
      </c>
      <c r="E966" t="n">
        <v>116.6</v>
      </c>
      <c r="F966" t="inlineStr">
        <is>
          <t>NC-RH-1</t>
        </is>
      </c>
      <c r="G966" t="inlineStr">
        <is>
          <t>Tenanted</t>
        </is>
      </c>
    </row>
    <row r="967">
      <c r="A967" t="inlineStr">
        <is>
          <t>U-RH455-01-11</t>
        </is>
      </c>
      <c r="B967" t="inlineStr">
        <is>
          <t>Rimba Heights</t>
        </is>
      </c>
      <c r="C967" t="inlineStr">
        <is>
          <t>Blk 455 Rimba Heights Street 45 #01-11 Singapura 670455</t>
        </is>
      </c>
      <c r="D967" t="inlineStr">
        <is>
          <t>Shop</t>
        </is>
      </c>
      <c r="E967" t="n">
        <v>95.09999999999999</v>
      </c>
      <c r="F967" t="inlineStr">
        <is>
          <t>NC-RH-1</t>
        </is>
      </c>
      <c r="G967" t="inlineStr">
        <is>
          <t>Tenanted</t>
        </is>
      </c>
    </row>
    <row r="968">
      <c r="A968" t="inlineStr">
        <is>
          <t>U-RH455-01-12</t>
        </is>
      </c>
      <c r="B968" t="inlineStr">
        <is>
          <t>Rimba Heights</t>
        </is>
      </c>
      <c r="C968" t="inlineStr">
        <is>
          <t>Blk 455 Rimba Heights Street 45 #01-12 Singapura 670455</t>
        </is>
      </c>
      <c r="D968" t="inlineStr">
        <is>
          <t>Shop</t>
        </is>
      </c>
      <c r="E968" t="n">
        <v>92</v>
      </c>
      <c r="F968" t="inlineStr">
        <is>
          <t>NC-RH-1</t>
        </is>
      </c>
      <c r="G968" t="inlineStr">
        <is>
          <t>Vacant</t>
        </is>
      </c>
    </row>
    <row r="969">
      <c r="A969" t="inlineStr">
        <is>
          <t>U-RH455-01-13</t>
        </is>
      </c>
      <c r="B969" t="inlineStr">
        <is>
          <t>Rimba Heights</t>
        </is>
      </c>
      <c r="C969" t="inlineStr">
        <is>
          <t>Blk 455 Rimba Heights Street 45 #01-13 Singapura 670455</t>
        </is>
      </c>
      <c r="D969" t="inlineStr">
        <is>
          <t>Shop</t>
        </is>
      </c>
      <c r="E969" t="n">
        <v>114.6</v>
      </c>
      <c r="F969" t="inlineStr">
        <is>
          <t>NC-RH-1</t>
        </is>
      </c>
      <c r="G969" t="inlineStr">
        <is>
          <t>Tenanted</t>
        </is>
      </c>
    </row>
    <row r="970">
      <c r="A970" t="inlineStr">
        <is>
          <t>U-RH455-01-14</t>
        </is>
      </c>
      <c r="B970" t="inlineStr">
        <is>
          <t>Rimba Heights</t>
        </is>
      </c>
      <c r="C970" t="inlineStr">
        <is>
          <t>Blk 455 Rimba Heights Street 45 #01-14 Singapura 670455</t>
        </is>
      </c>
      <c r="D970" t="inlineStr">
        <is>
          <t>Shop</t>
        </is>
      </c>
      <c r="E970" t="n">
        <v>92.40000000000001</v>
      </c>
      <c r="F970" t="inlineStr">
        <is>
          <t>NC-RH-1</t>
        </is>
      </c>
      <c r="G970" t="inlineStr">
        <is>
          <t>Tenanted</t>
        </is>
      </c>
    </row>
    <row r="971">
      <c r="A971" t="inlineStr">
        <is>
          <t>U-RH455-01-15</t>
        </is>
      </c>
      <c r="B971" t="inlineStr">
        <is>
          <t>Rimba Heights</t>
        </is>
      </c>
      <c r="C971" t="inlineStr">
        <is>
          <t>Blk 455 Rimba Heights Street 45 #01-15 Singapura 670455</t>
        </is>
      </c>
      <c r="D971" t="inlineStr">
        <is>
          <t>Shop</t>
        </is>
      </c>
      <c r="E971" t="n">
        <v>69.7</v>
      </c>
      <c r="F971" t="inlineStr">
        <is>
          <t>NC-RH-1</t>
        </is>
      </c>
      <c r="G971" t="inlineStr">
        <is>
          <t>Vacant</t>
        </is>
      </c>
    </row>
    <row r="972">
      <c r="A972" t="inlineStr">
        <is>
          <t>U-RH455-02-16</t>
        </is>
      </c>
      <c r="B972" t="inlineStr">
        <is>
          <t>Rimba Heights</t>
        </is>
      </c>
      <c r="C972" t="inlineStr">
        <is>
          <t>Blk 455 Rimba Heights Street 45 #02-16 Singapura 670455</t>
        </is>
      </c>
      <c r="D972" t="inlineStr">
        <is>
          <t>Office</t>
        </is>
      </c>
      <c r="E972" t="n">
        <v>89.59999999999999</v>
      </c>
      <c r="F972" t="inlineStr">
        <is>
          <t>NC-RH-1</t>
        </is>
      </c>
      <c r="G972" t="inlineStr">
        <is>
          <t>Tenanted</t>
        </is>
      </c>
    </row>
    <row r="973">
      <c r="A973" t="inlineStr">
        <is>
          <t>U-RH455-01-17</t>
        </is>
      </c>
      <c r="B973" t="inlineStr">
        <is>
          <t>Rimba Heights</t>
        </is>
      </c>
      <c r="C973" t="inlineStr">
        <is>
          <t>Blk 455 Rimba Heights Street 45 #01-17 Singapura 670455</t>
        </is>
      </c>
      <c r="D973" t="inlineStr">
        <is>
          <t>Shop</t>
        </is>
      </c>
      <c r="E973" t="n">
        <v>96</v>
      </c>
      <c r="F973" t="inlineStr">
        <is>
          <t>NC-RH-1</t>
        </is>
      </c>
      <c r="G973" t="inlineStr">
        <is>
          <t>Tenanted</t>
        </is>
      </c>
    </row>
    <row r="974">
      <c r="A974" t="inlineStr">
        <is>
          <t>U-RH455-01-18</t>
        </is>
      </c>
      <c r="B974" t="inlineStr">
        <is>
          <t>Rimba Heights</t>
        </is>
      </c>
      <c r="C974" t="inlineStr">
        <is>
          <t>Blk 455 Rimba Heights Street 45 #01-18 Singapura 670455</t>
        </is>
      </c>
      <c r="D974" t="inlineStr">
        <is>
          <t>Shop</t>
        </is>
      </c>
      <c r="E974" t="n">
        <v>92.40000000000001</v>
      </c>
      <c r="F974" t="inlineStr">
        <is>
          <t>NC-RH-1</t>
        </is>
      </c>
      <c r="G974" t="inlineStr">
        <is>
          <t>Tenanted</t>
        </is>
      </c>
    </row>
    <row r="975">
      <c r="A975" t="inlineStr">
        <is>
          <t>U-RH455-01-19</t>
        </is>
      </c>
      <c r="B975" t="inlineStr">
        <is>
          <t>Rimba Heights</t>
        </is>
      </c>
      <c r="C975" t="inlineStr">
        <is>
          <t>Blk 455 Rimba Heights Street 45 #01-19 Singapura 670455</t>
        </is>
      </c>
      <c r="D975" t="inlineStr">
        <is>
          <t>Kiosk</t>
        </is>
      </c>
      <c r="E975" t="n">
        <v>6</v>
      </c>
      <c r="F975" t="inlineStr">
        <is>
          <t>NC-RH-1</t>
        </is>
      </c>
      <c r="G975" t="inlineStr">
        <is>
          <t>Tenanted</t>
        </is>
      </c>
    </row>
    <row r="976">
      <c r="A976" t="inlineStr">
        <is>
          <t>U-RH455-01-20</t>
        </is>
      </c>
      <c r="B976" t="inlineStr">
        <is>
          <t>Rimba Heights</t>
        </is>
      </c>
      <c r="C976" t="inlineStr">
        <is>
          <t>Blk 455 Rimba Heights Street 45 #01-20 Singapura 670455</t>
        </is>
      </c>
      <c r="D976" t="inlineStr">
        <is>
          <t>Shop</t>
        </is>
      </c>
      <c r="E976" t="n">
        <v>78.09999999999999</v>
      </c>
      <c r="F976" t="inlineStr">
        <is>
          <t>NC-RH-1</t>
        </is>
      </c>
      <c r="G976" t="inlineStr">
        <is>
          <t>Tenanted</t>
        </is>
      </c>
    </row>
    <row r="977">
      <c r="A977" t="inlineStr">
        <is>
          <t>U-RH455-01-21</t>
        </is>
      </c>
      <c r="B977" t="inlineStr">
        <is>
          <t>Rimba Heights</t>
        </is>
      </c>
      <c r="C977" t="inlineStr">
        <is>
          <t>Blk 455 Rimba Heights Street 45 #01-21 Singapura 670455</t>
        </is>
      </c>
      <c r="D977" t="inlineStr">
        <is>
          <t>Shop</t>
        </is>
      </c>
      <c r="E977" t="n">
        <v>58.1</v>
      </c>
      <c r="F977" t="inlineStr">
        <is>
          <t>NC-RH-1</t>
        </is>
      </c>
      <c r="G977" t="inlineStr">
        <is>
          <t>Tenanted</t>
        </is>
      </c>
    </row>
    <row r="978">
      <c r="A978" t="inlineStr">
        <is>
          <t>U-RH455-01-22</t>
        </is>
      </c>
      <c r="B978" t="inlineStr">
        <is>
          <t>Rimba Heights</t>
        </is>
      </c>
      <c r="C978" t="inlineStr">
        <is>
          <t>Blk 455 Rimba Heights Street 45 #01-22 Singapura 670455</t>
        </is>
      </c>
      <c r="D978" t="inlineStr">
        <is>
          <t>Shop</t>
        </is>
      </c>
      <c r="E978" t="n">
        <v>40.7</v>
      </c>
      <c r="F978" t="inlineStr">
        <is>
          <t>NC-RH-1</t>
        </is>
      </c>
      <c r="G978" t="inlineStr">
        <is>
          <t>Tenanted</t>
        </is>
      </c>
    </row>
    <row r="979">
      <c r="A979" t="inlineStr">
        <is>
          <t>U-RH455-01-23</t>
        </is>
      </c>
      <c r="B979" t="inlineStr">
        <is>
          <t>Rimba Heights</t>
        </is>
      </c>
      <c r="C979" t="inlineStr">
        <is>
          <t>Blk 455 Rimba Heights Street 45 #01-23 Singapura 670455</t>
        </is>
      </c>
      <c r="D979" t="inlineStr">
        <is>
          <t>Kiosk</t>
        </is>
      </c>
      <c r="E979" t="n">
        <v>13.4</v>
      </c>
      <c r="F979" t="inlineStr">
        <is>
          <t>NC-RH-1</t>
        </is>
      </c>
      <c r="G979" t="inlineStr">
        <is>
          <t>Tenanted</t>
        </is>
      </c>
    </row>
    <row r="980">
      <c r="A980" t="inlineStr">
        <is>
          <t>U-RH455-02-24</t>
        </is>
      </c>
      <c r="B980" t="inlineStr">
        <is>
          <t>Rimba Heights</t>
        </is>
      </c>
      <c r="C980" t="inlineStr">
        <is>
          <t>Blk 455 Rimba Heights Street 45 #02-24 Singapura 670455</t>
        </is>
      </c>
      <c r="D980" t="inlineStr">
        <is>
          <t>Office</t>
        </is>
      </c>
      <c r="E980" t="n">
        <v>63.2</v>
      </c>
      <c r="F980" t="inlineStr">
        <is>
          <t>NC-RH-1</t>
        </is>
      </c>
      <c r="G980" t="inlineStr">
        <is>
          <t>Tenanted</t>
        </is>
      </c>
    </row>
    <row r="981">
      <c r="A981" t="inlineStr">
        <is>
          <t>U-RH455-01-25</t>
        </is>
      </c>
      <c r="B981" t="inlineStr">
        <is>
          <t>Rimba Heights</t>
        </is>
      </c>
      <c r="C981" t="inlineStr">
        <is>
          <t>Blk 455 Rimba Heights Street 45 #01-25 Singapura 670455</t>
        </is>
      </c>
      <c r="D981" t="inlineStr">
        <is>
          <t>Shop</t>
        </is>
      </c>
      <c r="E981" t="n">
        <v>70.59999999999999</v>
      </c>
      <c r="F981" t="inlineStr">
        <is>
          <t>NC-RH-1</t>
        </is>
      </c>
      <c r="G981" t="inlineStr">
        <is>
          <t>Tenanted</t>
        </is>
      </c>
    </row>
    <row r="982">
      <c r="A982" t="inlineStr">
        <is>
          <t>U-RH455-01-26</t>
        </is>
      </c>
      <c r="B982" t="inlineStr">
        <is>
          <t>Rimba Heights</t>
        </is>
      </c>
      <c r="C982" t="inlineStr">
        <is>
          <t>Blk 455 Rimba Heights Street 45 #01-26 Singapura 670455</t>
        </is>
      </c>
      <c r="D982" t="inlineStr">
        <is>
          <t>Kiosk</t>
        </is>
      </c>
      <c r="E982" t="n">
        <v>6.9</v>
      </c>
      <c r="F982" t="inlineStr">
        <is>
          <t>NC-RH-1</t>
        </is>
      </c>
      <c r="G982" t="inlineStr">
        <is>
          <t>Tenanted</t>
        </is>
      </c>
    </row>
    <row r="983">
      <c r="A983" t="inlineStr">
        <is>
          <t>U-RH455-01-27</t>
        </is>
      </c>
      <c r="B983" t="inlineStr">
        <is>
          <t>Rimba Heights</t>
        </is>
      </c>
      <c r="C983" t="inlineStr">
        <is>
          <t>Blk 455 Rimba Heights Street 45 #01-27 Singapura 670455</t>
        </is>
      </c>
      <c r="D983" t="inlineStr">
        <is>
          <t>Shop</t>
        </is>
      </c>
      <c r="E983" t="n">
        <v>110.5</v>
      </c>
      <c r="F983" t="inlineStr">
        <is>
          <t>NC-RH-1</t>
        </is>
      </c>
      <c r="G983" t="inlineStr">
        <is>
          <t>Tenanted</t>
        </is>
      </c>
    </row>
    <row r="984">
      <c r="A984" t="inlineStr">
        <is>
          <t>U-RH455-01-28</t>
        </is>
      </c>
      <c r="B984" t="inlineStr">
        <is>
          <t>Rimba Heights</t>
        </is>
      </c>
      <c r="C984" t="inlineStr">
        <is>
          <t>Blk 455 Rimba Heights Street 45 #01-28 Singapura 670455</t>
        </is>
      </c>
      <c r="D984" t="inlineStr">
        <is>
          <t>Shop</t>
        </is>
      </c>
      <c r="E984" t="n">
        <v>101.9</v>
      </c>
      <c r="F984" t="inlineStr">
        <is>
          <t>NC-RH-1</t>
        </is>
      </c>
      <c r="G984" t="inlineStr">
        <is>
          <t>Tenanted</t>
        </is>
      </c>
    </row>
    <row r="985">
      <c r="A985" t="inlineStr">
        <is>
          <t>U-RH455-01-29</t>
        </is>
      </c>
      <c r="B985" t="inlineStr">
        <is>
          <t>Rimba Heights</t>
        </is>
      </c>
      <c r="C985" t="inlineStr">
        <is>
          <t>Blk 455 Rimba Heights Street 45 #01-29 Singapura 670455</t>
        </is>
      </c>
      <c r="D985" t="inlineStr">
        <is>
          <t>Kiosk</t>
        </is>
      </c>
      <c r="E985" t="n">
        <v>7.2</v>
      </c>
      <c r="F985" t="inlineStr">
        <is>
          <t>NC-RH-1</t>
        </is>
      </c>
      <c r="G985" t="inlineStr">
        <is>
          <t>Tenanted</t>
        </is>
      </c>
    </row>
    <row r="986">
      <c r="A986" t="inlineStr">
        <is>
          <t>U-RH455-02-30</t>
        </is>
      </c>
      <c r="B986" t="inlineStr">
        <is>
          <t>Rimba Heights</t>
        </is>
      </c>
      <c r="C986" t="inlineStr">
        <is>
          <t>Blk 455 Rimba Heights Street 45 #02-30 Singapura 670455</t>
        </is>
      </c>
      <c r="D986" t="inlineStr">
        <is>
          <t>Office</t>
        </is>
      </c>
      <c r="E986" t="n">
        <v>103.1</v>
      </c>
      <c r="F986" t="inlineStr">
        <is>
          <t>NC-RH-1</t>
        </is>
      </c>
      <c r="G986" t="inlineStr">
        <is>
          <t>Tenanted</t>
        </is>
      </c>
    </row>
    <row r="987">
      <c r="A987" t="inlineStr">
        <is>
          <t>U-RH455-01-31</t>
        </is>
      </c>
      <c r="B987" t="inlineStr">
        <is>
          <t>Rimba Heights</t>
        </is>
      </c>
      <c r="C987" t="inlineStr">
        <is>
          <t>Blk 455 Rimba Heights Street 45 #01-31 Singapura 670455</t>
        </is>
      </c>
      <c r="D987" t="inlineStr">
        <is>
          <t>Shop</t>
        </is>
      </c>
      <c r="E987" t="n">
        <v>92</v>
      </c>
      <c r="F987" t="inlineStr">
        <is>
          <t>NC-RH-1</t>
        </is>
      </c>
      <c r="G987" t="inlineStr">
        <is>
          <t>Tenanted</t>
        </is>
      </c>
    </row>
    <row r="988">
      <c r="A988" t="inlineStr">
        <is>
          <t>U-RH455-01-32</t>
        </is>
      </c>
      <c r="B988" t="inlineStr">
        <is>
          <t>Rimba Heights</t>
        </is>
      </c>
      <c r="C988" t="inlineStr">
        <is>
          <t>Blk 455 Rimba Heights Street 45 #01-32 Singapura 670455</t>
        </is>
      </c>
      <c r="D988" t="inlineStr">
        <is>
          <t>Shop</t>
        </is>
      </c>
      <c r="E988" t="n">
        <v>97.8</v>
      </c>
      <c r="F988" t="inlineStr">
        <is>
          <t>NC-RH-1</t>
        </is>
      </c>
      <c r="G988" t="inlineStr">
        <is>
          <t>Tenanted</t>
        </is>
      </c>
    </row>
    <row r="989">
      <c r="A989" t="inlineStr">
        <is>
          <t>U-RH455-01-33</t>
        </is>
      </c>
      <c r="B989" t="inlineStr">
        <is>
          <t>Rimba Heights</t>
        </is>
      </c>
      <c r="C989" t="inlineStr">
        <is>
          <t>Blk 455 Rimba Heights Street 45 #01-33 Singapura 670455</t>
        </is>
      </c>
      <c r="D989" t="inlineStr">
        <is>
          <t>Shop</t>
        </is>
      </c>
      <c r="E989" t="n">
        <v>52.1</v>
      </c>
      <c r="F989" t="inlineStr">
        <is>
          <t>NC-RH-1</t>
        </is>
      </c>
      <c r="G989" t="inlineStr">
        <is>
          <t>Tenanted</t>
        </is>
      </c>
    </row>
    <row r="990">
      <c r="A990" t="inlineStr">
        <is>
          <t>U-RH455-01-34</t>
        </is>
      </c>
      <c r="B990" t="inlineStr">
        <is>
          <t>Rimba Heights</t>
        </is>
      </c>
      <c r="C990" t="inlineStr">
        <is>
          <t>Blk 455 Rimba Heights Street 45 #01-34 Singapura 670455</t>
        </is>
      </c>
      <c r="D990" t="inlineStr">
        <is>
          <t>Shop</t>
        </is>
      </c>
      <c r="E990" t="n">
        <v>94.90000000000001</v>
      </c>
      <c r="F990" t="inlineStr">
        <is>
          <t>NC-RH-1</t>
        </is>
      </c>
      <c r="G990" t="inlineStr">
        <is>
          <t>Tenanted</t>
        </is>
      </c>
    </row>
    <row r="991">
      <c r="A991" t="inlineStr">
        <is>
          <t>U-RH456-01-01</t>
        </is>
      </c>
      <c r="B991" t="inlineStr">
        <is>
          <t>Rimba Heights</t>
        </is>
      </c>
      <c r="C991" t="inlineStr">
        <is>
          <t>Blk 456 Rimba Walk #01-01 Singapura 670456</t>
        </is>
      </c>
      <c r="D991" t="inlineStr">
        <is>
          <t>Shop</t>
        </is>
      </c>
      <c r="E991" t="n">
        <v>48</v>
      </c>
      <c r="F991" t="inlineStr">
        <is>
          <t>NC-RH-3</t>
        </is>
      </c>
      <c r="G991" t="inlineStr">
        <is>
          <t>Tenanted</t>
        </is>
      </c>
    </row>
    <row r="992">
      <c r="A992" t="inlineStr">
        <is>
          <t>U-RH456-01-02</t>
        </is>
      </c>
      <c r="B992" t="inlineStr">
        <is>
          <t>Rimba Heights</t>
        </is>
      </c>
      <c r="C992" t="inlineStr">
        <is>
          <t>Blk 456 Rimba Walk #01-02 Singapura 670456</t>
        </is>
      </c>
      <c r="D992" t="inlineStr">
        <is>
          <t>Kiosk</t>
        </is>
      </c>
      <c r="E992" t="n">
        <v>11.3</v>
      </c>
      <c r="F992" t="inlineStr">
        <is>
          <t>NC-RH-3</t>
        </is>
      </c>
      <c r="G992" t="inlineStr">
        <is>
          <t>Tenanted</t>
        </is>
      </c>
    </row>
    <row r="993">
      <c r="A993" t="inlineStr">
        <is>
          <t>U-RH456-01-03</t>
        </is>
      </c>
      <c r="B993" t="inlineStr">
        <is>
          <t>Rimba Heights</t>
        </is>
      </c>
      <c r="C993" t="inlineStr">
        <is>
          <t>Blk 456 Rimba Walk #01-03 Singapura 670456</t>
        </is>
      </c>
      <c r="D993" t="inlineStr">
        <is>
          <t>Shop</t>
        </is>
      </c>
      <c r="E993" t="n">
        <v>117.1</v>
      </c>
      <c r="F993" t="inlineStr">
        <is>
          <t>NC-RH-3</t>
        </is>
      </c>
      <c r="G993" t="inlineStr">
        <is>
          <t>Tenanted</t>
        </is>
      </c>
    </row>
    <row r="994">
      <c r="A994" t="inlineStr">
        <is>
          <t>U-RH456-01-04</t>
        </is>
      </c>
      <c r="B994" t="inlineStr">
        <is>
          <t>Rimba Heights</t>
        </is>
      </c>
      <c r="C994" t="inlineStr">
        <is>
          <t>Blk 456 Rimba Walk #01-04 Singapura 670456</t>
        </is>
      </c>
      <c r="D994" t="inlineStr">
        <is>
          <t>Shop</t>
        </is>
      </c>
      <c r="E994" t="n">
        <v>51.2</v>
      </c>
      <c r="F994" t="inlineStr">
        <is>
          <t>NC-RH-3</t>
        </is>
      </c>
      <c r="G994" t="inlineStr">
        <is>
          <t>Tenanted</t>
        </is>
      </c>
    </row>
    <row r="995">
      <c r="A995" t="inlineStr">
        <is>
          <t>U-RH456-01-05</t>
        </is>
      </c>
      <c r="B995" t="inlineStr">
        <is>
          <t>Rimba Heights</t>
        </is>
      </c>
      <c r="C995" t="inlineStr">
        <is>
          <t>Blk 456 Rimba Walk #01-05 Singapura 670456</t>
        </is>
      </c>
      <c r="D995" t="inlineStr">
        <is>
          <t>Shop</t>
        </is>
      </c>
      <c r="E995" t="n">
        <v>46.7</v>
      </c>
      <c r="F995" t="inlineStr">
        <is>
          <t>NC-RH-3</t>
        </is>
      </c>
      <c r="G995" t="inlineStr">
        <is>
          <t>Tenanted</t>
        </is>
      </c>
    </row>
    <row r="996">
      <c r="A996" t="inlineStr">
        <is>
          <t>U-RH456-01-06</t>
        </is>
      </c>
      <c r="B996" t="inlineStr">
        <is>
          <t>Rimba Heights</t>
        </is>
      </c>
      <c r="C996" t="inlineStr">
        <is>
          <t>Blk 456 Rimba Walk #01-06 Singapura 670456</t>
        </is>
      </c>
      <c r="D996" t="inlineStr">
        <is>
          <t>Shop</t>
        </is>
      </c>
      <c r="E996" t="n">
        <v>88</v>
      </c>
      <c r="F996" t="inlineStr">
        <is>
          <t>NC-RH-3</t>
        </is>
      </c>
      <c r="G996" t="inlineStr">
        <is>
          <t>Tenanted</t>
        </is>
      </c>
    </row>
    <row r="997">
      <c r="A997" t="inlineStr">
        <is>
          <t>U-RH456-01-07</t>
        </is>
      </c>
      <c r="B997" t="inlineStr">
        <is>
          <t>Rimba Heights</t>
        </is>
      </c>
      <c r="C997" t="inlineStr">
        <is>
          <t>Blk 456 Rimba Walk #01-07 Singapura 670456</t>
        </is>
      </c>
      <c r="D997" t="inlineStr">
        <is>
          <t>Shop</t>
        </is>
      </c>
      <c r="E997" t="n">
        <v>102.3</v>
      </c>
      <c r="F997" t="inlineStr">
        <is>
          <t>NC-RH-3</t>
        </is>
      </c>
      <c r="G997" t="inlineStr">
        <is>
          <t>Tenanted</t>
        </is>
      </c>
    </row>
    <row r="998">
      <c r="A998" t="inlineStr">
        <is>
          <t>U-RH456-01-08</t>
        </is>
      </c>
      <c r="B998" t="inlineStr">
        <is>
          <t>Rimba Heights</t>
        </is>
      </c>
      <c r="C998" t="inlineStr">
        <is>
          <t>Blk 456 Rimba Walk #01-08 Singapura 670456</t>
        </is>
      </c>
      <c r="D998" t="inlineStr">
        <is>
          <t>Kiosk</t>
        </is>
      </c>
      <c r="E998" t="n">
        <v>13.6</v>
      </c>
      <c r="F998" t="inlineStr">
        <is>
          <t>NC-RH-3</t>
        </is>
      </c>
      <c r="G998" t="inlineStr">
        <is>
          <t>Tenanted</t>
        </is>
      </c>
    </row>
    <row r="999">
      <c r="A999" t="inlineStr">
        <is>
          <t>U-RH456-01-09</t>
        </is>
      </c>
      <c r="B999" t="inlineStr">
        <is>
          <t>Rimba Heights</t>
        </is>
      </c>
      <c r="C999" t="inlineStr">
        <is>
          <t>Blk 456 Rimba Walk #01-09 Singapura 670456</t>
        </is>
      </c>
      <c r="D999" t="inlineStr">
        <is>
          <t>Shop</t>
        </is>
      </c>
      <c r="E999" t="n">
        <v>64.09999999999999</v>
      </c>
      <c r="F999" t="inlineStr">
        <is>
          <t>NC-RH-3</t>
        </is>
      </c>
      <c r="G999" t="inlineStr">
        <is>
          <t>Tenanted</t>
        </is>
      </c>
    </row>
    <row r="1000">
      <c r="A1000" t="inlineStr">
        <is>
          <t>U-RH460-01-01</t>
        </is>
      </c>
      <c r="B1000" t="inlineStr">
        <is>
          <t>Rimba Heights</t>
        </is>
      </c>
      <c r="C1000" t="inlineStr">
        <is>
          <t>Blk 460 Rimba Heights Street 45 #01-01 Singapura 670460</t>
        </is>
      </c>
      <c r="D1000" t="inlineStr">
        <is>
          <t>Shop</t>
        </is>
      </c>
      <c r="E1000" t="n">
        <v>55.1</v>
      </c>
      <c r="F1000" t="inlineStr">
        <is>
          <t>NC-RH-2</t>
        </is>
      </c>
      <c r="G1000" t="inlineStr">
        <is>
          <t>Tenanted</t>
        </is>
      </c>
    </row>
    <row r="1001">
      <c r="A1001" t="inlineStr">
        <is>
          <t>U-RH460-01-02</t>
        </is>
      </c>
      <c r="B1001" t="inlineStr">
        <is>
          <t>Rimba Heights</t>
        </is>
      </c>
      <c r="C1001" t="inlineStr">
        <is>
          <t>Blk 460 Rimba Heights Street 45 #01-02 Singapura 670460</t>
        </is>
      </c>
      <c r="D1001" t="inlineStr">
        <is>
          <t>Shop</t>
        </is>
      </c>
      <c r="E1001" t="n">
        <v>91.7</v>
      </c>
      <c r="F1001" t="inlineStr">
        <is>
          <t>NC-RH-2</t>
        </is>
      </c>
      <c r="G1001" t="inlineStr">
        <is>
          <t>Tenanted</t>
        </is>
      </c>
    </row>
    <row r="1002">
      <c r="A1002" t="inlineStr">
        <is>
          <t>U-RH460-01-03</t>
        </is>
      </c>
      <c r="B1002" t="inlineStr">
        <is>
          <t>Rimba Heights</t>
        </is>
      </c>
      <c r="C1002" t="inlineStr">
        <is>
          <t>Blk 460 Rimba Heights Street 45 #01-03 Singapura 670460</t>
        </is>
      </c>
      <c r="D1002" t="inlineStr">
        <is>
          <t>Shop with Living Quarters</t>
        </is>
      </c>
      <c r="E1002" t="n">
        <v>99.7</v>
      </c>
      <c r="F1002" t="inlineStr">
        <is>
          <t>NC-RH-2</t>
        </is>
      </c>
      <c r="G1002" t="inlineStr">
        <is>
          <t>Tenanted</t>
        </is>
      </c>
    </row>
    <row r="1003">
      <c r="A1003" t="inlineStr">
        <is>
          <t>U-RH460-01-04</t>
        </is>
      </c>
      <c r="B1003" t="inlineStr">
        <is>
          <t>Rimba Heights</t>
        </is>
      </c>
      <c r="C1003" t="inlineStr">
        <is>
          <t>Blk 460 Rimba Heights Street 45 #01-04 Singapura 670460</t>
        </is>
      </c>
      <c r="D1003" t="inlineStr">
        <is>
          <t>Shop</t>
        </is>
      </c>
      <c r="E1003" t="n">
        <v>70.90000000000001</v>
      </c>
      <c r="F1003" t="inlineStr">
        <is>
          <t>NC-RH-2</t>
        </is>
      </c>
      <c r="G1003" t="inlineStr">
        <is>
          <t>Vacant</t>
        </is>
      </c>
    </row>
    <row r="1004">
      <c r="A1004" t="inlineStr">
        <is>
          <t>U-RH460-01-05</t>
        </is>
      </c>
      <c r="B1004" t="inlineStr">
        <is>
          <t>Rimba Heights</t>
        </is>
      </c>
      <c r="C1004" t="inlineStr">
        <is>
          <t>Blk 460 Rimba Heights Street 45 #01-05 Singapura 670460</t>
        </is>
      </c>
      <c r="D1004" t="inlineStr">
        <is>
          <t>Shop</t>
        </is>
      </c>
      <c r="E1004" t="n">
        <v>91</v>
      </c>
      <c r="F1004" t="inlineStr">
        <is>
          <t>NC-RH-2</t>
        </is>
      </c>
      <c r="G1004" t="inlineStr">
        <is>
          <t>Tenanted</t>
        </is>
      </c>
    </row>
    <row r="1005">
      <c r="A1005" t="inlineStr">
        <is>
          <t>U-RH460-01-06</t>
        </is>
      </c>
      <c r="B1005" t="inlineStr">
        <is>
          <t>Rimba Heights</t>
        </is>
      </c>
      <c r="C1005" t="inlineStr">
        <is>
          <t>Blk 460 Rimba Heights Street 45 #01-06 Singapura 670460</t>
        </is>
      </c>
      <c r="D1005" t="inlineStr">
        <is>
          <t>Shop</t>
        </is>
      </c>
      <c r="E1005" t="n">
        <v>111.1</v>
      </c>
      <c r="F1005" t="inlineStr">
        <is>
          <t>NC-RH-2</t>
        </is>
      </c>
      <c r="G1005" t="inlineStr">
        <is>
          <t>Tenanted</t>
        </is>
      </c>
    </row>
    <row r="1006">
      <c r="A1006" t="inlineStr">
        <is>
          <t>U-RH460-01-07</t>
        </is>
      </c>
      <c r="B1006" t="inlineStr">
        <is>
          <t>Rimba Heights</t>
        </is>
      </c>
      <c r="C1006" t="inlineStr">
        <is>
          <t>Blk 460 Rimba Heights Street 45 #01-07 Singapura 670460</t>
        </is>
      </c>
      <c r="D1006" t="inlineStr">
        <is>
          <t>Shop</t>
        </is>
      </c>
      <c r="E1006" t="n">
        <v>68.90000000000001</v>
      </c>
      <c r="F1006" t="inlineStr">
        <is>
          <t>NC-RH-2</t>
        </is>
      </c>
      <c r="G1006" t="inlineStr">
        <is>
          <t>Tenanted</t>
        </is>
      </c>
    </row>
    <row r="1007">
      <c r="A1007" t="inlineStr">
        <is>
          <t>U-RH460-01-08</t>
        </is>
      </c>
      <c r="B1007" t="inlineStr">
        <is>
          <t>Rimba Heights</t>
        </is>
      </c>
      <c r="C1007" t="inlineStr">
        <is>
          <t>Blk 460 Rimba Heights Street 45 #01-08 Singapura 670460</t>
        </is>
      </c>
      <c r="D1007" t="inlineStr">
        <is>
          <t>Shop</t>
        </is>
      </c>
      <c r="E1007" t="n">
        <v>70.90000000000001</v>
      </c>
      <c r="F1007" t="inlineStr">
        <is>
          <t>NC-RH-2</t>
        </is>
      </c>
      <c r="G1007" t="inlineStr">
        <is>
          <t>Tenanted</t>
        </is>
      </c>
    </row>
    <row r="1008">
      <c r="A1008" t="inlineStr">
        <is>
          <t>U-RH460-01-09</t>
        </is>
      </c>
      <c r="B1008" t="inlineStr">
        <is>
          <t>Rimba Heights</t>
        </is>
      </c>
      <c r="C1008" t="inlineStr">
        <is>
          <t>Blk 460 Rimba Heights Street 45 #01-09 Singapura 670460</t>
        </is>
      </c>
      <c r="D1008" t="inlineStr">
        <is>
          <t>Shop with Living Quarters</t>
        </is>
      </c>
      <c r="E1008" t="n">
        <v>81</v>
      </c>
      <c r="F1008" t="inlineStr">
        <is>
          <t>NC-RH-2</t>
        </is>
      </c>
      <c r="G1008" t="inlineStr">
        <is>
          <t>Tenanted</t>
        </is>
      </c>
    </row>
    <row r="1009">
      <c r="A1009" t="inlineStr">
        <is>
          <t>U-RH460-01-10</t>
        </is>
      </c>
      <c r="B1009" t="inlineStr">
        <is>
          <t>Rimba Heights</t>
        </is>
      </c>
      <c r="C1009" t="inlineStr">
        <is>
          <t>Blk 460 Rimba Heights Street 45 #01-10 Singapura 670460</t>
        </is>
      </c>
      <c r="D1009" t="inlineStr">
        <is>
          <t>Shop</t>
        </is>
      </c>
      <c r="E1009" t="n">
        <v>53.8</v>
      </c>
      <c r="F1009" t="inlineStr">
        <is>
          <t>NC-RH-2</t>
        </is>
      </c>
      <c r="G1009" t="inlineStr">
        <is>
          <t>Tenanted</t>
        </is>
      </c>
    </row>
    <row r="1010">
      <c r="A1010" t="inlineStr">
        <is>
          <t>U-RH460-01-11</t>
        </is>
      </c>
      <c r="B1010" t="inlineStr">
        <is>
          <t>Rimba Heights</t>
        </is>
      </c>
      <c r="C1010" t="inlineStr">
        <is>
          <t>Blk 460 Rimba Heights Street 45 #01-11 Singapura 670460</t>
        </is>
      </c>
      <c r="D1010" t="inlineStr">
        <is>
          <t>Shop</t>
        </is>
      </c>
      <c r="E1010" t="n">
        <v>119</v>
      </c>
      <c r="F1010" t="inlineStr">
        <is>
          <t>NC-RH-2</t>
        </is>
      </c>
      <c r="G1010" t="inlineStr">
        <is>
          <t>Tenanted</t>
        </is>
      </c>
    </row>
    <row r="1011">
      <c r="A1011" t="inlineStr">
        <is>
          <t>U-RH460-01-12</t>
        </is>
      </c>
      <c r="B1011" t="inlineStr">
        <is>
          <t>Rimba Heights</t>
        </is>
      </c>
      <c r="C1011" t="inlineStr">
        <is>
          <t>Blk 460 Rimba Heights Street 45 #01-12 Singapura 670460</t>
        </is>
      </c>
      <c r="D1011" t="inlineStr">
        <is>
          <t>Shop</t>
        </is>
      </c>
      <c r="E1011" t="n">
        <v>87</v>
      </c>
      <c r="F1011" t="inlineStr">
        <is>
          <t>NC-RH-2</t>
        </is>
      </c>
      <c r="G1011" t="inlineStr">
        <is>
          <t>Tenanted</t>
        </is>
      </c>
    </row>
    <row r="1012">
      <c r="A1012" t="inlineStr">
        <is>
          <t>U-RH460-01-13</t>
        </is>
      </c>
      <c r="B1012" t="inlineStr">
        <is>
          <t>Rimba Heights</t>
        </is>
      </c>
      <c r="C1012" t="inlineStr">
        <is>
          <t>Blk 460 Rimba Heights Street 45 #01-13 Singapura 670460</t>
        </is>
      </c>
      <c r="D1012" t="inlineStr">
        <is>
          <t>Shop</t>
        </is>
      </c>
      <c r="E1012" t="n">
        <v>57.3</v>
      </c>
      <c r="F1012" t="inlineStr">
        <is>
          <t>NC-RH-2</t>
        </is>
      </c>
      <c r="G1012" t="inlineStr">
        <is>
          <t>Tenanted</t>
        </is>
      </c>
    </row>
    <row r="1013">
      <c r="A1013" t="inlineStr">
        <is>
          <t>U-RH460-01-14</t>
        </is>
      </c>
      <c r="B1013" t="inlineStr">
        <is>
          <t>Rimba Heights</t>
        </is>
      </c>
      <c r="C1013" t="inlineStr">
        <is>
          <t>Blk 460 Rimba Heights Street 45 #01-14 Singapura 670460</t>
        </is>
      </c>
      <c r="D1013" t="inlineStr">
        <is>
          <t>Office</t>
        </is>
      </c>
      <c r="E1013" t="n">
        <v>89.8</v>
      </c>
      <c r="F1013" t="inlineStr">
        <is>
          <t>NC-RH-2</t>
        </is>
      </c>
      <c r="G1013" t="inlineStr">
        <is>
          <t>Tenanted</t>
        </is>
      </c>
    </row>
    <row r="1014">
      <c r="A1014" t="inlineStr">
        <is>
          <t>U-RH463-01-01</t>
        </is>
      </c>
      <c r="B1014" t="inlineStr">
        <is>
          <t>Rimba Heights</t>
        </is>
      </c>
      <c r="C1014" t="inlineStr">
        <is>
          <t>Blk 463 Rimba Heights Street 45 #01-01 Singapura 670463</t>
        </is>
      </c>
      <c r="D1014" t="inlineStr">
        <is>
          <t>Shop</t>
        </is>
      </c>
      <c r="E1014" t="n">
        <v>80.09999999999999</v>
      </c>
      <c r="F1014" t="inlineStr">
        <is>
          <t>NC-RH-1</t>
        </is>
      </c>
      <c r="G1014" t="inlineStr">
        <is>
          <t>Tenanted</t>
        </is>
      </c>
    </row>
    <row r="1015">
      <c r="A1015" t="inlineStr">
        <is>
          <t>U-RH463-01-02</t>
        </is>
      </c>
      <c r="B1015" t="inlineStr">
        <is>
          <t>Rimba Heights</t>
        </is>
      </c>
      <c r="C1015" t="inlineStr">
        <is>
          <t>Blk 463 Rimba Heights Street 45 #01-02 Singapura 670463</t>
        </is>
      </c>
      <c r="D1015" t="inlineStr">
        <is>
          <t>Shop</t>
        </is>
      </c>
      <c r="E1015" t="n">
        <v>96.09999999999999</v>
      </c>
      <c r="F1015" t="inlineStr">
        <is>
          <t>NC-RH-1</t>
        </is>
      </c>
      <c r="G1015" t="inlineStr">
        <is>
          <t>Tenanted</t>
        </is>
      </c>
    </row>
    <row r="1016">
      <c r="A1016" t="inlineStr">
        <is>
          <t>U-RH463-01-03</t>
        </is>
      </c>
      <c r="B1016" t="inlineStr">
        <is>
          <t>Rimba Heights</t>
        </is>
      </c>
      <c r="C1016" t="inlineStr">
        <is>
          <t>Blk 463 Rimba Heights Street 45 #01-03 Singapura 670463</t>
        </is>
      </c>
      <c r="D1016" t="inlineStr">
        <is>
          <t>Shop</t>
        </is>
      </c>
      <c r="E1016" t="n">
        <v>82.90000000000001</v>
      </c>
      <c r="F1016" t="inlineStr">
        <is>
          <t>NC-RH-1</t>
        </is>
      </c>
      <c r="G1016" t="inlineStr">
        <is>
          <t>Tenanted</t>
        </is>
      </c>
    </row>
    <row r="1017">
      <c r="A1017" t="inlineStr">
        <is>
          <t>U-RH463-01-04</t>
        </is>
      </c>
      <c r="B1017" t="inlineStr">
        <is>
          <t>Rimba Heights</t>
        </is>
      </c>
      <c r="C1017" t="inlineStr">
        <is>
          <t>Blk 463 Rimba Heights Street 45 #01-04 Singapura 670463</t>
        </is>
      </c>
      <c r="D1017" t="inlineStr">
        <is>
          <t>Shop</t>
        </is>
      </c>
      <c r="E1017" t="n">
        <v>62.2</v>
      </c>
      <c r="F1017" t="inlineStr">
        <is>
          <t>NC-RH-1</t>
        </is>
      </c>
      <c r="G1017" t="inlineStr">
        <is>
          <t>Tenanted</t>
        </is>
      </c>
    </row>
    <row r="1018">
      <c r="A1018" t="inlineStr">
        <is>
          <t>U-RH463-01-05</t>
        </is>
      </c>
      <c r="B1018" t="inlineStr">
        <is>
          <t>Rimba Heights</t>
        </is>
      </c>
      <c r="C1018" t="inlineStr">
        <is>
          <t>Blk 463 Rimba Heights Street 45 #01-05 Singapura 670463</t>
        </is>
      </c>
      <c r="D1018" t="inlineStr">
        <is>
          <t>Shop</t>
        </is>
      </c>
      <c r="E1018" t="n">
        <v>80.90000000000001</v>
      </c>
      <c r="F1018" t="inlineStr">
        <is>
          <t>NC-RH-1</t>
        </is>
      </c>
      <c r="G1018" t="inlineStr">
        <is>
          <t>Tenanted</t>
        </is>
      </c>
    </row>
    <row r="1019">
      <c r="A1019" t="inlineStr">
        <is>
          <t>U-RH463-01-06</t>
        </is>
      </c>
      <c r="B1019" t="inlineStr">
        <is>
          <t>Rimba Heights</t>
        </is>
      </c>
      <c r="C1019" t="inlineStr">
        <is>
          <t>Blk 463 Rimba Heights Street 45 #01-06 Singapura 670463</t>
        </is>
      </c>
      <c r="D1019" t="inlineStr">
        <is>
          <t>Shop</t>
        </is>
      </c>
      <c r="E1019" t="n">
        <v>104.6</v>
      </c>
      <c r="F1019" t="inlineStr">
        <is>
          <t>NC-RH-1</t>
        </is>
      </c>
      <c r="G1019" t="inlineStr">
        <is>
          <t>Tenanted</t>
        </is>
      </c>
    </row>
    <row r="1020">
      <c r="A1020" t="inlineStr">
        <is>
          <t>U-RH463-01-07</t>
        </is>
      </c>
      <c r="B1020" t="inlineStr">
        <is>
          <t>Rimba Heights</t>
        </is>
      </c>
      <c r="C1020" t="inlineStr">
        <is>
          <t>Blk 463 Rimba Heights Street 45 #01-07 Singapura 670463</t>
        </is>
      </c>
      <c r="D1020" t="inlineStr">
        <is>
          <t>Shop</t>
        </is>
      </c>
      <c r="E1020" t="n">
        <v>71.3</v>
      </c>
      <c r="F1020" t="inlineStr">
        <is>
          <t>NC-RH-1</t>
        </is>
      </c>
      <c r="G1020" t="inlineStr">
        <is>
          <t>Tenanted</t>
        </is>
      </c>
    </row>
    <row r="1021">
      <c r="A1021" t="inlineStr">
        <is>
          <t>U-RH463-01-08</t>
        </is>
      </c>
      <c r="B1021" t="inlineStr">
        <is>
          <t>Rimba Heights</t>
        </is>
      </c>
      <c r="C1021" t="inlineStr">
        <is>
          <t>Blk 463 Rimba Heights Street 45 #01-08 Singapura 670463</t>
        </is>
      </c>
      <c r="D1021" t="inlineStr">
        <is>
          <t>Shop</t>
        </is>
      </c>
      <c r="E1021" t="n">
        <v>106.8</v>
      </c>
      <c r="F1021" t="inlineStr">
        <is>
          <t>NC-RH-1</t>
        </is>
      </c>
      <c r="G1021" t="inlineStr">
        <is>
          <t>Tenanted</t>
        </is>
      </c>
    </row>
    <row r="1022">
      <c r="A1022" t="inlineStr">
        <is>
          <t>U-RH463-01-09</t>
        </is>
      </c>
      <c r="B1022" t="inlineStr">
        <is>
          <t>Rimba Heights</t>
        </is>
      </c>
      <c r="C1022" t="inlineStr">
        <is>
          <t>Blk 463 Rimba Heights Street 45 #01-09 Singapura 670463</t>
        </is>
      </c>
      <c r="D1022" t="inlineStr">
        <is>
          <t>Shop</t>
        </is>
      </c>
      <c r="E1022" t="n">
        <v>45.3</v>
      </c>
      <c r="F1022" t="inlineStr">
        <is>
          <t>NC-RH-1</t>
        </is>
      </c>
      <c r="G1022" t="inlineStr">
        <is>
          <t>Tenanted</t>
        </is>
      </c>
    </row>
    <row r="1023">
      <c r="A1023" t="inlineStr">
        <is>
          <t>U-RH463-01-10</t>
        </is>
      </c>
      <c r="B1023" t="inlineStr">
        <is>
          <t>Rimba Heights</t>
        </is>
      </c>
      <c r="C1023" t="inlineStr">
        <is>
          <t>Blk 463 Rimba Heights Street 45 #01-10 Singapura 670463</t>
        </is>
      </c>
      <c r="D1023" t="inlineStr">
        <is>
          <t>Kiosk</t>
        </is>
      </c>
      <c r="E1023" t="n">
        <v>12.6</v>
      </c>
      <c r="F1023" t="inlineStr">
        <is>
          <t>NC-RH-1</t>
        </is>
      </c>
      <c r="G1023" t="inlineStr">
        <is>
          <t>Tenanted</t>
        </is>
      </c>
    </row>
    <row r="1024">
      <c r="A1024" t="inlineStr">
        <is>
          <t>U-RH464-01-01</t>
        </is>
      </c>
      <c r="B1024" t="inlineStr">
        <is>
          <t>Rimba Heights</t>
        </is>
      </c>
      <c r="C1024" t="inlineStr">
        <is>
          <t>Blk 464 Rimba Walk #01-01 Singapura 670464</t>
        </is>
      </c>
      <c r="D1024" t="inlineStr">
        <is>
          <t>Shop</t>
        </is>
      </c>
      <c r="E1024" t="n">
        <v>46.9</v>
      </c>
      <c r="F1024" t="inlineStr">
        <is>
          <t>NC-RH-1</t>
        </is>
      </c>
      <c r="G1024" t="inlineStr">
        <is>
          <t>Tenanted</t>
        </is>
      </c>
    </row>
    <row r="1025">
      <c r="A1025" t="inlineStr">
        <is>
          <t>U-RH464-01-02</t>
        </is>
      </c>
      <c r="B1025" t="inlineStr">
        <is>
          <t>Rimba Heights</t>
        </is>
      </c>
      <c r="C1025" t="inlineStr">
        <is>
          <t>Blk 464 Rimba Walk #01-02 Singapura 670464</t>
        </is>
      </c>
      <c r="D1025" t="inlineStr">
        <is>
          <t>Shop</t>
        </is>
      </c>
      <c r="E1025" t="n">
        <v>76.3</v>
      </c>
      <c r="F1025" t="inlineStr">
        <is>
          <t>NC-RH-1</t>
        </is>
      </c>
      <c r="G1025" t="inlineStr">
        <is>
          <t>Tenanted</t>
        </is>
      </c>
    </row>
    <row r="1026">
      <c r="A1026" t="inlineStr">
        <is>
          <t>U-RH464-01-03</t>
        </is>
      </c>
      <c r="B1026" t="inlineStr">
        <is>
          <t>Rimba Heights</t>
        </is>
      </c>
      <c r="C1026" t="inlineStr">
        <is>
          <t>Blk 464 Rimba Walk #01-03 Singapura 670464</t>
        </is>
      </c>
      <c r="D1026" t="inlineStr">
        <is>
          <t>Shop</t>
        </is>
      </c>
      <c r="E1026" t="n">
        <v>64.7</v>
      </c>
      <c r="F1026" t="inlineStr">
        <is>
          <t>NC-RH-1</t>
        </is>
      </c>
      <c r="G1026" t="inlineStr">
        <is>
          <t>Tenanted</t>
        </is>
      </c>
    </row>
    <row r="1027">
      <c r="A1027" t="inlineStr">
        <is>
          <t>U-RH464-01-04</t>
        </is>
      </c>
      <c r="B1027" t="inlineStr">
        <is>
          <t>Rimba Heights</t>
        </is>
      </c>
      <c r="C1027" t="inlineStr">
        <is>
          <t>Blk 464 Rimba Walk #01-04 Singapura 670464</t>
        </is>
      </c>
      <c r="D1027" t="inlineStr">
        <is>
          <t>Kiosk</t>
        </is>
      </c>
      <c r="E1027" t="n">
        <v>12.7</v>
      </c>
      <c r="F1027" t="inlineStr">
        <is>
          <t>NC-RH-1</t>
        </is>
      </c>
      <c r="G1027" t="inlineStr">
        <is>
          <t>Tenanted</t>
        </is>
      </c>
    </row>
    <row r="1028">
      <c r="A1028" t="inlineStr">
        <is>
          <t>U-RH464-01-05</t>
        </is>
      </c>
      <c r="B1028" t="inlineStr">
        <is>
          <t>Rimba Heights</t>
        </is>
      </c>
      <c r="C1028" t="inlineStr">
        <is>
          <t>Blk 464 Rimba Walk #01-05 Singapura 670464</t>
        </is>
      </c>
      <c r="D1028" t="inlineStr">
        <is>
          <t>Shop</t>
        </is>
      </c>
      <c r="E1028" t="n">
        <v>96.59999999999999</v>
      </c>
      <c r="F1028" t="inlineStr">
        <is>
          <t>NC-RH-1</t>
        </is>
      </c>
      <c r="G1028" t="inlineStr">
        <is>
          <t>Tenanted</t>
        </is>
      </c>
    </row>
    <row r="1029">
      <c r="A1029" t="inlineStr">
        <is>
          <t>U-RH464-01-06</t>
        </is>
      </c>
      <c r="B1029" t="inlineStr">
        <is>
          <t>Rimba Heights</t>
        </is>
      </c>
      <c r="C1029" t="inlineStr">
        <is>
          <t>Blk 464 Rimba Walk #01-06 Singapura 670464</t>
        </is>
      </c>
      <c r="D1029" t="inlineStr">
        <is>
          <t>Kiosk</t>
        </is>
      </c>
      <c r="E1029" t="n">
        <v>7.5</v>
      </c>
      <c r="F1029" t="inlineStr">
        <is>
          <t>NC-RH-1</t>
        </is>
      </c>
      <c r="G1029" t="inlineStr">
        <is>
          <t>Tenanted</t>
        </is>
      </c>
    </row>
    <row r="1030">
      <c r="A1030" t="inlineStr">
        <is>
          <t>U-RH464-02-07</t>
        </is>
      </c>
      <c r="B1030" t="inlineStr">
        <is>
          <t>Rimba Heights</t>
        </is>
      </c>
      <c r="C1030" t="inlineStr">
        <is>
          <t>Blk 464 Rimba Walk #02-07 Singapura 670464</t>
        </is>
      </c>
      <c r="D1030" t="inlineStr">
        <is>
          <t>Office</t>
        </is>
      </c>
      <c r="E1030" t="n">
        <v>128.3</v>
      </c>
      <c r="F1030" t="inlineStr">
        <is>
          <t>NC-RH-1</t>
        </is>
      </c>
      <c r="G1030" t="inlineStr">
        <is>
          <t>Tenanted</t>
        </is>
      </c>
    </row>
    <row r="1031">
      <c r="A1031" t="inlineStr">
        <is>
          <t>U-RH464-01-08</t>
        </is>
      </c>
      <c r="B1031" t="inlineStr">
        <is>
          <t>Rimba Heights</t>
        </is>
      </c>
      <c r="C1031" t="inlineStr">
        <is>
          <t>Blk 464 Rimba Walk #01-08 Singapura 670464</t>
        </is>
      </c>
      <c r="D1031" t="inlineStr">
        <is>
          <t>Kiosk</t>
        </is>
      </c>
      <c r="E1031" t="n">
        <v>7.5</v>
      </c>
      <c r="F1031" t="inlineStr">
        <is>
          <t>NC-RH-1</t>
        </is>
      </c>
      <c r="G1031" t="inlineStr">
        <is>
          <t>Tenanted</t>
        </is>
      </c>
    </row>
    <row r="1032">
      <c r="A1032" t="inlineStr">
        <is>
          <t>U-RH464-01-09</t>
        </is>
      </c>
      <c r="B1032" t="inlineStr">
        <is>
          <t>Rimba Heights</t>
        </is>
      </c>
      <c r="C1032" t="inlineStr">
        <is>
          <t>Blk 464 Rimba Walk #01-09 Singapura 670464</t>
        </is>
      </c>
      <c r="D1032" t="inlineStr">
        <is>
          <t>Shop</t>
        </is>
      </c>
      <c r="E1032" t="n">
        <v>102.5</v>
      </c>
      <c r="F1032" t="inlineStr">
        <is>
          <t>NC-RH-1</t>
        </is>
      </c>
      <c r="G1032" t="inlineStr">
        <is>
          <t>Tenanted</t>
        </is>
      </c>
    </row>
    <row r="1033">
      <c r="A1033" t="inlineStr">
        <is>
          <t>U-RH466-01-01</t>
        </is>
      </c>
      <c r="B1033" t="inlineStr">
        <is>
          <t>Rimba Heights</t>
        </is>
      </c>
      <c r="C1033" t="inlineStr">
        <is>
          <t>Blk 466 Rimba Heights Street 45 #01-01 Singapura 670466</t>
        </is>
      </c>
      <c r="D1033" t="inlineStr">
        <is>
          <t>Kiosk</t>
        </is>
      </c>
      <c r="E1033" t="n">
        <v>7.1</v>
      </c>
      <c r="F1033" t="inlineStr">
        <is>
          <t>NC-RH-3</t>
        </is>
      </c>
      <c r="G1033" t="inlineStr">
        <is>
          <t>Tenanted</t>
        </is>
      </c>
    </row>
    <row r="1034">
      <c r="A1034" t="inlineStr">
        <is>
          <t>U-RH466-02-02</t>
        </is>
      </c>
      <c r="B1034" t="inlineStr">
        <is>
          <t>Rimba Heights</t>
        </is>
      </c>
      <c r="C1034" t="inlineStr">
        <is>
          <t>Blk 466 Rimba Heights Street 45 #02-02 Singapura 670466</t>
        </is>
      </c>
      <c r="D1034" t="inlineStr">
        <is>
          <t>Office</t>
        </is>
      </c>
      <c r="E1034" t="n">
        <v>92.90000000000001</v>
      </c>
      <c r="F1034" t="inlineStr">
        <is>
          <t>NC-RH-3</t>
        </is>
      </c>
      <c r="G1034" t="inlineStr">
        <is>
          <t>Tenanted</t>
        </is>
      </c>
    </row>
    <row r="1035">
      <c r="A1035" t="inlineStr">
        <is>
          <t>U-RH466-01-03</t>
        </is>
      </c>
      <c r="B1035" t="inlineStr">
        <is>
          <t>Rimba Heights</t>
        </is>
      </c>
      <c r="C1035" t="inlineStr">
        <is>
          <t>Blk 466 Rimba Heights Street 45 #01-03 Singapura 670466</t>
        </is>
      </c>
      <c r="D1035" t="inlineStr">
        <is>
          <t>Shop</t>
        </is>
      </c>
      <c r="E1035" t="n">
        <v>61</v>
      </c>
      <c r="F1035" t="inlineStr">
        <is>
          <t>NC-RH-3</t>
        </is>
      </c>
      <c r="G1035" t="inlineStr">
        <is>
          <t>Tenanted</t>
        </is>
      </c>
    </row>
    <row r="1036">
      <c r="A1036" t="inlineStr">
        <is>
          <t>U-RH466-02-04</t>
        </is>
      </c>
      <c r="B1036" t="inlineStr">
        <is>
          <t>Rimba Heights</t>
        </is>
      </c>
      <c r="C1036" t="inlineStr">
        <is>
          <t>Blk 466 Rimba Heights Street 45 #02-04 Singapura 670466</t>
        </is>
      </c>
      <c r="D1036" t="inlineStr">
        <is>
          <t>Office</t>
        </is>
      </c>
      <c r="E1036" t="n">
        <v>99.59999999999999</v>
      </c>
      <c r="F1036" t="inlineStr">
        <is>
          <t>NC-RH-3</t>
        </is>
      </c>
      <c r="G1036" t="inlineStr">
        <is>
          <t>Tenanted</t>
        </is>
      </c>
    </row>
    <row r="1037">
      <c r="A1037" t="inlineStr">
        <is>
          <t>U-RH466-01-05</t>
        </is>
      </c>
      <c r="B1037" t="inlineStr">
        <is>
          <t>Rimba Heights</t>
        </is>
      </c>
      <c r="C1037" t="inlineStr">
        <is>
          <t>Blk 466 Rimba Heights Street 45 #01-05 Singapura 670466</t>
        </is>
      </c>
      <c r="D1037" t="inlineStr">
        <is>
          <t>Shop</t>
        </is>
      </c>
      <c r="E1037" t="n">
        <v>44.4</v>
      </c>
      <c r="F1037" t="inlineStr">
        <is>
          <t>NC-RH-3</t>
        </is>
      </c>
      <c r="G1037" t="inlineStr">
        <is>
          <t>Tenanted</t>
        </is>
      </c>
    </row>
    <row r="1038">
      <c r="A1038" t="inlineStr">
        <is>
          <t>U-RH466-01-06</t>
        </is>
      </c>
      <c r="B1038" t="inlineStr">
        <is>
          <t>Rimba Heights</t>
        </is>
      </c>
      <c r="C1038" t="inlineStr">
        <is>
          <t>Blk 466 Rimba Heights Street 45 #01-06 Singapura 670466</t>
        </is>
      </c>
      <c r="D1038" t="inlineStr">
        <is>
          <t>Shop with Living Quarters</t>
        </is>
      </c>
      <c r="E1038" t="n">
        <v>68.3</v>
      </c>
      <c r="F1038" t="inlineStr">
        <is>
          <t>NC-RH-3</t>
        </is>
      </c>
      <c r="G1038" t="inlineStr">
        <is>
          <t>Tenanted</t>
        </is>
      </c>
    </row>
    <row r="1039">
      <c r="A1039" t="inlineStr">
        <is>
          <t>U-RH466-01-07</t>
        </is>
      </c>
      <c r="B1039" t="inlineStr">
        <is>
          <t>Rimba Heights</t>
        </is>
      </c>
      <c r="C1039" t="inlineStr">
        <is>
          <t>Blk 466 Rimba Heights Street 45 #01-07 Singapura 670466</t>
        </is>
      </c>
      <c r="D1039" t="inlineStr">
        <is>
          <t>Shop</t>
        </is>
      </c>
      <c r="E1039" t="n">
        <v>101.9</v>
      </c>
      <c r="F1039" t="inlineStr">
        <is>
          <t>NC-RH-3</t>
        </is>
      </c>
      <c r="G1039" t="inlineStr">
        <is>
          <t>Tenanted</t>
        </is>
      </c>
    </row>
    <row r="1040">
      <c r="A1040" t="inlineStr">
        <is>
          <t>U-RH466-02-08</t>
        </is>
      </c>
      <c r="B1040" t="inlineStr">
        <is>
          <t>Rimba Heights</t>
        </is>
      </c>
      <c r="C1040" t="inlineStr">
        <is>
          <t>Blk 466 Rimba Heights Street 45 #02-08 Singapura 670466</t>
        </is>
      </c>
      <c r="D1040" t="inlineStr">
        <is>
          <t>Office</t>
        </is>
      </c>
      <c r="E1040" t="n">
        <v>61.5</v>
      </c>
      <c r="F1040" t="inlineStr">
        <is>
          <t>NC-RH-3</t>
        </is>
      </c>
      <c r="G1040" t="inlineStr">
        <is>
          <t>Tenanted</t>
        </is>
      </c>
    </row>
    <row r="1041">
      <c r="A1041" t="inlineStr">
        <is>
          <t>U-RH466-01-09</t>
        </is>
      </c>
      <c r="B1041" t="inlineStr">
        <is>
          <t>Rimba Heights</t>
        </is>
      </c>
      <c r="C1041" t="inlineStr">
        <is>
          <t>Blk 466 Rimba Heights Street 45 #01-09 Singapura 670466</t>
        </is>
      </c>
      <c r="D1041" t="inlineStr">
        <is>
          <t>Kiosk</t>
        </is>
      </c>
      <c r="E1041" t="n">
        <v>6</v>
      </c>
      <c r="F1041" t="inlineStr">
        <is>
          <t>NC-RH-3</t>
        </is>
      </c>
      <c r="G1041" t="inlineStr">
        <is>
          <t>Tenanted</t>
        </is>
      </c>
    </row>
    <row r="1042">
      <c r="A1042" t="inlineStr">
        <is>
          <t>U-RH466-01-10</t>
        </is>
      </c>
      <c r="B1042" t="inlineStr">
        <is>
          <t>Rimba Heights</t>
        </is>
      </c>
      <c r="C1042" t="inlineStr">
        <is>
          <t>Blk 466 Rimba Heights Street 45 #01-10 Singapura 670466</t>
        </is>
      </c>
      <c r="D1042" t="inlineStr">
        <is>
          <t>Shop with Living Quarters</t>
        </is>
      </c>
      <c r="E1042" t="n">
        <v>60.6</v>
      </c>
      <c r="F1042" t="inlineStr">
        <is>
          <t>NC-RH-3</t>
        </is>
      </c>
      <c r="G1042" t="inlineStr">
        <is>
          <t>Tenanted</t>
        </is>
      </c>
    </row>
    <row r="1043">
      <c r="A1043" t="inlineStr">
        <is>
          <t>U-RH471-01-01</t>
        </is>
      </c>
      <c r="B1043" t="inlineStr">
        <is>
          <t>Rimba Heights</t>
        </is>
      </c>
      <c r="C1043" t="inlineStr">
        <is>
          <t>Blk 471 Rimba Heights Road #01-01 Singapura 670471</t>
        </is>
      </c>
      <c r="D1043" t="inlineStr">
        <is>
          <t>Shop</t>
        </is>
      </c>
      <c r="E1043" t="n">
        <v>70.59999999999999</v>
      </c>
      <c r="F1043" t="inlineStr">
        <is>
          <t>NC-RH-2</t>
        </is>
      </c>
      <c r="G1043" t="inlineStr">
        <is>
          <t>Tenanted</t>
        </is>
      </c>
    </row>
    <row r="1044">
      <c r="A1044" t="inlineStr">
        <is>
          <t>U-RH471-01-02</t>
        </is>
      </c>
      <c r="B1044" t="inlineStr">
        <is>
          <t>Rimba Heights</t>
        </is>
      </c>
      <c r="C1044" t="inlineStr">
        <is>
          <t>Blk 471 Rimba Heights Road #01-02 Singapura 670471</t>
        </is>
      </c>
      <c r="D1044" t="inlineStr">
        <is>
          <t>Shop</t>
        </is>
      </c>
      <c r="E1044" t="n">
        <v>114.5</v>
      </c>
      <c r="F1044" t="inlineStr">
        <is>
          <t>NC-RH-2</t>
        </is>
      </c>
      <c r="G1044" t="inlineStr">
        <is>
          <t>Tenanted</t>
        </is>
      </c>
    </row>
    <row r="1045">
      <c r="A1045" t="inlineStr">
        <is>
          <t>U-RH471-01-03</t>
        </is>
      </c>
      <c r="B1045" t="inlineStr">
        <is>
          <t>Rimba Heights</t>
        </is>
      </c>
      <c r="C1045" t="inlineStr">
        <is>
          <t>Blk 471 Rimba Heights Road #01-03 Singapura 670471</t>
        </is>
      </c>
      <c r="D1045" t="inlineStr">
        <is>
          <t>Shop with Living Quarters</t>
        </is>
      </c>
      <c r="E1045" t="n">
        <v>87.59999999999999</v>
      </c>
      <c r="F1045" t="inlineStr">
        <is>
          <t>NC-RH-2</t>
        </is>
      </c>
      <c r="G1045" t="inlineStr">
        <is>
          <t>Tenanted</t>
        </is>
      </c>
    </row>
    <row r="1046">
      <c r="A1046" t="inlineStr">
        <is>
          <t>U-RH471-01-04</t>
        </is>
      </c>
      <c r="B1046" t="inlineStr">
        <is>
          <t>Rimba Heights</t>
        </is>
      </c>
      <c r="C1046" t="inlineStr">
        <is>
          <t>Blk 471 Rimba Heights Road #01-04 Singapura 670471</t>
        </is>
      </c>
      <c r="D1046" t="inlineStr">
        <is>
          <t>Office</t>
        </is>
      </c>
      <c r="E1046" t="n">
        <v>91.90000000000001</v>
      </c>
      <c r="F1046" t="inlineStr">
        <is>
          <t>NC-RH-2</t>
        </is>
      </c>
      <c r="G1046" t="inlineStr">
        <is>
          <t>Tenanted</t>
        </is>
      </c>
    </row>
    <row r="1047">
      <c r="A1047" t="inlineStr">
        <is>
          <t>U-RH471-01-05</t>
        </is>
      </c>
      <c r="B1047" t="inlineStr">
        <is>
          <t>Rimba Heights</t>
        </is>
      </c>
      <c r="C1047" t="inlineStr">
        <is>
          <t>Blk 471 Rimba Heights Road #01-05 Singapura 670471</t>
        </is>
      </c>
      <c r="D1047" t="inlineStr">
        <is>
          <t>Shop</t>
        </is>
      </c>
      <c r="E1047" t="n">
        <v>73.3</v>
      </c>
      <c r="F1047" t="inlineStr">
        <is>
          <t>NC-RH-2</t>
        </is>
      </c>
      <c r="G1047" t="inlineStr">
        <is>
          <t>Tenanted</t>
        </is>
      </c>
    </row>
    <row r="1048">
      <c r="A1048" t="inlineStr">
        <is>
          <t>U-RH471-01-06</t>
        </is>
      </c>
      <c r="B1048" t="inlineStr">
        <is>
          <t>Rimba Heights</t>
        </is>
      </c>
      <c r="C1048" t="inlineStr">
        <is>
          <t>Blk 471 Rimba Heights Road #01-06 Singapura 670471</t>
        </is>
      </c>
      <c r="D1048" t="inlineStr">
        <is>
          <t>Kiosk</t>
        </is>
      </c>
      <c r="E1048" t="n">
        <v>8.4</v>
      </c>
      <c r="F1048" t="inlineStr">
        <is>
          <t>NC-RH-2</t>
        </is>
      </c>
      <c r="G1048" t="inlineStr">
        <is>
          <t>Tenanted</t>
        </is>
      </c>
    </row>
    <row r="1049">
      <c r="A1049" t="inlineStr">
        <is>
          <t>U-RH473-01-01</t>
        </is>
      </c>
      <c r="B1049" t="inlineStr">
        <is>
          <t>Rimba Heights</t>
        </is>
      </c>
      <c r="C1049" t="inlineStr">
        <is>
          <t>Blk 473 Rimba Heights Street 45 #01-01 Singapura 670473</t>
        </is>
      </c>
      <c r="D1049" t="inlineStr">
        <is>
          <t>Shop</t>
        </is>
      </c>
      <c r="E1049" t="n">
        <v>49.6</v>
      </c>
      <c r="F1049" t="inlineStr">
        <is>
          <t>NC-RH-2</t>
        </is>
      </c>
      <c r="G1049" t="inlineStr">
        <is>
          <t>Tenanted</t>
        </is>
      </c>
    </row>
    <row r="1050">
      <c r="A1050" t="inlineStr">
        <is>
          <t>U-RH473-01-02</t>
        </is>
      </c>
      <c r="B1050" t="inlineStr">
        <is>
          <t>Rimba Heights</t>
        </is>
      </c>
      <c r="C1050" t="inlineStr">
        <is>
          <t>Blk 473 Rimba Heights Street 45 #01-02 Singapura 670473</t>
        </is>
      </c>
      <c r="D1050" t="inlineStr">
        <is>
          <t>Shop</t>
        </is>
      </c>
      <c r="E1050" t="n">
        <v>44.2</v>
      </c>
      <c r="F1050" t="inlineStr">
        <is>
          <t>NC-RH-2</t>
        </is>
      </c>
      <c r="G1050" t="inlineStr">
        <is>
          <t>Tenanted</t>
        </is>
      </c>
    </row>
    <row r="1051">
      <c r="A1051" t="inlineStr">
        <is>
          <t>U-RH473-01-03</t>
        </is>
      </c>
      <c r="B1051" t="inlineStr">
        <is>
          <t>Rimba Heights</t>
        </is>
      </c>
      <c r="C1051" t="inlineStr">
        <is>
          <t>Blk 473 Rimba Heights Street 45 #01-03 Singapura 670473</t>
        </is>
      </c>
      <c r="D1051" t="inlineStr">
        <is>
          <t>Shop</t>
        </is>
      </c>
      <c r="E1051" t="n">
        <v>81.3</v>
      </c>
      <c r="F1051" t="inlineStr">
        <is>
          <t>NC-RH-2</t>
        </is>
      </c>
      <c r="G1051" t="inlineStr">
        <is>
          <t>Tenanted</t>
        </is>
      </c>
    </row>
    <row r="1052">
      <c r="A1052" t="inlineStr">
        <is>
          <t>U-RH473-01-04</t>
        </is>
      </c>
      <c r="B1052" t="inlineStr">
        <is>
          <t>Rimba Heights</t>
        </is>
      </c>
      <c r="C1052" t="inlineStr">
        <is>
          <t>Blk 473 Rimba Heights Street 45 #01-04 Singapura 670473</t>
        </is>
      </c>
      <c r="D1052" t="inlineStr">
        <is>
          <t>Shop</t>
        </is>
      </c>
      <c r="E1052" t="n">
        <v>72.09999999999999</v>
      </c>
      <c r="F1052" t="inlineStr">
        <is>
          <t>NC-RH-2</t>
        </is>
      </c>
      <c r="G1052" t="inlineStr">
        <is>
          <t>Tenanted</t>
        </is>
      </c>
    </row>
    <row r="1053">
      <c r="A1053" t="inlineStr">
        <is>
          <t>U-RH473-01-05</t>
        </is>
      </c>
      <c r="B1053" t="inlineStr">
        <is>
          <t>Rimba Heights</t>
        </is>
      </c>
      <c r="C1053" t="inlineStr">
        <is>
          <t>Blk 473 Rimba Heights Street 45 #01-05 Singapura 670473</t>
        </is>
      </c>
      <c r="D1053" t="inlineStr">
        <is>
          <t>Office</t>
        </is>
      </c>
      <c r="E1053" t="n">
        <v>127.4</v>
      </c>
      <c r="F1053" t="inlineStr">
        <is>
          <t>NC-RH-2</t>
        </is>
      </c>
      <c r="G1053" t="inlineStr">
        <is>
          <t>Vacant</t>
        </is>
      </c>
    </row>
    <row r="1054">
      <c r="A1054" t="inlineStr">
        <is>
          <t>U-RH473-01-06</t>
        </is>
      </c>
      <c r="B1054" t="inlineStr">
        <is>
          <t>Rimba Heights</t>
        </is>
      </c>
      <c r="C1054" t="inlineStr">
        <is>
          <t>Blk 473 Rimba Heights Street 45 #01-06 Singapura 670473</t>
        </is>
      </c>
      <c r="D1054" t="inlineStr">
        <is>
          <t>Shop</t>
        </is>
      </c>
      <c r="E1054" t="n">
        <v>46.9</v>
      </c>
      <c r="F1054" t="inlineStr">
        <is>
          <t>NC-RH-2</t>
        </is>
      </c>
      <c r="G1054" t="inlineStr">
        <is>
          <t>Tenanted</t>
        </is>
      </c>
    </row>
    <row r="1055">
      <c r="A1055" t="inlineStr">
        <is>
          <t>U-RH473-01-07</t>
        </is>
      </c>
      <c r="B1055" t="inlineStr">
        <is>
          <t>Rimba Heights</t>
        </is>
      </c>
      <c r="C1055" t="inlineStr">
        <is>
          <t>Blk 473 Rimba Heights Street 45 #01-07 Singapura 670473</t>
        </is>
      </c>
      <c r="D1055" t="inlineStr">
        <is>
          <t>Shop</t>
        </is>
      </c>
      <c r="E1055" t="n">
        <v>69.5</v>
      </c>
      <c r="F1055" t="inlineStr">
        <is>
          <t>NC-RH-2</t>
        </is>
      </c>
      <c r="G1055" t="inlineStr">
        <is>
          <t>Tenanted</t>
        </is>
      </c>
    </row>
    <row r="1056">
      <c r="A1056" t="inlineStr">
        <is>
          <t>U-RH476-01-01</t>
        </is>
      </c>
      <c r="B1056" t="inlineStr">
        <is>
          <t>Rimba Heights</t>
        </is>
      </c>
      <c r="C1056" t="inlineStr">
        <is>
          <t>Blk 476 Rimba Walk #01-01 Singapura 670476</t>
        </is>
      </c>
      <c r="D1056" t="inlineStr">
        <is>
          <t>Shop</t>
        </is>
      </c>
      <c r="E1056" t="n">
        <v>64.3</v>
      </c>
      <c r="F1056" t="inlineStr">
        <is>
          <t>NC-RH-2</t>
        </is>
      </c>
      <c r="G1056" t="inlineStr">
        <is>
          <t>Tenanted</t>
        </is>
      </c>
    </row>
    <row r="1057">
      <c r="A1057" t="inlineStr">
        <is>
          <t>U-RH476-01-02</t>
        </is>
      </c>
      <c r="B1057" t="inlineStr">
        <is>
          <t>Rimba Heights</t>
        </is>
      </c>
      <c r="C1057" t="inlineStr">
        <is>
          <t>Blk 476 Rimba Walk #01-02 Singapura 670476</t>
        </is>
      </c>
      <c r="D1057" t="inlineStr">
        <is>
          <t>Shop</t>
        </is>
      </c>
      <c r="E1057" t="n">
        <v>77.09999999999999</v>
      </c>
      <c r="F1057" t="inlineStr">
        <is>
          <t>NC-RH-2</t>
        </is>
      </c>
      <c r="G1057" t="inlineStr">
        <is>
          <t>Tenanted</t>
        </is>
      </c>
    </row>
    <row r="1058">
      <c r="A1058" t="inlineStr">
        <is>
          <t>U-RH476-01-03</t>
        </is>
      </c>
      <c r="B1058" t="inlineStr">
        <is>
          <t>Rimba Heights</t>
        </is>
      </c>
      <c r="C1058" t="inlineStr">
        <is>
          <t>Blk 476 Rimba Walk #01-03 Singapura 670476</t>
        </is>
      </c>
      <c r="D1058" t="inlineStr">
        <is>
          <t>Shop</t>
        </is>
      </c>
      <c r="E1058" t="n">
        <v>79.5</v>
      </c>
      <c r="F1058" t="inlineStr">
        <is>
          <t>NC-RH-2</t>
        </is>
      </c>
      <c r="G1058" t="inlineStr">
        <is>
          <t>Tenanted</t>
        </is>
      </c>
    </row>
    <row r="1059">
      <c r="A1059" t="inlineStr">
        <is>
          <t>U-RH476-01-04</t>
        </is>
      </c>
      <c r="B1059" t="inlineStr">
        <is>
          <t>Rimba Heights</t>
        </is>
      </c>
      <c r="C1059" t="inlineStr">
        <is>
          <t>Blk 476 Rimba Walk #01-04 Singapura 670476</t>
        </is>
      </c>
      <c r="D1059" t="inlineStr">
        <is>
          <t>Kiosk</t>
        </is>
      </c>
      <c r="E1059" t="n">
        <v>7.8</v>
      </c>
      <c r="F1059" t="inlineStr">
        <is>
          <t>NC-RH-2</t>
        </is>
      </c>
      <c r="G1059" t="inlineStr">
        <is>
          <t>Tenanted</t>
        </is>
      </c>
    </row>
    <row r="1060">
      <c r="A1060" t="inlineStr">
        <is>
          <t>U-RH476-01-05</t>
        </is>
      </c>
      <c r="B1060" t="inlineStr">
        <is>
          <t>Rimba Heights</t>
        </is>
      </c>
      <c r="C1060" t="inlineStr">
        <is>
          <t>Blk 476 Rimba Walk #01-05 Singapura 670476</t>
        </is>
      </c>
      <c r="D1060" t="inlineStr">
        <is>
          <t>Office</t>
        </is>
      </c>
      <c r="E1060" t="n">
        <v>74.5</v>
      </c>
      <c r="F1060" t="inlineStr">
        <is>
          <t>NC-RH-2</t>
        </is>
      </c>
      <c r="G1060" t="inlineStr">
        <is>
          <t>Tenanted</t>
        </is>
      </c>
    </row>
    <row r="1061">
      <c r="A1061" t="inlineStr">
        <is>
          <t>U-RH476-01-06</t>
        </is>
      </c>
      <c r="B1061" t="inlineStr">
        <is>
          <t>Rimba Heights</t>
        </is>
      </c>
      <c r="C1061" t="inlineStr">
        <is>
          <t>Blk 476 Rimba Walk #01-06 Singapura 670476</t>
        </is>
      </c>
      <c r="D1061" t="inlineStr">
        <is>
          <t>Shop</t>
        </is>
      </c>
      <c r="E1061" t="n">
        <v>72.8</v>
      </c>
      <c r="F1061" t="inlineStr">
        <is>
          <t>NC-RH-2</t>
        </is>
      </c>
      <c r="G1061" t="inlineStr">
        <is>
          <t>Tenanted</t>
        </is>
      </c>
    </row>
    <row r="1062">
      <c r="A1062" t="inlineStr">
        <is>
          <t>U-RH476-01-07</t>
        </is>
      </c>
      <c r="B1062" t="inlineStr">
        <is>
          <t>Rimba Heights</t>
        </is>
      </c>
      <c r="C1062" t="inlineStr">
        <is>
          <t>Blk 476 Rimba Walk #01-07 Singapura 670476</t>
        </is>
      </c>
      <c r="D1062" t="inlineStr">
        <is>
          <t>Shop</t>
        </is>
      </c>
      <c r="E1062" t="n">
        <v>67.7</v>
      </c>
      <c r="F1062" t="inlineStr">
        <is>
          <t>NC-RH-2</t>
        </is>
      </c>
      <c r="G1062" t="inlineStr">
        <is>
          <t>Tenanted</t>
        </is>
      </c>
    </row>
    <row r="1063">
      <c r="A1063" t="inlineStr">
        <is>
          <t>U-RH476-01-08</t>
        </is>
      </c>
      <c r="B1063" t="inlineStr">
        <is>
          <t>Rimba Heights</t>
        </is>
      </c>
      <c r="C1063" t="inlineStr">
        <is>
          <t>Blk 476 Rimba Walk #01-08 Singapura 670476</t>
        </is>
      </c>
      <c r="D1063" t="inlineStr">
        <is>
          <t>Shop with Living Quarters</t>
        </is>
      </c>
      <c r="E1063" t="n">
        <v>103.9</v>
      </c>
      <c r="F1063" t="inlineStr">
        <is>
          <t>NC-RH-2</t>
        </is>
      </c>
      <c r="G1063" t="inlineStr">
        <is>
          <t>Tenanted</t>
        </is>
      </c>
    </row>
    <row r="1064">
      <c r="A1064" t="inlineStr">
        <is>
          <t>U-RH476-02-09</t>
        </is>
      </c>
      <c r="B1064" t="inlineStr">
        <is>
          <t>Rimba Heights</t>
        </is>
      </c>
      <c r="C1064" t="inlineStr">
        <is>
          <t>Blk 476 Rimba Walk #02-09 Singapura 670476</t>
        </is>
      </c>
      <c r="D1064" t="inlineStr">
        <is>
          <t>Office</t>
        </is>
      </c>
      <c r="E1064" t="n">
        <v>115.7</v>
      </c>
      <c r="F1064" t="inlineStr">
        <is>
          <t>NC-RH-2</t>
        </is>
      </c>
      <c r="G1064" t="inlineStr">
        <is>
          <t>Tenanted</t>
        </is>
      </c>
    </row>
    <row r="1065">
      <c r="A1065" t="inlineStr">
        <is>
          <t>U-RH476-01-10</t>
        </is>
      </c>
      <c r="B1065" t="inlineStr">
        <is>
          <t>Rimba Heights</t>
        </is>
      </c>
      <c r="C1065" t="inlineStr">
        <is>
          <t>Blk 476 Rimba Walk #01-10 Singapura 670476</t>
        </is>
      </c>
      <c r="D1065" t="inlineStr">
        <is>
          <t>Shop with Living Quarters</t>
        </is>
      </c>
      <c r="E1065" t="n">
        <v>96.40000000000001</v>
      </c>
      <c r="F1065" t="inlineStr">
        <is>
          <t>NC-RH-2</t>
        </is>
      </c>
      <c r="G1065" t="inlineStr">
        <is>
          <t>Tenanted</t>
        </is>
      </c>
    </row>
    <row r="1066">
      <c r="A1066" t="inlineStr">
        <is>
          <t>U-RH482-01-01</t>
        </is>
      </c>
      <c r="B1066" t="inlineStr">
        <is>
          <t>Rimba Heights</t>
        </is>
      </c>
      <c r="C1066" t="inlineStr">
        <is>
          <t>Blk 482 Rimba Walk #01-01 Singapura 670482</t>
        </is>
      </c>
      <c r="D1066" t="inlineStr">
        <is>
          <t>Shop</t>
        </is>
      </c>
      <c r="E1066" t="n">
        <v>118.6</v>
      </c>
      <c r="F1066" t="inlineStr">
        <is>
          <t>NC-RH-3</t>
        </is>
      </c>
      <c r="G1066" t="inlineStr">
        <is>
          <t>Tenanted</t>
        </is>
      </c>
    </row>
    <row r="1067">
      <c r="A1067" t="inlineStr">
        <is>
          <t>U-RH482-01-02</t>
        </is>
      </c>
      <c r="B1067" t="inlineStr">
        <is>
          <t>Rimba Heights</t>
        </is>
      </c>
      <c r="C1067" t="inlineStr">
        <is>
          <t>Blk 482 Rimba Walk #01-02 Singapura 670482</t>
        </is>
      </c>
      <c r="D1067" t="inlineStr">
        <is>
          <t>Shop</t>
        </is>
      </c>
      <c r="E1067" t="n">
        <v>116.9</v>
      </c>
      <c r="F1067" t="inlineStr">
        <is>
          <t>NC-RH-3</t>
        </is>
      </c>
      <c r="G1067" t="inlineStr">
        <is>
          <t>Tenanted</t>
        </is>
      </c>
    </row>
    <row r="1068">
      <c r="A1068" t="inlineStr">
        <is>
          <t>U-RH482-02-03</t>
        </is>
      </c>
      <c r="B1068" t="inlineStr">
        <is>
          <t>Rimba Heights</t>
        </is>
      </c>
      <c r="C1068" t="inlineStr">
        <is>
          <t>Blk 482 Rimba Walk #02-03 Singapura 670482</t>
        </is>
      </c>
      <c r="D1068" t="inlineStr">
        <is>
          <t>Office</t>
        </is>
      </c>
      <c r="E1068" t="n">
        <v>78</v>
      </c>
      <c r="F1068" t="inlineStr">
        <is>
          <t>NC-RH-3</t>
        </is>
      </c>
      <c r="G1068" t="inlineStr">
        <is>
          <t>Tenanted</t>
        </is>
      </c>
    </row>
    <row r="1069">
      <c r="A1069" t="inlineStr">
        <is>
          <t>U-RH482-01-04</t>
        </is>
      </c>
      <c r="B1069" t="inlineStr">
        <is>
          <t>Rimba Heights</t>
        </is>
      </c>
      <c r="C1069" t="inlineStr">
        <is>
          <t>Blk 482 Rimba Walk #01-04 Singapura 670482</t>
        </is>
      </c>
      <c r="D1069" t="inlineStr">
        <is>
          <t>Shop</t>
        </is>
      </c>
      <c r="E1069" t="n">
        <v>58.5</v>
      </c>
      <c r="F1069" t="inlineStr">
        <is>
          <t>NC-RH-3</t>
        </is>
      </c>
      <c r="G1069" t="inlineStr">
        <is>
          <t>Tenanted</t>
        </is>
      </c>
    </row>
    <row r="1070">
      <c r="A1070" t="inlineStr">
        <is>
          <t>U-RH482-01-05</t>
        </is>
      </c>
      <c r="B1070" t="inlineStr">
        <is>
          <t>Rimba Heights</t>
        </is>
      </c>
      <c r="C1070" t="inlineStr">
        <is>
          <t>Blk 482 Rimba Walk #01-05 Singapura 670482</t>
        </is>
      </c>
      <c r="D1070" t="inlineStr">
        <is>
          <t>Shop with Living Quarters</t>
        </is>
      </c>
      <c r="E1070" t="n">
        <v>80.7</v>
      </c>
      <c r="F1070" t="inlineStr">
        <is>
          <t>NC-RH-3</t>
        </is>
      </c>
      <c r="G1070" t="inlineStr">
        <is>
          <t>Tenanted</t>
        </is>
      </c>
    </row>
    <row r="1071">
      <c r="A1071" t="inlineStr">
        <is>
          <t>U-RH482-02-06</t>
        </is>
      </c>
      <c r="B1071" t="inlineStr">
        <is>
          <t>Rimba Heights</t>
        </is>
      </c>
      <c r="C1071" t="inlineStr">
        <is>
          <t>Blk 482 Rimba Walk #02-06 Singapura 670482</t>
        </is>
      </c>
      <c r="D1071" t="inlineStr">
        <is>
          <t>Office</t>
        </is>
      </c>
      <c r="E1071" t="n">
        <v>124.8</v>
      </c>
      <c r="F1071" t="inlineStr">
        <is>
          <t>NC-RH-3</t>
        </is>
      </c>
      <c r="G1071" t="inlineStr">
        <is>
          <t>Tenanted</t>
        </is>
      </c>
    </row>
    <row r="1072">
      <c r="A1072" t="inlineStr">
        <is>
          <t>U-RH482-01-07</t>
        </is>
      </c>
      <c r="B1072" t="inlineStr">
        <is>
          <t>Rimba Heights</t>
        </is>
      </c>
      <c r="C1072" t="inlineStr">
        <is>
          <t>Blk 482 Rimba Walk #01-07 Singapura 670482</t>
        </is>
      </c>
      <c r="D1072" t="inlineStr">
        <is>
          <t>Shop</t>
        </is>
      </c>
      <c r="E1072" t="n">
        <v>80.40000000000001</v>
      </c>
      <c r="F1072" t="inlineStr">
        <is>
          <t>NC-RH-3</t>
        </is>
      </c>
      <c r="G1072" t="inlineStr">
        <is>
          <t>Tenanted</t>
        </is>
      </c>
    </row>
    <row r="1073">
      <c r="A1073" t="inlineStr">
        <is>
          <t>U-RH484-01-01</t>
        </is>
      </c>
      <c r="B1073" t="inlineStr">
        <is>
          <t>Rimba Heights</t>
        </is>
      </c>
      <c r="C1073" t="inlineStr">
        <is>
          <t>Blk 484 Rimba Walk #01-01 Singapura 670484</t>
        </is>
      </c>
      <c r="D1073" t="inlineStr">
        <is>
          <t>Shop</t>
        </is>
      </c>
      <c r="E1073" t="n">
        <v>85.40000000000001</v>
      </c>
      <c r="F1073" t="inlineStr">
        <is>
          <t>NC-RH-1</t>
        </is>
      </c>
      <c r="G1073" t="inlineStr">
        <is>
          <t>Tenanted</t>
        </is>
      </c>
    </row>
    <row r="1074">
      <c r="A1074" t="inlineStr">
        <is>
          <t>U-RH484-01-02</t>
        </is>
      </c>
      <c r="B1074" t="inlineStr">
        <is>
          <t>Rimba Heights</t>
        </is>
      </c>
      <c r="C1074" t="inlineStr">
        <is>
          <t>Blk 484 Rimba Walk #01-02 Singapura 670484</t>
        </is>
      </c>
      <c r="D1074" t="inlineStr">
        <is>
          <t>Shop</t>
        </is>
      </c>
      <c r="E1074" t="n">
        <v>117.1</v>
      </c>
      <c r="F1074" t="inlineStr">
        <is>
          <t>NC-RH-1</t>
        </is>
      </c>
      <c r="G1074" t="inlineStr">
        <is>
          <t>Tenanted</t>
        </is>
      </c>
    </row>
    <row r="1075">
      <c r="A1075" t="inlineStr">
        <is>
          <t>U-RH484-01-03</t>
        </is>
      </c>
      <c r="B1075" t="inlineStr">
        <is>
          <t>Rimba Heights</t>
        </is>
      </c>
      <c r="C1075" t="inlineStr">
        <is>
          <t>Blk 484 Rimba Walk #01-03 Singapura 670484</t>
        </is>
      </c>
      <c r="D1075" t="inlineStr">
        <is>
          <t>Shop</t>
        </is>
      </c>
      <c r="E1075" t="n">
        <v>60.9</v>
      </c>
      <c r="F1075" t="inlineStr">
        <is>
          <t>NC-RH-1</t>
        </is>
      </c>
      <c r="G1075" t="inlineStr">
        <is>
          <t>Tenanted</t>
        </is>
      </c>
    </row>
    <row r="1076">
      <c r="A1076" t="inlineStr">
        <is>
          <t>U-RH484-01-04</t>
        </is>
      </c>
      <c r="B1076" t="inlineStr">
        <is>
          <t>Rimba Heights</t>
        </is>
      </c>
      <c r="C1076" t="inlineStr">
        <is>
          <t>Blk 484 Rimba Walk #01-04 Singapura 670484</t>
        </is>
      </c>
      <c r="D1076" t="inlineStr">
        <is>
          <t>Shop</t>
        </is>
      </c>
      <c r="E1076" t="n">
        <v>104.1</v>
      </c>
      <c r="F1076" t="inlineStr">
        <is>
          <t>NC-RH-1</t>
        </is>
      </c>
      <c r="G1076" t="inlineStr">
        <is>
          <t>Tenanted</t>
        </is>
      </c>
    </row>
    <row r="1077">
      <c r="A1077" t="inlineStr">
        <is>
          <t>U-RH484-01-05</t>
        </is>
      </c>
      <c r="B1077" t="inlineStr">
        <is>
          <t>Rimba Heights</t>
        </is>
      </c>
      <c r="C1077" t="inlineStr">
        <is>
          <t>Blk 484 Rimba Walk #01-05 Singapura 670484</t>
        </is>
      </c>
      <c r="D1077" t="inlineStr">
        <is>
          <t>Kiosk</t>
        </is>
      </c>
      <c r="E1077" t="n">
        <v>12.6</v>
      </c>
      <c r="F1077" t="inlineStr">
        <is>
          <t>NC-RH-1</t>
        </is>
      </c>
      <c r="G1077" t="inlineStr">
        <is>
          <t>Tenanted</t>
        </is>
      </c>
    </row>
    <row r="1078">
      <c r="A1078" t="inlineStr">
        <is>
          <t>U-RH484-01-06</t>
        </is>
      </c>
      <c r="B1078" t="inlineStr">
        <is>
          <t>Rimba Heights</t>
        </is>
      </c>
      <c r="C1078" t="inlineStr">
        <is>
          <t>Blk 484 Rimba Walk #01-06 Singapura 670484</t>
        </is>
      </c>
      <c r="D1078" t="inlineStr">
        <is>
          <t>Shop</t>
        </is>
      </c>
      <c r="E1078" t="n">
        <v>61.8</v>
      </c>
      <c r="F1078" t="inlineStr">
        <is>
          <t>NC-RH-1</t>
        </is>
      </c>
      <c r="G1078" t="inlineStr">
        <is>
          <t>Tenanted</t>
        </is>
      </c>
    </row>
    <row r="1079">
      <c r="A1079" t="inlineStr">
        <is>
          <t>U-RH484-01-07</t>
        </is>
      </c>
      <c r="B1079" t="inlineStr">
        <is>
          <t>Rimba Heights</t>
        </is>
      </c>
      <c r="C1079" t="inlineStr">
        <is>
          <t>Blk 484 Rimba Walk #01-07 Singapura 670484</t>
        </is>
      </c>
      <c r="D1079" t="inlineStr">
        <is>
          <t>Shop</t>
        </is>
      </c>
      <c r="E1079" t="n">
        <v>56.2</v>
      </c>
      <c r="F1079" t="inlineStr">
        <is>
          <t>NC-RH-1</t>
        </is>
      </c>
      <c r="G1079" t="inlineStr">
        <is>
          <t>Tenanted</t>
        </is>
      </c>
    </row>
    <row r="1080">
      <c r="A1080" t="inlineStr">
        <is>
          <t>U-RH484-01-08</t>
        </is>
      </c>
      <c r="B1080" t="inlineStr">
        <is>
          <t>Rimba Heights</t>
        </is>
      </c>
      <c r="C1080" t="inlineStr">
        <is>
          <t>Blk 484 Rimba Walk #01-08 Singapura 670484</t>
        </is>
      </c>
      <c r="D1080" t="inlineStr">
        <is>
          <t>Shop with Living Quarters</t>
        </is>
      </c>
      <c r="E1080" t="n">
        <v>89.2</v>
      </c>
      <c r="F1080" t="inlineStr">
        <is>
          <t>NC-RH-1</t>
        </is>
      </c>
      <c r="G1080" t="inlineStr">
        <is>
          <t>Tenanted</t>
        </is>
      </c>
    </row>
    <row r="1081">
      <c r="A1081" t="inlineStr">
        <is>
          <t>U-RH484-01-09</t>
        </is>
      </c>
      <c r="B1081" t="inlineStr">
        <is>
          <t>Rimba Heights</t>
        </is>
      </c>
      <c r="C1081" t="inlineStr">
        <is>
          <t>Blk 484 Rimba Walk #01-09 Singapura 670484</t>
        </is>
      </c>
      <c r="D1081" t="inlineStr">
        <is>
          <t>Shop</t>
        </is>
      </c>
      <c r="E1081" t="n">
        <v>53.1</v>
      </c>
      <c r="F1081" t="inlineStr">
        <is>
          <t>NC-RH-1</t>
        </is>
      </c>
      <c r="G1081" t="inlineStr">
        <is>
          <t>Tenanted</t>
        </is>
      </c>
    </row>
    <row r="1082">
      <c r="A1082" t="inlineStr">
        <is>
          <t>U-RH484-01-10</t>
        </is>
      </c>
      <c r="B1082" t="inlineStr">
        <is>
          <t>Rimba Heights</t>
        </is>
      </c>
      <c r="C1082" t="inlineStr">
        <is>
          <t>Blk 484 Rimba Walk #01-10 Singapura 670484</t>
        </is>
      </c>
      <c r="D1082" t="inlineStr">
        <is>
          <t>Shop</t>
        </is>
      </c>
      <c r="E1082" t="n">
        <v>72.5</v>
      </c>
      <c r="F1082" t="inlineStr">
        <is>
          <t>NC-RH-1</t>
        </is>
      </c>
      <c r="G1082" t="inlineStr">
        <is>
          <t>Tenanted</t>
        </is>
      </c>
    </row>
    <row r="1083">
      <c r="A1083" t="inlineStr">
        <is>
          <t>U-RH484-01-11</t>
        </is>
      </c>
      <c r="B1083" t="inlineStr">
        <is>
          <t>Rimba Heights</t>
        </is>
      </c>
      <c r="C1083" t="inlineStr">
        <is>
          <t>Blk 484 Rimba Walk #01-11 Singapura 670484</t>
        </is>
      </c>
      <c r="D1083" t="inlineStr">
        <is>
          <t>Shop</t>
        </is>
      </c>
      <c r="E1083" t="n">
        <v>117.2</v>
      </c>
      <c r="F1083" t="inlineStr">
        <is>
          <t>NC-RH-1</t>
        </is>
      </c>
      <c r="G1083" t="inlineStr">
        <is>
          <t>Tenanted</t>
        </is>
      </c>
    </row>
    <row r="1084">
      <c r="A1084" t="inlineStr">
        <is>
          <t>U-RH484-01-12</t>
        </is>
      </c>
      <c r="B1084" t="inlineStr">
        <is>
          <t>Rimba Heights</t>
        </is>
      </c>
      <c r="C1084" t="inlineStr">
        <is>
          <t>Blk 484 Rimba Walk #01-12 Singapura 670484</t>
        </is>
      </c>
      <c r="D1084" t="inlineStr">
        <is>
          <t>Shop</t>
        </is>
      </c>
      <c r="E1084" t="n">
        <v>64.7</v>
      </c>
      <c r="F1084" t="inlineStr">
        <is>
          <t>NC-RH-1</t>
        </is>
      </c>
      <c r="G1084" t="inlineStr">
        <is>
          <t>Tenanted</t>
        </is>
      </c>
    </row>
    <row r="1085">
      <c r="A1085" t="inlineStr">
        <is>
          <t>U-RH485-01-01</t>
        </is>
      </c>
      <c r="B1085" t="inlineStr">
        <is>
          <t>Rimba Heights</t>
        </is>
      </c>
      <c r="C1085" t="inlineStr">
        <is>
          <t>Blk 485 Rimba Heights Road #01-01 Singapura 670485</t>
        </is>
      </c>
      <c r="D1085" t="inlineStr">
        <is>
          <t>Shop with Living Quarters</t>
        </is>
      </c>
      <c r="E1085" t="n">
        <v>64.5</v>
      </c>
      <c r="F1085" t="inlineStr">
        <is>
          <t>NC-RH-3</t>
        </is>
      </c>
      <c r="G1085" t="inlineStr">
        <is>
          <t>Tenanted</t>
        </is>
      </c>
    </row>
    <row r="1086">
      <c r="A1086" t="inlineStr">
        <is>
          <t>U-RH485-01-02</t>
        </is>
      </c>
      <c r="B1086" t="inlineStr">
        <is>
          <t>Rimba Heights</t>
        </is>
      </c>
      <c r="C1086" t="inlineStr">
        <is>
          <t>Blk 485 Rimba Heights Road #01-02 Singapura 670485</t>
        </is>
      </c>
      <c r="D1086" t="inlineStr">
        <is>
          <t>Shop with Living Quarters</t>
        </is>
      </c>
      <c r="E1086" t="n">
        <v>75.2</v>
      </c>
      <c r="F1086" t="inlineStr">
        <is>
          <t>NC-RH-3</t>
        </is>
      </c>
      <c r="G1086" t="inlineStr">
        <is>
          <t>Tenanted</t>
        </is>
      </c>
    </row>
    <row r="1087">
      <c r="A1087" t="inlineStr">
        <is>
          <t>U-RH485-01-03</t>
        </is>
      </c>
      <c r="B1087" t="inlineStr">
        <is>
          <t>Rimba Heights</t>
        </is>
      </c>
      <c r="C1087" t="inlineStr">
        <is>
          <t>Blk 485 Rimba Heights Road #01-03 Singapura 670485</t>
        </is>
      </c>
      <c r="D1087" t="inlineStr">
        <is>
          <t>Kiosk</t>
        </is>
      </c>
      <c r="E1087" t="n">
        <v>11.4</v>
      </c>
      <c r="F1087" t="inlineStr">
        <is>
          <t>NC-RH-3</t>
        </is>
      </c>
      <c r="G1087" t="inlineStr">
        <is>
          <t>Tenanted</t>
        </is>
      </c>
    </row>
    <row r="1088">
      <c r="A1088" t="inlineStr">
        <is>
          <t>U-RH485-01-04</t>
        </is>
      </c>
      <c r="B1088" t="inlineStr">
        <is>
          <t>Rimba Heights</t>
        </is>
      </c>
      <c r="C1088" t="inlineStr">
        <is>
          <t>Blk 485 Rimba Heights Road #01-04 Singapura 670485</t>
        </is>
      </c>
      <c r="D1088" t="inlineStr">
        <is>
          <t>Shop</t>
        </is>
      </c>
      <c r="E1088" t="n">
        <v>108.5</v>
      </c>
      <c r="F1088" t="inlineStr">
        <is>
          <t>NC-RH-3</t>
        </is>
      </c>
      <c r="G1088" t="inlineStr">
        <is>
          <t>Tenanted</t>
        </is>
      </c>
    </row>
    <row r="1089">
      <c r="A1089" t="inlineStr">
        <is>
          <t>U-RH485-01-05</t>
        </is>
      </c>
      <c r="B1089" t="inlineStr">
        <is>
          <t>Rimba Heights</t>
        </is>
      </c>
      <c r="C1089" t="inlineStr">
        <is>
          <t>Blk 485 Rimba Heights Road #01-05 Singapura 670485</t>
        </is>
      </c>
      <c r="D1089" t="inlineStr">
        <is>
          <t>Shop</t>
        </is>
      </c>
      <c r="E1089" t="n">
        <v>96.90000000000001</v>
      </c>
      <c r="F1089" t="inlineStr">
        <is>
          <t>NC-RH-3</t>
        </is>
      </c>
      <c r="G1089" t="inlineStr">
        <is>
          <t>Tenanted</t>
        </is>
      </c>
    </row>
    <row r="1090">
      <c r="A1090" t="inlineStr">
        <is>
          <t>U-RH485-02-06</t>
        </is>
      </c>
      <c r="B1090" t="inlineStr">
        <is>
          <t>Rimba Heights</t>
        </is>
      </c>
      <c r="C1090" t="inlineStr">
        <is>
          <t>Blk 485 Rimba Heights Road #02-06 Singapura 670485</t>
        </is>
      </c>
      <c r="D1090" t="inlineStr">
        <is>
          <t>Office</t>
        </is>
      </c>
      <c r="E1090" t="n">
        <v>54.9</v>
      </c>
      <c r="F1090" t="inlineStr">
        <is>
          <t>NC-RH-3</t>
        </is>
      </c>
      <c r="G1090" t="inlineStr">
        <is>
          <t>Tenanted</t>
        </is>
      </c>
    </row>
    <row r="1091">
      <c r="A1091" t="inlineStr">
        <is>
          <t>U-RH485-01-07</t>
        </is>
      </c>
      <c r="B1091" t="inlineStr">
        <is>
          <t>Rimba Heights</t>
        </is>
      </c>
      <c r="C1091" t="inlineStr">
        <is>
          <t>Blk 485 Rimba Heights Road #01-07 Singapura 670485</t>
        </is>
      </c>
      <c r="D1091" t="inlineStr">
        <is>
          <t>Shop</t>
        </is>
      </c>
      <c r="E1091" t="n">
        <v>105.6</v>
      </c>
      <c r="F1091" t="inlineStr">
        <is>
          <t>NC-RH-3</t>
        </is>
      </c>
      <c r="G1091" t="inlineStr">
        <is>
          <t>Tenanted</t>
        </is>
      </c>
    </row>
    <row r="1092">
      <c r="A1092" t="inlineStr">
        <is>
          <t>U-RH485-01-08</t>
        </is>
      </c>
      <c r="B1092" t="inlineStr">
        <is>
          <t>Rimba Heights</t>
        </is>
      </c>
      <c r="C1092" t="inlineStr">
        <is>
          <t>Blk 485 Rimba Heights Road #01-08 Singapura 670485</t>
        </is>
      </c>
      <c r="D1092" t="inlineStr">
        <is>
          <t>Shop</t>
        </is>
      </c>
      <c r="E1092" t="n">
        <v>116.2</v>
      </c>
      <c r="F1092" t="inlineStr">
        <is>
          <t>NC-RH-3</t>
        </is>
      </c>
      <c r="G1092" t="inlineStr">
        <is>
          <t>Tenanted</t>
        </is>
      </c>
    </row>
    <row r="1093">
      <c r="A1093" t="inlineStr">
        <is>
          <t>U-RH485-01-09</t>
        </is>
      </c>
      <c r="B1093" t="inlineStr">
        <is>
          <t>Rimba Heights</t>
        </is>
      </c>
      <c r="C1093" t="inlineStr">
        <is>
          <t>Blk 485 Rimba Heights Road #01-09 Singapura 670485</t>
        </is>
      </c>
      <c r="D1093" t="inlineStr">
        <is>
          <t>Shop with Living Quarters</t>
        </is>
      </c>
      <c r="E1093" t="n">
        <v>87.8</v>
      </c>
      <c r="F1093" t="inlineStr">
        <is>
          <t>NC-RH-3</t>
        </is>
      </c>
      <c r="G1093" t="inlineStr">
        <is>
          <t>Tenanted</t>
        </is>
      </c>
    </row>
    <row r="1094">
      <c r="A1094" t="inlineStr">
        <is>
          <t>U-RH485-01-10</t>
        </is>
      </c>
      <c r="B1094" t="inlineStr">
        <is>
          <t>Rimba Heights</t>
        </is>
      </c>
      <c r="C1094" t="inlineStr">
        <is>
          <t>Blk 485 Rimba Heights Road #01-10 Singapura 670485</t>
        </is>
      </c>
      <c r="D1094" t="inlineStr">
        <is>
          <t>Shop</t>
        </is>
      </c>
      <c r="E1094" t="n">
        <v>47.6</v>
      </c>
      <c r="F1094" t="inlineStr">
        <is>
          <t>NC-RH-3</t>
        </is>
      </c>
      <c r="G1094" t="inlineStr">
        <is>
          <t>Tenanted</t>
        </is>
      </c>
    </row>
    <row r="1095">
      <c r="A1095" t="inlineStr">
        <is>
          <t>U-RH486-01-01</t>
        </is>
      </c>
      <c r="B1095" t="inlineStr">
        <is>
          <t>Rimba Heights</t>
        </is>
      </c>
      <c r="C1095" t="inlineStr">
        <is>
          <t>Blk 486 Rimba Heights Road #01-01 Singapura 670486</t>
        </is>
      </c>
      <c r="D1095" t="inlineStr">
        <is>
          <t>Shop with Living Quarters</t>
        </is>
      </c>
      <c r="E1095" t="n">
        <v>67</v>
      </c>
      <c r="F1095" t="inlineStr">
        <is>
          <t>NC-RH-2</t>
        </is>
      </c>
      <c r="G1095" t="inlineStr">
        <is>
          <t>Tenanted</t>
        </is>
      </c>
    </row>
    <row r="1096">
      <c r="A1096" t="inlineStr">
        <is>
          <t>U-RH486-01-02</t>
        </is>
      </c>
      <c r="B1096" t="inlineStr">
        <is>
          <t>Rimba Heights</t>
        </is>
      </c>
      <c r="C1096" t="inlineStr">
        <is>
          <t>Blk 486 Rimba Heights Road #01-02 Singapura 670486</t>
        </is>
      </c>
      <c r="D1096" t="inlineStr">
        <is>
          <t>Shop</t>
        </is>
      </c>
      <c r="E1096" t="n">
        <v>106.4</v>
      </c>
      <c r="F1096" t="inlineStr">
        <is>
          <t>NC-RH-2</t>
        </is>
      </c>
      <c r="G1096" t="inlineStr">
        <is>
          <t>Tenanted</t>
        </is>
      </c>
    </row>
    <row r="1097">
      <c r="A1097" t="inlineStr">
        <is>
          <t>U-RH486-02-03</t>
        </is>
      </c>
      <c r="B1097" t="inlineStr">
        <is>
          <t>Rimba Heights</t>
        </is>
      </c>
      <c r="C1097" t="inlineStr">
        <is>
          <t>Blk 486 Rimba Heights Road #02-03 Singapura 670486</t>
        </is>
      </c>
      <c r="D1097" t="inlineStr">
        <is>
          <t>Office</t>
        </is>
      </c>
      <c r="E1097" t="n">
        <v>132.4</v>
      </c>
      <c r="F1097" t="inlineStr">
        <is>
          <t>NC-RH-2</t>
        </is>
      </c>
      <c r="G1097" t="inlineStr">
        <is>
          <t>Tenanted</t>
        </is>
      </c>
    </row>
    <row r="1098">
      <c r="A1098" t="inlineStr">
        <is>
          <t>U-RH486-01-04</t>
        </is>
      </c>
      <c r="B1098" t="inlineStr">
        <is>
          <t>Rimba Heights</t>
        </is>
      </c>
      <c r="C1098" t="inlineStr">
        <is>
          <t>Blk 486 Rimba Heights Road #01-04 Singapura 670486</t>
        </is>
      </c>
      <c r="D1098" t="inlineStr">
        <is>
          <t>Shop</t>
        </is>
      </c>
      <c r="E1098" t="n">
        <v>90.40000000000001</v>
      </c>
      <c r="F1098" t="inlineStr">
        <is>
          <t>NC-RH-2</t>
        </is>
      </c>
      <c r="G1098" t="inlineStr">
        <is>
          <t>Tenanted</t>
        </is>
      </c>
    </row>
    <row r="1099">
      <c r="A1099" t="inlineStr">
        <is>
          <t>U-RH486-01-05</t>
        </is>
      </c>
      <c r="B1099" t="inlineStr">
        <is>
          <t>Rimba Heights</t>
        </is>
      </c>
      <c r="C1099" t="inlineStr">
        <is>
          <t>Blk 486 Rimba Heights Road #01-05 Singapura 670486</t>
        </is>
      </c>
      <c r="D1099" t="inlineStr">
        <is>
          <t>Shop</t>
        </is>
      </c>
      <c r="E1099" t="n">
        <v>86.59999999999999</v>
      </c>
      <c r="F1099" t="inlineStr">
        <is>
          <t>NC-RH-2</t>
        </is>
      </c>
      <c r="G1099" t="inlineStr">
        <is>
          <t>Tenanted</t>
        </is>
      </c>
    </row>
    <row r="1100">
      <c r="A1100" t="inlineStr">
        <is>
          <t>U-RH486-01-06</t>
        </is>
      </c>
      <c r="B1100" t="inlineStr">
        <is>
          <t>Rimba Heights</t>
        </is>
      </c>
      <c r="C1100" t="inlineStr">
        <is>
          <t>Blk 486 Rimba Heights Road #01-06 Singapura 670486</t>
        </is>
      </c>
      <c r="D1100" t="inlineStr">
        <is>
          <t>Shop</t>
        </is>
      </c>
      <c r="E1100" t="n">
        <v>105</v>
      </c>
      <c r="F1100" t="inlineStr">
        <is>
          <t>NC-RH-2</t>
        </is>
      </c>
      <c r="G1100" t="inlineStr">
        <is>
          <t>Tenanted</t>
        </is>
      </c>
    </row>
    <row r="1101">
      <c r="A1101" t="inlineStr">
        <is>
          <t>U-RH486-01-07</t>
        </is>
      </c>
      <c r="B1101" t="inlineStr">
        <is>
          <t>Rimba Heights</t>
        </is>
      </c>
      <c r="C1101" t="inlineStr">
        <is>
          <t>Blk 486 Rimba Heights Road #01-07 Singapura 670486</t>
        </is>
      </c>
      <c r="D1101" t="inlineStr">
        <is>
          <t>Shop</t>
        </is>
      </c>
      <c r="E1101" t="n">
        <v>45.2</v>
      </c>
      <c r="F1101" t="inlineStr">
        <is>
          <t>NC-RH-2</t>
        </is>
      </c>
      <c r="G1101" t="inlineStr">
        <is>
          <t>Tenanted</t>
        </is>
      </c>
    </row>
    <row r="1102">
      <c r="A1102" t="inlineStr">
        <is>
          <t>U-RH491-01-01</t>
        </is>
      </c>
      <c r="B1102" t="inlineStr">
        <is>
          <t>Rimba Heights</t>
        </is>
      </c>
      <c r="C1102" t="inlineStr">
        <is>
          <t>Blk 491 Rimba Walk #01-01 Singapura 670491</t>
        </is>
      </c>
      <c r="D1102" t="inlineStr">
        <is>
          <t>Shop with Living Quarters</t>
        </is>
      </c>
      <c r="E1102" t="n">
        <v>64.59999999999999</v>
      </c>
      <c r="F1102" t="inlineStr">
        <is>
          <t>NC-RH-3</t>
        </is>
      </c>
      <c r="G1102" t="inlineStr">
        <is>
          <t>Tenanted</t>
        </is>
      </c>
    </row>
    <row r="1103">
      <c r="A1103" t="inlineStr">
        <is>
          <t>U-RH491-01-02</t>
        </is>
      </c>
      <c r="B1103" t="inlineStr">
        <is>
          <t>Rimba Heights</t>
        </is>
      </c>
      <c r="C1103" t="inlineStr">
        <is>
          <t>Blk 491 Rimba Walk #01-02 Singapura 670491</t>
        </is>
      </c>
      <c r="D1103" t="inlineStr">
        <is>
          <t>Shop with Living Quarters</t>
        </is>
      </c>
      <c r="E1103" t="n">
        <v>100.4</v>
      </c>
      <c r="F1103" t="inlineStr">
        <is>
          <t>NC-RH-3</t>
        </is>
      </c>
      <c r="G1103" t="inlineStr">
        <is>
          <t>Tenanted</t>
        </is>
      </c>
    </row>
    <row r="1104">
      <c r="A1104" t="inlineStr">
        <is>
          <t>U-RH491-01-03</t>
        </is>
      </c>
      <c r="B1104" t="inlineStr">
        <is>
          <t>Rimba Heights</t>
        </is>
      </c>
      <c r="C1104" t="inlineStr">
        <is>
          <t>Blk 491 Rimba Walk #01-03 Singapura 670491</t>
        </is>
      </c>
      <c r="D1104" t="inlineStr">
        <is>
          <t>Shop</t>
        </is>
      </c>
      <c r="E1104" t="n">
        <v>115.4</v>
      </c>
      <c r="F1104" t="inlineStr">
        <is>
          <t>NC-RH-3</t>
        </is>
      </c>
      <c r="G1104" t="inlineStr">
        <is>
          <t>Tenanted</t>
        </is>
      </c>
    </row>
    <row r="1105">
      <c r="A1105" t="inlineStr">
        <is>
          <t>U-RH491-01-04</t>
        </is>
      </c>
      <c r="B1105" t="inlineStr">
        <is>
          <t>Rimba Heights</t>
        </is>
      </c>
      <c r="C1105" t="inlineStr">
        <is>
          <t>Blk 491 Rimba Walk #01-04 Singapura 670491</t>
        </is>
      </c>
      <c r="D1105" t="inlineStr">
        <is>
          <t>Shop</t>
        </is>
      </c>
      <c r="E1105" t="n">
        <v>113.9</v>
      </c>
      <c r="F1105" t="inlineStr">
        <is>
          <t>NC-RH-3</t>
        </is>
      </c>
      <c r="G1105" t="inlineStr">
        <is>
          <t>Tenanted</t>
        </is>
      </c>
    </row>
    <row r="1106">
      <c r="A1106" t="inlineStr">
        <is>
          <t>U-RH491-01-05</t>
        </is>
      </c>
      <c r="B1106" t="inlineStr">
        <is>
          <t>Rimba Heights</t>
        </is>
      </c>
      <c r="C1106" t="inlineStr">
        <is>
          <t>Blk 491 Rimba Walk #01-05 Singapura 670491</t>
        </is>
      </c>
      <c r="D1106" t="inlineStr">
        <is>
          <t>Shop</t>
        </is>
      </c>
      <c r="E1106" t="n">
        <v>98</v>
      </c>
      <c r="F1106" t="inlineStr">
        <is>
          <t>NC-RH-3</t>
        </is>
      </c>
      <c r="G1106" t="inlineStr">
        <is>
          <t>Tenanted</t>
        </is>
      </c>
    </row>
    <row r="1107">
      <c r="A1107" t="inlineStr">
        <is>
          <t>U-RH491-01-06</t>
        </is>
      </c>
      <c r="B1107" t="inlineStr">
        <is>
          <t>Rimba Heights</t>
        </is>
      </c>
      <c r="C1107" t="inlineStr">
        <is>
          <t>Blk 491 Rimba Walk #01-06 Singapura 670491</t>
        </is>
      </c>
      <c r="D1107" t="inlineStr">
        <is>
          <t>Shop</t>
        </is>
      </c>
      <c r="E1107" t="n">
        <v>70.59999999999999</v>
      </c>
      <c r="F1107" t="inlineStr">
        <is>
          <t>NC-RH-3</t>
        </is>
      </c>
      <c r="G1107" t="inlineStr">
        <is>
          <t>Tenanted</t>
        </is>
      </c>
    </row>
    <row r="1108">
      <c r="A1108" t="inlineStr">
        <is>
          <t>U-RH491-01-07</t>
        </is>
      </c>
      <c r="B1108" t="inlineStr">
        <is>
          <t>Rimba Heights</t>
        </is>
      </c>
      <c r="C1108" t="inlineStr">
        <is>
          <t>Blk 491 Rimba Walk #01-07 Singapura 670491</t>
        </is>
      </c>
      <c r="D1108" t="inlineStr">
        <is>
          <t>Shop</t>
        </is>
      </c>
      <c r="E1108" t="n">
        <v>68.3</v>
      </c>
      <c r="F1108" t="inlineStr">
        <is>
          <t>NC-RH-3</t>
        </is>
      </c>
      <c r="G1108" t="inlineStr">
        <is>
          <t>Tenanted</t>
        </is>
      </c>
    </row>
    <row r="1109">
      <c r="A1109" t="inlineStr">
        <is>
          <t>U-RH491-02-08</t>
        </is>
      </c>
      <c r="B1109" t="inlineStr">
        <is>
          <t>Rimba Heights</t>
        </is>
      </c>
      <c r="C1109" t="inlineStr">
        <is>
          <t>Blk 491 Rimba Walk #02-08 Singapura 670491</t>
        </is>
      </c>
      <c r="D1109" t="inlineStr">
        <is>
          <t>Office</t>
        </is>
      </c>
      <c r="E1109" t="n">
        <v>94.59999999999999</v>
      </c>
      <c r="F1109" t="inlineStr">
        <is>
          <t>NC-RH-3</t>
        </is>
      </c>
      <c r="G1109" t="inlineStr">
        <is>
          <t>Tenanted</t>
        </is>
      </c>
    </row>
    <row r="1110">
      <c r="A1110" t="inlineStr">
        <is>
          <t>U-RH491-01-09</t>
        </is>
      </c>
      <c r="B1110" t="inlineStr">
        <is>
          <t>Rimba Heights</t>
        </is>
      </c>
      <c r="C1110" t="inlineStr">
        <is>
          <t>Blk 491 Rimba Walk #01-09 Singapura 670491</t>
        </is>
      </c>
      <c r="D1110" t="inlineStr">
        <is>
          <t>Shop</t>
        </is>
      </c>
      <c r="E1110" t="n">
        <v>89.09999999999999</v>
      </c>
      <c r="F1110" t="inlineStr">
        <is>
          <t>NC-RH-3</t>
        </is>
      </c>
      <c r="G1110" t="inlineStr">
        <is>
          <t>Tenanted</t>
        </is>
      </c>
    </row>
    <row r="1111">
      <c r="A1111" t="inlineStr">
        <is>
          <t>U-RH491-01-10</t>
        </is>
      </c>
      <c r="B1111" t="inlineStr">
        <is>
          <t>Rimba Heights</t>
        </is>
      </c>
      <c r="C1111" t="inlineStr">
        <is>
          <t>Blk 491 Rimba Walk #01-10 Singapura 670491</t>
        </is>
      </c>
      <c r="D1111" t="inlineStr">
        <is>
          <t>Shop</t>
        </is>
      </c>
      <c r="E1111" t="n">
        <v>91.8</v>
      </c>
      <c r="F1111" t="inlineStr">
        <is>
          <t>NC-RH-3</t>
        </is>
      </c>
      <c r="G1111" t="inlineStr">
        <is>
          <t>Tenanted</t>
        </is>
      </c>
    </row>
    <row r="1112">
      <c r="A1112" t="inlineStr">
        <is>
          <t>U-RH491-01-11</t>
        </is>
      </c>
      <c r="B1112" t="inlineStr">
        <is>
          <t>Rimba Heights</t>
        </is>
      </c>
      <c r="C1112" t="inlineStr">
        <is>
          <t>Blk 491 Rimba Walk #01-11 Singapura 670491</t>
        </is>
      </c>
      <c r="D1112" t="inlineStr">
        <is>
          <t>Shop</t>
        </is>
      </c>
      <c r="E1112" t="n">
        <v>110.6</v>
      </c>
      <c r="F1112" t="inlineStr">
        <is>
          <t>NC-RH-3</t>
        </is>
      </c>
      <c r="G1112" t="inlineStr">
        <is>
          <t>Tenanted</t>
        </is>
      </c>
    </row>
    <row r="1113">
      <c r="A1113" t="inlineStr">
        <is>
          <t>U-RH491-01-12</t>
        </is>
      </c>
      <c r="B1113" t="inlineStr">
        <is>
          <t>Rimba Heights</t>
        </is>
      </c>
      <c r="C1113" t="inlineStr">
        <is>
          <t>Blk 491 Rimba Walk #01-12 Singapura 670491</t>
        </is>
      </c>
      <c r="D1113" t="inlineStr">
        <is>
          <t>Shop</t>
        </is>
      </c>
      <c r="E1113" t="n">
        <v>47</v>
      </c>
      <c r="F1113" t="inlineStr">
        <is>
          <t>NC-RH-3</t>
        </is>
      </c>
      <c r="G1113" t="inlineStr">
        <is>
          <t>Tenanted</t>
        </is>
      </c>
    </row>
    <row r="1114">
      <c r="A1114" t="inlineStr">
        <is>
          <t>U-RH491-01-13</t>
        </is>
      </c>
      <c r="B1114" t="inlineStr">
        <is>
          <t>Rimba Heights</t>
        </is>
      </c>
      <c r="C1114" t="inlineStr">
        <is>
          <t>Blk 491 Rimba Walk #01-13 Singapura 670491</t>
        </is>
      </c>
      <c r="D1114" t="inlineStr">
        <is>
          <t>Shop</t>
        </is>
      </c>
      <c r="E1114" t="n">
        <v>73.5</v>
      </c>
      <c r="F1114" t="inlineStr">
        <is>
          <t>NC-RH-3</t>
        </is>
      </c>
      <c r="G1114" t="inlineStr">
        <is>
          <t>Tenanted</t>
        </is>
      </c>
    </row>
    <row r="1115">
      <c r="A1115" t="inlineStr">
        <is>
          <t>U-ST501-01-01</t>
        </is>
      </c>
      <c r="B1115" t="inlineStr">
        <is>
          <t>Sungai Tinggi</t>
        </is>
      </c>
      <c r="C1115" t="inlineStr">
        <is>
          <t>Blk 501 Sungai Tinggi Street 52 #01-01 Singapura 730501</t>
        </is>
      </c>
      <c r="D1115" t="inlineStr">
        <is>
          <t>Eating House</t>
        </is>
      </c>
      <c r="E1115" t="n">
        <v>234.9</v>
      </c>
      <c r="F1115" t="inlineStr">
        <is>
          <t>NC-ST-3</t>
        </is>
      </c>
      <c r="G1115" t="inlineStr">
        <is>
          <t>Tenanted</t>
        </is>
      </c>
    </row>
    <row r="1116">
      <c r="A1116" t="inlineStr">
        <is>
          <t>U-ST501-02-02</t>
        </is>
      </c>
      <c r="B1116" t="inlineStr">
        <is>
          <t>Sungai Tinggi</t>
        </is>
      </c>
      <c r="C1116" t="inlineStr">
        <is>
          <t>Blk 501 Sungai Tinggi Street 52 #02-02 Singapura 730501</t>
        </is>
      </c>
      <c r="D1116" t="inlineStr">
        <is>
          <t>Office</t>
        </is>
      </c>
      <c r="E1116" t="n">
        <v>52</v>
      </c>
      <c r="F1116" t="inlineStr">
        <is>
          <t>NC-ST-3</t>
        </is>
      </c>
      <c r="G1116" t="inlineStr">
        <is>
          <t>Tenanted</t>
        </is>
      </c>
    </row>
    <row r="1117">
      <c r="A1117" t="inlineStr">
        <is>
          <t>U-ST501-01-03</t>
        </is>
      </c>
      <c r="B1117" t="inlineStr">
        <is>
          <t>Sungai Tinggi</t>
        </is>
      </c>
      <c r="C1117" t="inlineStr">
        <is>
          <t>Blk 501 Sungai Tinggi Street 52 #01-03 Singapura 730501</t>
        </is>
      </c>
      <c r="D1117" t="inlineStr">
        <is>
          <t>Shop</t>
        </is>
      </c>
      <c r="E1117" t="n">
        <v>97.09999999999999</v>
      </c>
      <c r="F1117" t="inlineStr">
        <is>
          <t>NC-ST-3</t>
        </is>
      </c>
      <c r="G1117" t="inlineStr">
        <is>
          <t>Tenanted</t>
        </is>
      </c>
    </row>
    <row r="1118">
      <c r="A1118" t="inlineStr">
        <is>
          <t>U-ST501-01-04</t>
        </is>
      </c>
      <c r="B1118" t="inlineStr">
        <is>
          <t>Sungai Tinggi</t>
        </is>
      </c>
      <c r="C1118" t="inlineStr">
        <is>
          <t>Blk 501 Sungai Tinggi Street 52 #01-04 Singapura 730501</t>
        </is>
      </c>
      <c r="D1118" t="inlineStr">
        <is>
          <t>Shop</t>
        </is>
      </c>
      <c r="E1118" t="n">
        <v>102.5</v>
      </c>
      <c r="F1118" t="inlineStr">
        <is>
          <t>NC-ST-3</t>
        </is>
      </c>
      <c r="G1118" t="inlineStr">
        <is>
          <t>Tenanted</t>
        </is>
      </c>
    </row>
    <row r="1119">
      <c r="A1119" t="inlineStr">
        <is>
          <t>U-ST501-01-05</t>
        </is>
      </c>
      <c r="B1119" t="inlineStr">
        <is>
          <t>Sungai Tinggi</t>
        </is>
      </c>
      <c r="C1119" t="inlineStr">
        <is>
          <t>Blk 501 Sungai Tinggi Street 52 #01-05 Singapura 730501</t>
        </is>
      </c>
      <c r="D1119" t="inlineStr">
        <is>
          <t>Shop</t>
        </is>
      </c>
      <c r="E1119" t="n">
        <v>85.3</v>
      </c>
      <c r="F1119" t="inlineStr">
        <is>
          <t>NC-ST-3</t>
        </is>
      </c>
      <c r="G1119" t="inlineStr">
        <is>
          <t>Tenanted</t>
        </is>
      </c>
    </row>
    <row r="1120">
      <c r="A1120" t="inlineStr">
        <is>
          <t>U-ST501-01-06</t>
        </is>
      </c>
      <c r="B1120" t="inlineStr">
        <is>
          <t>Sungai Tinggi</t>
        </is>
      </c>
      <c r="C1120" t="inlineStr">
        <is>
          <t>Blk 501 Sungai Tinggi Street 52 #01-06 Singapura 730501</t>
        </is>
      </c>
      <c r="D1120" t="inlineStr">
        <is>
          <t>Shop</t>
        </is>
      </c>
      <c r="E1120" t="n">
        <v>61.6</v>
      </c>
      <c r="F1120" t="inlineStr">
        <is>
          <t>NC-ST-3</t>
        </is>
      </c>
      <c r="G1120" t="inlineStr">
        <is>
          <t>Tenanted</t>
        </is>
      </c>
    </row>
    <row r="1121">
      <c r="A1121" t="inlineStr">
        <is>
          <t>U-ST501-01-07</t>
        </is>
      </c>
      <c r="B1121" t="inlineStr">
        <is>
          <t>Sungai Tinggi</t>
        </is>
      </c>
      <c r="C1121" t="inlineStr">
        <is>
          <t>Blk 501 Sungai Tinggi Street 52 #01-07 Singapura 730501</t>
        </is>
      </c>
      <c r="D1121" t="inlineStr">
        <is>
          <t>Shop</t>
        </is>
      </c>
      <c r="E1121" t="n">
        <v>87.8</v>
      </c>
      <c r="F1121" t="inlineStr">
        <is>
          <t>NC-ST-3</t>
        </is>
      </c>
      <c r="G1121" t="inlineStr">
        <is>
          <t>Tenanted</t>
        </is>
      </c>
    </row>
    <row r="1122">
      <c r="A1122" t="inlineStr">
        <is>
          <t>U-ST501-01-08</t>
        </is>
      </c>
      <c r="B1122" t="inlineStr">
        <is>
          <t>Sungai Tinggi</t>
        </is>
      </c>
      <c r="C1122" t="inlineStr">
        <is>
          <t>Blk 501 Sungai Tinggi Street 52 #01-08 Singapura 730501</t>
        </is>
      </c>
      <c r="D1122" t="inlineStr">
        <is>
          <t>Shop</t>
        </is>
      </c>
      <c r="E1122" t="n">
        <v>104.9</v>
      </c>
      <c r="F1122" t="inlineStr">
        <is>
          <t>NC-ST-3</t>
        </is>
      </c>
      <c r="G1122" t="inlineStr">
        <is>
          <t>Tenanted</t>
        </is>
      </c>
    </row>
    <row r="1123">
      <c r="A1123" t="inlineStr">
        <is>
          <t>U-ST501-01-09</t>
        </is>
      </c>
      <c r="B1123" t="inlineStr">
        <is>
          <t>Sungai Tinggi</t>
        </is>
      </c>
      <c r="C1123" t="inlineStr">
        <is>
          <t>Blk 501 Sungai Tinggi Street 52 #01-09 Singapura 730501</t>
        </is>
      </c>
      <c r="D1123" t="inlineStr">
        <is>
          <t>Shop</t>
        </is>
      </c>
      <c r="E1123" t="n">
        <v>104.7</v>
      </c>
      <c r="F1123" t="inlineStr">
        <is>
          <t>NC-ST-3</t>
        </is>
      </c>
      <c r="G1123" t="inlineStr">
        <is>
          <t>Tenanted</t>
        </is>
      </c>
    </row>
    <row r="1124">
      <c r="A1124" t="inlineStr">
        <is>
          <t>U-ST501-01-10</t>
        </is>
      </c>
      <c r="B1124" t="inlineStr">
        <is>
          <t>Sungai Tinggi</t>
        </is>
      </c>
      <c r="C1124" t="inlineStr">
        <is>
          <t>Blk 501 Sungai Tinggi Street 52 #01-10 Singapura 730501</t>
        </is>
      </c>
      <c r="D1124" t="inlineStr">
        <is>
          <t>Shop</t>
        </is>
      </c>
      <c r="E1124" t="n">
        <v>68.59999999999999</v>
      </c>
      <c r="F1124" t="inlineStr">
        <is>
          <t>NC-ST-3</t>
        </is>
      </c>
      <c r="G1124" t="inlineStr">
        <is>
          <t>Tenanted</t>
        </is>
      </c>
    </row>
    <row r="1125">
      <c r="A1125" t="inlineStr">
        <is>
          <t>U-ST501-01-11</t>
        </is>
      </c>
      <c r="B1125" t="inlineStr">
        <is>
          <t>Sungai Tinggi</t>
        </is>
      </c>
      <c r="C1125" t="inlineStr">
        <is>
          <t>Blk 501 Sungai Tinggi Street 52 #01-11 Singapura 730501</t>
        </is>
      </c>
      <c r="D1125" t="inlineStr">
        <is>
          <t>Shop</t>
        </is>
      </c>
      <c r="E1125" t="n">
        <v>58.6</v>
      </c>
      <c r="F1125" t="inlineStr">
        <is>
          <t>NC-ST-3</t>
        </is>
      </c>
      <c r="G1125" t="inlineStr">
        <is>
          <t>Tenanted</t>
        </is>
      </c>
    </row>
    <row r="1126">
      <c r="A1126" t="inlineStr">
        <is>
          <t>U-ST501-01-12</t>
        </is>
      </c>
      <c r="B1126" t="inlineStr">
        <is>
          <t>Sungai Tinggi</t>
        </is>
      </c>
      <c r="C1126" t="inlineStr">
        <is>
          <t>Blk 501 Sungai Tinggi Street 52 #01-12 Singapura 730501</t>
        </is>
      </c>
      <c r="D1126" t="inlineStr">
        <is>
          <t>Shop</t>
        </is>
      </c>
      <c r="E1126" t="n">
        <v>59.8</v>
      </c>
      <c r="F1126" t="inlineStr">
        <is>
          <t>NC-ST-3</t>
        </is>
      </c>
      <c r="G1126" t="inlineStr">
        <is>
          <t>Tenanted</t>
        </is>
      </c>
    </row>
    <row r="1127">
      <c r="A1127" t="inlineStr">
        <is>
          <t>U-ST501-01-13</t>
        </is>
      </c>
      <c r="B1127" t="inlineStr">
        <is>
          <t>Sungai Tinggi</t>
        </is>
      </c>
      <c r="C1127" t="inlineStr">
        <is>
          <t>Blk 501 Sungai Tinggi Street 52 #01-13 Singapura 730501</t>
        </is>
      </c>
      <c r="D1127" t="inlineStr">
        <is>
          <t>Shop</t>
        </is>
      </c>
      <c r="E1127" t="n">
        <v>82.7</v>
      </c>
      <c r="F1127" t="inlineStr">
        <is>
          <t>NC-ST-3</t>
        </is>
      </c>
      <c r="G1127" t="inlineStr">
        <is>
          <t>Tenanted</t>
        </is>
      </c>
    </row>
    <row r="1128">
      <c r="A1128" t="inlineStr">
        <is>
          <t>U-ST501-01-14</t>
        </is>
      </c>
      <c r="B1128" t="inlineStr">
        <is>
          <t>Sungai Tinggi</t>
        </is>
      </c>
      <c r="C1128" t="inlineStr">
        <is>
          <t>Blk 501 Sungai Tinggi Street 52 #01-14 Singapura 730501</t>
        </is>
      </c>
      <c r="D1128" t="inlineStr">
        <is>
          <t>Shop with Living Quarters</t>
        </is>
      </c>
      <c r="E1128" t="n">
        <v>96.90000000000001</v>
      </c>
      <c r="F1128" t="inlineStr">
        <is>
          <t>NC-ST-3</t>
        </is>
      </c>
      <c r="G1128" t="inlineStr">
        <is>
          <t>Tenanted</t>
        </is>
      </c>
    </row>
    <row r="1129">
      <c r="A1129" t="inlineStr">
        <is>
          <t>U-ST506-01-01</t>
        </is>
      </c>
      <c r="B1129" t="inlineStr">
        <is>
          <t>Sungai Tinggi</t>
        </is>
      </c>
      <c r="C1129" t="inlineStr">
        <is>
          <t>Blk 506 Sungai Tinggi Drive #01-01 Singapura 730506</t>
        </is>
      </c>
      <c r="D1129" t="inlineStr">
        <is>
          <t>Shop</t>
        </is>
      </c>
      <c r="E1129" t="n">
        <v>118.6</v>
      </c>
      <c r="F1129" t="inlineStr">
        <is>
          <t>NC-ST-3</t>
        </is>
      </c>
      <c r="G1129" t="inlineStr">
        <is>
          <t>Tenanted</t>
        </is>
      </c>
    </row>
    <row r="1130">
      <c r="A1130" t="inlineStr">
        <is>
          <t>U-ST506-01-02</t>
        </is>
      </c>
      <c r="B1130" t="inlineStr">
        <is>
          <t>Sungai Tinggi</t>
        </is>
      </c>
      <c r="C1130" t="inlineStr">
        <is>
          <t>Blk 506 Sungai Tinggi Drive #01-02 Singapura 730506</t>
        </is>
      </c>
      <c r="D1130" t="inlineStr">
        <is>
          <t>Shop</t>
        </is>
      </c>
      <c r="E1130" t="n">
        <v>114.8</v>
      </c>
      <c r="F1130" t="inlineStr">
        <is>
          <t>NC-ST-3</t>
        </is>
      </c>
      <c r="G1130" t="inlineStr">
        <is>
          <t>Tenanted</t>
        </is>
      </c>
    </row>
    <row r="1131">
      <c r="A1131" t="inlineStr">
        <is>
          <t>U-ST506-02-03</t>
        </is>
      </c>
      <c r="B1131" t="inlineStr">
        <is>
          <t>Sungai Tinggi</t>
        </is>
      </c>
      <c r="C1131" t="inlineStr">
        <is>
          <t>Blk 506 Sungai Tinggi Drive #02-03 Singapura 730506</t>
        </is>
      </c>
      <c r="D1131" t="inlineStr">
        <is>
          <t>Office</t>
        </is>
      </c>
      <c r="E1131" t="n">
        <v>73.7</v>
      </c>
      <c r="F1131" t="inlineStr">
        <is>
          <t>NC-ST-3</t>
        </is>
      </c>
      <c r="G1131" t="inlineStr">
        <is>
          <t>Tenanted</t>
        </is>
      </c>
    </row>
    <row r="1132">
      <c r="A1132" t="inlineStr">
        <is>
          <t>U-ST506-01-04</t>
        </is>
      </c>
      <c r="B1132" t="inlineStr">
        <is>
          <t>Sungai Tinggi</t>
        </is>
      </c>
      <c r="C1132" t="inlineStr">
        <is>
          <t>Blk 506 Sungai Tinggi Drive #01-04 Singapura 730506</t>
        </is>
      </c>
      <c r="D1132" t="inlineStr">
        <is>
          <t>Shop</t>
        </is>
      </c>
      <c r="E1132" t="n">
        <v>99</v>
      </c>
      <c r="F1132" t="inlineStr">
        <is>
          <t>NC-ST-3</t>
        </is>
      </c>
      <c r="G1132" t="inlineStr">
        <is>
          <t>Tenanted</t>
        </is>
      </c>
    </row>
    <row r="1133">
      <c r="A1133" t="inlineStr">
        <is>
          <t>U-ST506-01-05</t>
        </is>
      </c>
      <c r="B1133" t="inlineStr">
        <is>
          <t>Sungai Tinggi</t>
        </is>
      </c>
      <c r="C1133" t="inlineStr">
        <is>
          <t>Blk 506 Sungai Tinggi Drive #01-05 Singapura 730506</t>
        </is>
      </c>
      <c r="D1133" t="inlineStr">
        <is>
          <t>Shop</t>
        </is>
      </c>
      <c r="E1133" t="n">
        <v>87.3</v>
      </c>
      <c r="F1133" t="inlineStr">
        <is>
          <t>NC-ST-3</t>
        </is>
      </c>
      <c r="G1133" t="inlineStr">
        <is>
          <t>Tenanted</t>
        </is>
      </c>
    </row>
    <row r="1134">
      <c r="A1134" t="inlineStr">
        <is>
          <t>U-ST506-01-06</t>
        </is>
      </c>
      <c r="B1134" t="inlineStr">
        <is>
          <t>Sungai Tinggi</t>
        </is>
      </c>
      <c r="C1134" t="inlineStr">
        <is>
          <t>Blk 506 Sungai Tinggi Drive #01-06 Singapura 730506</t>
        </is>
      </c>
      <c r="D1134" t="inlineStr">
        <is>
          <t>Kiosk</t>
        </is>
      </c>
      <c r="E1134" t="n">
        <v>9.199999999999999</v>
      </c>
      <c r="F1134" t="inlineStr">
        <is>
          <t>NC-ST-3</t>
        </is>
      </c>
      <c r="G1134" t="inlineStr">
        <is>
          <t>Tenanted</t>
        </is>
      </c>
    </row>
    <row r="1135">
      <c r="A1135" t="inlineStr">
        <is>
          <t>U-ST506-01-07</t>
        </is>
      </c>
      <c r="B1135" t="inlineStr">
        <is>
          <t>Sungai Tinggi</t>
        </is>
      </c>
      <c r="C1135" t="inlineStr">
        <is>
          <t>Blk 506 Sungai Tinggi Drive #01-07 Singapura 730506</t>
        </is>
      </c>
      <c r="D1135" t="inlineStr">
        <is>
          <t>Shop</t>
        </is>
      </c>
      <c r="E1135" t="n">
        <v>51.4</v>
      </c>
      <c r="F1135" t="inlineStr">
        <is>
          <t>NC-ST-3</t>
        </is>
      </c>
      <c r="G1135" t="inlineStr">
        <is>
          <t>Tenanted</t>
        </is>
      </c>
    </row>
    <row r="1136">
      <c r="A1136" t="inlineStr">
        <is>
          <t>U-ST506-01-08</t>
        </is>
      </c>
      <c r="B1136" t="inlineStr">
        <is>
          <t>Sungai Tinggi</t>
        </is>
      </c>
      <c r="C1136" t="inlineStr">
        <is>
          <t>Blk 506 Sungai Tinggi Drive #01-08 Singapura 730506</t>
        </is>
      </c>
      <c r="D1136" t="inlineStr">
        <is>
          <t>Office</t>
        </is>
      </c>
      <c r="E1136" t="n">
        <v>131</v>
      </c>
      <c r="F1136" t="inlineStr">
        <is>
          <t>NC-ST-3</t>
        </is>
      </c>
      <c r="G1136" t="inlineStr">
        <is>
          <t>Tenanted</t>
        </is>
      </c>
    </row>
    <row r="1137">
      <c r="A1137" t="inlineStr">
        <is>
          <t>U-ST506-02-09</t>
        </is>
      </c>
      <c r="B1137" t="inlineStr">
        <is>
          <t>Sungai Tinggi</t>
        </is>
      </c>
      <c r="C1137" t="inlineStr">
        <is>
          <t>Blk 506 Sungai Tinggi Drive #02-09 Singapura 730506</t>
        </is>
      </c>
      <c r="D1137" t="inlineStr">
        <is>
          <t>Office</t>
        </is>
      </c>
      <c r="E1137" t="n">
        <v>67.59999999999999</v>
      </c>
      <c r="F1137" t="inlineStr">
        <is>
          <t>NC-ST-3</t>
        </is>
      </c>
      <c r="G1137" t="inlineStr">
        <is>
          <t>Tenanted</t>
        </is>
      </c>
    </row>
    <row r="1138">
      <c r="A1138" t="inlineStr">
        <is>
          <t>U-ST507-01-01</t>
        </is>
      </c>
      <c r="B1138" t="inlineStr">
        <is>
          <t>Sungai Tinggi</t>
        </is>
      </c>
      <c r="C1138" t="inlineStr">
        <is>
          <t>Blk 507 Tinggi Link #01-01 Singapura 730507</t>
        </is>
      </c>
      <c r="D1138" t="inlineStr">
        <is>
          <t>Eating House</t>
        </is>
      </c>
      <c r="E1138" t="n">
        <v>212.6</v>
      </c>
      <c r="F1138" t="inlineStr">
        <is>
          <t>NC-ST-1</t>
        </is>
      </c>
      <c r="G1138" t="inlineStr">
        <is>
          <t>Tenanted</t>
        </is>
      </c>
    </row>
    <row r="1139">
      <c r="A1139" t="inlineStr">
        <is>
          <t>U-ST507-01-02</t>
        </is>
      </c>
      <c r="B1139" t="inlineStr">
        <is>
          <t>Sungai Tinggi</t>
        </is>
      </c>
      <c r="C1139" t="inlineStr">
        <is>
          <t>Blk 507 Tinggi Link #01-02 Singapura 730507</t>
        </is>
      </c>
      <c r="D1139" t="inlineStr">
        <is>
          <t>Shop</t>
        </is>
      </c>
      <c r="E1139" t="n">
        <v>57.5</v>
      </c>
      <c r="F1139" t="inlineStr">
        <is>
          <t>NC-ST-1</t>
        </is>
      </c>
      <c r="G1139" t="inlineStr">
        <is>
          <t>Tenanted</t>
        </is>
      </c>
    </row>
    <row r="1140">
      <c r="A1140" t="inlineStr">
        <is>
          <t>U-ST507-01-03</t>
        </is>
      </c>
      <c r="B1140" t="inlineStr">
        <is>
          <t>Sungai Tinggi</t>
        </is>
      </c>
      <c r="C1140" t="inlineStr">
        <is>
          <t>Blk 507 Tinggi Link #01-03 Singapura 730507</t>
        </is>
      </c>
      <c r="D1140" t="inlineStr">
        <is>
          <t>Shop</t>
        </is>
      </c>
      <c r="E1140" t="n">
        <v>40.1</v>
      </c>
      <c r="F1140" t="inlineStr">
        <is>
          <t>NC-ST-1</t>
        </is>
      </c>
      <c r="G1140" t="inlineStr">
        <is>
          <t>Tenanted</t>
        </is>
      </c>
    </row>
    <row r="1141">
      <c r="A1141" t="inlineStr">
        <is>
          <t>U-ST507-02-04</t>
        </is>
      </c>
      <c r="B1141" t="inlineStr">
        <is>
          <t>Sungai Tinggi</t>
        </is>
      </c>
      <c r="C1141" t="inlineStr">
        <is>
          <t>Blk 507 Tinggi Link #02-04 Singapura 730507</t>
        </is>
      </c>
      <c r="D1141" t="inlineStr">
        <is>
          <t>Office</t>
        </is>
      </c>
      <c r="E1141" t="n">
        <v>63</v>
      </c>
      <c r="F1141" t="inlineStr">
        <is>
          <t>NC-ST-1</t>
        </is>
      </c>
      <c r="G1141" t="inlineStr">
        <is>
          <t>Tenanted</t>
        </is>
      </c>
    </row>
    <row r="1142">
      <c r="A1142" t="inlineStr">
        <is>
          <t>U-ST507-01-05</t>
        </is>
      </c>
      <c r="B1142" t="inlineStr">
        <is>
          <t>Sungai Tinggi</t>
        </is>
      </c>
      <c r="C1142" t="inlineStr">
        <is>
          <t>Blk 507 Tinggi Link #01-05 Singapura 730507</t>
        </is>
      </c>
      <c r="D1142" t="inlineStr">
        <is>
          <t>Kiosk</t>
        </is>
      </c>
      <c r="E1142" t="n">
        <v>14.3</v>
      </c>
      <c r="F1142" t="inlineStr">
        <is>
          <t>NC-ST-1</t>
        </is>
      </c>
      <c r="G1142" t="inlineStr">
        <is>
          <t>Tenanted</t>
        </is>
      </c>
    </row>
    <row r="1143">
      <c r="A1143" t="inlineStr">
        <is>
          <t>U-ST507-01-06</t>
        </is>
      </c>
      <c r="B1143" t="inlineStr">
        <is>
          <t>Sungai Tinggi</t>
        </is>
      </c>
      <c r="C1143" t="inlineStr">
        <is>
          <t>Blk 507 Tinggi Link #01-06 Singapura 730507</t>
        </is>
      </c>
      <c r="D1143" t="inlineStr">
        <is>
          <t>Shop with Living Quarters</t>
        </is>
      </c>
      <c r="E1143" t="n">
        <v>76.2</v>
      </c>
      <c r="F1143" t="inlineStr">
        <is>
          <t>NC-ST-1</t>
        </is>
      </c>
      <c r="G1143" t="inlineStr">
        <is>
          <t>Tenanted</t>
        </is>
      </c>
    </row>
    <row r="1144">
      <c r="A1144" t="inlineStr">
        <is>
          <t>U-ST512-01-01</t>
        </is>
      </c>
      <c r="B1144" t="inlineStr">
        <is>
          <t>Sungai Tinggi</t>
        </is>
      </c>
      <c r="C1144" t="inlineStr">
        <is>
          <t>Blk 512 Sungai Tinggi Drive #01-01 Singapura 730512</t>
        </is>
      </c>
      <c r="D1144" t="inlineStr">
        <is>
          <t>Shop</t>
        </is>
      </c>
      <c r="E1144" t="n">
        <v>96.40000000000001</v>
      </c>
      <c r="F1144" t="inlineStr">
        <is>
          <t>NC-ST-1</t>
        </is>
      </c>
      <c r="G1144" t="inlineStr">
        <is>
          <t>Tenanted</t>
        </is>
      </c>
    </row>
    <row r="1145">
      <c r="A1145" t="inlineStr">
        <is>
          <t>U-ST512-01-02</t>
        </is>
      </c>
      <c r="B1145" t="inlineStr">
        <is>
          <t>Sungai Tinggi</t>
        </is>
      </c>
      <c r="C1145" t="inlineStr">
        <is>
          <t>Blk 512 Sungai Tinggi Drive #01-02 Singapura 730512</t>
        </is>
      </c>
      <c r="D1145" t="inlineStr">
        <is>
          <t>Shop</t>
        </is>
      </c>
      <c r="E1145" t="n">
        <v>48.9</v>
      </c>
      <c r="F1145" t="inlineStr">
        <is>
          <t>NC-ST-1</t>
        </is>
      </c>
      <c r="G1145" t="inlineStr">
        <is>
          <t>Tenanted</t>
        </is>
      </c>
    </row>
    <row r="1146">
      <c r="A1146" t="inlineStr">
        <is>
          <t>U-ST512-01-03</t>
        </is>
      </c>
      <c r="B1146" t="inlineStr">
        <is>
          <t>Sungai Tinggi</t>
        </is>
      </c>
      <c r="C1146" t="inlineStr">
        <is>
          <t>Blk 512 Sungai Tinggi Drive #01-03 Singapura 730512</t>
        </is>
      </c>
      <c r="D1146" t="inlineStr">
        <is>
          <t>Shop</t>
        </is>
      </c>
      <c r="E1146" t="n">
        <v>69.2</v>
      </c>
      <c r="F1146" t="inlineStr">
        <is>
          <t>NC-ST-1</t>
        </is>
      </c>
      <c r="G1146" t="inlineStr">
        <is>
          <t>Tenanted</t>
        </is>
      </c>
    </row>
    <row r="1147">
      <c r="A1147" t="inlineStr">
        <is>
          <t>U-ST512-01-04</t>
        </is>
      </c>
      <c r="B1147" t="inlineStr">
        <is>
          <t>Sungai Tinggi</t>
        </is>
      </c>
      <c r="C1147" t="inlineStr">
        <is>
          <t>Blk 512 Sungai Tinggi Drive #01-04 Singapura 730512</t>
        </is>
      </c>
      <c r="D1147" t="inlineStr">
        <is>
          <t>Shop</t>
        </is>
      </c>
      <c r="E1147" t="n">
        <v>96.40000000000001</v>
      </c>
      <c r="F1147" t="inlineStr">
        <is>
          <t>NC-ST-1</t>
        </is>
      </c>
      <c r="G1147" t="inlineStr">
        <is>
          <t>Tenanted</t>
        </is>
      </c>
    </row>
    <row r="1148">
      <c r="A1148" t="inlineStr">
        <is>
          <t>U-ST512-01-05</t>
        </is>
      </c>
      <c r="B1148" t="inlineStr">
        <is>
          <t>Sungai Tinggi</t>
        </is>
      </c>
      <c r="C1148" t="inlineStr">
        <is>
          <t>Blk 512 Sungai Tinggi Drive #01-05 Singapura 730512</t>
        </is>
      </c>
      <c r="D1148" t="inlineStr">
        <is>
          <t>Shop</t>
        </is>
      </c>
      <c r="E1148" t="n">
        <v>93</v>
      </c>
      <c r="F1148" t="inlineStr">
        <is>
          <t>NC-ST-1</t>
        </is>
      </c>
      <c r="G1148" t="inlineStr">
        <is>
          <t>Tenanted</t>
        </is>
      </c>
    </row>
    <row r="1149">
      <c r="A1149" t="inlineStr">
        <is>
          <t>U-ST512-01-06</t>
        </is>
      </c>
      <c r="B1149" t="inlineStr">
        <is>
          <t>Sungai Tinggi</t>
        </is>
      </c>
      <c r="C1149" t="inlineStr">
        <is>
          <t>Blk 512 Sungai Tinggi Drive #01-06 Singapura 730512</t>
        </is>
      </c>
      <c r="D1149" t="inlineStr">
        <is>
          <t>Shop</t>
        </is>
      </c>
      <c r="E1149" t="n">
        <v>66.90000000000001</v>
      </c>
      <c r="F1149" t="inlineStr">
        <is>
          <t>NC-ST-1</t>
        </is>
      </c>
      <c r="G1149" t="inlineStr">
        <is>
          <t>Tenanted</t>
        </is>
      </c>
    </row>
    <row r="1150">
      <c r="A1150" t="inlineStr">
        <is>
          <t>U-ST512-01-07</t>
        </is>
      </c>
      <c r="B1150" t="inlineStr">
        <is>
          <t>Sungai Tinggi</t>
        </is>
      </c>
      <c r="C1150" t="inlineStr">
        <is>
          <t>Blk 512 Sungai Tinggi Drive #01-07 Singapura 730512</t>
        </is>
      </c>
      <c r="D1150" t="inlineStr">
        <is>
          <t>Shop</t>
        </is>
      </c>
      <c r="E1150" t="n">
        <v>118.1</v>
      </c>
      <c r="F1150" t="inlineStr">
        <is>
          <t>NC-ST-1</t>
        </is>
      </c>
      <c r="G1150" t="inlineStr">
        <is>
          <t>Tenanted</t>
        </is>
      </c>
    </row>
    <row r="1151">
      <c r="A1151" t="inlineStr">
        <is>
          <t>U-ST512-01-08</t>
        </is>
      </c>
      <c r="B1151" t="inlineStr">
        <is>
          <t>Sungai Tinggi</t>
        </is>
      </c>
      <c r="C1151" t="inlineStr">
        <is>
          <t>Blk 512 Sungai Tinggi Drive #01-08 Singapura 730512</t>
        </is>
      </c>
      <c r="D1151" t="inlineStr">
        <is>
          <t>Kiosk</t>
        </is>
      </c>
      <c r="E1151" t="n">
        <v>9.9</v>
      </c>
      <c r="F1151" t="inlineStr">
        <is>
          <t>NC-ST-1</t>
        </is>
      </c>
      <c r="G1151" t="inlineStr">
        <is>
          <t>Tenanted</t>
        </is>
      </c>
    </row>
    <row r="1152">
      <c r="A1152" t="inlineStr">
        <is>
          <t>U-ST512-01-09</t>
        </is>
      </c>
      <c r="B1152" t="inlineStr">
        <is>
          <t>Sungai Tinggi</t>
        </is>
      </c>
      <c r="C1152" t="inlineStr">
        <is>
          <t>Blk 512 Sungai Tinggi Drive #01-09 Singapura 730512</t>
        </is>
      </c>
      <c r="D1152" t="inlineStr">
        <is>
          <t>Shop</t>
        </is>
      </c>
      <c r="E1152" t="n">
        <v>79</v>
      </c>
      <c r="F1152" t="inlineStr">
        <is>
          <t>NC-ST-1</t>
        </is>
      </c>
      <c r="G1152" t="inlineStr">
        <is>
          <t>Tenanted</t>
        </is>
      </c>
    </row>
    <row r="1153">
      <c r="A1153" t="inlineStr">
        <is>
          <t>U-ST512-01-10</t>
        </is>
      </c>
      <c r="B1153" t="inlineStr">
        <is>
          <t>Sungai Tinggi</t>
        </is>
      </c>
      <c r="C1153" t="inlineStr">
        <is>
          <t>Blk 512 Sungai Tinggi Drive #01-10 Singapura 730512</t>
        </is>
      </c>
      <c r="D1153" t="inlineStr">
        <is>
          <t>Shop</t>
        </is>
      </c>
      <c r="E1153" t="n">
        <v>96.59999999999999</v>
      </c>
      <c r="F1153" t="inlineStr">
        <is>
          <t>NC-ST-1</t>
        </is>
      </c>
      <c r="G1153" t="inlineStr">
        <is>
          <t>Tenanted</t>
        </is>
      </c>
    </row>
    <row r="1154">
      <c r="A1154" t="inlineStr">
        <is>
          <t>U-ST512-01-11</t>
        </is>
      </c>
      <c r="B1154" t="inlineStr">
        <is>
          <t>Sungai Tinggi</t>
        </is>
      </c>
      <c r="C1154" t="inlineStr">
        <is>
          <t>Blk 512 Sungai Tinggi Drive #01-11 Singapura 730512</t>
        </is>
      </c>
      <c r="D1154" t="inlineStr">
        <is>
          <t>Shop</t>
        </is>
      </c>
      <c r="E1154" t="n">
        <v>111.2</v>
      </c>
      <c r="F1154" t="inlineStr">
        <is>
          <t>NC-ST-1</t>
        </is>
      </c>
      <c r="G1154" t="inlineStr">
        <is>
          <t>Tenanted</t>
        </is>
      </c>
    </row>
    <row r="1155">
      <c r="A1155" t="inlineStr">
        <is>
          <t>U-ST512-01-12</t>
        </is>
      </c>
      <c r="B1155" t="inlineStr">
        <is>
          <t>Sungai Tinggi</t>
        </is>
      </c>
      <c r="C1155" t="inlineStr">
        <is>
          <t>Blk 512 Sungai Tinggi Drive #01-12 Singapura 730512</t>
        </is>
      </c>
      <c r="D1155" t="inlineStr">
        <is>
          <t>Shop</t>
        </is>
      </c>
      <c r="E1155" t="n">
        <v>68.5</v>
      </c>
      <c r="F1155" t="inlineStr">
        <is>
          <t>NC-ST-1</t>
        </is>
      </c>
      <c r="G1155" t="inlineStr">
        <is>
          <t>Tenanted</t>
        </is>
      </c>
    </row>
    <row r="1156">
      <c r="A1156" t="inlineStr">
        <is>
          <t>U-ST512-01-13</t>
        </is>
      </c>
      <c r="B1156" t="inlineStr">
        <is>
          <t>Sungai Tinggi</t>
        </is>
      </c>
      <c r="C1156" t="inlineStr">
        <is>
          <t>Blk 512 Sungai Tinggi Drive #01-13 Singapura 730512</t>
        </is>
      </c>
      <c r="D1156" t="inlineStr">
        <is>
          <t>Shop</t>
        </is>
      </c>
      <c r="E1156" t="n">
        <v>105.2</v>
      </c>
      <c r="F1156" t="inlineStr">
        <is>
          <t>NC-ST-1</t>
        </is>
      </c>
      <c r="G1156" t="inlineStr">
        <is>
          <t>Tenanted</t>
        </is>
      </c>
    </row>
    <row r="1157">
      <c r="A1157" t="inlineStr">
        <is>
          <t>U-ST512-01-14</t>
        </is>
      </c>
      <c r="B1157" t="inlineStr">
        <is>
          <t>Sungai Tinggi</t>
        </is>
      </c>
      <c r="C1157" t="inlineStr">
        <is>
          <t>Blk 512 Sungai Tinggi Drive #01-14 Singapura 730512</t>
        </is>
      </c>
      <c r="D1157" t="inlineStr">
        <is>
          <t>Shop</t>
        </is>
      </c>
      <c r="E1157" t="n">
        <v>98.7</v>
      </c>
      <c r="F1157" t="inlineStr">
        <is>
          <t>NC-ST-1</t>
        </is>
      </c>
      <c r="G1157" t="inlineStr">
        <is>
          <t>Tenanted</t>
        </is>
      </c>
    </row>
    <row r="1158">
      <c r="A1158" t="inlineStr">
        <is>
          <t>U-ST512-01-15</t>
        </is>
      </c>
      <c r="B1158" t="inlineStr">
        <is>
          <t>Sungai Tinggi</t>
        </is>
      </c>
      <c r="C1158" t="inlineStr">
        <is>
          <t>Blk 512 Sungai Tinggi Drive #01-15 Singapura 730512</t>
        </is>
      </c>
      <c r="D1158" t="inlineStr">
        <is>
          <t>Shop</t>
        </is>
      </c>
      <c r="E1158" t="n">
        <v>54.2</v>
      </c>
      <c r="F1158" t="inlineStr">
        <is>
          <t>NC-ST-1</t>
        </is>
      </c>
      <c r="G1158" t="inlineStr">
        <is>
          <t>Tenanted</t>
        </is>
      </c>
    </row>
    <row r="1159">
      <c r="A1159" t="inlineStr">
        <is>
          <t>U-ST512-01-16</t>
        </is>
      </c>
      <c r="B1159" t="inlineStr">
        <is>
          <t>Sungai Tinggi</t>
        </is>
      </c>
      <c r="C1159" t="inlineStr">
        <is>
          <t>Blk 512 Sungai Tinggi Drive #01-16 Singapura 730512</t>
        </is>
      </c>
      <c r="D1159" t="inlineStr">
        <is>
          <t>Shop</t>
        </is>
      </c>
      <c r="E1159" t="n">
        <v>96.2</v>
      </c>
      <c r="F1159" t="inlineStr">
        <is>
          <t>NC-ST-1</t>
        </is>
      </c>
      <c r="G1159" t="inlineStr">
        <is>
          <t>Tenanted</t>
        </is>
      </c>
    </row>
    <row r="1160">
      <c r="A1160" t="inlineStr">
        <is>
          <t>U-ST512-01-17</t>
        </is>
      </c>
      <c r="B1160" t="inlineStr">
        <is>
          <t>Sungai Tinggi</t>
        </is>
      </c>
      <c r="C1160" t="inlineStr">
        <is>
          <t>Blk 512 Sungai Tinggi Drive #01-17 Singapura 730512</t>
        </is>
      </c>
      <c r="D1160" t="inlineStr">
        <is>
          <t>Shop</t>
        </is>
      </c>
      <c r="E1160" t="n">
        <v>108.1</v>
      </c>
      <c r="F1160" t="inlineStr">
        <is>
          <t>NC-ST-1</t>
        </is>
      </c>
      <c r="G1160" t="inlineStr">
        <is>
          <t>Tenanted</t>
        </is>
      </c>
    </row>
    <row r="1161">
      <c r="A1161" t="inlineStr">
        <is>
          <t>U-ST512-01-18</t>
        </is>
      </c>
      <c r="B1161" t="inlineStr">
        <is>
          <t>Sungai Tinggi</t>
        </is>
      </c>
      <c r="C1161" t="inlineStr">
        <is>
          <t>Blk 512 Sungai Tinggi Drive #01-18 Singapura 730512</t>
        </is>
      </c>
      <c r="D1161" t="inlineStr">
        <is>
          <t>Kiosk</t>
        </is>
      </c>
      <c r="E1161" t="n">
        <v>11.1</v>
      </c>
      <c r="F1161" t="inlineStr">
        <is>
          <t>NC-ST-1</t>
        </is>
      </c>
      <c r="G1161" t="inlineStr">
        <is>
          <t>Tenanted</t>
        </is>
      </c>
    </row>
    <row r="1162">
      <c r="A1162" t="inlineStr">
        <is>
          <t>U-ST512-01-19</t>
        </is>
      </c>
      <c r="B1162" t="inlineStr">
        <is>
          <t>Sungai Tinggi</t>
        </is>
      </c>
      <c r="C1162" t="inlineStr">
        <is>
          <t>Blk 512 Sungai Tinggi Drive #01-19 Singapura 730512</t>
        </is>
      </c>
      <c r="D1162" t="inlineStr">
        <is>
          <t>Shop</t>
        </is>
      </c>
      <c r="E1162" t="n">
        <v>65.5</v>
      </c>
      <c r="F1162" t="inlineStr">
        <is>
          <t>NC-ST-1</t>
        </is>
      </c>
      <c r="G1162" t="inlineStr">
        <is>
          <t>Tenanted</t>
        </is>
      </c>
    </row>
    <row r="1163">
      <c r="A1163" t="inlineStr">
        <is>
          <t>U-ST512-01-20</t>
        </is>
      </c>
      <c r="B1163" t="inlineStr">
        <is>
          <t>Sungai Tinggi</t>
        </is>
      </c>
      <c r="C1163" t="inlineStr">
        <is>
          <t>Blk 512 Sungai Tinggi Drive #01-20 Singapura 730512</t>
        </is>
      </c>
      <c r="D1163" t="inlineStr">
        <is>
          <t>Shop with Living Quarters</t>
        </is>
      </c>
      <c r="E1163" t="n">
        <v>90.59999999999999</v>
      </c>
      <c r="F1163" t="inlineStr">
        <is>
          <t>NC-ST-1</t>
        </is>
      </c>
      <c r="G1163" t="inlineStr">
        <is>
          <t>Tenanted</t>
        </is>
      </c>
    </row>
    <row r="1164">
      <c r="A1164" t="inlineStr">
        <is>
          <t>U-ST512-01-21</t>
        </is>
      </c>
      <c r="B1164" t="inlineStr">
        <is>
          <t>Sungai Tinggi</t>
        </is>
      </c>
      <c r="C1164" t="inlineStr">
        <is>
          <t>Blk 512 Sungai Tinggi Drive #01-21 Singapura 730512</t>
        </is>
      </c>
      <c r="D1164" t="inlineStr">
        <is>
          <t>Shop</t>
        </is>
      </c>
      <c r="E1164" t="n">
        <v>48.3</v>
      </c>
      <c r="F1164" t="inlineStr">
        <is>
          <t>NC-ST-1</t>
        </is>
      </c>
      <c r="G1164" t="inlineStr">
        <is>
          <t>Tenanted</t>
        </is>
      </c>
    </row>
    <row r="1165">
      <c r="A1165" t="inlineStr">
        <is>
          <t>U-ST512-01-22</t>
        </is>
      </c>
      <c r="B1165" t="inlineStr">
        <is>
          <t>Sungai Tinggi</t>
        </is>
      </c>
      <c r="C1165" t="inlineStr">
        <is>
          <t>Blk 512 Sungai Tinggi Drive #01-22 Singapura 730512</t>
        </is>
      </c>
      <c r="D1165" t="inlineStr">
        <is>
          <t>Shop</t>
        </is>
      </c>
      <c r="E1165" t="n">
        <v>66.5</v>
      </c>
      <c r="F1165" t="inlineStr">
        <is>
          <t>NC-ST-1</t>
        </is>
      </c>
      <c r="G1165" t="inlineStr">
        <is>
          <t>Tenanted</t>
        </is>
      </c>
    </row>
    <row r="1166">
      <c r="A1166" t="inlineStr">
        <is>
          <t>U-ST512-01-23</t>
        </is>
      </c>
      <c r="B1166" t="inlineStr">
        <is>
          <t>Sungai Tinggi</t>
        </is>
      </c>
      <c r="C1166" t="inlineStr">
        <is>
          <t>Blk 512 Sungai Tinggi Drive #01-23 Singapura 730512</t>
        </is>
      </c>
      <c r="D1166" t="inlineStr">
        <is>
          <t>Shop</t>
        </is>
      </c>
      <c r="E1166" t="n">
        <v>67.7</v>
      </c>
      <c r="F1166" t="inlineStr">
        <is>
          <t>NC-ST-1</t>
        </is>
      </c>
      <c r="G1166" t="inlineStr">
        <is>
          <t>Tenanted</t>
        </is>
      </c>
    </row>
    <row r="1167">
      <c r="A1167" t="inlineStr">
        <is>
          <t>U-ST512-01-24</t>
        </is>
      </c>
      <c r="B1167" t="inlineStr">
        <is>
          <t>Sungai Tinggi</t>
        </is>
      </c>
      <c r="C1167" t="inlineStr">
        <is>
          <t>Blk 512 Sungai Tinggi Drive #01-24 Singapura 730512</t>
        </is>
      </c>
      <c r="D1167" t="inlineStr">
        <is>
          <t>Shop</t>
        </is>
      </c>
      <c r="E1167" t="n">
        <v>90.90000000000001</v>
      </c>
      <c r="F1167" t="inlineStr">
        <is>
          <t>NC-ST-1</t>
        </is>
      </c>
      <c r="G1167" t="inlineStr">
        <is>
          <t>Tenanted</t>
        </is>
      </c>
    </row>
    <row r="1168">
      <c r="A1168" t="inlineStr">
        <is>
          <t>U-ST512-01-25</t>
        </is>
      </c>
      <c r="B1168" t="inlineStr">
        <is>
          <t>Sungai Tinggi</t>
        </is>
      </c>
      <c r="C1168" t="inlineStr">
        <is>
          <t>Blk 512 Sungai Tinggi Drive #01-25 Singapura 730512</t>
        </is>
      </c>
      <c r="D1168" t="inlineStr">
        <is>
          <t>Office</t>
        </is>
      </c>
      <c r="E1168" t="n">
        <v>117</v>
      </c>
      <c r="F1168" t="inlineStr">
        <is>
          <t>NC-ST-1</t>
        </is>
      </c>
      <c r="G1168" t="inlineStr">
        <is>
          <t>Tenanted</t>
        </is>
      </c>
    </row>
    <row r="1169">
      <c r="A1169" t="inlineStr">
        <is>
          <t>U-ST512-01-26</t>
        </is>
      </c>
      <c r="B1169" t="inlineStr">
        <is>
          <t>Sungai Tinggi</t>
        </is>
      </c>
      <c r="C1169" t="inlineStr">
        <is>
          <t>Blk 512 Sungai Tinggi Drive #01-26 Singapura 730512</t>
        </is>
      </c>
      <c r="D1169" t="inlineStr">
        <is>
          <t>Kiosk</t>
        </is>
      </c>
      <c r="E1169" t="n">
        <v>9</v>
      </c>
      <c r="F1169" t="inlineStr">
        <is>
          <t>NC-ST-1</t>
        </is>
      </c>
      <c r="G1169" t="inlineStr">
        <is>
          <t>Tenanted</t>
        </is>
      </c>
    </row>
    <row r="1170">
      <c r="A1170" t="inlineStr">
        <is>
          <t>U-ST512-01-27</t>
        </is>
      </c>
      <c r="B1170" t="inlineStr">
        <is>
          <t>Sungai Tinggi</t>
        </is>
      </c>
      <c r="C1170" t="inlineStr">
        <is>
          <t>Blk 512 Sungai Tinggi Drive #01-27 Singapura 730512</t>
        </is>
      </c>
      <c r="D1170" t="inlineStr">
        <is>
          <t>Shop</t>
        </is>
      </c>
      <c r="E1170" t="n">
        <v>56.8</v>
      </c>
      <c r="F1170" t="inlineStr">
        <is>
          <t>NC-ST-1</t>
        </is>
      </c>
      <c r="G1170" t="inlineStr">
        <is>
          <t>Tenanted</t>
        </is>
      </c>
    </row>
    <row r="1171">
      <c r="A1171" t="inlineStr">
        <is>
          <t>U-ST512-01-28</t>
        </is>
      </c>
      <c r="B1171" t="inlineStr">
        <is>
          <t>Sungai Tinggi</t>
        </is>
      </c>
      <c r="C1171" t="inlineStr">
        <is>
          <t>Blk 512 Sungai Tinggi Drive #01-28 Singapura 730512</t>
        </is>
      </c>
      <c r="D1171" t="inlineStr">
        <is>
          <t>Kiosk</t>
        </is>
      </c>
      <c r="E1171" t="n">
        <v>9.199999999999999</v>
      </c>
      <c r="F1171" t="inlineStr">
        <is>
          <t>NC-ST-1</t>
        </is>
      </c>
      <c r="G1171" t="inlineStr">
        <is>
          <t>Tenanted</t>
        </is>
      </c>
    </row>
    <row r="1172">
      <c r="A1172" t="inlineStr">
        <is>
          <t>U-ST512-01-29</t>
        </is>
      </c>
      <c r="B1172" t="inlineStr">
        <is>
          <t>Sungai Tinggi</t>
        </is>
      </c>
      <c r="C1172" t="inlineStr">
        <is>
          <t>Blk 512 Sungai Tinggi Drive #01-29 Singapura 730512</t>
        </is>
      </c>
      <c r="D1172" t="inlineStr">
        <is>
          <t>Shop with Living Quarters</t>
        </is>
      </c>
      <c r="E1172" t="n">
        <v>96</v>
      </c>
      <c r="F1172" t="inlineStr">
        <is>
          <t>NC-ST-1</t>
        </is>
      </c>
      <c r="G1172" t="inlineStr">
        <is>
          <t>Tenanted</t>
        </is>
      </c>
    </row>
    <row r="1173">
      <c r="A1173" t="inlineStr">
        <is>
          <t>U-ST512-01-30</t>
        </is>
      </c>
      <c r="B1173" t="inlineStr">
        <is>
          <t>Sungai Tinggi</t>
        </is>
      </c>
      <c r="C1173" t="inlineStr">
        <is>
          <t>Blk 512 Sungai Tinggi Drive #01-30 Singapura 730512</t>
        </is>
      </c>
      <c r="D1173" t="inlineStr">
        <is>
          <t>Shop</t>
        </is>
      </c>
      <c r="E1173" t="n">
        <v>75.09999999999999</v>
      </c>
      <c r="F1173" t="inlineStr">
        <is>
          <t>NC-ST-1</t>
        </is>
      </c>
      <c r="G1173" t="inlineStr">
        <is>
          <t>Tenanted</t>
        </is>
      </c>
    </row>
    <row r="1174">
      <c r="A1174" t="inlineStr">
        <is>
          <t>U-ST512-01-31</t>
        </is>
      </c>
      <c r="B1174" t="inlineStr">
        <is>
          <t>Sungai Tinggi</t>
        </is>
      </c>
      <c r="C1174" t="inlineStr">
        <is>
          <t>Blk 512 Sungai Tinggi Drive #01-31 Singapura 730512</t>
        </is>
      </c>
      <c r="D1174" t="inlineStr">
        <is>
          <t>Shop</t>
        </is>
      </c>
      <c r="E1174" t="n">
        <v>53.3</v>
      </c>
      <c r="F1174" t="inlineStr">
        <is>
          <t>NC-ST-1</t>
        </is>
      </c>
      <c r="G1174" t="inlineStr">
        <is>
          <t>Tenanted</t>
        </is>
      </c>
    </row>
    <row r="1175">
      <c r="A1175" t="inlineStr">
        <is>
          <t>U-ST512-01-32</t>
        </is>
      </c>
      <c r="B1175" t="inlineStr">
        <is>
          <t>Sungai Tinggi</t>
        </is>
      </c>
      <c r="C1175" t="inlineStr">
        <is>
          <t>Blk 512 Sungai Tinggi Drive #01-32 Singapura 730512</t>
        </is>
      </c>
      <c r="D1175" t="inlineStr">
        <is>
          <t>Shop</t>
        </is>
      </c>
      <c r="E1175" t="n">
        <v>110.5</v>
      </c>
      <c r="F1175" t="inlineStr">
        <is>
          <t>NC-ST-1</t>
        </is>
      </c>
      <c r="G1175" t="inlineStr">
        <is>
          <t>Tenanted</t>
        </is>
      </c>
    </row>
    <row r="1176">
      <c r="A1176" t="inlineStr">
        <is>
          <t>U-ST512-01-33</t>
        </is>
      </c>
      <c r="B1176" t="inlineStr">
        <is>
          <t>Sungai Tinggi</t>
        </is>
      </c>
      <c r="C1176" t="inlineStr">
        <is>
          <t>Blk 512 Sungai Tinggi Drive #01-33 Singapura 730512</t>
        </is>
      </c>
      <c r="D1176" t="inlineStr">
        <is>
          <t>Shop</t>
        </is>
      </c>
      <c r="E1176" t="n">
        <v>68.09999999999999</v>
      </c>
      <c r="F1176" t="inlineStr">
        <is>
          <t>NC-ST-1</t>
        </is>
      </c>
      <c r="G1176" t="inlineStr">
        <is>
          <t>Tenanted</t>
        </is>
      </c>
    </row>
    <row r="1177">
      <c r="A1177" t="inlineStr">
        <is>
          <t>U-ST512-01-34</t>
        </is>
      </c>
      <c r="B1177" t="inlineStr">
        <is>
          <t>Sungai Tinggi</t>
        </is>
      </c>
      <c r="C1177" t="inlineStr">
        <is>
          <t>Blk 512 Sungai Tinggi Drive #01-34 Singapura 730512</t>
        </is>
      </c>
      <c r="D1177" t="inlineStr">
        <is>
          <t>Shop</t>
        </is>
      </c>
      <c r="E1177" t="n">
        <v>106.3</v>
      </c>
      <c r="F1177" t="inlineStr">
        <is>
          <t>NC-ST-1</t>
        </is>
      </c>
      <c r="G1177" t="inlineStr">
        <is>
          <t>Tenanted</t>
        </is>
      </c>
    </row>
    <row r="1178">
      <c r="A1178" t="inlineStr">
        <is>
          <t>U-ST513-01-01</t>
        </is>
      </c>
      <c r="B1178" t="inlineStr">
        <is>
          <t>Sungai Tinggi</t>
        </is>
      </c>
      <c r="C1178" t="inlineStr">
        <is>
          <t>Blk 513 Sungai Tinggi Street 52 #01-01 Singapura 730513</t>
        </is>
      </c>
      <c r="D1178" t="inlineStr">
        <is>
          <t>Shop</t>
        </is>
      </c>
      <c r="E1178" t="n">
        <v>45.9</v>
      </c>
      <c r="F1178" t="inlineStr">
        <is>
          <t>NC-ST-1</t>
        </is>
      </c>
      <c r="G1178" t="inlineStr">
        <is>
          <t>Tenanted</t>
        </is>
      </c>
    </row>
    <row r="1179">
      <c r="A1179" t="inlineStr">
        <is>
          <t>U-ST513-01-02</t>
        </is>
      </c>
      <c r="B1179" t="inlineStr">
        <is>
          <t>Sungai Tinggi</t>
        </is>
      </c>
      <c r="C1179" t="inlineStr">
        <is>
          <t>Blk 513 Sungai Tinggi Street 52 #01-02 Singapura 730513</t>
        </is>
      </c>
      <c r="D1179" t="inlineStr">
        <is>
          <t>Shop with Living Quarters</t>
        </is>
      </c>
      <c r="E1179" t="n">
        <v>74.7</v>
      </c>
      <c r="F1179" t="inlineStr">
        <is>
          <t>NC-ST-1</t>
        </is>
      </c>
      <c r="G1179" t="inlineStr">
        <is>
          <t>Tenanted</t>
        </is>
      </c>
    </row>
    <row r="1180">
      <c r="A1180" t="inlineStr">
        <is>
          <t>U-ST513-01-03</t>
        </is>
      </c>
      <c r="B1180" t="inlineStr">
        <is>
          <t>Sungai Tinggi</t>
        </is>
      </c>
      <c r="C1180" t="inlineStr">
        <is>
          <t>Blk 513 Sungai Tinggi Street 52 #01-03 Singapura 730513</t>
        </is>
      </c>
      <c r="D1180" t="inlineStr">
        <is>
          <t>Shop</t>
        </is>
      </c>
      <c r="E1180" t="n">
        <v>116.1</v>
      </c>
      <c r="F1180" t="inlineStr">
        <is>
          <t>NC-ST-1</t>
        </is>
      </c>
      <c r="G1180" t="inlineStr">
        <is>
          <t>Tenanted</t>
        </is>
      </c>
    </row>
    <row r="1181">
      <c r="A1181" t="inlineStr">
        <is>
          <t>U-ST513-01-04</t>
        </is>
      </c>
      <c r="B1181" t="inlineStr">
        <is>
          <t>Sungai Tinggi</t>
        </is>
      </c>
      <c r="C1181" t="inlineStr">
        <is>
          <t>Blk 513 Sungai Tinggi Street 52 #01-04 Singapura 730513</t>
        </is>
      </c>
      <c r="D1181" t="inlineStr">
        <is>
          <t>Shop</t>
        </is>
      </c>
      <c r="E1181" t="n">
        <v>53.6</v>
      </c>
      <c r="F1181" t="inlineStr">
        <is>
          <t>NC-ST-1</t>
        </is>
      </c>
      <c r="G1181" t="inlineStr">
        <is>
          <t>Tenanted</t>
        </is>
      </c>
    </row>
    <row r="1182">
      <c r="A1182" t="inlineStr">
        <is>
          <t>U-ST513-01-05</t>
        </is>
      </c>
      <c r="B1182" t="inlineStr">
        <is>
          <t>Sungai Tinggi</t>
        </is>
      </c>
      <c r="C1182" t="inlineStr">
        <is>
          <t>Blk 513 Sungai Tinggi Street 52 #01-05 Singapura 730513</t>
        </is>
      </c>
      <c r="D1182" t="inlineStr">
        <is>
          <t>Shop</t>
        </is>
      </c>
      <c r="E1182" t="n">
        <v>98.59999999999999</v>
      </c>
      <c r="F1182" t="inlineStr">
        <is>
          <t>NC-ST-1</t>
        </is>
      </c>
      <c r="G1182" t="inlineStr">
        <is>
          <t>Tenanted</t>
        </is>
      </c>
    </row>
    <row r="1183">
      <c r="A1183" t="inlineStr">
        <is>
          <t>U-ST513-01-06</t>
        </is>
      </c>
      <c r="B1183" t="inlineStr">
        <is>
          <t>Sungai Tinggi</t>
        </is>
      </c>
      <c r="C1183" t="inlineStr">
        <is>
          <t>Blk 513 Sungai Tinggi Street 52 #01-06 Singapura 730513</t>
        </is>
      </c>
      <c r="D1183" t="inlineStr">
        <is>
          <t>Shop</t>
        </is>
      </c>
      <c r="E1183" t="n">
        <v>111.8</v>
      </c>
      <c r="F1183" t="inlineStr">
        <is>
          <t>NC-ST-1</t>
        </is>
      </c>
      <c r="G1183" t="inlineStr">
        <is>
          <t>Tenanted</t>
        </is>
      </c>
    </row>
    <row r="1184">
      <c r="A1184" t="inlineStr">
        <is>
          <t>U-ST513-01-07</t>
        </is>
      </c>
      <c r="B1184" t="inlineStr">
        <is>
          <t>Sungai Tinggi</t>
        </is>
      </c>
      <c r="C1184" t="inlineStr">
        <is>
          <t>Blk 513 Sungai Tinggi Street 52 #01-07 Singapura 730513</t>
        </is>
      </c>
      <c r="D1184" t="inlineStr">
        <is>
          <t>Shop</t>
        </is>
      </c>
      <c r="E1184" t="n">
        <v>87.5</v>
      </c>
      <c r="F1184" t="inlineStr">
        <is>
          <t>NC-ST-1</t>
        </is>
      </c>
      <c r="G1184" t="inlineStr">
        <is>
          <t>Tenanted</t>
        </is>
      </c>
    </row>
    <row r="1185">
      <c r="A1185" t="inlineStr">
        <is>
          <t>U-ST513-01-08</t>
        </is>
      </c>
      <c r="B1185" t="inlineStr">
        <is>
          <t>Sungai Tinggi</t>
        </is>
      </c>
      <c r="C1185" t="inlineStr">
        <is>
          <t>Blk 513 Sungai Tinggi Street 52 #01-08 Singapura 730513</t>
        </is>
      </c>
      <c r="D1185" t="inlineStr">
        <is>
          <t>Shop</t>
        </is>
      </c>
      <c r="E1185" t="n">
        <v>78.59999999999999</v>
      </c>
      <c r="F1185" t="inlineStr">
        <is>
          <t>NC-ST-1</t>
        </is>
      </c>
      <c r="G1185" t="inlineStr">
        <is>
          <t>Tenanted</t>
        </is>
      </c>
    </row>
    <row r="1186">
      <c r="A1186" t="inlineStr">
        <is>
          <t>U-ST513-01-09</t>
        </is>
      </c>
      <c r="B1186" t="inlineStr">
        <is>
          <t>Sungai Tinggi</t>
        </is>
      </c>
      <c r="C1186" t="inlineStr">
        <is>
          <t>Blk 513 Sungai Tinggi Street 52 #01-09 Singapura 730513</t>
        </is>
      </c>
      <c r="D1186" t="inlineStr">
        <is>
          <t>Shop</t>
        </is>
      </c>
      <c r="E1186" t="n">
        <v>115.4</v>
      </c>
      <c r="F1186" t="inlineStr">
        <is>
          <t>NC-ST-1</t>
        </is>
      </c>
      <c r="G1186" t="inlineStr">
        <is>
          <t>Tenanted</t>
        </is>
      </c>
    </row>
    <row r="1187">
      <c r="A1187" t="inlineStr">
        <is>
          <t>U-ST518-01-01</t>
        </is>
      </c>
      <c r="B1187" t="inlineStr">
        <is>
          <t>Sungai Tinggi</t>
        </is>
      </c>
      <c r="C1187" t="inlineStr">
        <is>
          <t>Blk 518 Sungai Tinggi Drive #01-01 Singapura 730518</t>
        </is>
      </c>
      <c r="D1187" t="inlineStr">
        <is>
          <t>Eating House</t>
        </is>
      </c>
      <c r="E1187" t="n">
        <v>285</v>
      </c>
      <c r="F1187" t="inlineStr">
        <is>
          <t>NC-ST-2</t>
        </is>
      </c>
      <c r="G1187" t="inlineStr">
        <is>
          <t>Tenanted</t>
        </is>
      </c>
    </row>
    <row r="1188">
      <c r="A1188" t="inlineStr">
        <is>
          <t>U-ST518-01-02</t>
        </is>
      </c>
      <c r="B1188" t="inlineStr">
        <is>
          <t>Sungai Tinggi</t>
        </is>
      </c>
      <c r="C1188" t="inlineStr">
        <is>
          <t>Blk 518 Sungai Tinggi Drive #01-02 Singapura 730518</t>
        </is>
      </c>
      <c r="D1188" t="inlineStr">
        <is>
          <t>Shop</t>
        </is>
      </c>
      <c r="E1188" t="n">
        <v>44.3</v>
      </c>
      <c r="F1188" t="inlineStr">
        <is>
          <t>NC-ST-2</t>
        </is>
      </c>
      <c r="G1188" t="inlineStr">
        <is>
          <t>Tenanted</t>
        </is>
      </c>
    </row>
    <row r="1189">
      <c r="A1189" t="inlineStr">
        <is>
          <t>U-ST518-01-03</t>
        </is>
      </c>
      <c r="B1189" t="inlineStr">
        <is>
          <t>Sungai Tinggi</t>
        </is>
      </c>
      <c r="C1189" t="inlineStr">
        <is>
          <t>Blk 518 Sungai Tinggi Drive #01-03 Singapura 730518</t>
        </is>
      </c>
      <c r="D1189" t="inlineStr">
        <is>
          <t>Shop</t>
        </is>
      </c>
      <c r="E1189" t="n">
        <v>118</v>
      </c>
      <c r="F1189" t="inlineStr">
        <is>
          <t>NC-ST-2</t>
        </is>
      </c>
      <c r="G1189" t="inlineStr">
        <is>
          <t>Tenanted</t>
        </is>
      </c>
    </row>
    <row r="1190">
      <c r="A1190" t="inlineStr">
        <is>
          <t>U-ST518-01-04</t>
        </is>
      </c>
      <c r="B1190" t="inlineStr">
        <is>
          <t>Sungai Tinggi</t>
        </is>
      </c>
      <c r="C1190" t="inlineStr">
        <is>
          <t>Blk 518 Sungai Tinggi Drive #01-04 Singapura 730518</t>
        </is>
      </c>
      <c r="D1190" t="inlineStr">
        <is>
          <t>Shop</t>
        </is>
      </c>
      <c r="E1190" t="n">
        <v>84.3</v>
      </c>
      <c r="F1190" t="inlineStr">
        <is>
          <t>NC-ST-2</t>
        </is>
      </c>
      <c r="G1190" t="inlineStr">
        <is>
          <t>Tenanted</t>
        </is>
      </c>
    </row>
    <row r="1191">
      <c r="A1191" t="inlineStr">
        <is>
          <t>U-ST518-02-05</t>
        </is>
      </c>
      <c r="B1191" t="inlineStr">
        <is>
          <t>Sungai Tinggi</t>
        </is>
      </c>
      <c r="C1191" t="inlineStr">
        <is>
          <t>Blk 518 Sungai Tinggi Drive #02-05 Singapura 730518</t>
        </is>
      </c>
      <c r="D1191" t="inlineStr">
        <is>
          <t>Office</t>
        </is>
      </c>
      <c r="E1191" t="n">
        <v>116.1</v>
      </c>
      <c r="F1191" t="inlineStr">
        <is>
          <t>NC-ST-2</t>
        </is>
      </c>
      <c r="G1191" t="inlineStr">
        <is>
          <t>Tenanted</t>
        </is>
      </c>
    </row>
    <row r="1192">
      <c r="A1192" t="inlineStr">
        <is>
          <t>U-ST518-01-06</t>
        </is>
      </c>
      <c r="B1192" t="inlineStr">
        <is>
          <t>Sungai Tinggi</t>
        </is>
      </c>
      <c r="C1192" t="inlineStr">
        <is>
          <t>Blk 518 Sungai Tinggi Drive #01-06 Singapura 730518</t>
        </is>
      </c>
      <c r="D1192" t="inlineStr">
        <is>
          <t>Shop</t>
        </is>
      </c>
      <c r="E1192" t="n">
        <v>47.7</v>
      </c>
      <c r="F1192" t="inlineStr">
        <is>
          <t>NC-ST-2</t>
        </is>
      </c>
      <c r="G1192" t="inlineStr">
        <is>
          <t>Tenanted</t>
        </is>
      </c>
    </row>
    <row r="1193">
      <c r="A1193" t="inlineStr">
        <is>
          <t>U-ST518-01-07</t>
        </is>
      </c>
      <c r="B1193" t="inlineStr">
        <is>
          <t>Sungai Tinggi</t>
        </is>
      </c>
      <c r="C1193" t="inlineStr">
        <is>
          <t>Blk 518 Sungai Tinggi Drive #01-07 Singapura 730518</t>
        </is>
      </c>
      <c r="D1193" t="inlineStr">
        <is>
          <t>Shop</t>
        </is>
      </c>
      <c r="E1193" t="n">
        <v>84</v>
      </c>
      <c r="F1193" t="inlineStr">
        <is>
          <t>NC-ST-2</t>
        </is>
      </c>
      <c r="G1193" t="inlineStr">
        <is>
          <t>Tenanted</t>
        </is>
      </c>
    </row>
    <row r="1194">
      <c r="A1194" t="inlineStr">
        <is>
          <t>U-ST518-01-08</t>
        </is>
      </c>
      <c r="B1194" t="inlineStr">
        <is>
          <t>Sungai Tinggi</t>
        </is>
      </c>
      <c r="C1194" t="inlineStr">
        <is>
          <t>Blk 518 Sungai Tinggi Drive #01-08 Singapura 730518</t>
        </is>
      </c>
      <c r="D1194" t="inlineStr">
        <is>
          <t>Shop</t>
        </is>
      </c>
      <c r="E1194" t="n">
        <v>44.4</v>
      </c>
      <c r="F1194" t="inlineStr">
        <is>
          <t>NC-ST-2</t>
        </is>
      </c>
      <c r="G1194" t="inlineStr">
        <is>
          <t>Tenanted</t>
        </is>
      </c>
    </row>
    <row r="1195">
      <c r="A1195" t="inlineStr">
        <is>
          <t>U-ST522-01-01</t>
        </is>
      </c>
      <c r="B1195" t="inlineStr">
        <is>
          <t>Sungai Tinggi</t>
        </is>
      </c>
      <c r="C1195" t="inlineStr">
        <is>
          <t>Blk 522 Sungai Tinggi Street 52 #01-01 Singapura 730522</t>
        </is>
      </c>
      <c r="D1195" t="inlineStr">
        <is>
          <t>Shop</t>
        </is>
      </c>
      <c r="E1195" t="n">
        <v>63.6</v>
      </c>
      <c r="F1195" t="inlineStr">
        <is>
          <t>NC-ST-2</t>
        </is>
      </c>
      <c r="G1195" t="inlineStr">
        <is>
          <t>Tenanted</t>
        </is>
      </c>
    </row>
    <row r="1196">
      <c r="A1196" t="inlineStr">
        <is>
          <t>U-ST522-01-02</t>
        </is>
      </c>
      <c r="B1196" t="inlineStr">
        <is>
          <t>Sungai Tinggi</t>
        </is>
      </c>
      <c r="C1196" t="inlineStr">
        <is>
          <t>Blk 522 Sungai Tinggi Street 52 #01-02 Singapura 730522</t>
        </is>
      </c>
      <c r="D1196" t="inlineStr">
        <is>
          <t>Shop</t>
        </is>
      </c>
      <c r="E1196" t="n">
        <v>88</v>
      </c>
      <c r="F1196" t="inlineStr">
        <is>
          <t>NC-ST-2</t>
        </is>
      </c>
      <c r="G1196" t="inlineStr">
        <is>
          <t>Tenanted</t>
        </is>
      </c>
    </row>
    <row r="1197">
      <c r="A1197" t="inlineStr">
        <is>
          <t>U-ST522-01-03</t>
        </is>
      </c>
      <c r="B1197" t="inlineStr">
        <is>
          <t>Sungai Tinggi</t>
        </is>
      </c>
      <c r="C1197" t="inlineStr">
        <is>
          <t>Blk 522 Sungai Tinggi Street 52 #01-03 Singapura 730522</t>
        </is>
      </c>
      <c r="D1197" t="inlineStr">
        <is>
          <t>Shop</t>
        </is>
      </c>
      <c r="E1197" t="n">
        <v>42.1</v>
      </c>
      <c r="F1197" t="inlineStr">
        <is>
          <t>NC-ST-2</t>
        </is>
      </c>
      <c r="G1197" t="inlineStr">
        <is>
          <t>Tenanted</t>
        </is>
      </c>
    </row>
    <row r="1198">
      <c r="A1198" t="inlineStr">
        <is>
          <t>U-ST522-01-04</t>
        </is>
      </c>
      <c r="B1198" t="inlineStr">
        <is>
          <t>Sungai Tinggi</t>
        </is>
      </c>
      <c r="C1198" t="inlineStr">
        <is>
          <t>Blk 522 Sungai Tinggi Street 52 #01-04 Singapura 730522</t>
        </is>
      </c>
      <c r="D1198" t="inlineStr">
        <is>
          <t>Shop</t>
        </is>
      </c>
      <c r="E1198" t="n">
        <v>63.3</v>
      </c>
      <c r="F1198" t="inlineStr">
        <is>
          <t>NC-ST-2</t>
        </is>
      </c>
      <c r="G1198" t="inlineStr">
        <is>
          <t>Tenanted</t>
        </is>
      </c>
    </row>
    <row r="1199">
      <c r="A1199" t="inlineStr">
        <is>
          <t>U-ST522-01-05</t>
        </is>
      </c>
      <c r="B1199" t="inlineStr">
        <is>
          <t>Sungai Tinggi</t>
        </is>
      </c>
      <c r="C1199" t="inlineStr">
        <is>
          <t>Blk 522 Sungai Tinggi Street 52 #01-05 Singapura 730522</t>
        </is>
      </c>
      <c r="D1199" t="inlineStr">
        <is>
          <t>Shop</t>
        </is>
      </c>
      <c r="E1199" t="n">
        <v>107.5</v>
      </c>
      <c r="F1199" t="inlineStr">
        <is>
          <t>NC-ST-2</t>
        </is>
      </c>
      <c r="G1199" t="inlineStr">
        <is>
          <t>Tenanted</t>
        </is>
      </c>
    </row>
    <row r="1200">
      <c r="A1200" t="inlineStr">
        <is>
          <t>U-ST522-01-06</t>
        </is>
      </c>
      <c r="B1200" t="inlineStr">
        <is>
          <t>Sungai Tinggi</t>
        </is>
      </c>
      <c r="C1200" t="inlineStr">
        <is>
          <t>Blk 522 Sungai Tinggi Street 52 #01-06 Singapura 730522</t>
        </is>
      </c>
      <c r="D1200" t="inlineStr">
        <is>
          <t>Shop</t>
        </is>
      </c>
      <c r="E1200" t="n">
        <v>71.8</v>
      </c>
      <c r="F1200" t="inlineStr">
        <is>
          <t>NC-ST-2</t>
        </is>
      </c>
      <c r="G1200" t="inlineStr">
        <is>
          <t>Tenanted</t>
        </is>
      </c>
    </row>
    <row r="1201">
      <c r="A1201" t="inlineStr">
        <is>
          <t>U-ST528-02-01</t>
        </is>
      </c>
      <c r="B1201" t="inlineStr">
        <is>
          <t>Sungai Tinggi</t>
        </is>
      </c>
      <c r="C1201" t="inlineStr">
        <is>
          <t>Blk 528 Sungai Tinggi Drive #02-01 Singapura 730528</t>
        </is>
      </c>
      <c r="D1201" t="inlineStr">
        <is>
          <t>Office</t>
        </is>
      </c>
      <c r="E1201" t="n">
        <v>114.2</v>
      </c>
      <c r="F1201" t="inlineStr">
        <is>
          <t>NC-ST-2</t>
        </is>
      </c>
      <c r="G1201" t="inlineStr">
        <is>
          <t>Tenanted</t>
        </is>
      </c>
    </row>
    <row r="1202">
      <c r="A1202" t="inlineStr">
        <is>
          <t>U-ST528-01-02</t>
        </is>
      </c>
      <c r="B1202" t="inlineStr">
        <is>
          <t>Sungai Tinggi</t>
        </is>
      </c>
      <c r="C1202" t="inlineStr">
        <is>
          <t>Blk 528 Sungai Tinggi Drive #01-02 Singapura 730528</t>
        </is>
      </c>
      <c r="D1202" t="inlineStr">
        <is>
          <t>Shop</t>
        </is>
      </c>
      <c r="E1202" t="n">
        <v>69.7</v>
      </c>
      <c r="F1202" t="inlineStr">
        <is>
          <t>NC-ST-2</t>
        </is>
      </c>
      <c r="G1202" t="inlineStr">
        <is>
          <t>Tenanted</t>
        </is>
      </c>
    </row>
    <row r="1203">
      <c r="A1203" t="inlineStr">
        <is>
          <t>U-ST528-01-03</t>
        </is>
      </c>
      <c r="B1203" t="inlineStr">
        <is>
          <t>Sungai Tinggi</t>
        </is>
      </c>
      <c r="C1203" t="inlineStr">
        <is>
          <t>Blk 528 Sungai Tinggi Drive #01-03 Singapura 730528</t>
        </is>
      </c>
      <c r="D1203" t="inlineStr">
        <is>
          <t>Shop</t>
        </is>
      </c>
      <c r="E1203" t="n">
        <v>54.9</v>
      </c>
      <c r="F1203" t="inlineStr">
        <is>
          <t>NC-ST-2</t>
        </is>
      </c>
      <c r="G1203" t="inlineStr">
        <is>
          <t>Tenanted</t>
        </is>
      </c>
    </row>
    <row r="1204">
      <c r="A1204" t="inlineStr">
        <is>
          <t>U-ST528-01-04</t>
        </is>
      </c>
      <c r="B1204" t="inlineStr">
        <is>
          <t>Sungai Tinggi</t>
        </is>
      </c>
      <c r="C1204" t="inlineStr">
        <is>
          <t>Blk 528 Sungai Tinggi Drive #01-04 Singapura 730528</t>
        </is>
      </c>
      <c r="D1204" t="inlineStr">
        <is>
          <t>Shop</t>
        </is>
      </c>
      <c r="E1204" t="n">
        <v>75.2</v>
      </c>
      <c r="F1204" t="inlineStr">
        <is>
          <t>NC-ST-2</t>
        </is>
      </c>
      <c r="G1204" t="inlineStr">
        <is>
          <t>Tenanted</t>
        </is>
      </c>
    </row>
    <row r="1205">
      <c r="A1205" t="inlineStr">
        <is>
          <t>U-ST528-01-05</t>
        </is>
      </c>
      <c r="B1205" t="inlineStr">
        <is>
          <t>Sungai Tinggi</t>
        </is>
      </c>
      <c r="C1205" t="inlineStr">
        <is>
          <t>Blk 528 Sungai Tinggi Drive #01-05 Singapura 730528</t>
        </is>
      </c>
      <c r="D1205" t="inlineStr">
        <is>
          <t>Shop</t>
        </is>
      </c>
      <c r="E1205" t="n">
        <v>107</v>
      </c>
      <c r="F1205" t="inlineStr">
        <is>
          <t>NC-ST-2</t>
        </is>
      </c>
      <c r="G1205" t="inlineStr">
        <is>
          <t>Tenanted</t>
        </is>
      </c>
    </row>
    <row r="1206">
      <c r="A1206" t="inlineStr">
        <is>
          <t>U-ST528-01-06</t>
        </is>
      </c>
      <c r="B1206" t="inlineStr">
        <is>
          <t>Sungai Tinggi</t>
        </is>
      </c>
      <c r="C1206" t="inlineStr">
        <is>
          <t>Blk 528 Sungai Tinggi Drive #01-06 Singapura 730528</t>
        </is>
      </c>
      <c r="D1206" t="inlineStr">
        <is>
          <t>Shop</t>
        </is>
      </c>
      <c r="E1206" t="n">
        <v>52.1</v>
      </c>
      <c r="F1206" t="inlineStr">
        <is>
          <t>NC-ST-2</t>
        </is>
      </c>
      <c r="G1206" t="inlineStr">
        <is>
          <t>Tenanted</t>
        </is>
      </c>
    </row>
    <row r="1207">
      <c r="A1207" t="inlineStr">
        <is>
          <t>U-ST528-01-07</t>
        </is>
      </c>
      <c r="B1207" t="inlineStr">
        <is>
          <t>Sungai Tinggi</t>
        </is>
      </c>
      <c r="C1207" t="inlineStr">
        <is>
          <t>Blk 528 Sungai Tinggi Drive #01-07 Singapura 730528</t>
        </is>
      </c>
      <c r="D1207" t="inlineStr">
        <is>
          <t>Kiosk</t>
        </is>
      </c>
      <c r="E1207" t="n">
        <v>6.9</v>
      </c>
      <c r="F1207" t="inlineStr">
        <is>
          <t>NC-ST-2</t>
        </is>
      </c>
      <c r="G1207" t="inlineStr">
        <is>
          <t>Tenanted</t>
        </is>
      </c>
    </row>
    <row r="1208">
      <c r="A1208" t="inlineStr">
        <is>
          <t>U-ST528-01-08</t>
        </is>
      </c>
      <c r="B1208" t="inlineStr">
        <is>
          <t>Sungai Tinggi</t>
        </is>
      </c>
      <c r="C1208" t="inlineStr">
        <is>
          <t>Blk 528 Sungai Tinggi Drive #01-08 Singapura 730528</t>
        </is>
      </c>
      <c r="D1208" t="inlineStr">
        <is>
          <t>Shop</t>
        </is>
      </c>
      <c r="E1208" t="n">
        <v>104.7</v>
      </c>
      <c r="F1208" t="inlineStr">
        <is>
          <t>NC-ST-2</t>
        </is>
      </c>
      <c r="G1208" t="inlineStr">
        <is>
          <t>Tenanted</t>
        </is>
      </c>
    </row>
    <row r="1209">
      <c r="A1209" t="inlineStr">
        <is>
          <t>U-ST528-01-09</t>
        </is>
      </c>
      <c r="B1209" t="inlineStr">
        <is>
          <t>Sungai Tinggi</t>
        </is>
      </c>
      <c r="C1209" t="inlineStr">
        <is>
          <t>Blk 528 Sungai Tinggi Drive #01-09 Singapura 730528</t>
        </is>
      </c>
      <c r="D1209" t="inlineStr">
        <is>
          <t>Shop</t>
        </is>
      </c>
      <c r="E1209" t="n">
        <v>100.5</v>
      </c>
      <c r="F1209" t="inlineStr">
        <is>
          <t>NC-ST-2</t>
        </is>
      </c>
      <c r="G1209" t="inlineStr">
        <is>
          <t>Tenanted</t>
        </is>
      </c>
    </row>
    <row r="1210">
      <c r="A1210" t="inlineStr">
        <is>
          <t>U-ST528-01-10</t>
        </is>
      </c>
      <c r="B1210" t="inlineStr">
        <is>
          <t>Sungai Tinggi</t>
        </is>
      </c>
      <c r="C1210" t="inlineStr">
        <is>
          <t>Blk 528 Sungai Tinggi Drive #01-10 Singapura 730528</t>
        </is>
      </c>
      <c r="D1210" t="inlineStr">
        <is>
          <t>Shop</t>
        </is>
      </c>
      <c r="E1210" t="n">
        <v>44.9</v>
      </c>
      <c r="F1210" t="inlineStr">
        <is>
          <t>NC-ST-2</t>
        </is>
      </c>
      <c r="G1210" t="inlineStr">
        <is>
          <t>Tenanted</t>
        </is>
      </c>
    </row>
    <row r="1211">
      <c r="A1211" t="inlineStr">
        <is>
          <t>U-ST528-01-11</t>
        </is>
      </c>
      <c r="B1211" t="inlineStr">
        <is>
          <t>Sungai Tinggi</t>
        </is>
      </c>
      <c r="C1211" t="inlineStr">
        <is>
          <t>Blk 528 Sungai Tinggi Drive #01-11 Singapura 730528</t>
        </is>
      </c>
      <c r="D1211" t="inlineStr">
        <is>
          <t>Shop</t>
        </is>
      </c>
      <c r="E1211" t="n">
        <v>81.8</v>
      </c>
      <c r="F1211" t="inlineStr">
        <is>
          <t>NC-ST-2</t>
        </is>
      </c>
      <c r="G1211" t="inlineStr">
        <is>
          <t>Tenanted</t>
        </is>
      </c>
    </row>
    <row r="1212">
      <c r="A1212" t="inlineStr">
        <is>
          <t>U-ST528-02-12</t>
        </is>
      </c>
      <c r="B1212" t="inlineStr">
        <is>
          <t>Sungai Tinggi</t>
        </is>
      </c>
      <c r="C1212" t="inlineStr">
        <is>
          <t>Blk 528 Sungai Tinggi Drive #02-12 Singapura 730528</t>
        </is>
      </c>
      <c r="D1212" t="inlineStr">
        <is>
          <t>Office</t>
        </is>
      </c>
      <c r="E1212" t="n">
        <v>143.6</v>
      </c>
      <c r="F1212" t="inlineStr">
        <is>
          <t>NC-ST-2</t>
        </is>
      </c>
      <c r="G1212" t="inlineStr">
        <is>
          <t>Tenanted</t>
        </is>
      </c>
    </row>
    <row r="1213">
      <c r="A1213" t="inlineStr">
        <is>
          <t>U-ST528-01-13</t>
        </is>
      </c>
      <c r="B1213" t="inlineStr">
        <is>
          <t>Sungai Tinggi</t>
        </is>
      </c>
      <c r="C1213" t="inlineStr">
        <is>
          <t>Blk 528 Sungai Tinggi Drive #01-13 Singapura 730528</t>
        </is>
      </c>
      <c r="D1213" t="inlineStr">
        <is>
          <t>Shop</t>
        </is>
      </c>
      <c r="E1213" t="n">
        <v>58.9</v>
      </c>
      <c r="F1213" t="inlineStr">
        <is>
          <t>NC-ST-2</t>
        </is>
      </c>
      <c r="G1213" t="inlineStr">
        <is>
          <t>Tenanted</t>
        </is>
      </c>
    </row>
    <row r="1214">
      <c r="A1214" t="inlineStr">
        <is>
          <t>U-ST534-01-01</t>
        </is>
      </c>
      <c r="B1214" t="inlineStr">
        <is>
          <t>Sungai Tinggi</t>
        </is>
      </c>
      <c r="C1214" t="inlineStr">
        <is>
          <t>Blk 534 Sungai Tinggi Drive #01-01 Singapura 730534</t>
        </is>
      </c>
      <c r="D1214" t="inlineStr">
        <is>
          <t>Shop</t>
        </is>
      </c>
      <c r="E1214" t="n">
        <v>112.2</v>
      </c>
      <c r="F1214" t="inlineStr">
        <is>
          <t>NC-ST-3</t>
        </is>
      </c>
      <c r="G1214" t="inlineStr">
        <is>
          <t>Tenanted</t>
        </is>
      </c>
    </row>
    <row r="1215">
      <c r="A1215" t="inlineStr">
        <is>
          <t>U-ST534-01-02</t>
        </is>
      </c>
      <c r="B1215" t="inlineStr">
        <is>
          <t>Sungai Tinggi</t>
        </is>
      </c>
      <c r="C1215" t="inlineStr">
        <is>
          <t>Blk 534 Sungai Tinggi Drive #01-02 Singapura 730534</t>
        </is>
      </c>
      <c r="D1215" t="inlineStr">
        <is>
          <t>Kiosk</t>
        </is>
      </c>
      <c r="E1215" t="n">
        <v>10.5</v>
      </c>
      <c r="F1215" t="inlineStr">
        <is>
          <t>NC-ST-3</t>
        </is>
      </c>
      <c r="G1215" t="inlineStr">
        <is>
          <t>Tenanted</t>
        </is>
      </c>
    </row>
    <row r="1216">
      <c r="A1216" t="inlineStr">
        <is>
          <t>U-ST534-01-03</t>
        </is>
      </c>
      <c r="B1216" t="inlineStr">
        <is>
          <t>Sungai Tinggi</t>
        </is>
      </c>
      <c r="C1216" t="inlineStr">
        <is>
          <t>Blk 534 Sungai Tinggi Drive #01-03 Singapura 730534</t>
        </is>
      </c>
      <c r="D1216" t="inlineStr">
        <is>
          <t>Office</t>
        </is>
      </c>
      <c r="E1216" t="n">
        <v>117.8</v>
      </c>
      <c r="F1216" t="inlineStr">
        <is>
          <t>NC-ST-3</t>
        </is>
      </c>
      <c r="G1216" t="inlineStr">
        <is>
          <t>Tenanted</t>
        </is>
      </c>
    </row>
    <row r="1217">
      <c r="A1217" t="inlineStr">
        <is>
          <t>U-ST534-01-04</t>
        </is>
      </c>
      <c r="B1217" t="inlineStr">
        <is>
          <t>Sungai Tinggi</t>
        </is>
      </c>
      <c r="C1217" t="inlineStr">
        <is>
          <t>Blk 534 Sungai Tinggi Drive #01-04 Singapura 730534</t>
        </is>
      </c>
      <c r="D1217" t="inlineStr">
        <is>
          <t>Shop</t>
        </is>
      </c>
      <c r="E1217" t="n">
        <v>49.6</v>
      </c>
      <c r="F1217" t="inlineStr">
        <is>
          <t>NC-ST-3</t>
        </is>
      </c>
      <c r="G1217" t="inlineStr">
        <is>
          <t>Tenanted</t>
        </is>
      </c>
    </row>
    <row r="1218">
      <c r="A1218" t="inlineStr">
        <is>
          <t>U-ST534-01-05</t>
        </is>
      </c>
      <c r="B1218" t="inlineStr">
        <is>
          <t>Sungai Tinggi</t>
        </is>
      </c>
      <c r="C1218" t="inlineStr">
        <is>
          <t>Blk 534 Sungai Tinggi Drive #01-05 Singapura 730534</t>
        </is>
      </c>
      <c r="D1218" t="inlineStr">
        <is>
          <t>Kiosk</t>
        </is>
      </c>
      <c r="E1218" t="n">
        <v>7.6</v>
      </c>
      <c r="F1218" t="inlineStr">
        <is>
          <t>NC-ST-3</t>
        </is>
      </c>
      <c r="G1218" t="inlineStr">
        <is>
          <t>Tenanted</t>
        </is>
      </c>
    </row>
    <row r="1219">
      <c r="A1219" t="inlineStr">
        <is>
          <t>U-ST534-01-06</t>
        </is>
      </c>
      <c r="B1219" t="inlineStr">
        <is>
          <t>Sungai Tinggi</t>
        </is>
      </c>
      <c r="C1219" t="inlineStr">
        <is>
          <t>Blk 534 Sungai Tinggi Drive #01-06 Singapura 730534</t>
        </is>
      </c>
      <c r="D1219" t="inlineStr">
        <is>
          <t>Office</t>
        </is>
      </c>
      <c r="E1219" t="n">
        <v>130.8</v>
      </c>
      <c r="F1219" t="inlineStr">
        <is>
          <t>NC-ST-3</t>
        </is>
      </c>
      <c r="G1219" t="inlineStr">
        <is>
          <t>Tenanted</t>
        </is>
      </c>
    </row>
    <row r="1220">
      <c r="A1220" t="inlineStr">
        <is>
          <t>U-ST534-01-07</t>
        </is>
      </c>
      <c r="B1220" t="inlineStr">
        <is>
          <t>Sungai Tinggi</t>
        </is>
      </c>
      <c r="C1220" t="inlineStr">
        <is>
          <t>Blk 534 Sungai Tinggi Drive #01-07 Singapura 730534</t>
        </is>
      </c>
      <c r="D1220" t="inlineStr">
        <is>
          <t>Shop</t>
        </is>
      </c>
      <c r="E1220" t="n">
        <v>73.90000000000001</v>
      </c>
      <c r="F1220" t="inlineStr">
        <is>
          <t>NC-ST-3</t>
        </is>
      </c>
      <c r="G1220" t="inlineStr">
        <is>
          <t>Tenanted</t>
        </is>
      </c>
    </row>
    <row r="1221">
      <c r="A1221" t="inlineStr">
        <is>
          <t>U-ST534-02-08</t>
        </is>
      </c>
      <c r="B1221" t="inlineStr">
        <is>
          <t>Sungai Tinggi</t>
        </is>
      </c>
      <c r="C1221" t="inlineStr">
        <is>
          <t>Blk 534 Sungai Tinggi Drive #02-08 Singapura 730534</t>
        </is>
      </c>
      <c r="D1221" t="inlineStr">
        <is>
          <t>Office</t>
        </is>
      </c>
      <c r="E1221" t="n">
        <v>149.7</v>
      </c>
      <c r="F1221" t="inlineStr">
        <is>
          <t>NC-ST-3</t>
        </is>
      </c>
      <c r="G1221" t="inlineStr">
        <is>
          <t>Tenanted</t>
        </is>
      </c>
    </row>
    <row r="1222">
      <c r="A1222" t="inlineStr">
        <is>
          <t>U-ST534-01-09</t>
        </is>
      </c>
      <c r="B1222" t="inlineStr">
        <is>
          <t>Sungai Tinggi</t>
        </is>
      </c>
      <c r="C1222" t="inlineStr">
        <is>
          <t>Blk 534 Sungai Tinggi Drive #01-09 Singapura 730534</t>
        </is>
      </c>
      <c r="D1222" t="inlineStr">
        <is>
          <t>Shop</t>
        </is>
      </c>
      <c r="E1222" t="n">
        <v>106.7</v>
      </c>
      <c r="F1222" t="inlineStr">
        <is>
          <t>NC-ST-3</t>
        </is>
      </c>
      <c r="G1222" t="inlineStr">
        <is>
          <t>Tenanted</t>
        </is>
      </c>
    </row>
    <row r="1223">
      <c r="A1223" t="inlineStr">
        <is>
          <t>U-ST534-01-10</t>
        </is>
      </c>
      <c r="B1223" t="inlineStr">
        <is>
          <t>Sungai Tinggi</t>
        </is>
      </c>
      <c r="C1223" t="inlineStr">
        <is>
          <t>Blk 534 Sungai Tinggi Drive #01-10 Singapura 730534</t>
        </is>
      </c>
      <c r="D1223" t="inlineStr">
        <is>
          <t>Shop</t>
        </is>
      </c>
      <c r="E1223" t="n">
        <v>112.9</v>
      </c>
      <c r="F1223" t="inlineStr">
        <is>
          <t>NC-ST-3</t>
        </is>
      </c>
      <c r="G1223" t="inlineStr">
        <is>
          <t>Tenanted</t>
        </is>
      </c>
    </row>
    <row r="1224">
      <c r="A1224" t="inlineStr">
        <is>
          <t>U-ST535-01-01</t>
        </is>
      </c>
      <c r="B1224" t="inlineStr">
        <is>
          <t>Sungai Tinggi</t>
        </is>
      </c>
      <c r="C1224" t="inlineStr">
        <is>
          <t>Blk 535 Sungai Tinggi Street 52 #01-01 Singapura 730535</t>
        </is>
      </c>
      <c r="D1224" t="inlineStr">
        <is>
          <t>Shop</t>
        </is>
      </c>
      <c r="E1224" t="n">
        <v>84.5</v>
      </c>
      <c r="F1224" t="inlineStr">
        <is>
          <t>NC-ST-3</t>
        </is>
      </c>
      <c r="G1224" t="inlineStr">
        <is>
          <t>Tenanted</t>
        </is>
      </c>
    </row>
    <row r="1225">
      <c r="A1225" t="inlineStr">
        <is>
          <t>U-ST535-01-02</t>
        </is>
      </c>
      <c r="B1225" t="inlineStr">
        <is>
          <t>Sungai Tinggi</t>
        </is>
      </c>
      <c r="C1225" t="inlineStr">
        <is>
          <t>Blk 535 Sungai Tinggi Street 52 #01-02 Singapura 730535</t>
        </is>
      </c>
      <c r="D1225" t="inlineStr">
        <is>
          <t>Shop</t>
        </is>
      </c>
      <c r="E1225" t="n">
        <v>108.5</v>
      </c>
      <c r="F1225" t="inlineStr">
        <is>
          <t>NC-ST-3</t>
        </is>
      </c>
      <c r="G1225" t="inlineStr">
        <is>
          <t>Tenanted</t>
        </is>
      </c>
    </row>
    <row r="1226">
      <c r="A1226" t="inlineStr">
        <is>
          <t>U-ST535-01-03</t>
        </is>
      </c>
      <c r="B1226" t="inlineStr">
        <is>
          <t>Sungai Tinggi</t>
        </is>
      </c>
      <c r="C1226" t="inlineStr">
        <is>
          <t>Blk 535 Sungai Tinggi Street 52 #01-03 Singapura 730535</t>
        </is>
      </c>
      <c r="D1226" t="inlineStr">
        <is>
          <t>Shop</t>
        </is>
      </c>
      <c r="E1226" t="n">
        <v>113.4</v>
      </c>
      <c r="F1226" t="inlineStr">
        <is>
          <t>NC-ST-3</t>
        </is>
      </c>
      <c r="G1226" t="inlineStr">
        <is>
          <t>Tenanted</t>
        </is>
      </c>
    </row>
    <row r="1227">
      <c r="A1227" t="inlineStr">
        <is>
          <t>U-ST535-01-04</t>
        </is>
      </c>
      <c r="B1227" t="inlineStr">
        <is>
          <t>Sungai Tinggi</t>
        </is>
      </c>
      <c r="C1227" t="inlineStr">
        <is>
          <t>Blk 535 Sungai Tinggi Street 52 #01-04 Singapura 730535</t>
        </is>
      </c>
      <c r="D1227" t="inlineStr">
        <is>
          <t>Shop</t>
        </is>
      </c>
      <c r="E1227" t="n">
        <v>96</v>
      </c>
      <c r="F1227" t="inlineStr">
        <is>
          <t>NC-ST-3</t>
        </is>
      </c>
      <c r="G1227" t="inlineStr">
        <is>
          <t>Vacant</t>
        </is>
      </c>
    </row>
    <row r="1228">
      <c r="A1228" t="inlineStr">
        <is>
          <t>U-ST535-01-05</t>
        </is>
      </c>
      <c r="B1228" t="inlineStr">
        <is>
          <t>Sungai Tinggi</t>
        </is>
      </c>
      <c r="C1228" t="inlineStr">
        <is>
          <t>Blk 535 Sungai Tinggi Street 52 #01-05 Singapura 730535</t>
        </is>
      </c>
      <c r="D1228" t="inlineStr">
        <is>
          <t>Shop</t>
        </is>
      </c>
      <c r="E1228" t="n">
        <v>102.5</v>
      </c>
      <c r="F1228" t="inlineStr">
        <is>
          <t>NC-ST-3</t>
        </is>
      </c>
      <c r="G1228" t="inlineStr">
        <is>
          <t>Tenanted</t>
        </is>
      </c>
    </row>
    <row r="1229">
      <c r="A1229" t="inlineStr">
        <is>
          <t>U-ST535-01-06</t>
        </is>
      </c>
      <c r="B1229" t="inlineStr">
        <is>
          <t>Sungai Tinggi</t>
        </is>
      </c>
      <c r="C1229" t="inlineStr">
        <is>
          <t>Blk 535 Sungai Tinggi Street 52 #01-06 Singapura 730535</t>
        </is>
      </c>
      <c r="D1229" t="inlineStr">
        <is>
          <t>Shop</t>
        </is>
      </c>
      <c r="E1229" t="n">
        <v>52</v>
      </c>
      <c r="F1229" t="inlineStr">
        <is>
          <t>NC-ST-3</t>
        </is>
      </c>
      <c r="G1229" t="inlineStr">
        <is>
          <t>Tenanted</t>
        </is>
      </c>
    </row>
    <row r="1230">
      <c r="A1230" t="inlineStr">
        <is>
          <t>U-ST535-01-07</t>
        </is>
      </c>
      <c r="B1230" t="inlineStr">
        <is>
          <t>Sungai Tinggi</t>
        </is>
      </c>
      <c r="C1230" t="inlineStr">
        <is>
          <t>Blk 535 Sungai Tinggi Street 52 #01-07 Singapura 730535</t>
        </is>
      </c>
      <c r="D1230" t="inlineStr">
        <is>
          <t>Shop</t>
        </is>
      </c>
      <c r="E1230" t="n">
        <v>86.59999999999999</v>
      </c>
      <c r="F1230" t="inlineStr">
        <is>
          <t>NC-ST-3</t>
        </is>
      </c>
      <c r="G1230" t="inlineStr">
        <is>
          <t>Tenanted</t>
        </is>
      </c>
    </row>
    <row r="1231">
      <c r="A1231" t="inlineStr">
        <is>
          <t>U-ST536-02-01</t>
        </is>
      </c>
      <c r="B1231" t="inlineStr">
        <is>
          <t>Sungai Tinggi</t>
        </is>
      </c>
      <c r="C1231" t="inlineStr">
        <is>
          <t>Blk 536 Sungai Tinggi Drive #02-01 Singapura 730536</t>
        </is>
      </c>
      <c r="D1231" t="inlineStr">
        <is>
          <t>Office</t>
        </is>
      </c>
      <c r="E1231" t="n">
        <v>60.1</v>
      </c>
      <c r="F1231" t="inlineStr">
        <is>
          <t>NC-ST-1</t>
        </is>
      </c>
      <c r="G1231" t="inlineStr">
        <is>
          <t>Tenanted</t>
        </is>
      </c>
    </row>
    <row r="1232">
      <c r="A1232" t="inlineStr">
        <is>
          <t>U-ST536-01-02</t>
        </is>
      </c>
      <c r="B1232" t="inlineStr">
        <is>
          <t>Sungai Tinggi</t>
        </is>
      </c>
      <c r="C1232" t="inlineStr">
        <is>
          <t>Blk 536 Sungai Tinggi Drive #01-02 Singapura 730536</t>
        </is>
      </c>
      <c r="D1232" t="inlineStr">
        <is>
          <t>Shop</t>
        </is>
      </c>
      <c r="E1232" t="n">
        <v>82.90000000000001</v>
      </c>
      <c r="F1232" t="inlineStr">
        <is>
          <t>NC-ST-1</t>
        </is>
      </c>
      <c r="G1232" t="inlineStr">
        <is>
          <t>Not Lettable</t>
        </is>
      </c>
    </row>
    <row r="1233">
      <c r="A1233" t="inlineStr">
        <is>
          <t>U-ST536-01-03</t>
        </is>
      </c>
      <c r="B1233" t="inlineStr">
        <is>
          <t>Sungai Tinggi</t>
        </is>
      </c>
      <c r="C1233" t="inlineStr">
        <is>
          <t>Blk 536 Sungai Tinggi Drive #01-03 Singapura 730536</t>
        </is>
      </c>
      <c r="D1233" t="inlineStr">
        <is>
          <t>Shop</t>
        </is>
      </c>
      <c r="E1233" t="n">
        <v>72.90000000000001</v>
      </c>
      <c r="F1233" t="inlineStr">
        <is>
          <t>NC-ST-1</t>
        </is>
      </c>
      <c r="G1233" t="inlineStr">
        <is>
          <t>Tenanted</t>
        </is>
      </c>
    </row>
    <row r="1234">
      <c r="A1234" t="inlineStr">
        <is>
          <t>U-ST536-01-04</t>
        </is>
      </c>
      <c r="B1234" t="inlineStr">
        <is>
          <t>Sungai Tinggi</t>
        </is>
      </c>
      <c r="C1234" t="inlineStr">
        <is>
          <t>Blk 536 Sungai Tinggi Drive #01-04 Singapura 730536</t>
        </is>
      </c>
      <c r="D1234" t="inlineStr">
        <is>
          <t>Shop</t>
        </is>
      </c>
      <c r="E1234" t="n">
        <v>78.8</v>
      </c>
      <c r="F1234" t="inlineStr">
        <is>
          <t>NC-ST-1</t>
        </is>
      </c>
      <c r="G1234" t="inlineStr">
        <is>
          <t>Tenanted</t>
        </is>
      </c>
    </row>
    <row r="1235">
      <c r="A1235" t="inlineStr">
        <is>
          <t>U-ST536-01-05</t>
        </is>
      </c>
      <c r="B1235" t="inlineStr">
        <is>
          <t>Sungai Tinggi</t>
        </is>
      </c>
      <c r="C1235" t="inlineStr">
        <is>
          <t>Blk 536 Sungai Tinggi Drive #01-05 Singapura 730536</t>
        </is>
      </c>
      <c r="D1235" t="inlineStr">
        <is>
          <t>Shop</t>
        </is>
      </c>
      <c r="E1235" t="n">
        <v>43</v>
      </c>
      <c r="F1235" t="inlineStr">
        <is>
          <t>NC-ST-1</t>
        </is>
      </c>
      <c r="G1235" t="inlineStr">
        <is>
          <t>Under Tender</t>
        </is>
      </c>
    </row>
    <row r="1236">
      <c r="A1236" t="inlineStr">
        <is>
          <t>U-ST536-01-06</t>
        </is>
      </c>
      <c r="B1236" t="inlineStr">
        <is>
          <t>Sungai Tinggi</t>
        </is>
      </c>
      <c r="C1236" t="inlineStr">
        <is>
          <t>Blk 536 Sungai Tinggi Drive #01-06 Singapura 730536</t>
        </is>
      </c>
      <c r="D1236" t="inlineStr">
        <is>
          <t>Shop</t>
        </is>
      </c>
      <c r="E1236" t="n">
        <v>51.5</v>
      </c>
      <c r="F1236" t="inlineStr">
        <is>
          <t>NC-ST-1</t>
        </is>
      </c>
      <c r="G1236" t="inlineStr">
        <is>
          <t>Vacant</t>
        </is>
      </c>
    </row>
    <row r="1237">
      <c r="A1237" t="inlineStr">
        <is>
          <t>U-ST536-01-07</t>
        </is>
      </c>
      <c r="B1237" t="inlineStr">
        <is>
          <t>Sungai Tinggi</t>
        </is>
      </c>
      <c r="C1237" t="inlineStr">
        <is>
          <t>Blk 536 Sungai Tinggi Drive #01-07 Singapura 730536</t>
        </is>
      </c>
      <c r="D1237" t="inlineStr">
        <is>
          <t>Shop</t>
        </is>
      </c>
      <c r="E1237" t="n">
        <v>95.5</v>
      </c>
      <c r="F1237" t="inlineStr">
        <is>
          <t>NC-ST-1</t>
        </is>
      </c>
      <c r="G1237" t="inlineStr">
        <is>
          <t>Tenanted</t>
        </is>
      </c>
    </row>
    <row r="1238">
      <c r="A1238" t="inlineStr">
        <is>
          <t>U-ST537-01-01</t>
        </is>
      </c>
      <c r="B1238" t="inlineStr">
        <is>
          <t>Sungai Tinggi</t>
        </is>
      </c>
      <c r="C1238" t="inlineStr">
        <is>
          <t>Blk 537 Sungai Tinggi Drive #01-01 Singapura 730537</t>
        </is>
      </c>
      <c r="D1238" t="inlineStr">
        <is>
          <t>Shop</t>
        </is>
      </c>
      <c r="E1238" t="n">
        <v>110.3</v>
      </c>
      <c r="F1238" t="inlineStr">
        <is>
          <t>NC-ST-2</t>
        </is>
      </c>
      <c r="G1238" t="inlineStr">
        <is>
          <t>Tenanted</t>
        </is>
      </c>
    </row>
    <row r="1239">
      <c r="A1239" t="inlineStr">
        <is>
          <t>U-ST537-01-02</t>
        </is>
      </c>
      <c r="B1239" t="inlineStr">
        <is>
          <t>Sungai Tinggi</t>
        </is>
      </c>
      <c r="C1239" t="inlineStr">
        <is>
          <t>Blk 537 Sungai Tinggi Drive #01-02 Singapura 730537</t>
        </is>
      </c>
      <c r="D1239" t="inlineStr">
        <is>
          <t>Kiosk</t>
        </is>
      </c>
      <c r="E1239" t="n">
        <v>6.4</v>
      </c>
      <c r="F1239" t="inlineStr">
        <is>
          <t>NC-ST-2</t>
        </is>
      </c>
      <c r="G1239" t="inlineStr">
        <is>
          <t>Tenanted</t>
        </is>
      </c>
    </row>
    <row r="1240">
      <c r="A1240" t="inlineStr">
        <is>
          <t>U-ST537-01-03</t>
        </is>
      </c>
      <c r="B1240" t="inlineStr">
        <is>
          <t>Sungai Tinggi</t>
        </is>
      </c>
      <c r="C1240" t="inlineStr">
        <is>
          <t>Blk 537 Sungai Tinggi Drive #01-03 Singapura 730537</t>
        </is>
      </c>
      <c r="D1240" t="inlineStr">
        <is>
          <t>Shop</t>
        </is>
      </c>
      <c r="E1240" t="n">
        <v>61.5</v>
      </c>
      <c r="F1240" t="inlineStr">
        <is>
          <t>NC-ST-2</t>
        </is>
      </c>
      <c r="G1240" t="inlineStr">
        <is>
          <t>Tenanted</t>
        </is>
      </c>
    </row>
    <row r="1241">
      <c r="A1241" t="inlineStr">
        <is>
          <t>U-ST537-01-04</t>
        </is>
      </c>
      <c r="B1241" t="inlineStr">
        <is>
          <t>Sungai Tinggi</t>
        </is>
      </c>
      <c r="C1241" t="inlineStr">
        <is>
          <t>Blk 537 Sungai Tinggi Drive #01-04 Singapura 730537</t>
        </is>
      </c>
      <c r="D1241" t="inlineStr">
        <is>
          <t>Shop</t>
        </is>
      </c>
      <c r="E1241" t="n">
        <v>67</v>
      </c>
      <c r="F1241" t="inlineStr">
        <is>
          <t>NC-ST-2</t>
        </is>
      </c>
      <c r="G1241" t="inlineStr">
        <is>
          <t>Tenanted</t>
        </is>
      </c>
    </row>
    <row r="1242">
      <c r="A1242" t="inlineStr">
        <is>
          <t>U-ST537-01-05</t>
        </is>
      </c>
      <c r="B1242" t="inlineStr">
        <is>
          <t>Sungai Tinggi</t>
        </is>
      </c>
      <c r="C1242" t="inlineStr">
        <is>
          <t>Blk 537 Sungai Tinggi Drive #01-05 Singapura 730537</t>
        </is>
      </c>
      <c r="D1242" t="inlineStr">
        <is>
          <t>Shop with Living Quarters</t>
        </is>
      </c>
      <c r="E1242" t="n">
        <v>75.5</v>
      </c>
      <c r="F1242" t="inlineStr">
        <is>
          <t>NC-ST-2</t>
        </is>
      </c>
      <c r="G1242" t="inlineStr">
        <is>
          <t>Tenanted</t>
        </is>
      </c>
    </row>
    <row r="1243">
      <c r="A1243" t="inlineStr">
        <is>
          <t>U-ST537-01-06</t>
        </is>
      </c>
      <c r="B1243" t="inlineStr">
        <is>
          <t>Sungai Tinggi</t>
        </is>
      </c>
      <c r="C1243" t="inlineStr">
        <is>
          <t>Blk 537 Sungai Tinggi Drive #01-06 Singapura 730537</t>
        </is>
      </c>
      <c r="D1243" t="inlineStr">
        <is>
          <t>Shop with Living Quarters</t>
        </is>
      </c>
      <c r="E1243" t="n">
        <v>102.9</v>
      </c>
      <c r="F1243" t="inlineStr">
        <is>
          <t>NC-ST-2</t>
        </is>
      </c>
      <c r="G1243" t="inlineStr">
        <is>
          <t>Tenanted</t>
        </is>
      </c>
    </row>
    <row r="1244">
      <c r="A1244" t="inlineStr">
        <is>
          <t>U-ST538-02-01</t>
        </is>
      </c>
      <c r="B1244" t="inlineStr">
        <is>
          <t>Sungai Tinggi</t>
        </is>
      </c>
      <c r="C1244" t="inlineStr">
        <is>
          <t>Blk 538 Sungai Tinggi Street 52 #02-01 Singapura 730538</t>
        </is>
      </c>
      <c r="D1244" t="inlineStr">
        <is>
          <t>Office</t>
        </is>
      </c>
      <c r="E1244" t="n">
        <v>80</v>
      </c>
      <c r="F1244" t="inlineStr">
        <is>
          <t>NC-ST-3</t>
        </is>
      </c>
      <c r="G1244" t="inlineStr">
        <is>
          <t>Tenanted</t>
        </is>
      </c>
    </row>
    <row r="1245">
      <c r="A1245" t="inlineStr">
        <is>
          <t>U-ST538-01-02</t>
        </is>
      </c>
      <c r="B1245" t="inlineStr">
        <is>
          <t>Sungai Tinggi</t>
        </is>
      </c>
      <c r="C1245" t="inlineStr">
        <is>
          <t>Blk 538 Sungai Tinggi Street 52 #01-02 Singapura 730538</t>
        </is>
      </c>
      <c r="D1245" t="inlineStr">
        <is>
          <t>Kiosk</t>
        </is>
      </c>
      <c r="E1245" t="n">
        <v>13</v>
      </c>
      <c r="F1245" t="inlineStr">
        <is>
          <t>NC-ST-3</t>
        </is>
      </c>
      <c r="G1245" t="inlineStr">
        <is>
          <t>Tenanted</t>
        </is>
      </c>
    </row>
    <row r="1246">
      <c r="A1246" t="inlineStr">
        <is>
          <t>U-ST538-01-03</t>
        </is>
      </c>
      <c r="B1246" t="inlineStr">
        <is>
          <t>Sungai Tinggi</t>
        </is>
      </c>
      <c r="C1246" t="inlineStr">
        <is>
          <t>Blk 538 Sungai Tinggi Street 52 #01-03 Singapura 730538</t>
        </is>
      </c>
      <c r="D1246" t="inlineStr">
        <is>
          <t>Shop</t>
        </is>
      </c>
      <c r="E1246" t="n">
        <v>98.3</v>
      </c>
      <c r="F1246" t="inlineStr">
        <is>
          <t>NC-ST-3</t>
        </is>
      </c>
      <c r="G1246" t="inlineStr">
        <is>
          <t>Tenanted</t>
        </is>
      </c>
    </row>
    <row r="1247">
      <c r="A1247" t="inlineStr">
        <is>
          <t>U-ST538-01-04</t>
        </is>
      </c>
      <c r="B1247" t="inlineStr">
        <is>
          <t>Sungai Tinggi</t>
        </is>
      </c>
      <c r="C1247" t="inlineStr">
        <is>
          <t>Blk 538 Sungai Tinggi Street 52 #01-04 Singapura 730538</t>
        </is>
      </c>
      <c r="D1247" t="inlineStr">
        <is>
          <t>Shop</t>
        </is>
      </c>
      <c r="E1247" t="n">
        <v>47.1</v>
      </c>
      <c r="F1247" t="inlineStr">
        <is>
          <t>NC-ST-3</t>
        </is>
      </c>
      <c r="G1247" t="inlineStr">
        <is>
          <t>Tenanted</t>
        </is>
      </c>
    </row>
    <row r="1248">
      <c r="A1248" t="inlineStr">
        <is>
          <t>U-ST538-01-05</t>
        </is>
      </c>
      <c r="B1248" t="inlineStr">
        <is>
          <t>Sungai Tinggi</t>
        </is>
      </c>
      <c r="C1248" t="inlineStr">
        <is>
          <t>Blk 538 Sungai Tinggi Street 52 #01-05 Singapura 730538</t>
        </is>
      </c>
      <c r="D1248" t="inlineStr">
        <is>
          <t>Shop</t>
        </is>
      </c>
      <c r="E1248" t="n">
        <v>113.1</v>
      </c>
      <c r="F1248" t="inlineStr">
        <is>
          <t>NC-ST-3</t>
        </is>
      </c>
      <c r="G1248" t="inlineStr">
        <is>
          <t>Tenanted</t>
        </is>
      </c>
    </row>
    <row r="1249">
      <c r="A1249" t="inlineStr">
        <is>
          <t>U-ST538-01-06</t>
        </is>
      </c>
      <c r="B1249" t="inlineStr">
        <is>
          <t>Sungai Tinggi</t>
        </is>
      </c>
      <c r="C1249" t="inlineStr">
        <is>
          <t>Blk 538 Sungai Tinggi Street 52 #01-06 Singapura 730538</t>
        </is>
      </c>
      <c r="D1249" t="inlineStr">
        <is>
          <t>Shop</t>
        </is>
      </c>
      <c r="E1249" t="n">
        <v>78.8</v>
      </c>
      <c r="F1249" t="inlineStr">
        <is>
          <t>NC-ST-3</t>
        </is>
      </c>
      <c r="G1249" t="inlineStr">
        <is>
          <t>Tenanted</t>
        </is>
      </c>
    </row>
    <row r="1250">
      <c r="A1250" t="inlineStr">
        <is>
          <t>U-ST538-01-07</t>
        </is>
      </c>
      <c r="B1250" t="inlineStr">
        <is>
          <t>Sungai Tinggi</t>
        </is>
      </c>
      <c r="C1250" t="inlineStr">
        <is>
          <t>Blk 538 Sungai Tinggi Street 52 #01-07 Singapura 730538</t>
        </is>
      </c>
      <c r="D1250" t="inlineStr">
        <is>
          <t>Shop</t>
        </is>
      </c>
      <c r="E1250" t="n">
        <v>69.90000000000001</v>
      </c>
      <c r="F1250" t="inlineStr">
        <is>
          <t>NC-ST-3</t>
        </is>
      </c>
      <c r="G1250" t="inlineStr">
        <is>
          <t>Tenanted</t>
        </is>
      </c>
    </row>
    <row r="1251">
      <c r="A1251" t="inlineStr">
        <is>
          <t>U-ST544-01-01</t>
        </is>
      </c>
      <c r="B1251" t="inlineStr">
        <is>
          <t>Sungai Tinggi</t>
        </is>
      </c>
      <c r="C1251" t="inlineStr">
        <is>
          <t>Blk 544 Tinggi Link #01-01 Singapura 730544</t>
        </is>
      </c>
      <c r="D1251" t="inlineStr">
        <is>
          <t>Shop</t>
        </is>
      </c>
      <c r="E1251" t="n">
        <v>52.7</v>
      </c>
      <c r="F1251" t="inlineStr">
        <is>
          <t>NC-ST-3</t>
        </is>
      </c>
      <c r="G1251" t="inlineStr">
        <is>
          <t>Tenanted</t>
        </is>
      </c>
    </row>
    <row r="1252">
      <c r="A1252" t="inlineStr">
        <is>
          <t>U-ST544-01-02</t>
        </is>
      </c>
      <c r="B1252" t="inlineStr">
        <is>
          <t>Sungai Tinggi</t>
        </is>
      </c>
      <c r="C1252" t="inlineStr">
        <is>
          <t>Blk 544 Tinggi Link #01-02 Singapura 730544</t>
        </is>
      </c>
      <c r="D1252" t="inlineStr">
        <is>
          <t>Shop</t>
        </is>
      </c>
      <c r="E1252" t="n">
        <v>80.5</v>
      </c>
      <c r="F1252" t="inlineStr">
        <is>
          <t>NC-ST-3</t>
        </is>
      </c>
      <c r="G1252" t="inlineStr">
        <is>
          <t>Tenanted</t>
        </is>
      </c>
    </row>
    <row r="1253">
      <c r="A1253" t="inlineStr">
        <is>
          <t>U-ST544-01-03</t>
        </is>
      </c>
      <c r="B1253" t="inlineStr">
        <is>
          <t>Sungai Tinggi</t>
        </is>
      </c>
      <c r="C1253" t="inlineStr">
        <is>
          <t>Blk 544 Tinggi Link #01-03 Singapura 730544</t>
        </is>
      </c>
      <c r="D1253" t="inlineStr">
        <is>
          <t>Shop</t>
        </is>
      </c>
      <c r="E1253" t="n">
        <v>108.1</v>
      </c>
      <c r="F1253" t="inlineStr">
        <is>
          <t>NC-ST-3</t>
        </is>
      </c>
      <c r="G1253" t="inlineStr">
        <is>
          <t>Tenanted</t>
        </is>
      </c>
    </row>
    <row r="1254">
      <c r="A1254" t="inlineStr">
        <is>
          <t>U-ST544-02-04</t>
        </is>
      </c>
      <c r="B1254" t="inlineStr">
        <is>
          <t>Sungai Tinggi</t>
        </is>
      </c>
      <c r="C1254" t="inlineStr">
        <is>
          <t>Blk 544 Tinggi Link #02-04 Singapura 730544</t>
        </is>
      </c>
      <c r="D1254" t="inlineStr">
        <is>
          <t>Office</t>
        </is>
      </c>
      <c r="E1254" t="n">
        <v>69.3</v>
      </c>
      <c r="F1254" t="inlineStr">
        <is>
          <t>NC-ST-3</t>
        </is>
      </c>
      <c r="G1254" t="inlineStr">
        <is>
          <t>Tenanted</t>
        </is>
      </c>
    </row>
    <row r="1255">
      <c r="A1255" t="inlineStr">
        <is>
          <t>U-ST544-01-05</t>
        </is>
      </c>
      <c r="B1255" t="inlineStr">
        <is>
          <t>Sungai Tinggi</t>
        </is>
      </c>
      <c r="C1255" t="inlineStr">
        <is>
          <t>Blk 544 Tinggi Link #01-05 Singapura 730544</t>
        </is>
      </c>
      <c r="D1255" t="inlineStr">
        <is>
          <t>Shop with Living Quarters</t>
        </is>
      </c>
      <c r="E1255" t="n">
        <v>101.8</v>
      </c>
      <c r="F1255" t="inlineStr">
        <is>
          <t>NC-ST-3</t>
        </is>
      </c>
      <c r="G1255" t="inlineStr">
        <is>
          <t>Tenanted</t>
        </is>
      </c>
    </row>
    <row r="1256">
      <c r="A1256" t="inlineStr">
        <is>
          <t>U-ST544-01-06</t>
        </is>
      </c>
      <c r="B1256" t="inlineStr">
        <is>
          <t>Sungai Tinggi</t>
        </is>
      </c>
      <c r="C1256" t="inlineStr">
        <is>
          <t>Blk 544 Tinggi Link #01-06 Singapura 730544</t>
        </is>
      </c>
      <c r="D1256" t="inlineStr">
        <is>
          <t>Shop</t>
        </is>
      </c>
      <c r="E1256" t="n">
        <v>76.5</v>
      </c>
      <c r="F1256" t="inlineStr">
        <is>
          <t>NC-ST-3</t>
        </is>
      </c>
      <c r="G1256" t="inlineStr">
        <is>
          <t>Tenanted</t>
        </is>
      </c>
    </row>
    <row r="1257">
      <c r="A1257" t="inlineStr">
        <is>
          <t>U-ST545-01-01</t>
        </is>
      </c>
      <c r="B1257" t="inlineStr">
        <is>
          <t>Sungai Tinggi</t>
        </is>
      </c>
      <c r="C1257" t="inlineStr">
        <is>
          <t>Blk 545 Sungai Tinggi Drive #01-01 Singapura 730545</t>
        </is>
      </c>
      <c r="D1257" t="inlineStr">
        <is>
          <t>Kiosk</t>
        </is>
      </c>
      <c r="E1257" t="n">
        <v>8.5</v>
      </c>
      <c r="F1257" t="inlineStr">
        <is>
          <t>NC-ST-2</t>
        </is>
      </c>
      <c r="G1257" t="inlineStr">
        <is>
          <t>Tenanted</t>
        </is>
      </c>
    </row>
    <row r="1258">
      <c r="A1258" t="inlineStr">
        <is>
          <t>U-ST545-01-02</t>
        </is>
      </c>
      <c r="B1258" t="inlineStr">
        <is>
          <t>Sungai Tinggi</t>
        </is>
      </c>
      <c r="C1258" t="inlineStr">
        <is>
          <t>Blk 545 Sungai Tinggi Drive #01-02 Singapura 730545</t>
        </is>
      </c>
      <c r="D1258" t="inlineStr">
        <is>
          <t>Shop with Living Quarters</t>
        </is>
      </c>
      <c r="E1258" t="n">
        <v>85.3</v>
      </c>
      <c r="F1258" t="inlineStr">
        <is>
          <t>NC-ST-2</t>
        </is>
      </c>
      <c r="G1258" t="inlineStr">
        <is>
          <t>Tenanted</t>
        </is>
      </c>
    </row>
    <row r="1259">
      <c r="A1259" t="inlineStr">
        <is>
          <t>U-ST545-01-03</t>
        </is>
      </c>
      <c r="B1259" t="inlineStr">
        <is>
          <t>Sungai Tinggi</t>
        </is>
      </c>
      <c r="C1259" t="inlineStr">
        <is>
          <t>Blk 545 Sungai Tinggi Drive #01-03 Singapura 730545</t>
        </is>
      </c>
      <c r="D1259" t="inlineStr">
        <is>
          <t>Shop</t>
        </is>
      </c>
      <c r="E1259" t="n">
        <v>49.9</v>
      </c>
      <c r="F1259" t="inlineStr">
        <is>
          <t>NC-ST-2</t>
        </is>
      </c>
      <c r="G1259" t="inlineStr">
        <is>
          <t>Tenanted</t>
        </is>
      </c>
    </row>
    <row r="1260">
      <c r="A1260" t="inlineStr">
        <is>
          <t>U-ST545-01-04</t>
        </is>
      </c>
      <c r="B1260" t="inlineStr">
        <is>
          <t>Sungai Tinggi</t>
        </is>
      </c>
      <c r="C1260" t="inlineStr">
        <is>
          <t>Blk 545 Sungai Tinggi Drive #01-04 Singapura 730545</t>
        </is>
      </c>
      <c r="D1260" t="inlineStr">
        <is>
          <t>Shop</t>
        </is>
      </c>
      <c r="E1260" t="n">
        <v>69.8</v>
      </c>
      <c r="F1260" t="inlineStr">
        <is>
          <t>NC-ST-2</t>
        </is>
      </c>
      <c r="G1260" t="inlineStr">
        <is>
          <t>Tenanted</t>
        </is>
      </c>
    </row>
    <row r="1261">
      <c r="A1261" t="inlineStr">
        <is>
          <t>U-ST545-01-05</t>
        </is>
      </c>
      <c r="B1261" t="inlineStr">
        <is>
          <t>Sungai Tinggi</t>
        </is>
      </c>
      <c r="C1261" t="inlineStr">
        <is>
          <t>Blk 545 Sungai Tinggi Drive #01-05 Singapura 730545</t>
        </is>
      </c>
      <c r="D1261" t="inlineStr">
        <is>
          <t>Shop</t>
        </is>
      </c>
      <c r="E1261" t="n">
        <v>54.2</v>
      </c>
      <c r="F1261" t="inlineStr">
        <is>
          <t>NC-ST-2</t>
        </is>
      </c>
      <c r="G1261" t="inlineStr">
        <is>
          <t>Tenanted</t>
        </is>
      </c>
    </row>
    <row r="1262">
      <c r="A1262" t="inlineStr">
        <is>
          <t>U-ST545-02-06</t>
        </is>
      </c>
      <c r="B1262" t="inlineStr">
        <is>
          <t>Sungai Tinggi</t>
        </is>
      </c>
      <c r="C1262" t="inlineStr">
        <is>
          <t>Blk 545 Sungai Tinggi Drive #02-06 Singapura 730545</t>
        </is>
      </c>
      <c r="D1262" t="inlineStr">
        <is>
          <t>Office</t>
        </is>
      </c>
      <c r="E1262" t="n">
        <v>85</v>
      </c>
      <c r="F1262" t="inlineStr">
        <is>
          <t>NC-ST-2</t>
        </is>
      </c>
      <c r="G1262" t="inlineStr">
        <is>
          <t>Tenanted</t>
        </is>
      </c>
    </row>
    <row r="1263">
      <c r="A1263" t="inlineStr">
        <is>
          <t>U-ST545-01-07</t>
        </is>
      </c>
      <c r="B1263" t="inlineStr">
        <is>
          <t>Sungai Tinggi</t>
        </is>
      </c>
      <c r="C1263" t="inlineStr">
        <is>
          <t>Blk 545 Sungai Tinggi Drive #01-07 Singapura 730545</t>
        </is>
      </c>
      <c r="D1263" t="inlineStr">
        <is>
          <t>Shop</t>
        </is>
      </c>
      <c r="E1263" t="n">
        <v>111.6</v>
      </c>
      <c r="F1263" t="inlineStr">
        <is>
          <t>NC-ST-2</t>
        </is>
      </c>
      <c r="G1263" t="inlineStr">
        <is>
          <t>Tenanted</t>
        </is>
      </c>
    </row>
    <row r="1264">
      <c r="A1264" t="inlineStr">
        <is>
          <t>U-ST545-01-08</t>
        </is>
      </c>
      <c r="B1264" t="inlineStr">
        <is>
          <t>Sungai Tinggi</t>
        </is>
      </c>
      <c r="C1264" t="inlineStr">
        <is>
          <t>Blk 545 Sungai Tinggi Drive #01-08 Singapura 730545</t>
        </is>
      </c>
      <c r="D1264" t="inlineStr">
        <is>
          <t>Kiosk</t>
        </is>
      </c>
      <c r="E1264" t="n">
        <v>12.2</v>
      </c>
      <c r="F1264" t="inlineStr">
        <is>
          <t>NC-ST-2</t>
        </is>
      </c>
      <c r="G1264" t="inlineStr">
        <is>
          <t>Tenanted</t>
        </is>
      </c>
    </row>
    <row r="1265">
      <c r="A1265" t="inlineStr">
        <is>
          <t>U-ST545-01-09</t>
        </is>
      </c>
      <c r="B1265" t="inlineStr">
        <is>
          <t>Sungai Tinggi</t>
        </is>
      </c>
      <c r="C1265" t="inlineStr">
        <is>
          <t>Blk 545 Sungai Tinggi Drive #01-09 Singapura 730545</t>
        </is>
      </c>
      <c r="D1265" t="inlineStr">
        <is>
          <t>Shop</t>
        </is>
      </c>
      <c r="E1265" t="n">
        <v>70.90000000000001</v>
      </c>
      <c r="F1265" t="inlineStr">
        <is>
          <t>NC-ST-2</t>
        </is>
      </c>
      <c r="G1265" t="inlineStr">
        <is>
          <t>Tenanted</t>
        </is>
      </c>
    </row>
    <row r="1266">
      <c r="A1266" t="inlineStr">
        <is>
          <t>U-ST545-01-10</t>
        </is>
      </c>
      <c r="B1266" t="inlineStr">
        <is>
          <t>Sungai Tinggi</t>
        </is>
      </c>
      <c r="C1266" t="inlineStr">
        <is>
          <t>Blk 545 Sungai Tinggi Drive #01-10 Singapura 730545</t>
        </is>
      </c>
      <c r="D1266" t="inlineStr">
        <is>
          <t>Shop</t>
        </is>
      </c>
      <c r="E1266" t="n">
        <v>85.8</v>
      </c>
      <c r="F1266" t="inlineStr">
        <is>
          <t>NC-ST-2</t>
        </is>
      </c>
      <c r="G1266" t="inlineStr">
        <is>
          <t>Tenanted</t>
        </is>
      </c>
    </row>
    <row r="1267">
      <c r="A1267" t="inlineStr">
        <is>
          <t>U-ST545-01-11</t>
        </is>
      </c>
      <c r="B1267" t="inlineStr">
        <is>
          <t>Sungai Tinggi</t>
        </is>
      </c>
      <c r="C1267" t="inlineStr">
        <is>
          <t>Blk 545 Sungai Tinggi Drive #01-11 Singapura 730545</t>
        </is>
      </c>
      <c r="D1267" t="inlineStr">
        <is>
          <t>Office</t>
        </is>
      </c>
      <c r="E1267" t="n">
        <v>114.7</v>
      </c>
      <c r="F1267" t="inlineStr">
        <is>
          <t>NC-ST-2</t>
        </is>
      </c>
      <c r="G1267" t="inlineStr">
        <is>
          <t>Tenanted</t>
        </is>
      </c>
    </row>
    <row r="1268">
      <c r="A1268" t="inlineStr">
        <is>
          <t>U-ST556-01-01</t>
        </is>
      </c>
      <c r="B1268" t="inlineStr">
        <is>
          <t>Sungai Tinggi</t>
        </is>
      </c>
      <c r="C1268" t="inlineStr">
        <is>
          <t>Blk 556 Sungai Tinggi Drive #01-01 Singapura 730556</t>
        </is>
      </c>
      <c r="D1268" t="inlineStr">
        <is>
          <t>Shop</t>
        </is>
      </c>
      <c r="E1268" t="n">
        <v>72.8</v>
      </c>
      <c r="F1268" t="inlineStr">
        <is>
          <t>NC-ST-2</t>
        </is>
      </c>
      <c r="G1268" t="inlineStr">
        <is>
          <t>Tenanted</t>
        </is>
      </c>
    </row>
    <row r="1269">
      <c r="A1269" t="inlineStr">
        <is>
          <t>U-ST556-01-02</t>
        </is>
      </c>
      <c r="B1269" t="inlineStr">
        <is>
          <t>Sungai Tinggi</t>
        </is>
      </c>
      <c r="C1269" t="inlineStr">
        <is>
          <t>Blk 556 Sungai Tinggi Drive #01-02 Singapura 730556</t>
        </is>
      </c>
      <c r="D1269" t="inlineStr">
        <is>
          <t>Shop</t>
        </is>
      </c>
      <c r="E1269" t="n">
        <v>102.4</v>
      </c>
      <c r="F1269" t="inlineStr">
        <is>
          <t>NC-ST-2</t>
        </is>
      </c>
      <c r="G1269" t="inlineStr">
        <is>
          <t>Tenanted</t>
        </is>
      </c>
    </row>
    <row r="1270">
      <c r="A1270" t="inlineStr">
        <is>
          <t>U-ST556-01-03</t>
        </is>
      </c>
      <c r="B1270" t="inlineStr">
        <is>
          <t>Sungai Tinggi</t>
        </is>
      </c>
      <c r="C1270" t="inlineStr">
        <is>
          <t>Blk 556 Sungai Tinggi Drive #01-03 Singapura 730556</t>
        </is>
      </c>
      <c r="D1270" t="inlineStr">
        <is>
          <t>Kiosk</t>
        </is>
      </c>
      <c r="E1270" t="n">
        <v>6.1</v>
      </c>
      <c r="F1270" t="inlineStr">
        <is>
          <t>NC-ST-2</t>
        </is>
      </c>
      <c r="G1270" t="inlineStr">
        <is>
          <t>Tenanted</t>
        </is>
      </c>
    </row>
    <row r="1271">
      <c r="A1271" t="inlineStr">
        <is>
          <t>U-ST556-02-04</t>
        </is>
      </c>
      <c r="B1271" t="inlineStr">
        <is>
          <t>Sungai Tinggi</t>
        </is>
      </c>
      <c r="C1271" t="inlineStr">
        <is>
          <t>Blk 556 Sungai Tinggi Drive #02-04 Singapura 730556</t>
        </is>
      </c>
      <c r="D1271" t="inlineStr">
        <is>
          <t>Office</t>
        </is>
      </c>
      <c r="E1271" t="n">
        <v>110.1</v>
      </c>
      <c r="F1271" t="inlineStr">
        <is>
          <t>NC-ST-2</t>
        </is>
      </c>
      <c r="G1271" t="inlineStr">
        <is>
          <t>Tenanted</t>
        </is>
      </c>
    </row>
    <row r="1272">
      <c r="A1272" t="inlineStr">
        <is>
          <t>U-ST556-01-05</t>
        </is>
      </c>
      <c r="B1272" t="inlineStr">
        <is>
          <t>Sungai Tinggi</t>
        </is>
      </c>
      <c r="C1272" t="inlineStr">
        <is>
          <t>Blk 556 Sungai Tinggi Drive #01-05 Singapura 730556</t>
        </is>
      </c>
      <c r="D1272" t="inlineStr">
        <is>
          <t>Shop</t>
        </is>
      </c>
      <c r="E1272" t="n">
        <v>60.2</v>
      </c>
      <c r="F1272" t="inlineStr">
        <is>
          <t>NC-ST-2</t>
        </is>
      </c>
      <c r="G1272" t="inlineStr">
        <is>
          <t>Tenanted</t>
        </is>
      </c>
    </row>
    <row r="1273">
      <c r="A1273" t="inlineStr">
        <is>
          <t>U-ST556-01-06</t>
        </is>
      </c>
      <c r="B1273" t="inlineStr">
        <is>
          <t>Sungai Tinggi</t>
        </is>
      </c>
      <c r="C1273" t="inlineStr">
        <is>
          <t>Blk 556 Sungai Tinggi Drive #01-06 Singapura 730556</t>
        </is>
      </c>
      <c r="D1273" t="inlineStr">
        <is>
          <t>Shop with Living Quarters</t>
        </is>
      </c>
      <c r="E1273" t="n">
        <v>75.3</v>
      </c>
      <c r="F1273" t="inlineStr">
        <is>
          <t>NC-ST-2</t>
        </is>
      </c>
      <c r="G1273" t="inlineStr">
        <is>
          <t>Tenanted</t>
        </is>
      </c>
    </row>
    <row r="1274">
      <c r="A1274" t="inlineStr">
        <is>
          <t>U-ST556-02-07</t>
        </is>
      </c>
      <c r="B1274" t="inlineStr">
        <is>
          <t>Sungai Tinggi</t>
        </is>
      </c>
      <c r="C1274" t="inlineStr">
        <is>
          <t>Blk 556 Sungai Tinggi Drive #02-07 Singapura 730556</t>
        </is>
      </c>
      <c r="D1274" t="inlineStr">
        <is>
          <t>Office</t>
        </is>
      </c>
      <c r="E1274" t="n">
        <v>92.40000000000001</v>
      </c>
      <c r="F1274" t="inlineStr">
        <is>
          <t>NC-ST-2</t>
        </is>
      </c>
      <c r="G1274" t="inlineStr">
        <is>
          <t>Tenanted</t>
        </is>
      </c>
    </row>
    <row r="1275">
      <c r="A1275" t="inlineStr">
        <is>
          <t>U-ST556-01-08</t>
        </is>
      </c>
      <c r="B1275" t="inlineStr">
        <is>
          <t>Sungai Tinggi</t>
        </is>
      </c>
      <c r="C1275" t="inlineStr">
        <is>
          <t>Blk 556 Sungai Tinggi Drive #01-08 Singapura 730556</t>
        </is>
      </c>
      <c r="D1275" t="inlineStr">
        <is>
          <t>Shop</t>
        </is>
      </c>
      <c r="E1275" t="n">
        <v>67.90000000000001</v>
      </c>
      <c r="F1275" t="inlineStr">
        <is>
          <t>NC-ST-2</t>
        </is>
      </c>
      <c r="G1275" t="inlineStr">
        <is>
          <t>Tenanted</t>
        </is>
      </c>
    </row>
    <row r="1276">
      <c r="A1276" t="inlineStr">
        <is>
          <t>U-ST556-01-09</t>
        </is>
      </c>
      <c r="B1276" t="inlineStr">
        <is>
          <t>Sungai Tinggi</t>
        </is>
      </c>
      <c r="C1276" t="inlineStr">
        <is>
          <t>Blk 556 Sungai Tinggi Drive #01-09 Singapura 730556</t>
        </is>
      </c>
      <c r="D1276" t="inlineStr">
        <is>
          <t>Shop</t>
        </is>
      </c>
      <c r="E1276" t="n">
        <v>77.3</v>
      </c>
      <c r="F1276" t="inlineStr">
        <is>
          <t>NC-ST-2</t>
        </is>
      </c>
      <c r="G1276" t="inlineStr">
        <is>
          <t>Tenanted</t>
        </is>
      </c>
    </row>
    <row r="1277">
      <c r="A1277" t="inlineStr">
        <is>
          <t>U-ST564-01-01</t>
        </is>
      </c>
      <c r="B1277" t="inlineStr">
        <is>
          <t>Sungai Tinggi</t>
        </is>
      </c>
      <c r="C1277" t="inlineStr">
        <is>
          <t>Blk 564 Sungai Tinggi Drive #01-01 Singapura 730564</t>
        </is>
      </c>
      <c r="D1277" t="inlineStr">
        <is>
          <t>Shop with Living Quarters</t>
        </is>
      </c>
      <c r="E1277" t="n">
        <v>79.90000000000001</v>
      </c>
      <c r="F1277" t="inlineStr">
        <is>
          <t>NC-ST-1</t>
        </is>
      </c>
      <c r="G1277" t="inlineStr">
        <is>
          <t>Tenanted</t>
        </is>
      </c>
    </row>
    <row r="1278">
      <c r="A1278" t="inlineStr">
        <is>
          <t>U-ST564-01-02</t>
        </is>
      </c>
      <c r="B1278" t="inlineStr">
        <is>
          <t>Sungai Tinggi</t>
        </is>
      </c>
      <c r="C1278" t="inlineStr">
        <is>
          <t>Blk 564 Sungai Tinggi Drive #01-02 Singapura 730564</t>
        </is>
      </c>
      <c r="D1278" t="inlineStr">
        <is>
          <t>Shop</t>
        </is>
      </c>
      <c r="E1278" t="n">
        <v>80.90000000000001</v>
      </c>
      <c r="F1278" t="inlineStr">
        <is>
          <t>NC-ST-1</t>
        </is>
      </c>
      <c r="G1278" t="inlineStr">
        <is>
          <t>Tenanted</t>
        </is>
      </c>
    </row>
    <row r="1279">
      <c r="A1279" t="inlineStr">
        <is>
          <t>U-ST564-01-03</t>
        </is>
      </c>
      <c r="B1279" t="inlineStr">
        <is>
          <t>Sungai Tinggi</t>
        </is>
      </c>
      <c r="C1279" t="inlineStr">
        <is>
          <t>Blk 564 Sungai Tinggi Drive #01-03 Singapura 730564</t>
        </is>
      </c>
      <c r="D1279" t="inlineStr">
        <is>
          <t>Shop</t>
        </is>
      </c>
      <c r="E1279" t="n">
        <v>107.5</v>
      </c>
      <c r="F1279" t="inlineStr">
        <is>
          <t>NC-ST-1</t>
        </is>
      </c>
      <c r="G1279" t="inlineStr">
        <is>
          <t>Tenanted</t>
        </is>
      </c>
    </row>
    <row r="1280">
      <c r="A1280" t="inlineStr">
        <is>
          <t>U-ST564-01-04</t>
        </is>
      </c>
      <c r="B1280" t="inlineStr">
        <is>
          <t>Sungai Tinggi</t>
        </is>
      </c>
      <c r="C1280" t="inlineStr">
        <is>
          <t>Blk 564 Sungai Tinggi Drive #01-04 Singapura 730564</t>
        </is>
      </c>
      <c r="D1280" t="inlineStr">
        <is>
          <t>Shop</t>
        </is>
      </c>
      <c r="E1280" t="n">
        <v>91.8</v>
      </c>
      <c r="F1280" t="inlineStr">
        <is>
          <t>NC-ST-1</t>
        </is>
      </c>
      <c r="G1280" t="inlineStr">
        <is>
          <t>Tenanted</t>
        </is>
      </c>
    </row>
    <row r="1281">
      <c r="A1281" t="inlineStr">
        <is>
          <t>U-ST564-01-05</t>
        </is>
      </c>
      <c r="B1281" t="inlineStr">
        <is>
          <t>Sungai Tinggi</t>
        </is>
      </c>
      <c r="C1281" t="inlineStr">
        <is>
          <t>Blk 564 Sungai Tinggi Drive #01-05 Singapura 730564</t>
        </is>
      </c>
      <c r="D1281" t="inlineStr">
        <is>
          <t>Shop</t>
        </is>
      </c>
      <c r="E1281" t="n">
        <v>63.9</v>
      </c>
      <c r="F1281" t="inlineStr">
        <is>
          <t>NC-ST-1</t>
        </is>
      </c>
      <c r="G1281" t="inlineStr">
        <is>
          <t>Tenanted</t>
        </is>
      </c>
    </row>
    <row r="1282">
      <c r="A1282" t="inlineStr">
        <is>
          <t>U-ST564-01-06</t>
        </is>
      </c>
      <c r="B1282" t="inlineStr">
        <is>
          <t>Sungai Tinggi</t>
        </is>
      </c>
      <c r="C1282" t="inlineStr">
        <is>
          <t>Blk 564 Sungai Tinggi Drive #01-06 Singapura 730564</t>
        </is>
      </c>
      <c r="D1282" t="inlineStr">
        <is>
          <t>Shop</t>
        </is>
      </c>
      <c r="E1282" t="n">
        <v>45.1</v>
      </c>
      <c r="F1282" t="inlineStr">
        <is>
          <t>NC-ST-1</t>
        </is>
      </c>
      <c r="G1282" t="inlineStr">
        <is>
          <t>Tenanted</t>
        </is>
      </c>
    </row>
    <row r="1283">
      <c r="A1283" t="inlineStr">
        <is>
          <t>U-ST564-02-07</t>
        </is>
      </c>
      <c r="B1283" t="inlineStr">
        <is>
          <t>Sungai Tinggi</t>
        </is>
      </c>
      <c r="C1283" t="inlineStr">
        <is>
          <t>Blk 564 Sungai Tinggi Drive #02-07 Singapura 730564</t>
        </is>
      </c>
      <c r="D1283" t="inlineStr">
        <is>
          <t>Office</t>
        </is>
      </c>
      <c r="E1283" t="n">
        <v>136.1</v>
      </c>
      <c r="F1283" t="inlineStr">
        <is>
          <t>NC-ST-1</t>
        </is>
      </c>
      <c r="G1283" t="inlineStr">
        <is>
          <t>Tenanted</t>
        </is>
      </c>
    </row>
    <row r="1284">
      <c r="A1284" t="inlineStr">
        <is>
          <t>U-ST564-01-08</t>
        </is>
      </c>
      <c r="B1284" t="inlineStr">
        <is>
          <t>Sungai Tinggi</t>
        </is>
      </c>
      <c r="C1284" t="inlineStr">
        <is>
          <t>Blk 564 Sungai Tinggi Drive #01-08 Singapura 730564</t>
        </is>
      </c>
      <c r="D1284" t="inlineStr">
        <is>
          <t>Shop</t>
        </is>
      </c>
      <c r="E1284" t="n">
        <v>96.90000000000001</v>
      </c>
      <c r="F1284" t="inlineStr">
        <is>
          <t>NC-ST-1</t>
        </is>
      </c>
      <c r="G1284" t="inlineStr">
        <is>
          <t>Tenanted</t>
        </is>
      </c>
    </row>
    <row r="1285">
      <c r="A1285" t="inlineStr">
        <is>
          <t>U-ST564-02-09</t>
        </is>
      </c>
      <c r="B1285" t="inlineStr">
        <is>
          <t>Sungai Tinggi</t>
        </is>
      </c>
      <c r="C1285" t="inlineStr">
        <is>
          <t>Blk 564 Sungai Tinggi Drive #02-09 Singapura 730564</t>
        </is>
      </c>
      <c r="D1285" t="inlineStr">
        <is>
          <t>Office</t>
        </is>
      </c>
      <c r="E1285" t="n">
        <v>65</v>
      </c>
      <c r="F1285" t="inlineStr">
        <is>
          <t>NC-ST-1</t>
        </is>
      </c>
      <c r="G1285" t="inlineStr">
        <is>
          <t>Tenanted</t>
        </is>
      </c>
    </row>
    <row r="1286">
      <c r="A1286" t="inlineStr">
        <is>
          <t>U-ST564-01-10</t>
        </is>
      </c>
      <c r="B1286" t="inlineStr">
        <is>
          <t>Sungai Tinggi</t>
        </is>
      </c>
      <c r="C1286" t="inlineStr">
        <is>
          <t>Blk 564 Sungai Tinggi Drive #01-10 Singapura 730564</t>
        </is>
      </c>
      <c r="D1286" t="inlineStr">
        <is>
          <t>Kiosk</t>
        </is>
      </c>
      <c r="E1286" t="n">
        <v>14.1</v>
      </c>
      <c r="F1286" t="inlineStr">
        <is>
          <t>NC-ST-1</t>
        </is>
      </c>
      <c r="G1286" t="inlineStr">
        <is>
          <t>Tenanted</t>
        </is>
      </c>
    </row>
    <row r="1287">
      <c r="A1287" t="inlineStr">
        <is>
          <t>U-ST564-01-11</t>
        </is>
      </c>
      <c r="B1287" t="inlineStr">
        <is>
          <t>Sungai Tinggi</t>
        </is>
      </c>
      <c r="C1287" t="inlineStr">
        <is>
          <t>Blk 564 Sungai Tinggi Drive #01-11 Singapura 730564</t>
        </is>
      </c>
      <c r="D1287" t="inlineStr">
        <is>
          <t>Shop with Living Quarters</t>
        </is>
      </c>
      <c r="E1287" t="n">
        <v>100.1</v>
      </c>
      <c r="F1287" t="inlineStr">
        <is>
          <t>NC-ST-1</t>
        </is>
      </c>
      <c r="G1287" t="inlineStr">
        <is>
          <t>Tenanted</t>
        </is>
      </c>
    </row>
    <row r="1288">
      <c r="A1288" t="inlineStr">
        <is>
          <t>U-ST564-01-12</t>
        </is>
      </c>
      <c r="B1288" t="inlineStr">
        <is>
          <t>Sungai Tinggi</t>
        </is>
      </c>
      <c r="C1288" t="inlineStr">
        <is>
          <t>Blk 564 Sungai Tinggi Drive #01-12 Singapura 730564</t>
        </is>
      </c>
      <c r="D1288" t="inlineStr">
        <is>
          <t>Shop</t>
        </is>
      </c>
      <c r="E1288" t="n">
        <v>92.8</v>
      </c>
      <c r="F1288" t="inlineStr">
        <is>
          <t>NC-ST-1</t>
        </is>
      </c>
      <c r="G1288" t="inlineStr">
        <is>
          <t>Tenanted</t>
        </is>
      </c>
    </row>
    <row r="1289">
      <c r="A1289" t="inlineStr">
        <is>
          <t>U-ST564-01-13</t>
        </is>
      </c>
      <c r="B1289" t="inlineStr">
        <is>
          <t>Sungai Tinggi</t>
        </is>
      </c>
      <c r="C1289" t="inlineStr">
        <is>
          <t>Blk 564 Sungai Tinggi Drive #01-13 Singapura 730564</t>
        </is>
      </c>
      <c r="D1289" t="inlineStr">
        <is>
          <t>Shop</t>
        </is>
      </c>
      <c r="E1289" t="n">
        <v>97.7</v>
      </c>
      <c r="F1289" t="inlineStr">
        <is>
          <t>NC-ST-1</t>
        </is>
      </c>
      <c r="G1289" t="inlineStr">
        <is>
          <t>Tenanted</t>
        </is>
      </c>
    </row>
    <row r="1290">
      <c r="A1290" t="inlineStr">
        <is>
          <t>U-ST564-01-14</t>
        </is>
      </c>
      <c r="B1290" t="inlineStr">
        <is>
          <t>Sungai Tinggi</t>
        </is>
      </c>
      <c r="C1290" t="inlineStr">
        <is>
          <t>Blk 564 Sungai Tinggi Drive #01-14 Singapura 730564</t>
        </is>
      </c>
      <c r="D1290" t="inlineStr">
        <is>
          <t>Shop</t>
        </is>
      </c>
      <c r="E1290" t="n">
        <v>119.8</v>
      </c>
      <c r="F1290" t="inlineStr">
        <is>
          <t>NC-ST-1</t>
        </is>
      </c>
      <c r="G1290" t="inlineStr">
        <is>
          <t>Tenanted</t>
        </is>
      </c>
    </row>
    <row r="1291">
      <c r="A1291" t="inlineStr">
        <is>
          <t>U-ST566-02-01</t>
        </is>
      </c>
      <c r="B1291" t="inlineStr">
        <is>
          <t>Sungai Tinggi</t>
        </is>
      </c>
      <c r="C1291" t="inlineStr">
        <is>
          <t>Blk 566 Sungai Tinggi Street 52 #02-01 Singapura 730566</t>
        </is>
      </c>
      <c r="D1291" t="inlineStr">
        <is>
          <t>Office</t>
        </is>
      </c>
      <c r="E1291" t="n">
        <v>123.7</v>
      </c>
      <c r="F1291" t="inlineStr">
        <is>
          <t>NC-ST-2</t>
        </is>
      </c>
      <c r="G1291" t="inlineStr">
        <is>
          <t>Tenanted</t>
        </is>
      </c>
    </row>
    <row r="1292">
      <c r="A1292" t="inlineStr">
        <is>
          <t>U-ST566-01-02</t>
        </is>
      </c>
      <c r="B1292" t="inlineStr">
        <is>
          <t>Sungai Tinggi</t>
        </is>
      </c>
      <c r="C1292" t="inlineStr">
        <is>
          <t>Blk 566 Sungai Tinggi Street 52 #01-02 Singapura 730566</t>
        </is>
      </c>
      <c r="D1292" t="inlineStr">
        <is>
          <t>Shop</t>
        </is>
      </c>
      <c r="E1292" t="n">
        <v>119.6</v>
      </c>
      <c r="F1292" t="inlineStr">
        <is>
          <t>NC-ST-2</t>
        </is>
      </c>
      <c r="G1292" t="inlineStr">
        <is>
          <t>Tenanted</t>
        </is>
      </c>
    </row>
    <row r="1293">
      <c r="A1293" t="inlineStr">
        <is>
          <t>U-ST566-01-03</t>
        </is>
      </c>
      <c r="B1293" t="inlineStr">
        <is>
          <t>Sungai Tinggi</t>
        </is>
      </c>
      <c r="C1293" t="inlineStr">
        <is>
          <t>Blk 566 Sungai Tinggi Street 52 #01-03 Singapura 730566</t>
        </is>
      </c>
      <c r="D1293" t="inlineStr">
        <is>
          <t>Shop with Living Quarters</t>
        </is>
      </c>
      <c r="E1293" t="n">
        <v>77.2</v>
      </c>
      <c r="F1293" t="inlineStr">
        <is>
          <t>NC-ST-2</t>
        </is>
      </c>
      <c r="G1293" t="inlineStr">
        <is>
          <t>Tenanted</t>
        </is>
      </c>
    </row>
    <row r="1294">
      <c r="A1294" t="inlineStr">
        <is>
          <t>U-ST566-01-04</t>
        </is>
      </c>
      <c r="B1294" t="inlineStr">
        <is>
          <t>Sungai Tinggi</t>
        </is>
      </c>
      <c r="C1294" t="inlineStr">
        <is>
          <t>Blk 566 Sungai Tinggi Street 52 #01-04 Singapura 730566</t>
        </is>
      </c>
      <c r="D1294" t="inlineStr">
        <is>
          <t>Kiosk</t>
        </is>
      </c>
      <c r="E1294" t="n">
        <v>12.2</v>
      </c>
      <c r="F1294" t="inlineStr">
        <is>
          <t>NC-ST-2</t>
        </is>
      </c>
      <c r="G1294" t="inlineStr">
        <is>
          <t>Tenanted</t>
        </is>
      </c>
    </row>
    <row r="1295">
      <c r="A1295" t="inlineStr">
        <is>
          <t>U-ST566-01-05</t>
        </is>
      </c>
      <c r="B1295" t="inlineStr">
        <is>
          <t>Sungai Tinggi</t>
        </is>
      </c>
      <c r="C1295" t="inlineStr">
        <is>
          <t>Blk 566 Sungai Tinggi Street 52 #01-05 Singapura 730566</t>
        </is>
      </c>
      <c r="D1295" t="inlineStr">
        <is>
          <t>Shop</t>
        </is>
      </c>
      <c r="E1295" t="n">
        <v>78.09999999999999</v>
      </c>
      <c r="F1295" t="inlineStr">
        <is>
          <t>NC-ST-2</t>
        </is>
      </c>
      <c r="G1295" t="inlineStr">
        <is>
          <t>Tenanted</t>
        </is>
      </c>
    </row>
    <row r="1296">
      <c r="A1296" t="inlineStr">
        <is>
          <t>U-ST566-02-06</t>
        </is>
      </c>
      <c r="B1296" t="inlineStr">
        <is>
          <t>Sungai Tinggi</t>
        </is>
      </c>
      <c r="C1296" t="inlineStr">
        <is>
          <t>Blk 566 Sungai Tinggi Street 52 #02-06 Singapura 730566</t>
        </is>
      </c>
      <c r="D1296" t="inlineStr">
        <is>
          <t>Office</t>
        </is>
      </c>
      <c r="E1296" t="n">
        <v>80</v>
      </c>
      <c r="F1296" t="inlineStr">
        <is>
          <t>NC-ST-2</t>
        </is>
      </c>
      <c r="G1296" t="inlineStr">
        <is>
          <t>Tenanted</t>
        </is>
      </c>
    </row>
    <row r="1297">
      <c r="A1297" t="inlineStr">
        <is>
          <t>U-ST566-01-07</t>
        </is>
      </c>
      <c r="B1297" t="inlineStr">
        <is>
          <t>Sungai Tinggi</t>
        </is>
      </c>
      <c r="C1297" t="inlineStr">
        <is>
          <t>Blk 566 Sungai Tinggi Street 52 #01-07 Singapura 730566</t>
        </is>
      </c>
      <c r="D1297" t="inlineStr">
        <is>
          <t>Shop</t>
        </is>
      </c>
      <c r="E1297" t="n">
        <v>92.59999999999999</v>
      </c>
      <c r="F1297" t="inlineStr">
        <is>
          <t>NC-ST-2</t>
        </is>
      </c>
      <c r="G1297" t="inlineStr">
        <is>
          <t>Tenanted</t>
        </is>
      </c>
    </row>
    <row r="1298">
      <c r="A1298" t="inlineStr">
        <is>
          <t>U-ST566-01-08</t>
        </is>
      </c>
      <c r="B1298" t="inlineStr">
        <is>
          <t>Sungai Tinggi</t>
        </is>
      </c>
      <c r="C1298" t="inlineStr">
        <is>
          <t>Blk 566 Sungai Tinggi Street 52 #01-08 Singapura 730566</t>
        </is>
      </c>
      <c r="D1298" t="inlineStr">
        <is>
          <t>Shop</t>
        </is>
      </c>
      <c r="E1298" t="n">
        <v>63.5</v>
      </c>
      <c r="F1298" t="inlineStr">
        <is>
          <t>NC-ST-2</t>
        </is>
      </c>
      <c r="G1298" t="inlineStr">
        <is>
          <t>Tenanted</t>
        </is>
      </c>
    </row>
    <row r="1299">
      <c r="A1299" t="inlineStr">
        <is>
          <t>U-ST566-01-09</t>
        </is>
      </c>
      <c r="B1299" t="inlineStr">
        <is>
          <t>Sungai Tinggi</t>
        </is>
      </c>
      <c r="C1299" t="inlineStr">
        <is>
          <t>Blk 566 Sungai Tinggi Street 52 #01-09 Singapura 730566</t>
        </is>
      </c>
      <c r="D1299" t="inlineStr">
        <is>
          <t>Shop</t>
        </is>
      </c>
      <c r="E1299" t="n">
        <v>99.3</v>
      </c>
      <c r="F1299" t="inlineStr">
        <is>
          <t>NC-ST-2</t>
        </is>
      </c>
      <c r="G1299" t="inlineStr">
        <is>
          <t>Tenanted</t>
        </is>
      </c>
    </row>
    <row r="1300">
      <c r="A1300" t="inlineStr">
        <is>
          <t>U-ST566-01-10</t>
        </is>
      </c>
      <c r="B1300" t="inlineStr">
        <is>
          <t>Sungai Tinggi</t>
        </is>
      </c>
      <c r="C1300" t="inlineStr">
        <is>
          <t>Blk 566 Sungai Tinggi Street 52 #01-10 Singapura 730566</t>
        </is>
      </c>
      <c r="D1300" t="inlineStr">
        <is>
          <t>Kiosk</t>
        </is>
      </c>
      <c r="E1300" t="n">
        <v>11</v>
      </c>
      <c r="F1300" t="inlineStr">
        <is>
          <t>NC-ST-2</t>
        </is>
      </c>
      <c r="G1300" t="inlineStr">
        <is>
          <t>Tenanted</t>
        </is>
      </c>
    </row>
    <row r="1301">
      <c r="A1301" t="inlineStr">
        <is>
          <t>U-ST579-01-01</t>
        </is>
      </c>
      <c r="B1301" t="inlineStr">
        <is>
          <t>Sungai Tinggi</t>
        </is>
      </c>
      <c r="C1301" t="inlineStr">
        <is>
          <t>Blk 579 Sungai Tinggi Drive #01-01 Singapura 730579</t>
        </is>
      </c>
      <c r="D1301" t="inlineStr">
        <is>
          <t>Office</t>
        </is>
      </c>
      <c r="E1301" t="n">
        <v>115.4</v>
      </c>
      <c r="F1301" t="inlineStr">
        <is>
          <t>NC-ST-1</t>
        </is>
      </c>
      <c r="G1301" t="inlineStr">
        <is>
          <t>Tenanted</t>
        </is>
      </c>
    </row>
    <row r="1302">
      <c r="A1302" t="inlineStr">
        <is>
          <t>U-ST579-01-02</t>
        </is>
      </c>
      <c r="B1302" t="inlineStr">
        <is>
          <t>Sungai Tinggi</t>
        </is>
      </c>
      <c r="C1302" t="inlineStr">
        <is>
          <t>Blk 579 Sungai Tinggi Drive #01-02 Singapura 730579</t>
        </is>
      </c>
      <c r="D1302" t="inlineStr">
        <is>
          <t>Shop</t>
        </is>
      </c>
      <c r="E1302" t="n">
        <v>57.9</v>
      </c>
      <c r="F1302" t="inlineStr">
        <is>
          <t>NC-ST-1</t>
        </is>
      </c>
      <c r="G1302" t="inlineStr">
        <is>
          <t>Tenanted</t>
        </is>
      </c>
    </row>
    <row r="1303">
      <c r="A1303" t="inlineStr">
        <is>
          <t>U-ST579-02-03</t>
        </is>
      </c>
      <c r="B1303" t="inlineStr">
        <is>
          <t>Sungai Tinggi</t>
        </is>
      </c>
      <c r="C1303" t="inlineStr">
        <is>
          <t>Blk 579 Sungai Tinggi Drive #02-03 Singapura 730579</t>
        </is>
      </c>
      <c r="D1303" t="inlineStr">
        <is>
          <t>Office</t>
        </is>
      </c>
      <c r="E1303" t="n">
        <v>138.7</v>
      </c>
      <c r="F1303" t="inlineStr">
        <is>
          <t>NC-ST-1</t>
        </is>
      </c>
      <c r="G1303" t="inlineStr">
        <is>
          <t>Tenanted</t>
        </is>
      </c>
    </row>
    <row r="1304">
      <c r="A1304" t="inlineStr">
        <is>
          <t>U-ST579-01-04</t>
        </is>
      </c>
      <c r="B1304" t="inlineStr">
        <is>
          <t>Sungai Tinggi</t>
        </is>
      </c>
      <c r="C1304" t="inlineStr">
        <is>
          <t>Blk 579 Sungai Tinggi Drive #01-04 Singapura 730579</t>
        </is>
      </c>
      <c r="D1304" t="inlineStr">
        <is>
          <t>Shop</t>
        </is>
      </c>
      <c r="E1304" t="n">
        <v>86.8</v>
      </c>
      <c r="F1304" t="inlineStr">
        <is>
          <t>NC-ST-1</t>
        </is>
      </c>
      <c r="G1304" t="inlineStr">
        <is>
          <t>Tenanted</t>
        </is>
      </c>
    </row>
    <row r="1305">
      <c r="A1305" t="inlineStr">
        <is>
          <t>U-ST579-01-05</t>
        </is>
      </c>
      <c r="B1305" t="inlineStr">
        <is>
          <t>Sungai Tinggi</t>
        </is>
      </c>
      <c r="C1305" t="inlineStr">
        <is>
          <t>Blk 579 Sungai Tinggi Drive #01-05 Singapura 730579</t>
        </is>
      </c>
      <c r="D1305" t="inlineStr">
        <is>
          <t>Shop</t>
        </is>
      </c>
      <c r="E1305" t="n">
        <v>49.4</v>
      </c>
      <c r="F1305" t="inlineStr">
        <is>
          <t>NC-ST-1</t>
        </is>
      </c>
      <c r="G1305" t="inlineStr">
        <is>
          <t>Tenanted</t>
        </is>
      </c>
    </row>
    <row r="1306">
      <c r="A1306" t="inlineStr">
        <is>
          <t>U-ST579-01-06</t>
        </is>
      </c>
      <c r="B1306" t="inlineStr">
        <is>
          <t>Sungai Tinggi</t>
        </is>
      </c>
      <c r="C1306" t="inlineStr">
        <is>
          <t>Blk 579 Sungai Tinggi Drive #01-06 Singapura 730579</t>
        </is>
      </c>
      <c r="D1306" t="inlineStr">
        <is>
          <t>Shop</t>
        </is>
      </c>
      <c r="E1306" t="n">
        <v>90.8</v>
      </c>
      <c r="F1306" t="inlineStr">
        <is>
          <t>NC-ST-1</t>
        </is>
      </c>
      <c r="G1306" t="inlineStr">
        <is>
          <t>Tenanted</t>
        </is>
      </c>
    </row>
    <row r="1307">
      <c r="A1307" t="inlineStr">
        <is>
          <t>U-ST579-01-07</t>
        </is>
      </c>
      <c r="B1307" t="inlineStr">
        <is>
          <t>Sungai Tinggi</t>
        </is>
      </c>
      <c r="C1307" t="inlineStr">
        <is>
          <t>Blk 579 Sungai Tinggi Drive #01-07 Singapura 730579</t>
        </is>
      </c>
      <c r="D1307" t="inlineStr">
        <is>
          <t>Shop</t>
        </is>
      </c>
      <c r="E1307" t="n">
        <v>89.7</v>
      </c>
      <c r="F1307" t="inlineStr">
        <is>
          <t>NC-ST-1</t>
        </is>
      </c>
      <c r="G1307" t="inlineStr">
        <is>
          <t>Tenanted</t>
        </is>
      </c>
    </row>
    <row r="1308">
      <c r="A1308" t="inlineStr">
        <is>
          <t>U-ST579-01-08</t>
        </is>
      </c>
      <c r="B1308" t="inlineStr">
        <is>
          <t>Sungai Tinggi</t>
        </is>
      </c>
      <c r="C1308" t="inlineStr">
        <is>
          <t>Blk 579 Sungai Tinggi Drive #01-08 Singapura 730579</t>
        </is>
      </c>
      <c r="D1308" t="inlineStr">
        <is>
          <t>Shop</t>
        </is>
      </c>
      <c r="E1308" t="n">
        <v>55.6</v>
      </c>
      <c r="F1308" t="inlineStr">
        <is>
          <t>NC-ST-1</t>
        </is>
      </c>
      <c r="G1308" t="inlineStr">
        <is>
          <t>Tenanted</t>
        </is>
      </c>
    </row>
    <row r="1309">
      <c r="A1309" t="inlineStr">
        <is>
          <t>U-ST583-02-01</t>
        </is>
      </c>
      <c r="B1309" t="inlineStr">
        <is>
          <t>Sungai Tinggi</t>
        </is>
      </c>
      <c r="C1309" t="inlineStr">
        <is>
          <t>Blk 583 Sungai Tinggi Street 52 #02-01 Singapura 730583</t>
        </is>
      </c>
      <c r="D1309" t="inlineStr">
        <is>
          <t>Office</t>
        </is>
      </c>
      <c r="E1309" t="n">
        <v>79.8</v>
      </c>
      <c r="F1309" t="inlineStr">
        <is>
          <t>NC-ST-2</t>
        </is>
      </c>
      <c r="G1309" t="inlineStr">
        <is>
          <t>Tenanted</t>
        </is>
      </c>
    </row>
    <row r="1310">
      <c r="A1310" t="inlineStr">
        <is>
          <t>U-ST583-01-02</t>
        </is>
      </c>
      <c r="B1310" t="inlineStr">
        <is>
          <t>Sungai Tinggi</t>
        </is>
      </c>
      <c r="C1310" t="inlineStr">
        <is>
          <t>Blk 583 Sungai Tinggi Street 52 #01-02 Singapura 730583</t>
        </is>
      </c>
      <c r="D1310" t="inlineStr">
        <is>
          <t>Shop</t>
        </is>
      </c>
      <c r="E1310" t="n">
        <v>108.3</v>
      </c>
      <c r="F1310" t="inlineStr">
        <is>
          <t>NC-ST-2</t>
        </is>
      </c>
      <c r="G1310" t="inlineStr">
        <is>
          <t>Tenanted</t>
        </is>
      </c>
    </row>
    <row r="1311">
      <c r="A1311" t="inlineStr">
        <is>
          <t>U-ST583-01-03</t>
        </is>
      </c>
      <c r="B1311" t="inlineStr">
        <is>
          <t>Sungai Tinggi</t>
        </is>
      </c>
      <c r="C1311" t="inlineStr">
        <is>
          <t>Blk 583 Sungai Tinggi Street 52 #01-03 Singapura 730583</t>
        </is>
      </c>
      <c r="D1311" t="inlineStr">
        <is>
          <t>Shop</t>
        </is>
      </c>
      <c r="E1311" t="n">
        <v>56</v>
      </c>
      <c r="F1311" t="inlineStr">
        <is>
          <t>NC-ST-2</t>
        </is>
      </c>
      <c r="G1311" t="inlineStr">
        <is>
          <t>Tenanted</t>
        </is>
      </c>
    </row>
    <row r="1312">
      <c r="A1312" t="inlineStr">
        <is>
          <t>U-ST583-01-04</t>
        </is>
      </c>
      <c r="B1312" t="inlineStr">
        <is>
          <t>Sungai Tinggi</t>
        </is>
      </c>
      <c r="C1312" t="inlineStr">
        <is>
          <t>Blk 583 Sungai Tinggi Street 52 #01-04 Singapura 730583</t>
        </is>
      </c>
      <c r="D1312" t="inlineStr">
        <is>
          <t>Shop</t>
        </is>
      </c>
      <c r="E1312" t="n">
        <v>85.59999999999999</v>
      </c>
      <c r="F1312" t="inlineStr">
        <is>
          <t>NC-ST-2</t>
        </is>
      </c>
      <c r="G1312" t="inlineStr">
        <is>
          <t>Tenanted</t>
        </is>
      </c>
    </row>
    <row r="1313">
      <c r="A1313" t="inlineStr">
        <is>
          <t>U-ST583-02-05</t>
        </is>
      </c>
      <c r="B1313" t="inlineStr">
        <is>
          <t>Sungai Tinggi</t>
        </is>
      </c>
      <c r="C1313" t="inlineStr">
        <is>
          <t>Blk 583 Sungai Tinggi Street 52 #02-05 Singapura 730583</t>
        </is>
      </c>
      <c r="D1313" t="inlineStr">
        <is>
          <t>Office</t>
        </is>
      </c>
      <c r="E1313" t="n">
        <v>81.59999999999999</v>
      </c>
      <c r="F1313" t="inlineStr">
        <is>
          <t>NC-ST-2</t>
        </is>
      </c>
      <c r="G1313" t="inlineStr">
        <is>
          <t>Tenanted</t>
        </is>
      </c>
    </row>
    <row r="1314">
      <c r="A1314" t="inlineStr">
        <is>
          <t>U-ST583-01-06</t>
        </is>
      </c>
      <c r="B1314" t="inlineStr">
        <is>
          <t>Sungai Tinggi</t>
        </is>
      </c>
      <c r="C1314" t="inlineStr">
        <is>
          <t>Blk 583 Sungai Tinggi Street 52 #01-06 Singapura 730583</t>
        </is>
      </c>
      <c r="D1314" t="inlineStr">
        <is>
          <t>Kiosk</t>
        </is>
      </c>
      <c r="E1314" t="n">
        <v>13</v>
      </c>
      <c r="F1314" t="inlineStr">
        <is>
          <t>NC-ST-2</t>
        </is>
      </c>
      <c r="G1314" t="inlineStr">
        <is>
          <t>Tenanted</t>
        </is>
      </c>
    </row>
    <row r="1315">
      <c r="A1315" t="inlineStr">
        <is>
          <t>U-ST583-01-07</t>
        </is>
      </c>
      <c r="B1315" t="inlineStr">
        <is>
          <t>Sungai Tinggi</t>
        </is>
      </c>
      <c r="C1315" t="inlineStr">
        <is>
          <t>Blk 583 Sungai Tinggi Street 52 #01-07 Singapura 730583</t>
        </is>
      </c>
      <c r="D1315" t="inlineStr">
        <is>
          <t>Shop</t>
        </is>
      </c>
      <c r="E1315" t="n">
        <v>90.5</v>
      </c>
      <c r="F1315" t="inlineStr">
        <is>
          <t>NC-ST-2</t>
        </is>
      </c>
      <c r="G1315" t="inlineStr">
        <is>
          <t>Tenanted</t>
        </is>
      </c>
    </row>
    <row r="1316">
      <c r="A1316" t="inlineStr">
        <is>
          <t>U-ST589-01-01</t>
        </is>
      </c>
      <c r="B1316" t="inlineStr">
        <is>
          <t>Sungai Tinggi</t>
        </is>
      </c>
      <c r="C1316" t="inlineStr">
        <is>
          <t>Blk 589 Sungai Tinggi Street 52 #01-01 Singapura 730589</t>
        </is>
      </c>
      <c r="D1316" t="inlineStr">
        <is>
          <t>Shop</t>
        </is>
      </c>
      <c r="E1316" t="n">
        <v>44.6</v>
      </c>
      <c r="F1316" t="inlineStr">
        <is>
          <t>NC-ST-1</t>
        </is>
      </c>
      <c r="G1316" t="inlineStr">
        <is>
          <t>Tenanted</t>
        </is>
      </c>
    </row>
    <row r="1317">
      <c r="A1317" t="inlineStr">
        <is>
          <t>U-ST589-01-02</t>
        </is>
      </c>
      <c r="B1317" t="inlineStr">
        <is>
          <t>Sungai Tinggi</t>
        </is>
      </c>
      <c r="C1317" t="inlineStr">
        <is>
          <t>Blk 589 Sungai Tinggi Street 52 #01-02 Singapura 730589</t>
        </is>
      </c>
      <c r="D1317" t="inlineStr">
        <is>
          <t>Shop</t>
        </is>
      </c>
      <c r="E1317" t="n">
        <v>56.8</v>
      </c>
      <c r="F1317" t="inlineStr">
        <is>
          <t>NC-ST-1</t>
        </is>
      </c>
      <c r="G1317" t="inlineStr">
        <is>
          <t>Tenanted</t>
        </is>
      </c>
    </row>
    <row r="1318">
      <c r="A1318" t="inlineStr">
        <is>
          <t>U-ST589-01-03</t>
        </is>
      </c>
      <c r="B1318" t="inlineStr">
        <is>
          <t>Sungai Tinggi</t>
        </is>
      </c>
      <c r="C1318" t="inlineStr">
        <is>
          <t>Blk 589 Sungai Tinggi Street 52 #01-03 Singapura 730589</t>
        </is>
      </c>
      <c r="D1318" t="inlineStr">
        <is>
          <t>Shop with Living Quarters</t>
        </is>
      </c>
      <c r="E1318" t="n">
        <v>88.8</v>
      </c>
      <c r="F1318" t="inlineStr">
        <is>
          <t>NC-ST-1</t>
        </is>
      </c>
      <c r="G1318" t="inlineStr">
        <is>
          <t>Tenanted</t>
        </is>
      </c>
    </row>
    <row r="1319">
      <c r="A1319" t="inlineStr">
        <is>
          <t>U-ST589-01-04</t>
        </is>
      </c>
      <c r="B1319" t="inlineStr">
        <is>
          <t>Sungai Tinggi</t>
        </is>
      </c>
      <c r="C1319" t="inlineStr">
        <is>
          <t>Blk 589 Sungai Tinggi Street 52 #01-04 Singapura 730589</t>
        </is>
      </c>
      <c r="D1319" t="inlineStr">
        <is>
          <t>Shop</t>
        </is>
      </c>
      <c r="E1319" t="n">
        <v>102.8</v>
      </c>
      <c r="F1319" t="inlineStr">
        <is>
          <t>NC-ST-1</t>
        </is>
      </c>
      <c r="G1319" t="inlineStr">
        <is>
          <t>Tenanted</t>
        </is>
      </c>
    </row>
    <row r="1320">
      <c r="A1320" t="inlineStr">
        <is>
          <t>U-ST589-01-05</t>
        </is>
      </c>
      <c r="B1320" t="inlineStr">
        <is>
          <t>Sungai Tinggi</t>
        </is>
      </c>
      <c r="C1320" t="inlineStr">
        <is>
          <t>Blk 589 Sungai Tinggi Street 52 #01-05 Singapura 730589</t>
        </is>
      </c>
      <c r="D1320" t="inlineStr">
        <is>
          <t>Shop with Living Quarters</t>
        </is>
      </c>
      <c r="E1320" t="n">
        <v>66.5</v>
      </c>
      <c r="F1320" t="inlineStr">
        <is>
          <t>NC-ST-1</t>
        </is>
      </c>
      <c r="G1320" t="inlineStr">
        <is>
          <t>Tenanted</t>
        </is>
      </c>
    </row>
    <row r="1321">
      <c r="A1321" t="inlineStr">
        <is>
          <t>U-ST589-01-06</t>
        </is>
      </c>
      <c r="B1321" t="inlineStr">
        <is>
          <t>Sungai Tinggi</t>
        </is>
      </c>
      <c r="C1321" t="inlineStr">
        <is>
          <t>Blk 589 Sungai Tinggi Street 52 #01-06 Singapura 730589</t>
        </is>
      </c>
      <c r="D1321" t="inlineStr">
        <is>
          <t>Shop</t>
        </is>
      </c>
      <c r="E1321" t="n">
        <v>74.40000000000001</v>
      </c>
      <c r="F1321" t="inlineStr">
        <is>
          <t>NC-ST-1</t>
        </is>
      </c>
      <c r="G1321" t="inlineStr">
        <is>
          <t>Tenanted</t>
        </is>
      </c>
    </row>
    <row r="1322">
      <c r="A1322" t="inlineStr">
        <is>
          <t>U-ST589-01-07</t>
        </is>
      </c>
      <c r="B1322" t="inlineStr">
        <is>
          <t>Sungai Tinggi</t>
        </is>
      </c>
      <c r="C1322" t="inlineStr">
        <is>
          <t>Blk 589 Sungai Tinggi Street 52 #01-07 Singapura 730589</t>
        </is>
      </c>
      <c r="D1322" t="inlineStr">
        <is>
          <t>Shop</t>
        </is>
      </c>
      <c r="E1322" t="n">
        <v>78.2</v>
      </c>
      <c r="F1322" t="inlineStr">
        <is>
          <t>NC-ST-1</t>
        </is>
      </c>
      <c r="G1322" t="inlineStr">
        <is>
          <t>Tenanted</t>
        </is>
      </c>
    </row>
    <row r="1323">
      <c r="A1323" t="inlineStr">
        <is>
          <t>U-ST589-01-08</t>
        </is>
      </c>
      <c r="B1323" t="inlineStr">
        <is>
          <t>Sungai Tinggi</t>
        </is>
      </c>
      <c r="C1323" t="inlineStr">
        <is>
          <t>Blk 589 Sungai Tinggi Street 52 #01-08 Singapura 730589</t>
        </is>
      </c>
      <c r="D1323" t="inlineStr">
        <is>
          <t>Shop</t>
        </is>
      </c>
      <c r="E1323" t="n">
        <v>82.7</v>
      </c>
      <c r="F1323" t="inlineStr">
        <is>
          <t>NC-ST-1</t>
        </is>
      </c>
      <c r="G1323" t="inlineStr">
        <is>
          <t>Tenanted</t>
        </is>
      </c>
    </row>
    <row r="1324">
      <c r="A1324" t="inlineStr">
        <is>
          <t>U-ST590-01-01</t>
        </is>
      </c>
      <c r="B1324" t="inlineStr">
        <is>
          <t>Sungai Tinggi</t>
        </is>
      </c>
      <c r="C1324" t="inlineStr">
        <is>
          <t>Blk 590 Tinggi Link #01-01 Singapura 730590</t>
        </is>
      </c>
      <c r="D1324" t="inlineStr">
        <is>
          <t>Office</t>
        </is>
      </c>
      <c r="E1324" t="n">
        <v>125.7</v>
      </c>
      <c r="F1324" t="inlineStr">
        <is>
          <t>NC-ST-3</t>
        </is>
      </c>
      <c r="G1324" t="inlineStr">
        <is>
          <t>Tenanted</t>
        </is>
      </c>
    </row>
    <row r="1325">
      <c r="A1325" t="inlineStr">
        <is>
          <t>U-ST590-01-02</t>
        </is>
      </c>
      <c r="B1325" t="inlineStr">
        <is>
          <t>Sungai Tinggi</t>
        </is>
      </c>
      <c r="C1325" t="inlineStr">
        <is>
          <t>Blk 590 Tinggi Link #01-02 Singapura 730590</t>
        </is>
      </c>
      <c r="D1325" t="inlineStr">
        <is>
          <t>Shop</t>
        </is>
      </c>
      <c r="E1325" t="n">
        <v>41.4</v>
      </c>
      <c r="F1325" t="inlineStr">
        <is>
          <t>NC-ST-3</t>
        </is>
      </c>
      <c r="G1325" t="inlineStr">
        <is>
          <t>Tenanted</t>
        </is>
      </c>
    </row>
    <row r="1326">
      <c r="A1326" t="inlineStr">
        <is>
          <t>U-ST590-01-03</t>
        </is>
      </c>
      <c r="B1326" t="inlineStr">
        <is>
          <t>Sungai Tinggi</t>
        </is>
      </c>
      <c r="C1326" t="inlineStr">
        <is>
          <t>Blk 590 Tinggi Link #01-03 Singapura 730590</t>
        </is>
      </c>
      <c r="D1326" t="inlineStr">
        <is>
          <t>Shop</t>
        </is>
      </c>
      <c r="E1326" t="n">
        <v>98.7</v>
      </c>
      <c r="F1326" t="inlineStr">
        <is>
          <t>NC-ST-3</t>
        </is>
      </c>
      <c r="G1326" t="inlineStr">
        <is>
          <t>Tenanted</t>
        </is>
      </c>
    </row>
    <row r="1327">
      <c r="A1327" t="inlineStr">
        <is>
          <t>U-ST590-01-04</t>
        </is>
      </c>
      <c r="B1327" t="inlineStr">
        <is>
          <t>Sungai Tinggi</t>
        </is>
      </c>
      <c r="C1327" t="inlineStr">
        <is>
          <t>Blk 590 Tinggi Link #01-04 Singapura 730590</t>
        </is>
      </c>
      <c r="D1327" t="inlineStr">
        <is>
          <t>Shop</t>
        </is>
      </c>
      <c r="E1327" t="n">
        <v>110.2</v>
      </c>
      <c r="F1327" t="inlineStr">
        <is>
          <t>NC-ST-3</t>
        </is>
      </c>
      <c r="G1327" t="inlineStr">
        <is>
          <t>Tenanted</t>
        </is>
      </c>
    </row>
    <row r="1328">
      <c r="A1328" t="inlineStr">
        <is>
          <t>U-ST590-01-05</t>
        </is>
      </c>
      <c r="B1328" t="inlineStr">
        <is>
          <t>Sungai Tinggi</t>
        </is>
      </c>
      <c r="C1328" t="inlineStr">
        <is>
          <t>Blk 590 Tinggi Link #01-05 Singapura 730590</t>
        </is>
      </c>
      <c r="D1328" t="inlineStr">
        <is>
          <t>Shop</t>
        </is>
      </c>
      <c r="E1328" t="n">
        <v>48.2</v>
      </c>
      <c r="F1328" t="inlineStr">
        <is>
          <t>NC-ST-3</t>
        </is>
      </c>
      <c r="G1328" t="inlineStr">
        <is>
          <t>Tenanted</t>
        </is>
      </c>
    </row>
    <row r="1329">
      <c r="A1329" t="inlineStr">
        <is>
          <t>U-ST590-01-06</t>
        </is>
      </c>
      <c r="B1329" t="inlineStr">
        <is>
          <t>Sungai Tinggi</t>
        </is>
      </c>
      <c r="C1329" t="inlineStr">
        <is>
          <t>Blk 590 Tinggi Link #01-06 Singapura 730590</t>
        </is>
      </c>
      <c r="D1329" t="inlineStr">
        <is>
          <t>Shop</t>
        </is>
      </c>
      <c r="E1329" t="n">
        <v>64.5</v>
      </c>
      <c r="F1329" t="inlineStr">
        <is>
          <t>NC-ST-3</t>
        </is>
      </c>
      <c r="G1329" t="inlineStr">
        <is>
          <t>Tenanted</t>
        </is>
      </c>
    </row>
    <row r="1330">
      <c r="A1330" t="inlineStr">
        <is>
          <t>U-ST590-01-07</t>
        </is>
      </c>
      <c r="B1330" t="inlineStr">
        <is>
          <t>Sungai Tinggi</t>
        </is>
      </c>
      <c r="C1330" t="inlineStr">
        <is>
          <t>Blk 590 Tinggi Link #01-07 Singapura 730590</t>
        </is>
      </c>
      <c r="D1330" t="inlineStr">
        <is>
          <t>Shop</t>
        </is>
      </c>
      <c r="E1330" t="n">
        <v>43.7</v>
      </c>
      <c r="F1330" t="inlineStr">
        <is>
          <t>NC-ST-3</t>
        </is>
      </c>
      <c r="G1330" t="inlineStr">
        <is>
          <t>Tenanted</t>
        </is>
      </c>
    </row>
    <row r="1331">
      <c r="A1331" t="inlineStr">
        <is>
          <t>U-ST590-02-08</t>
        </is>
      </c>
      <c r="B1331" t="inlineStr">
        <is>
          <t>Sungai Tinggi</t>
        </is>
      </c>
      <c r="C1331" t="inlineStr">
        <is>
          <t>Blk 590 Tinggi Link #02-08 Singapura 730590</t>
        </is>
      </c>
      <c r="D1331" t="inlineStr">
        <is>
          <t>Office</t>
        </is>
      </c>
      <c r="E1331" t="n">
        <v>102</v>
      </c>
      <c r="F1331" t="inlineStr">
        <is>
          <t>NC-ST-3</t>
        </is>
      </c>
      <c r="G1331" t="inlineStr">
        <is>
          <t>Tenanted</t>
        </is>
      </c>
    </row>
    <row r="1332">
      <c r="A1332" t="inlineStr">
        <is>
          <t>U-ST590-01-09</t>
        </is>
      </c>
      <c r="B1332" t="inlineStr">
        <is>
          <t>Sungai Tinggi</t>
        </is>
      </c>
      <c r="C1332" t="inlineStr">
        <is>
          <t>Blk 590 Tinggi Link #01-09 Singapura 730590</t>
        </is>
      </c>
      <c r="D1332" t="inlineStr">
        <is>
          <t>Shop</t>
        </is>
      </c>
      <c r="E1332" t="n">
        <v>74.7</v>
      </c>
      <c r="F1332" t="inlineStr">
        <is>
          <t>NC-ST-3</t>
        </is>
      </c>
      <c r="G1332" t="inlineStr">
        <is>
          <t>Tenanted</t>
        </is>
      </c>
    </row>
    <row r="1333">
      <c r="A1333" t="inlineStr">
        <is>
          <t>U-ST590-01-10</t>
        </is>
      </c>
      <c r="B1333" t="inlineStr">
        <is>
          <t>Sungai Tinggi</t>
        </is>
      </c>
      <c r="C1333" t="inlineStr">
        <is>
          <t>Blk 590 Tinggi Link #01-10 Singapura 730590</t>
        </is>
      </c>
      <c r="D1333" t="inlineStr">
        <is>
          <t>Kiosk</t>
        </is>
      </c>
      <c r="E1333" t="n">
        <v>7.2</v>
      </c>
      <c r="F1333" t="inlineStr">
        <is>
          <t>NC-ST-3</t>
        </is>
      </c>
      <c r="G1333" t="inlineStr">
        <is>
          <t>Tenanted</t>
        </is>
      </c>
    </row>
    <row r="1334">
      <c r="A1334" t="inlineStr">
        <is>
          <t>U-ST590-02-11</t>
        </is>
      </c>
      <c r="B1334" t="inlineStr">
        <is>
          <t>Sungai Tinggi</t>
        </is>
      </c>
      <c r="C1334" t="inlineStr">
        <is>
          <t>Blk 590 Tinggi Link #02-11 Singapura 730590</t>
        </is>
      </c>
      <c r="D1334" t="inlineStr">
        <is>
          <t>Office</t>
        </is>
      </c>
      <c r="E1334" t="n">
        <v>125</v>
      </c>
      <c r="F1334" t="inlineStr">
        <is>
          <t>NC-ST-3</t>
        </is>
      </c>
      <c r="G1334" t="inlineStr">
        <is>
          <t>Tenanted</t>
        </is>
      </c>
    </row>
    <row r="1335">
      <c r="A1335" t="inlineStr">
        <is>
          <t>U-ST591-01-01</t>
        </is>
      </c>
      <c r="B1335" t="inlineStr">
        <is>
          <t>Sungai Tinggi</t>
        </is>
      </c>
      <c r="C1335" t="inlineStr">
        <is>
          <t>Blk 591 Tinggi Link #01-01 Singapura 730591</t>
        </is>
      </c>
      <c r="D1335" t="inlineStr">
        <is>
          <t>Office</t>
        </is>
      </c>
      <c r="E1335" t="n">
        <v>90.3</v>
      </c>
      <c r="F1335" t="inlineStr">
        <is>
          <t>NC-ST-3</t>
        </is>
      </c>
      <c r="G1335" t="inlineStr">
        <is>
          <t>Tenanted</t>
        </is>
      </c>
    </row>
    <row r="1336">
      <c r="A1336" t="inlineStr">
        <is>
          <t>U-ST591-01-02</t>
        </is>
      </c>
      <c r="B1336" t="inlineStr">
        <is>
          <t>Sungai Tinggi</t>
        </is>
      </c>
      <c r="C1336" t="inlineStr">
        <is>
          <t>Blk 591 Tinggi Link #01-02 Singapura 730591</t>
        </is>
      </c>
      <c r="D1336" t="inlineStr">
        <is>
          <t>Shop</t>
        </is>
      </c>
      <c r="E1336" t="n">
        <v>98.2</v>
      </c>
      <c r="F1336" t="inlineStr">
        <is>
          <t>NC-ST-3</t>
        </is>
      </c>
      <c r="G1336" t="inlineStr">
        <is>
          <t>Tenanted</t>
        </is>
      </c>
    </row>
    <row r="1337">
      <c r="A1337" t="inlineStr">
        <is>
          <t>U-ST591-01-03</t>
        </is>
      </c>
      <c r="B1337" t="inlineStr">
        <is>
          <t>Sungai Tinggi</t>
        </is>
      </c>
      <c r="C1337" t="inlineStr">
        <is>
          <t>Blk 591 Tinggi Link #01-03 Singapura 730591</t>
        </is>
      </c>
      <c r="D1337" t="inlineStr">
        <is>
          <t>Shop</t>
        </is>
      </c>
      <c r="E1337" t="n">
        <v>98.7</v>
      </c>
      <c r="F1337" t="inlineStr">
        <is>
          <t>NC-ST-3</t>
        </is>
      </c>
      <c r="G1337" t="inlineStr">
        <is>
          <t>Tenanted</t>
        </is>
      </c>
    </row>
    <row r="1338">
      <c r="A1338" t="inlineStr">
        <is>
          <t>U-ST591-01-04</t>
        </is>
      </c>
      <c r="B1338" t="inlineStr">
        <is>
          <t>Sungai Tinggi</t>
        </is>
      </c>
      <c r="C1338" t="inlineStr">
        <is>
          <t>Blk 591 Tinggi Link #01-04 Singapura 730591</t>
        </is>
      </c>
      <c r="D1338" t="inlineStr">
        <is>
          <t>Shop</t>
        </is>
      </c>
      <c r="E1338" t="n">
        <v>53.5</v>
      </c>
      <c r="F1338" t="inlineStr">
        <is>
          <t>NC-ST-3</t>
        </is>
      </c>
      <c r="G1338" t="inlineStr">
        <is>
          <t>Tenanted</t>
        </is>
      </c>
    </row>
    <row r="1339">
      <c r="A1339" t="inlineStr">
        <is>
          <t>U-ST591-01-05</t>
        </is>
      </c>
      <c r="B1339" t="inlineStr">
        <is>
          <t>Sungai Tinggi</t>
        </is>
      </c>
      <c r="C1339" t="inlineStr">
        <is>
          <t>Blk 591 Tinggi Link #01-05 Singapura 730591</t>
        </is>
      </c>
      <c r="D1339" t="inlineStr">
        <is>
          <t>Shop</t>
        </is>
      </c>
      <c r="E1339" t="n">
        <v>92</v>
      </c>
      <c r="F1339" t="inlineStr">
        <is>
          <t>NC-ST-3</t>
        </is>
      </c>
      <c r="G1339" t="inlineStr">
        <is>
          <t>Tenanted</t>
        </is>
      </c>
    </row>
    <row r="1340">
      <c r="A1340" t="inlineStr">
        <is>
          <t>U-ST591-01-06</t>
        </is>
      </c>
      <c r="B1340" t="inlineStr">
        <is>
          <t>Sungai Tinggi</t>
        </is>
      </c>
      <c r="C1340" t="inlineStr">
        <is>
          <t>Blk 591 Tinggi Link #01-06 Singapura 730591</t>
        </is>
      </c>
      <c r="D1340" t="inlineStr">
        <is>
          <t>Shop</t>
        </is>
      </c>
      <c r="E1340" t="n">
        <v>110.1</v>
      </c>
      <c r="F1340" t="inlineStr">
        <is>
          <t>NC-ST-3</t>
        </is>
      </c>
      <c r="G1340" t="inlineStr">
        <is>
          <t>Tenanted</t>
        </is>
      </c>
    </row>
    <row r="1341">
      <c r="A1341" t="inlineStr">
        <is>
          <t>U-ST591-01-07</t>
        </is>
      </c>
      <c r="B1341" t="inlineStr">
        <is>
          <t>Sungai Tinggi</t>
        </is>
      </c>
      <c r="C1341" t="inlineStr">
        <is>
          <t>Blk 591 Tinggi Link #01-07 Singapura 730591</t>
        </is>
      </c>
      <c r="D1341" t="inlineStr">
        <is>
          <t>Shop</t>
        </is>
      </c>
      <c r="E1341" t="n">
        <v>82.8</v>
      </c>
      <c r="F1341" t="inlineStr">
        <is>
          <t>NC-ST-3</t>
        </is>
      </c>
      <c r="G1341" t="inlineStr">
        <is>
          <t>Tenanted</t>
        </is>
      </c>
    </row>
    <row r="1342">
      <c r="A1342" t="inlineStr">
        <is>
          <t>U-ST591-01-08</t>
        </is>
      </c>
      <c r="B1342" t="inlineStr">
        <is>
          <t>Sungai Tinggi</t>
        </is>
      </c>
      <c r="C1342" t="inlineStr">
        <is>
          <t>Blk 591 Tinggi Link #01-08 Singapura 730591</t>
        </is>
      </c>
      <c r="D1342" t="inlineStr">
        <is>
          <t>Shop</t>
        </is>
      </c>
      <c r="E1342" t="n">
        <v>119.6</v>
      </c>
      <c r="F1342" t="inlineStr">
        <is>
          <t>NC-ST-3</t>
        </is>
      </c>
      <c r="G1342" t="inlineStr">
        <is>
          <t>Tenanted</t>
        </is>
      </c>
    </row>
    <row r="1343">
      <c r="A1343" t="inlineStr">
        <is>
          <t>U-ST593-01-01</t>
        </is>
      </c>
      <c r="B1343" t="inlineStr">
        <is>
          <t>Sungai Tinggi</t>
        </is>
      </c>
      <c r="C1343" t="inlineStr">
        <is>
          <t>Blk 593 Sungai Tinggi Drive #01-01 Singapura 730593</t>
        </is>
      </c>
      <c r="D1343" t="inlineStr">
        <is>
          <t>Shop</t>
        </is>
      </c>
      <c r="E1343" t="n">
        <v>41.6</v>
      </c>
      <c r="F1343" t="inlineStr">
        <is>
          <t>NC-ST-1</t>
        </is>
      </c>
      <c r="G1343" t="inlineStr">
        <is>
          <t>Tenanted</t>
        </is>
      </c>
    </row>
    <row r="1344">
      <c r="A1344" t="inlineStr">
        <is>
          <t>U-ST593-01-02</t>
        </is>
      </c>
      <c r="B1344" t="inlineStr">
        <is>
          <t>Sungai Tinggi</t>
        </is>
      </c>
      <c r="C1344" t="inlineStr">
        <is>
          <t>Blk 593 Sungai Tinggi Drive #01-02 Singapura 730593</t>
        </is>
      </c>
      <c r="D1344" t="inlineStr">
        <is>
          <t>Kiosk</t>
        </is>
      </c>
      <c r="E1344" t="n">
        <v>9.800000000000001</v>
      </c>
      <c r="F1344" t="inlineStr">
        <is>
          <t>NC-ST-1</t>
        </is>
      </c>
      <c r="G1344" t="inlineStr">
        <is>
          <t>Tenanted</t>
        </is>
      </c>
    </row>
    <row r="1345">
      <c r="A1345" t="inlineStr">
        <is>
          <t>U-ST593-01-03</t>
        </is>
      </c>
      <c r="B1345" t="inlineStr">
        <is>
          <t>Sungai Tinggi</t>
        </is>
      </c>
      <c r="C1345" t="inlineStr">
        <is>
          <t>Blk 593 Sungai Tinggi Drive #01-03 Singapura 730593</t>
        </is>
      </c>
      <c r="D1345" t="inlineStr">
        <is>
          <t>Shop</t>
        </is>
      </c>
      <c r="E1345" t="n">
        <v>83.8</v>
      </c>
      <c r="F1345" t="inlineStr">
        <is>
          <t>NC-ST-1</t>
        </is>
      </c>
      <c r="G1345" t="inlineStr">
        <is>
          <t>Tenanted</t>
        </is>
      </c>
    </row>
    <row r="1346">
      <c r="A1346" t="inlineStr">
        <is>
          <t>U-ST593-01-04</t>
        </is>
      </c>
      <c r="B1346" t="inlineStr">
        <is>
          <t>Sungai Tinggi</t>
        </is>
      </c>
      <c r="C1346" t="inlineStr">
        <is>
          <t>Blk 593 Sungai Tinggi Drive #01-04 Singapura 730593</t>
        </is>
      </c>
      <c r="D1346" t="inlineStr">
        <is>
          <t>Shop</t>
        </is>
      </c>
      <c r="E1346" t="n">
        <v>52.3</v>
      </c>
      <c r="F1346" t="inlineStr">
        <is>
          <t>NC-ST-1</t>
        </is>
      </c>
      <c r="G1346" t="inlineStr">
        <is>
          <t>Tenanted</t>
        </is>
      </c>
    </row>
    <row r="1347">
      <c r="A1347" t="inlineStr">
        <is>
          <t>U-ST593-01-05</t>
        </is>
      </c>
      <c r="B1347" t="inlineStr">
        <is>
          <t>Sungai Tinggi</t>
        </is>
      </c>
      <c r="C1347" t="inlineStr">
        <is>
          <t>Blk 593 Sungai Tinggi Drive #01-05 Singapura 730593</t>
        </is>
      </c>
      <c r="D1347" t="inlineStr">
        <is>
          <t>Kiosk</t>
        </is>
      </c>
      <c r="E1347" t="n">
        <v>11.7</v>
      </c>
      <c r="F1347" t="inlineStr">
        <is>
          <t>NC-ST-1</t>
        </is>
      </c>
      <c r="G1347" t="inlineStr">
        <is>
          <t>Tenanted</t>
        </is>
      </c>
    </row>
    <row r="1348">
      <c r="A1348" t="inlineStr">
        <is>
          <t>U-ST593-01-06</t>
        </is>
      </c>
      <c r="B1348" t="inlineStr">
        <is>
          <t>Sungai Tinggi</t>
        </is>
      </c>
      <c r="C1348" t="inlineStr">
        <is>
          <t>Blk 593 Sungai Tinggi Drive #01-06 Singapura 730593</t>
        </is>
      </c>
      <c r="D1348" t="inlineStr">
        <is>
          <t>Shop</t>
        </is>
      </c>
      <c r="E1348" t="n">
        <v>92.90000000000001</v>
      </c>
      <c r="F1348" t="inlineStr">
        <is>
          <t>NC-ST-1</t>
        </is>
      </c>
      <c r="G1348" t="inlineStr">
        <is>
          <t>Tenanted</t>
        </is>
      </c>
    </row>
    <row r="1349">
      <c r="A1349" t="inlineStr">
        <is>
          <t>U-ST593-01-07</t>
        </is>
      </c>
      <c r="B1349" t="inlineStr">
        <is>
          <t>Sungai Tinggi</t>
        </is>
      </c>
      <c r="C1349" t="inlineStr">
        <is>
          <t>Blk 593 Sungai Tinggi Drive #01-07 Singapura 730593</t>
        </is>
      </c>
      <c r="D1349" t="inlineStr">
        <is>
          <t>Shop</t>
        </is>
      </c>
      <c r="E1349" t="n">
        <v>61.6</v>
      </c>
      <c r="F1349" t="inlineStr">
        <is>
          <t>NC-ST-1</t>
        </is>
      </c>
      <c r="G1349" t="inlineStr">
        <is>
          <t>Tenanted</t>
        </is>
      </c>
    </row>
    <row r="1350">
      <c r="A1350" t="inlineStr">
        <is>
          <t>U-ST596-01-01</t>
        </is>
      </c>
      <c r="B1350" t="inlineStr">
        <is>
          <t>Sungai Tinggi</t>
        </is>
      </c>
      <c r="C1350" t="inlineStr">
        <is>
          <t>Blk 596 Tinggi Link #01-01 Singapura 730596</t>
        </is>
      </c>
      <c r="D1350" t="inlineStr">
        <is>
          <t>Shop</t>
        </is>
      </c>
      <c r="E1350" t="n">
        <v>111.9</v>
      </c>
      <c r="F1350" t="inlineStr">
        <is>
          <t>NC-ST-1</t>
        </is>
      </c>
      <c r="G1350" t="inlineStr">
        <is>
          <t>Tenanted</t>
        </is>
      </c>
    </row>
    <row r="1351">
      <c r="A1351" t="inlineStr">
        <is>
          <t>U-ST596-01-02</t>
        </is>
      </c>
      <c r="B1351" t="inlineStr">
        <is>
          <t>Sungai Tinggi</t>
        </is>
      </c>
      <c r="C1351" t="inlineStr">
        <is>
          <t>Blk 596 Tinggi Link #01-02 Singapura 730596</t>
        </is>
      </c>
      <c r="D1351" t="inlineStr">
        <is>
          <t>Shop</t>
        </is>
      </c>
      <c r="E1351" t="n">
        <v>89.40000000000001</v>
      </c>
      <c r="F1351" t="inlineStr">
        <is>
          <t>NC-ST-1</t>
        </is>
      </c>
      <c r="G1351" t="inlineStr">
        <is>
          <t>Tenanted</t>
        </is>
      </c>
    </row>
    <row r="1352">
      <c r="A1352" t="inlineStr">
        <is>
          <t>U-ST596-01-03</t>
        </is>
      </c>
      <c r="B1352" t="inlineStr">
        <is>
          <t>Sungai Tinggi</t>
        </is>
      </c>
      <c r="C1352" t="inlineStr">
        <is>
          <t>Blk 596 Tinggi Link #01-03 Singapura 730596</t>
        </is>
      </c>
      <c r="D1352" t="inlineStr">
        <is>
          <t>Shop</t>
        </is>
      </c>
      <c r="E1352" t="n">
        <v>102.8</v>
      </c>
      <c r="F1352" t="inlineStr">
        <is>
          <t>NC-ST-1</t>
        </is>
      </c>
      <c r="G1352" t="inlineStr">
        <is>
          <t>Tenanted</t>
        </is>
      </c>
    </row>
    <row r="1353">
      <c r="A1353" t="inlineStr">
        <is>
          <t>U-ST596-01-04</t>
        </is>
      </c>
      <c r="B1353" t="inlineStr">
        <is>
          <t>Sungai Tinggi</t>
        </is>
      </c>
      <c r="C1353" t="inlineStr">
        <is>
          <t>Blk 596 Tinggi Link #01-04 Singapura 730596</t>
        </is>
      </c>
      <c r="D1353" t="inlineStr">
        <is>
          <t>Shop</t>
        </is>
      </c>
      <c r="E1353" t="n">
        <v>88.7</v>
      </c>
      <c r="F1353" t="inlineStr">
        <is>
          <t>NC-ST-1</t>
        </is>
      </c>
      <c r="G1353" t="inlineStr">
        <is>
          <t>Tenanted</t>
        </is>
      </c>
    </row>
    <row r="1354">
      <c r="A1354" t="inlineStr">
        <is>
          <t>U-ST596-01-05</t>
        </is>
      </c>
      <c r="B1354" t="inlineStr">
        <is>
          <t>Sungai Tinggi</t>
        </is>
      </c>
      <c r="C1354" t="inlineStr">
        <is>
          <t>Blk 596 Tinggi Link #01-05 Singapura 730596</t>
        </is>
      </c>
      <c r="D1354" t="inlineStr">
        <is>
          <t>Shop with Living Quarters</t>
        </is>
      </c>
      <c r="E1354" t="n">
        <v>101.6</v>
      </c>
      <c r="F1354" t="inlineStr">
        <is>
          <t>NC-ST-1</t>
        </is>
      </c>
      <c r="G1354" t="inlineStr">
        <is>
          <t>Tenanted</t>
        </is>
      </c>
    </row>
    <row r="1355">
      <c r="A1355" t="inlineStr">
        <is>
          <t>U-ST596-02-06</t>
        </is>
      </c>
      <c r="B1355" t="inlineStr">
        <is>
          <t>Sungai Tinggi</t>
        </is>
      </c>
      <c r="C1355" t="inlineStr">
        <is>
          <t>Blk 596 Tinggi Link #02-06 Singapura 730596</t>
        </is>
      </c>
      <c r="D1355" t="inlineStr">
        <is>
          <t>Office</t>
        </is>
      </c>
      <c r="E1355" t="n">
        <v>91</v>
      </c>
      <c r="F1355" t="inlineStr">
        <is>
          <t>NC-ST-1</t>
        </is>
      </c>
      <c r="G1355" t="inlineStr">
        <is>
          <t>Tenanted</t>
        </is>
      </c>
    </row>
    <row r="1356">
      <c r="A1356" t="inlineStr">
        <is>
          <t>U-ST596-01-07</t>
        </is>
      </c>
      <c r="B1356" t="inlineStr">
        <is>
          <t>Sungai Tinggi</t>
        </is>
      </c>
      <c r="C1356" t="inlineStr">
        <is>
          <t>Blk 596 Tinggi Link #01-07 Singapura 730596</t>
        </is>
      </c>
      <c r="D1356" t="inlineStr">
        <is>
          <t>Shop</t>
        </is>
      </c>
      <c r="E1356" t="n">
        <v>83.90000000000001</v>
      </c>
      <c r="F1356" t="inlineStr">
        <is>
          <t>NC-ST-1</t>
        </is>
      </c>
      <c r="G1356" t="inlineStr">
        <is>
          <t>Tenanted</t>
        </is>
      </c>
    </row>
    <row r="1357">
      <c r="A1357" t="inlineStr">
        <is>
          <t>U-ST596-02-08</t>
        </is>
      </c>
      <c r="B1357" t="inlineStr">
        <is>
          <t>Sungai Tinggi</t>
        </is>
      </c>
      <c r="C1357" t="inlineStr">
        <is>
          <t>Blk 596 Tinggi Link #02-08 Singapura 730596</t>
        </is>
      </c>
      <c r="D1357" t="inlineStr">
        <is>
          <t>Office</t>
        </is>
      </c>
      <c r="E1357" t="n">
        <v>98.09999999999999</v>
      </c>
      <c r="F1357" t="inlineStr">
        <is>
          <t>NC-ST-1</t>
        </is>
      </c>
      <c r="G1357" t="inlineStr">
        <is>
          <t>Tenanted</t>
        </is>
      </c>
    </row>
    <row r="1358">
      <c r="A1358" t="inlineStr">
        <is>
          <t>U-PI601-01-01</t>
        </is>
      </c>
      <c r="B1358" t="inlineStr">
        <is>
          <t>Pasir Indah</t>
        </is>
      </c>
      <c r="C1358" t="inlineStr">
        <is>
          <t>Blk 601 Pasir Indah Street 62 #01-01 Singapura 510601</t>
        </is>
      </c>
      <c r="D1358" t="inlineStr">
        <is>
          <t>Eating House</t>
        </is>
      </c>
      <c r="E1358" t="n">
        <v>200.4</v>
      </c>
      <c r="F1358" t="inlineStr">
        <is>
          <t>NC-PI-3</t>
        </is>
      </c>
      <c r="G1358" t="inlineStr">
        <is>
          <t>Tenanted</t>
        </is>
      </c>
    </row>
    <row r="1359">
      <c r="A1359" t="inlineStr">
        <is>
          <t>U-PI601-01-02</t>
        </is>
      </c>
      <c r="B1359" t="inlineStr">
        <is>
          <t>Pasir Indah</t>
        </is>
      </c>
      <c r="C1359" t="inlineStr">
        <is>
          <t>Blk 601 Pasir Indah Street 62 #01-02 Singapura 510601</t>
        </is>
      </c>
      <c r="D1359" t="inlineStr">
        <is>
          <t>Shop</t>
        </is>
      </c>
      <c r="E1359" t="n">
        <v>112.6</v>
      </c>
      <c r="F1359" t="inlineStr">
        <is>
          <t>NC-PI-3</t>
        </is>
      </c>
      <c r="G1359" t="inlineStr">
        <is>
          <t>Tenanted</t>
        </is>
      </c>
    </row>
    <row r="1360">
      <c r="A1360" t="inlineStr">
        <is>
          <t>U-PI601-01-03</t>
        </is>
      </c>
      <c r="B1360" t="inlineStr">
        <is>
          <t>Pasir Indah</t>
        </is>
      </c>
      <c r="C1360" t="inlineStr">
        <is>
          <t>Blk 601 Pasir Indah Street 62 #01-03 Singapura 510601</t>
        </is>
      </c>
      <c r="D1360" t="inlineStr">
        <is>
          <t>Shop with Living Quarters</t>
        </is>
      </c>
      <c r="E1360" t="n">
        <v>93.5</v>
      </c>
      <c r="F1360" t="inlineStr">
        <is>
          <t>NC-PI-3</t>
        </is>
      </c>
      <c r="G1360" t="inlineStr">
        <is>
          <t>Tenanted</t>
        </is>
      </c>
    </row>
    <row r="1361">
      <c r="A1361" t="inlineStr">
        <is>
          <t>U-PI601-01-04</t>
        </is>
      </c>
      <c r="B1361" t="inlineStr">
        <is>
          <t>Pasir Indah</t>
        </is>
      </c>
      <c r="C1361" t="inlineStr">
        <is>
          <t>Blk 601 Pasir Indah Street 62 #01-04 Singapura 510601</t>
        </is>
      </c>
      <c r="D1361" t="inlineStr">
        <is>
          <t>Shop</t>
        </is>
      </c>
      <c r="E1361" t="n">
        <v>47.2</v>
      </c>
      <c r="F1361" t="inlineStr">
        <is>
          <t>NC-PI-3</t>
        </is>
      </c>
      <c r="G1361" t="inlineStr">
        <is>
          <t>Tenanted</t>
        </is>
      </c>
    </row>
    <row r="1362">
      <c r="A1362" t="inlineStr">
        <is>
          <t>U-PI601-01-05</t>
        </is>
      </c>
      <c r="B1362" t="inlineStr">
        <is>
          <t>Pasir Indah</t>
        </is>
      </c>
      <c r="C1362" t="inlineStr">
        <is>
          <t>Blk 601 Pasir Indah Street 62 #01-05 Singapura 510601</t>
        </is>
      </c>
      <c r="D1362" t="inlineStr">
        <is>
          <t>Shop</t>
        </is>
      </c>
      <c r="E1362" t="n">
        <v>97.90000000000001</v>
      </c>
      <c r="F1362" t="inlineStr">
        <is>
          <t>NC-PI-3</t>
        </is>
      </c>
      <c r="G1362" t="inlineStr">
        <is>
          <t>Tenanted</t>
        </is>
      </c>
    </row>
    <row r="1363">
      <c r="A1363" t="inlineStr">
        <is>
          <t>U-PI601-01-06</t>
        </is>
      </c>
      <c r="B1363" t="inlineStr">
        <is>
          <t>Pasir Indah</t>
        </is>
      </c>
      <c r="C1363" t="inlineStr">
        <is>
          <t>Blk 601 Pasir Indah Street 62 #01-06 Singapura 510601</t>
        </is>
      </c>
      <c r="D1363" t="inlineStr">
        <is>
          <t>Shop</t>
        </is>
      </c>
      <c r="E1363" t="n">
        <v>60.5</v>
      </c>
      <c r="F1363" t="inlineStr">
        <is>
          <t>NC-PI-3</t>
        </is>
      </c>
      <c r="G1363" t="inlineStr">
        <is>
          <t>Tenanted</t>
        </is>
      </c>
    </row>
    <row r="1364">
      <c r="A1364" t="inlineStr">
        <is>
          <t>U-PI601-01-07</t>
        </is>
      </c>
      <c r="B1364" t="inlineStr">
        <is>
          <t>Pasir Indah</t>
        </is>
      </c>
      <c r="C1364" t="inlineStr">
        <is>
          <t>Blk 601 Pasir Indah Street 62 #01-07 Singapura 510601</t>
        </is>
      </c>
      <c r="D1364" t="inlineStr">
        <is>
          <t>Shop</t>
        </is>
      </c>
      <c r="E1364" t="n">
        <v>119.1</v>
      </c>
      <c r="F1364" t="inlineStr">
        <is>
          <t>NC-PI-3</t>
        </is>
      </c>
      <c r="G1364" t="inlineStr">
        <is>
          <t>Tenanted</t>
        </is>
      </c>
    </row>
    <row r="1365">
      <c r="A1365" t="inlineStr">
        <is>
          <t>U-PI601-01-08</t>
        </is>
      </c>
      <c r="B1365" t="inlineStr">
        <is>
          <t>Pasir Indah</t>
        </is>
      </c>
      <c r="C1365" t="inlineStr">
        <is>
          <t>Blk 601 Pasir Indah Street 62 #01-08 Singapura 510601</t>
        </is>
      </c>
      <c r="D1365" t="inlineStr">
        <is>
          <t>Shop</t>
        </is>
      </c>
      <c r="E1365" t="n">
        <v>77.09999999999999</v>
      </c>
      <c r="F1365" t="inlineStr">
        <is>
          <t>NC-PI-3</t>
        </is>
      </c>
      <c r="G1365" t="inlineStr">
        <is>
          <t>Tenanted</t>
        </is>
      </c>
    </row>
    <row r="1366">
      <c r="A1366" t="inlineStr">
        <is>
          <t>U-PI601-01-09</t>
        </is>
      </c>
      <c r="B1366" t="inlineStr">
        <is>
          <t>Pasir Indah</t>
        </is>
      </c>
      <c r="C1366" t="inlineStr">
        <is>
          <t>Blk 601 Pasir Indah Street 62 #01-09 Singapura 510601</t>
        </is>
      </c>
      <c r="D1366" t="inlineStr">
        <is>
          <t>Shop</t>
        </is>
      </c>
      <c r="E1366" t="n">
        <v>54</v>
      </c>
      <c r="F1366" t="inlineStr">
        <is>
          <t>NC-PI-3</t>
        </is>
      </c>
      <c r="G1366" t="inlineStr">
        <is>
          <t>Tenanted</t>
        </is>
      </c>
    </row>
    <row r="1367">
      <c r="A1367" t="inlineStr">
        <is>
          <t>U-PI605-01-01</t>
        </is>
      </c>
      <c r="B1367" t="inlineStr">
        <is>
          <t>Pasir Indah</t>
        </is>
      </c>
      <c r="C1367" t="inlineStr">
        <is>
          <t>Blk 605 Pasir Indah Street 62 #01-01 Singapura 510605</t>
        </is>
      </c>
      <c r="D1367" t="inlineStr">
        <is>
          <t>Shop with Living Quarters</t>
        </is>
      </c>
      <c r="E1367" t="n">
        <v>78</v>
      </c>
      <c r="F1367" t="inlineStr">
        <is>
          <t>NC-PI-3</t>
        </is>
      </c>
      <c r="G1367" t="inlineStr">
        <is>
          <t>Tenanted</t>
        </is>
      </c>
    </row>
    <row r="1368">
      <c r="A1368" t="inlineStr">
        <is>
          <t>U-PI605-01-02</t>
        </is>
      </c>
      <c r="B1368" t="inlineStr">
        <is>
          <t>Pasir Indah</t>
        </is>
      </c>
      <c r="C1368" t="inlineStr">
        <is>
          <t>Blk 605 Pasir Indah Street 62 #01-02 Singapura 510605</t>
        </is>
      </c>
      <c r="D1368" t="inlineStr">
        <is>
          <t>Shop</t>
        </is>
      </c>
      <c r="E1368" t="n">
        <v>74.09999999999999</v>
      </c>
      <c r="F1368" t="inlineStr">
        <is>
          <t>NC-PI-3</t>
        </is>
      </c>
      <c r="G1368" t="inlineStr">
        <is>
          <t>Tenanted</t>
        </is>
      </c>
    </row>
    <row r="1369">
      <c r="A1369" t="inlineStr">
        <is>
          <t>U-PI605-01-03</t>
        </is>
      </c>
      <c r="B1369" t="inlineStr">
        <is>
          <t>Pasir Indah</t>
        </is>
      </c>
      <c r="C1369" t="inlineStr">
        <is>
          <t>Blk 605 Pasir Indah Street 62 #01-03 Singapura 510605</t>
        </is>
      </c>
      <c r="D1369" t="inlineStr">
        <is>
          <t>Shop</t>
        </is>
      </c>
      <c r="E1369" t="n">
        <v>108.1</v>
      </c>
      <c r="F1369" t="inlineStr">
        <is>
          <t>NC-PI-3</t>
        </is>
      </c>
      <c r="G1369" t="inlineStr">
        <is>
          <t>Tenanted</t>
        </is>
      </c>
    </row>
    <row r="1370">
      <c r="A1370" t="inlineStr">
        <is>
          <t>U-PI605-02-04</t>
        </is>
      </c>
      <c r="B1370" t="inlineStr">
        <is>
          <t>Pasir Indah</t>
        </is>
      </c>
      <c r="C1370" t="inlineStr">
        <is>
          <t>Blk 605 Pasir Indah Street 62 #02-04 Singapura 510605</t>
        </is>
      </c>
      <c r="D1370" t="inlineStr">
        <is>
          <t>Office</t>
        </is>
      </c>
      <c r="E1370" t="n">
        <v>63.8</v>
      </c>
      <c r="F1370" t="inlineStr">
        <is>
          <t>NC-PI-3</t>
        </is>
      </c>
      <c r="G1370" t="inlineStr">
        <is>
          <t>Tenanted</t>
        </is>
      </c>
    </row>
    <row r="1371">
      <c r="A1371" t="inlineStr">
        <is>
          <t>U-PI605-01-05</t>
        </is>
      </c>
      <c r="B1371" t="inlineStr">
        <is>
          <t>Pasir Indah</t>
        </is>
      </c>
      <c r="C1371" t="inlineStr">
        <is>
          <t>Blk 605 Pasir Indah Street 62 #01-05 Singapura 510605</t>
        </is>
      </c>
      <c r="D1371" t="inlineStr">
        <is>
          <t>Shop</t>
        </is>
      </c>
      <c r="E1371" t="n">
        <v>66.3</v>
      </c>
      <c r="F1371" t="inlineStr">
        <is>
          <t>NC-PI-3</t>
        </is>
      </c>
      <c r="G1371" t="inlineStr">
        <is>
          <t>Tenanted</t>
        </is>
      </c>
    </row>
    <row r="1372">
      <c r="A1372" t="inlineStr">
        <is>
          <t>U-PI605-01-06</t>
        </is>
      </c>
      <c r="B1372" t="inlineStr">
        <is>
          <t>Pasir Indah</t>
        </is>
      </c>
      <c r="C1372" t="inlineStr">
        <is>
          <t>Blk 605 Pasir Indah Street 62 #01-06 Singapura 510605</t>
        </is>
      </c>
      <c r="D1372" t="inlineStr">
        <is>
          <t>Office</t>
        </is>
      </c>
      <c r="E1372" t="n">
        <v>76.8</v>
      </c>
      <c r="F1372" t="inlineStr">
        <is>
          <t>NC-PI-3</t>
        </is>
      </c>
      <c r="G1372" t="inlineStr">
        <is>
          <t>Tenanted</t>
        </is>
      </c>
    </row>
    <row r="1373">
      <c r="A1373" t="inlineStr">
        <is>
          <t>U-PI606-01-01</t>
        </is>
      </c>
      <c r="B1373" t="inlineStr">
        <is>
          <t>Pasir Indah</t>
        </is>
      </c>
      <c r="C1373" t="inlineStr">
        <is>
          <t>Blk 606 Jalan Pasir Indah #01-01 Singapura 510606</t>
        </is>
      </c>
      <c r="D1373" t="inlineStr">
        <is>
          <t>Eating House</t>
        </is>
      </c>
      <c r="E1373" t="n">
        <v>252.2</v>
      </c>
      <c r="F1373" t="inlineStr">
        <is>
          <t>NC-PI-2</t>
        </is>
      </c>
      <c r="G1373" t="inlineStr">
        <is>
          <t>Tenanted</t>
        </is>
      </c>
    </row>
    <row r="1374">
      <c r="A1374" t="inlineStr">
        <is>
          <t>U-PI606-01-02</t>
        </is>
      </c>
      <c r="B1374" t="inlineStr">
        <is>
          <t>Pasir Indah</t>
        </is>
      </c>
      <c r="C1374" t="inlineStr">
        <is>
          <t>Blk 606 Jalan Pasir Indah #01-02 Singapura 510606</t>
        </is>
      </c>
      <c r="D1374" t="inlineStr">
        <is>
          <t>Shop</t>
        </is>
      </c>
      <c r="E1374" t="n">
        <v>49.1</v>
      </c>
      <c r="F1374" t="inlineStr">
        <is>
          <t>NC-PI-2</t>
        </is>
      </c>
      <c r="G1374" t="inlineStr">
        <is>
          <t>Tenanted</t>
        </is>
      </c>
    </row>
    <row r="1375">
      <c r="A1375" t="inlineStr">
        <is>
          <t>U-PI606-01-03</t>
        </is>
      </c>
      <c r="B1375" t="inlineStr">
        <is>
          <t>Pasir Indah</t>
        </is>
      </c>
      <c r="C1375" t="inlineStr">
        <is>
          <t>Blk 606 Jalan Pasir Indah #01-03 Singapura 510606</t>
        </is>
      </c>
      <c r="D1375" t="inlineStr">
        <is>
          <t>Shop</t>
        </is>
      </c>
      <c r="E1375" t="n">
        <v>76.5</v>
      </c>
      <c r="F1375" t="inlineStr">
        <is>
          <t>NC-PI-2</t>
        </is>
      </c>
      <c r="G1375" t="inlineStr">
        <is>
          <t>Tenanted</t>
        </is>
      </c>
    </row>
    <row r="1376">
      <c r="A1376" t="inlineStr">
        <is>
          <t>U-PI606-01-04</t>
        </is>
      </c>
      <c r="B1376" t="inlineStr">
        <is>
          <t>Pasir Indah</t>
        </is>
      </c>
      <c r="C1376" t="inlineStr">
        <is>
          <t>Blk 606 Jalan Pasir Indah #01-04 Singapura 510606</t>
        </is>
      </c>
      <c r="D1376" t="inlineStr">
        <is>
          <t>Shop with Living Quarters</t>
        </is>
      </c>
      <c r="E1376" t="n">
        <v>94.5</v>
      </c>
      <c r="F1376" t="inlineStr">
        <is>
          <t>NC-PI-2</t>
        </is>
      </c>
      <c r="G1376" t="inlineStr">
        <is>
          <t>Tenanted</t>
        </is>
      </c>
    </row>
    <row r="1377">
      <c r="A1377" t="inlineStr">
        <is>
          <t>U-PI606-01-05</t>
        </is>
      </c>
      <c r="B1377" t="inlineStr">
        <is>
          <t>Pasir Indah</t>
        </is>
      </c>
      <c r="C1377" t="inlineStr">
        <is>
          <t>Blk 606 Jalan Pasir Indah #01-05 Singapura 510606</t>
        </is>
      </c>
      <c r="D1377" t="inlineStr">
        <is>
          <t>Shop</t>
        </is>
      </c>
      <c r="E1377" t="n">
        <v>73.7</v>
      </c>
      <c r="F1377" t="inlineStr">
        <is>
          <t>NC-PI-2</t>
        </is>
      </c>
      <c r="G1377" t="inlineStr">
        <is>
          <t>Tenanted</t>
        </is>
      </c>
    </row>
    <row r="1378">
      <c r="A1378" t="inlineStr">
        <is>
          <t>U-PI606-02-06</t>
        </is>
      </c>
      <c r="B1378" t="inlineStr">
        <is>
          <t>Pasir Indah</t>
        </is>
      </c>
      <c r="C1378" t="inlineStr">
        <is>
          <t>Blk 606 Jalan Pasir Indah #02-06 Singapura 510606</t>
        </is>
      </c>
      <c r="D1378" t="inlineStr">
        <is>
          <t>Office</t>
        </is>
      </c>
      <c r="E1378" t="n">
        <v>63.3</v>
      </c>
      <c r="F1378" t="inlineStr">
        <is>
          <t>NC-PI-2</t>
        </is>
      </c>
      <c r="G1378" t="inlineStr">
        <is>
          <t>Tenanted</t>
        </is>
      </c>
    </row>
    <row r="1379">
      <c r="A1379" t="inlineStr">
        <is>
          <t>U-PI606-01-07</t>
        </is>
      </c>
      <c r="B1379" t="inlineStr">
        <is>
          <t>Pasir Indah</t>
        </is>
      </c>
      <c r="C1379" t="inlineStr">
        <is>
          <t>Blk 606 Jalan Pasir Indah #01-07 Singapura 510606</t>
        </is>
      </c>
      <c r="D1379" t="inlineStr">
        <is>
          <t>Kiosk</t>
        </is>
      </c>
      <c r="E1379" t="n">
        <v>14.8</v>
      </c>
      <c r="F1379" t="inlineStr">
        <is>
          <t>NC-PI-2</t>
        </is>
      </c>
      <c r="G1379" t="inlineStr">
        <is>
          <t>Tenanted</t>
        </is>
      </c>
    </row>
    <row r="1380">
      <c r="A1380" t="inlineStr">
        <is>
          <t>U-PI609-01-01</t>
        </is>
      </c>
      <c r="B1380" t="inlineStr">
        <is>
          <t>Pasir Indah</t>
        </is>
      </c>
      <c r="C1380" t="inlineStr">
        <is>
          <t>Blk 609 Pasir Indah Street 62 #01-01 Singapura 510609</t>
        </is>
      </c>
      <c r="D1380" t="inlineStr">
        <is>
          <t>Shop</t>
        </is>
      </c>
      <c r="E1380" t="n">
        <v>112.9</v>
      </c>
      <c r="F1380" t="inlineStr">
        <is>
          <t>NC-PI-2</t>
        </is>
      </c>
      <c r="G1380" t="inlineStr">
        <is>
          <t>Tenanted</t>
        </is>
      </c>
    </row>
    <row r="1381">
      <c r="A1381" t="inlineStr">
        <is>
          <t>U-PI609-01-02</t>
        </is>
      </c>
      <c r="B1381" t="inlineStr">
        <is>
          <t>Pasir Indah</t>
        </is>
      </c>
      <c r="C1381" t="inlineStr">
        <is>
          <t>Blk 609 Pasir Indah Street 62 #01-02 Singapura 510609</t>
        </is>
      </c>
      <c r="D1381" t="inlineStr">
        <is>
          <t>Shop</t>
        </is>
      </c>
      <c r="E1381" t="n">
        <v>85.5</v>
      </c>
      <c r="F1381" t="inlineStr">
        <is>
          <t>NC-PI-2</t>
        </is>
      </c>
      <c r="G1381" t="inlineStr">
        <is>
          <t>Tenanted</t>
        </is>
      </c>
    </row>
    <row r="1382">
      <c r="A1382" t="inlineStr">
        <is>
          <t>U-PI609-01-03</t>
        </is>
      </c>
      <c r="B1382" t="inlineStr">
        <is>
          <t>Pasir Indah</t>
        </is>
      </c>
      <c r="C1382" t="inlineStr">
        <is>
          <t>Blk 609 Pasir Indah Street 62 #01-03 Singapura 510609</t>
        </is>
      </c>
      <c r="D1382" t="inlineStr">
        <is>
          <t>Shop</t>
        </is>
      </c>
      <c r="E1382" t="n">
        <v>88.90000000000001</v>
      </c>
      <c r="F1382" t="inlineStr">
        <is>
          <t>NC-PI-2</t>
        </is>
      </c>
      <c r="G1382" t="inlineStr">
        <is>
          <t>Tenanted</t>
        </is>
      </c>
    </row>
    <row r="1383">
      <c r="A1383" t="inlineStr">
        <is>
          <t>U-PI609-01-04</t>
        </is>
      </c>
      <c r="B1383" t="inlineStr">
        <is>
          <t>Pasir Indah</t>
        </is>
      </c>
      <c r="C1383" t="inlineStr">
        <is>
          <t>Blk 609 Pasir Indah Street 62 #01-04 Singapura 510609</t>
        </is>
      </c>
      <c r="D1383" t="inlineStr">
        <is>
          <t>Shop with Living Quarters</t>
        </is>
      </c>
      <c r="E1383" t="n">
        <v>90.59999999999999</v>
      </c>
      <c r="F1383" t="inlineStr">
        <is>
          <t>NC-PI-2</t>
        </is>
      </c>
      <c r="G1383" t="inlineStr">
        <is>
          <t>Tenanted</t>
        </is>
      </c>
    </row>
    <row r="1384">
      <c r="A1384" t="inlineStr">
        <is>
          <t>U-PI609-01-05</t>
        </is>
      </c>
      <c r="B1384" t="inlineStr">
        <is>
          <t>Pasir Indah</t>
        </is>
      </c>
      <c r="C1384" t="inlineStr">
        <is>
          <t>Blk 609 Pasir Indah Street 62 #01-05 Singapura 510609</t>
        </is>
      </c>
      <c r="D1384" t="inlineStr">
        <is>
          <t>Shop with Living Quarters</t>
        </is>
      </c>
      <c r="E1384" t="n">
        <v>104</v>
      </c>
      <c r="F1384" t="inlineStr">
        <is>
          <t>NC-PI-2</t>
        </is>
      </c>
      <c r="G1384" t="inlineStr">
        <is>
          <t>Tenanted</t>
        </is>
      </c>
    </row>
    <row r="1385">
      <c r="A1385" t="inlineStr">
        <is>
          <t>U-PI609-01-06</t>
        </is>
      </c>
      <c r="B1385" t="inlineStr">
        <is>
          <t>Pasir Indah</t>
        </is>
      </c>
      <c r="C1385" t="inlineStr">
        <is>
          <t>Blk 609 Pasir Indah Street 62 #01-06 Singapura 510609</t>
        </is>
      </c>
      <c r="D1385" t="inlineStr">
        <is>
          <t>Kiosk</t>
        </is>
      </c>
      <c r="E1385" t="n">
        <v>14</v>
      </c>
      <c r="F1385" t="inlineStr">
        <is>
          <t>NC-PI-2</t>
        </is>
      </c>
      <c r="G1385" t="inlineStr">
        <is>
          <t>Tenanted</t>
        </is>
      </c>
    </row>
    <row r="1386">
      <c r="A1386" t="inlineStr">
        <is>
          <t>U-PI609-01-07</t>
        </is>
      </c>
      <c r="B1386" t="inlineStr">
        <is>
          <t>Pasir Indah</t>
        </is>
      </c>
      <c r="C1386" t="inlineStr">
        <is>
          <t>Blk 609 Pasir Indah Street 62 #01-07 Singapura 510609</t>
        </is>
      </c>
      <c r="D1386" t="inlineStr">
        <is>
          <t>Shop</t>
        </is>
      </c>
      <c r="E1386" t="n">
        <v>79</v>
      </c>
      <c r="F1386" t="inlineStr">
        <is>
          <t>NC-PI-2</t>
        </is>
      </c>
      <c r="G1386" t="inlineStr">
        <is>
          <t>Tenanted</t>
        </is>
      </c>
    </row>
    <row r="1387">
      <c r="A1387" t="inlineStr">
        <is>
          <t>U-PI609-02-08</t>
        </is>
      </c>
      <c r="B1387" t="inlineStr">
        <is>
          <t>Pasir Indah</t>
        </is>
      </c>
      <c r="C1387" t="inlineStr">
        <is>
          <t>Blk 609 Pasir Indah Street 62 #02-08 Singapura 510609</t>
        </is>
      </c>
      <c r="D1387" t="inlineStr">
        <is>
          <t>Office</t>
        </is>
      </c>
      <c r="E1387" t="n">
        <v>56.3</v>
      </c>
      <c r="F1387" t="inlineStr">
        <is>
          <t>NC-PI-2</t>
        </is>
      </c>
      <c r="G1387" t="inlineStr">
        <is>
          <t>Tenanted</t>
        </is>
      </c>
    </row>
    <row r="1388">
      <c r="A1388" t="inlineStr">
        <is>
          <t>U-PI614-01-01</t>
        </is>
      </c>
      <c r="B1388" t="inlineStr">
        <is>
          <t>Pasir Indah</t>
        </is>
      </c>
      <c r="C1388" t="inlineStr">
        <is>
          <t>Blk 614 Pasir Indah Avenue 6 #01-01 Singapura 510614</t>
        </is>
      </c>
      <c r="D1388" t="inlineStr">
        <is>
          <t>Shop</t>
        </is>
      </c>
      <c r="E1388" t="n">
        <v>109.5</v>
      </c>
      <c r="F1388" t="inlineStr">
        <is>
          <t>NC-PI-3</t>
        </is>
      </c>
      <c r="G1388" t="inlineStr">
        <is>
          <t>Tenanted</t>
        </is>
      </c>
    </row>
    <row r="1389">
      <c r="A1389" t="inlineStr">
        <is>
          <t>U-PI614-01-02</t>
        </is>
      </c>
      <c r="B1389" t="inlineStr">
        <is>
          <t>Pasir Indah</t>
        </is>
      </c>
      <c r="C1389" t="inlineStr">
        <is>
          <t>Blk 614 Pasir Indah Avenue 6 #01-02 Singapura 510614</t>
        </is>
      </c>
      <c r="D1389" t="inlineStr">
        <is>
          <t>Shop</t>
        </is>
      </c>
      <c r="E1389" t="n">
        <v>99.5</v>
      </c>
      <c r="F1389" t="inlineStr">
        <is>
          <t>NC-PI-3</t>
        </is>
      </c>
      <c r="G1389" t="inlineStr">
        <is>
          <t>Tenanted</t>
        </is>
      </c>
    </row>
    <row r="1390">
      <c r="A1390" t="inlineStr">
        <is>
          <t>U-PI614-01-03</t>
        </is>
      </c>
      <c r="B1390" t="inlineStr">
        <is>
          <t>Pasir Indah</t>
        </is>
      </c>
      <c r="C1390" t="inlineStr">
        <is>
          <t>Blk 614 Pasir Indah Avenue 6 #01-03 Singapura 510614</t>
        </is>
      </c>
      <c r="D1390" t="inlineStr">
        <is>
          <t>Kiosk</t>
        </is>
      </c>
      <c r="E1390" t="n">
        <v>8</v>
      </c>
      <c r="F1390" t="inlineStr">
        <is>
          <t>NC-PI-3</t>
        </is>
      </c>
      <c r="G1390" t="inlineStr">
        <is>
          <t>Tenanted</t>
        </is>
      </c>
    </row>
    <row r="1391">
      <c r="A1391" t="inlineStr">
        <is>
          <t>U-PI614-01-04</t>
        </is>
      </c>
      <c r="B1391" t="inlineStr">
        <is>
          <t>Pasir Indah</t>
        </is>
      </c>
      <c r="C1391" t="inlineStr">
        <is>
          <t>Blk 614 Pasir Indah Avenue 6 #01-04 Singapura 510614</t>
        </is>
      </c>
      <c r="D1391" t="inlineStr">
        <is>
          <t>Office</t>
        </is>
      </c>
      <c r="E1391" t="n">
        <v>101.9</v>
      </c>
      <c r="F1391" t="inlineStr">
        <is>
          <t>NC-PI-3</t>
        </is>
      </c>
      <c r="G1391" t="inlineStr">
        <is>
          <t>Tenanted</t>
        </is>
      </c>
    </row>
    <row r="1392">
      <c r="A1392" t="inlineStr">
        <is>
          <t>U-PI614-01-05</t>
        </is>
      </c>
      <c r="B1392" t="inlineStr">
        <is>
          <t>Pasir Indah</t>
        </is>
      </c>
      <c r="C1392" t="inlineStr">
        <is>
          <t>Blk 614 Pasir Indah Avenue 6 #01-05 Singapura 510614</t>
        </is>
      </c>
      <c r="D1392" t="inlineStr">
        <is>
          <t>Kiosk</t>
        </is>
      </c>
      <c r="E1392" t="n">
        <v>11.6</v>
      </c>
      <c r="F1392" t="inlineStr">
        <is>
          <t>NC-PI-3</t>
        </is>
      </c>
      <c r="G1392" t="inlineStr">
        <is>
          <t>Tenanted</t>
        </is>
      </c>
    </row>
    <row r="1393">
      <c r="A1393" t="inlineStr">
        <is>
          <t>U-PI614-01-06</t>
        </is>
      </c>
      <c r="B1393" t="inlineStr">
        <is>
          <t>Pasir Indah</t>
        </is>
      </c>
      <c r="C1393" t="inlineStr">
        <is>
          <t>Blk 614 Pasir Indah Avenue 6 #01-06 Singapura 510614</t>
        </is>
      </c>
      <c r="D1393" t="inlineStr">
        <is>
          <t>Shop</t>
        </is>
      </c>
      <c r="E1393" t="n">
        <v>98.09999999999999</v>
      </c>
      <c r="F1393" t="inlineStr">
        <is>
          <t>NC-PI-3</t>
        </is>
      </c>
      <c r="G1393" t="inlineStr">
        <is>
          <t>Tenanted</t>
        </is>
      </c>
    </row>
    <row r="1394">
      <c r="A1394" t="inlineStr">
        <is>
          <t>U-PI614-01-07</t>
        </is>
      </c>
      <c r="B1394" t="inlineStr">
        <is>
          <t>Pasir Indah</t>
        </is>
      </c>
      <c r="C1394" t="inlineStr">
        <is>
          <t>Blk 614 Pasir Indah Avenue 6 #01-07 Singapura 510614</t>
        </is>
      </c>
      <c r="D1394" t="inlineStr">
        <is>
          <t>Shop</t>
        </is>
      </c>
      <c r="E1394" t="n">
        <v>93.09999999999999</v>
      </c>
      <c r="F1394" t="inlineStr">
        <is>
          <t>NC-PI-3</t>
        </is>
      </c>
      <c r="G1394" t="inlineStr">
        <is>
          <t>Tenanted</t>
        </is>
      </c>
    </row>
    <row r="1395">
      <c r="A1395" t="inlineStr">
        <is>
          <t>U-PI614-01-08</t>
        </is>
      </c>
      <c r="B1395" t="inlineStr">
        <is>
          <t>Pasir Indah</t>
        </is>
      </c>
      <c r="C1395" t="inlineStr">
        <is>
          <t>Blk 614 Pasir Indah Avenue 6 #01-08 Singapura 510614</t>
        </is>
      </c>
      <c r="D1395" t="inlineStr">
        <is>
          <t>Shop</t>
        </is>
      </c>
      <c r="E1395" t="n">
        <v>51.9</v>
      </c>
      <c r="F1395" t="inlineStr">
        <is>
          <t>NC-PI-3</t>
        </is>
      </c>
      <c r="G1395" t="inlineStr">
        <is>
          <t>Tenanted</t>
        </is>
      </c>
    </row>
    <row r="1396">
      <c r="A1396" t="inlineStr">
        <is>
          <t>U-PI614-01-09</t>
        </is>
      </c>
      <c r="B1396" t="inlineStr">
        <is>
          <t>Pasir Indah</t>
        </is>
      </c>
      <c r="C1396" t="inlineStr">
        <is>
          <t>Blk 614 Pasir Indah Avenue 6 #01-09 Singapura 510614</t>
        </is>
      </c>
      <c r="D1396" t="inlineStr">
        <is>
          <t>Shop with Living Quarters</t>
        </is>
      </c>
      <c r="E1396" t="n">
        <v>104.6</v>
      </c>
      <c r="F1396" t="inlineStr">
        <is>
          <t>NC-PI-3</t>
        </is>
      </c>
      <c r="G1396" t="inlineStr">
        <is>
          <t>Tenanted</t>
        </is>
      </c>
    </row>
    <row r="1397">
      <c r="A1397" t="inlineStr">
        <is>
          <t>U-PI614-01-10</t>
        </is>
      </c>
      <c r="B1397" t="inlineStr">
        <is>
          <t>Pasir Indah</t>
        </is>
      </c>
      <c r="C1397" t="inlineStr">
        <is>
          <t>Blk 614 Pasir Indah Avenue 6 #01-10 Singapura 510614</t>
        </is>
      </c>
      <c r="D1397" t="inlineStr">
        <is>
          <t>Shop</t>
        </is>
      </c>
      <c r="E1397" t="n">
        <v>40.9</v>
      </c>
      <c r="F1397" t="inlineStr">
        <is>
          <t>NC-PI-3</t>
        </is>
      </c>
      <c r="G1397" t="inlineStr">
        <is>
          <t>Tenanted</t>
        </is>
      </c>
    </row>
    <row r="1398">
      <c r="A1398" t="inlineStr">
        <is>
          <t>U-PI614-02-11</t>
        </is>
      </c>
      <c r="B1398" t="inlineStr">
        <is>
          <t>Pasir Indah</t>
        </is>
      </c>
      <c r="C1398" t="inlineStr">
        <is>
          <t>Blk 614 Pasir Indah Avenue 6 #02-11 Singapura 510614</t>
        </is>
      </c>
      <c r="D1398" t="inlineStr">
        <is>
          <t>Office</t>
        </is>
      </c>
      <c r="E1398" t="n">
        <v>96.90000000000001</v>
      </c>
      <c r="F1398" t="inlineStr">
        <is>
          <t>NC-PI-3</t>
        </is>
      </c>
      <c r="G1398" t="inlineStr">
        <is>
          <t>Tenanted</t>
        </is>
      </c>
    </row>
    <row r="1399">
      <c r="A1399" t="inlineStr">
        <is>
          <t>U-PI615-02-01</t>
        </is>
      </c>
      <c r="B1399" t="inlineStr">
        <is>
          <t>Pasir Indah</t>
        </is>
      </c>
      <c r="C1399" t="inlineStr">
        <is>
          <t>Blk 615 Jalan Pasir Indah #02-01 Singapura 510615</t>
        </is>
      </c>
      <c r="D1399" t="inlineStr">
        <is>
          <t>Office</t>
        </is>
      </c>
      <c r="E1399" t="n">
        <v>99.2</v>
      </c>
      <c r="F1399" t="inlineStr">
        <is>
          <t>NC-PI-2</t>
        </is>
      </c>
      <c r="G1399" t="inlineStr">
        <is>
          <t>Tenanted</t>
        </is>
      </c>
    </row>
    <row r="1400">
      <c r="A1400" t="inlineStr">
        <is>
          <t>U-PI615-01-02</t>
        </is>
      </c>
      <c r="B1400" t="inlineStr">
        <is>
          <t>Pasir Indah</t>
        </is>
      </c>
      <c r="C1400" t="inlineStr">
        <is>
          <t>Blk 615 Jalan Pasir Indah #01-02 Singapura 510615</t>
        </is>
      </c>
      <c r="D1400" t="inlineStr">
        <is>
          <t>Shop</t>
        </is>
      </c>
      <c r="E1400" t="n">
        <v>117.6</v>
      </c>
      <c r="F1400" t="inlineStr">
        <is>
          <t>NC-PI-2</t>
        </is>
      </c>
      <c r="G1400" t="inlineStr">
        <is>
          <t>Tenanted</t>
        </is>
      </c>
    </row>
    <row r="1401">
      <c r="A1401" t="inlineStr">
        <is>
          <t>U-PI615-01-03</t>
        </is>
      </c>
      <c r="B1401" t="inlineStr">
        <is>
          <t>Pasir Indah</t>
        </is>
      </c>
      <c r="C1401" t="inlineStr">
        <is>
          <t>Blk 615 Jalan Pasir Indah #01-03 Singapura 510615</t>
        </is>
      </c>
      <c r="D1401" t="inlineStr">
        <is>
          <t>Shop</t>
        </is>
      </c>
      <c r="E1401" t="n">
        <v>57.8</v>
      </c>
      <c r="F1401" t="inlineStr">
        <is>
          <t>NC-PI-2</t>
        </is>
      </c>
      <c r="G1401" t="inlineStr">
        <is>
          <t>Tenanted</t>
        </is>
      </c>
    </row>
    <row r="1402">
      <c r="A1402" t="inlineStr">
        <is>
          <t>U-PI615-01-04</t>
        </is>
      </c>
      <c r="B1402" t="inlineStr">
        <is>
          <t>Pasir Indah</t>
        </is>
      </c>
      <c r="C1402" t="inlineStr">
        <is>
          <t>Blk 615 Jalan Pasir Indah #01-04 Singapura 510615</t>
        </is>
      </c>
      <c r="D1402" t="inlineStr">
        <is>
          <t>Shop</t>
        </is>
      </c>
      <c r="E1402" t="n">
        <v>72.3</v>
      </c>
      <c r="F1402" t="inlineStr">
        <is>
          <t>NC-PI-2</t>
        </is>
      </c>
      <c r="G1402" t="inlineStr">
        <is>
          <t>Tenanted</t>
        </is>
      </c>
    </row>
    <row r="1403">
      <c r="A1403" t="inlineStr">
        <is>
          <t>U-PI615-01-05</t>
        </is>
      </c>
      <c r="B1403" t="inlineStr">
        <is>
          <t>Pasir Indah</t>
        </is>
      </c>
      <c r="C1403" t="inlineStr">
        <is>
          <t>Blk 615 Jalan Pasir Indah #01-05 Singapura 510615</t>
        </is>
      </c>
      <c r="D1403" t="inlineStr">
        <is>
          <t>Shop</t>
        </is>
      </c>
      <c r="E1403" t="n">
        <v>76.7</v>
      </c>
      <c r="F1403" t="inlineStr">
        <is>
          <t>NC-PI-2</t>
        </is>
      </c>
      <c r="G1403" t="inlineStr">
        <is>
          <t>Tenanted</t>
        </is>
      </c>
    </row>
    <row r="1404">
      <c r="A1404" t="inlineStr">
        <is>
          <t>U-PI615-01-06</t>
        </is>
      </c>
      <c r="B1404" t="inlineStr">
        <is>
          <t>Pasir Indah</t>
        </is>
      </c>
      <c r="C1404" t="inlineStr">
        <is>
          <t>Blk 615 Jalan Pasir Indah #01-06 Singapura 510615</t>
        </is>
      </c>
      <c r="D1404" t="inlineStr">
        <is>
          <t>Shop with Living Quarters</t>
        </is>
      </c>
      <c r="E1404" t="n">
        <v>82.40000000000001</v>
      </c>
      <c r="F1404" t="inlineStr">
        <is>
          <t>NC-PI-2</t>
        </is>
      </c>
      <c r="G1404" t="inlineStr">
        <is>
          <t>Tenanted</t>
        </is>
      </c>
    </row>
    <row r="1405">
      <c r="A1405" t="inlineStr">
        <is>
          <t>U-PI615-01-07</t>
        </is>
      </c>
      <c r="B1405" t="inlineStr">
        <is>
          <t>Pasir Indah</t>
        </is>
      </c>
      <c r="C1405" t="inlineStr">
        <is>
          <t>Blk 615 Jalan Pasir Indah #01-07 Singapura 510615</t>
        </is>
      </c>
      <c r="D1405" t="inlineStr">
        <is>
          <t>Shop with Living Quarters</t>
        </is>
      </c>
      <c r="E1405" t="n">
        <v>82.40000000000001</v>
      </c>
      <c r="F1405" t="inlineStr">
        <is>
          <t>NC-PI-2</t>
        </is>
      </c>
      <c r="G1405" t="inlineStr">
        <is>
          <t>Tenanted</t>
        </is>
      </c>
    </row>
    <row r="1406">
      <c r="A1406" t="inlineStr">
        <is>
          <t>U-PI615-01-08</t>
        </is>
      </c>
      <c r="B1406" t="inlineStr">
        <is>
          <t>Pasir Indah</t>
        </is>
      </c>
      <c r="C1406" t="inlineStr">
        <is>
          <t>Blk 615 Jalan Pasir Indah #01-08 Singapura 510615</t>
        </is>
      </c>
      <c r="D1406" t="inlineStr">
        <is>
          <t>Shop</t>
        </is>
      </c>
      <c r="E1406" t="n">
        <v>79.8</v>
      </c>
      <c r="F1406" t="inlineStr">
        <is>
          <t>NC-PI-2</t>
        </is>
      </c>
      <c r="G1406" t="inlineStr">
        <is>
          <t>Tenanted</t>
        </is>
      </c>
    </row>
    <row r="1407">
      <c r="A1407" t="inlineStr">
        <is>
          <t>U-PI615-01-09</t>
        </is>
      </c>
      <c r="B1407" t="inlineStr">
        <is>
          <t>Pasir Indah</t>
        </is>
      </c>
      <c r="C1407" t="inlineStr">
        <is>
          <t>Blk 615 Jalan Pasir Indah #01-09 Singapura 510615</t>
        </is>
      </c>
      <c r="D1407" t="inlineStr">
        <is>
          <t>Shop</t>
        </is>
      </c>
      <c r="E1407" t="n">
        <v>48.2</v>
      </c>
      <c r="F1407" t="inlineStr">
        <is>
          <t>NC-PI-2</t>
        </is>
      </c>
      <c r="G1407" t="inlineStr">
        <is>
          <t>Tenanted</t>
        </is>
      </c>
    </row>
    <row r="1408">
      <c r="A1408" t="inlineStr">
        <is>
          <t>U-PI615-01-10</t>
        </is>
      </c>
      <c r="B1408" t="inlineStr">
        <is>
          <t>Pasir Indah</t>
        </is>
      </c>
      <c r="C1408" t="inlineStr">
        <is>
          <t>Blk 615 Jalan Pasir Indah #01-10 Singapura 510615</t>
        </is>
      </c>
      <c r="D1408" t="inlineStr">
        <is>
          <t>Shop</t>
        </is>
      </c>
      <c r="E1408" t="n">
        <v>84.59999999999999</v>
      </c>
      <c r="F1408" t="inlineStr">
        <is>
          <t>NC-PI-2</t>
        </is>
      </c>
      <c r="G1408" t="inlineStr">
        <is>
          <t>Tenanted</t>
        </is>
      </c>
    </row>
    <row r="1409">
      <c r="A1409" t="inlineStr">
        <is>
          <t>U-PI615-01-11</t>
        </is>
      </c>
      <c r="B1409" t="inlineStr">
        <is>
          <t>Pasir Indah</t>
        </is>
      </c>
      <c r="C1409" t="inlineStr">
        <is>
          <t>Blk 615 Jalan Pasir Indah #01-11 Singapura 510615</t>
        </is>
      </c>
      <c r="D1409" t="inlineStr">
        <is>
          <t>Shop</t>
        </is>
      </c>
      <c r="E1409" t="n">
        <v>47.3</v>
      </c>
      <c r="F1409" t="inlineStr">
        <is>
          <t>NC-PI-2</t>
        </is>
      </c>
      <c r="G1409" t="inlineStr">
        <is>
          <t>Tenanted</t>
        </is>
      </c>
    </row>
    <row r="1410">
      <c r="A1410" t="inlineStr">
        <is>
          <t>U-PI615-01-12</t>
        </is>
      </c>
      <c r="B1410" t="inlineStr">
        <is>
          <t>Pasir Indah</t>
        </is>
      </c>
      <c r="C1410" t="inlineStr">
        <is>
          <t>Blk 615 Jalan Pasir Indah #01-12 Singapura 510615</t>
        </is>
      </c>
      <c r="D1410" t="inlineStr">
        <is>
          <t>Shop</t>
        </is>
      </c>
      <c r="E1410" t="n">
        <v>89.5</v>
      </c>
      <c r="F1410" t="inlineStr">
        <is>
          <t>NC-PI-2</t>
        </is>
      </c>
      <c r="G1410" t="inlineStr">
        <is>
          <t>Tenanted</t>
        </is>
      </c>
    </row>
    <row r="1411">
      <c r="A1411" t="inlineStr">
        <is>
          <t>U-PI615-01-13</t>
        </is>
      </c>
      <c r="B1411" t="inlineStr">
        <is>
          <t>Pasir Indah</t>
        </is>
      </c>
      <c r="C1411" t="inlineStr">
        <is>
          <t>Blk 615 Jalan Pasir Indah #01-13 Singapura 510615</t>
        </is>
      </c>
      <c r="D1411" t="inlineStr">
        <is>
          <t>Shop</t>
        </is>
      </c>
      <c r="E1411" t="n">
        <v>80.7</v>
      </c>
      <c r="F1411" t="inlineStr">
        <is>
          <t>NC-PI-2</t>
        </is>
      </c>
      <c r="G1411" t="inlineStr">
        <is>
          <t>Tenanted</t>
        </is>
      </c>
    </row>
    <row r="1412">
      <c r="A1412" t="inlineStr">
        <is>
          <t>U-PI625-01-01</t>
        </is>
      </c>
      <c r="B1412" t="inlineStr">
        <is>
          <t>Pasir Indah</t>
        </is>
      </c>
      <c r="C1412" t="inlineStr">
        <is>
          <t>Blk 625 Jalan Pasir Indah #01-01 Singapura 510625</t>
        </is>
      </c>
      <c r="D1412" t="inlineStr">
        <is>
          <t>Shop</t>
        </is>
      </c>
      <c r="E1412" t="n">
        <v>76.5</v>
      </c>
      <c r="F1412" t="inlineStr">
        <is>
          <t>NC-PI-3</t>
        </is>
      </c>
      <c r="G1412" t="inlineStr">
        <is>
          <t>Tenanted</t>
        </is>
      </c>
    </row>
    <row r="1413">
      <c r="A1413" t="inlineStr">
        <is>
          <t>U-PI625-01-02</t>
        </is>
      </c>
      <c r="B1413" t="inlineStr">
        <is>
          <t>Pasir Indah</t>
        </is>
      </c>
      <c r="C1413" t="inlineStr">
        <is>
          <t>Blk 625 Jalan Pasir Indah #01-02 Singapura 510625</t>
        </is>
      </c>
      <c r="D1413" t="inlineStr">
        <is>
          <t>Shop</t>
        </is>
      </c>
      <c r="E1413" t="n">
        <v>106</v>
      </c>
      <c r="F1413" t="inlineStr">
        <is>
          <t>NC-PI-3</t>
        </is>
      </c>
      <c r="G1413" t="inlineStr">
        <is>
          <t>Tenanted</t>
        </is>
      </c>
    </row>
    <row r="1414">
      <c r="A1414" t="inlineStr">
        <is>
          <t>U-PI625-01-03</t>
        </is>
      </c>
      <c r="B1414" t="inlineStr">
        <is>
          <t>Pasir Indah</t>
        </is>
      </c>
      <c r="C1414" t="inlineStr">
        <is>
          <t>Blk 625 Jalan Pasir Indah #01-03 Singapura 510625</t>
        </is>
      </c>
      <c r="D1414" t="inlineStr">
        <is>
          <t>Shop with Living Quarters</t>
        </is>
      </c>
      <c r="E1414" t="n">
        <v>102.2</v>
      </c>
      <c r="F1414" t="inlineStr">
        <is>
          <t>NC-PI-3</t>
        </is>
      </c>
      <c r="G1414" t="inlineStr">
        <is>
          <t>Tenanted</t>
        </is>
      </c>
    </row>
    <row r="1415">
      <c r="A1415" t="inlineStr">
        <is>
          <t>U-PI625-01-04</t>
        </is>
      </c>
      <c r="B1415" t="inlineStr">
        <is>
          <t>Pasir Indah</t>
        </is>
      </c>
      <c r="C1415" t="inlineStr">
        <is>
          <t>Blk 625 Jalan Pasir Indah #01-04 Singapura 510625</t>
        </is>
      </c>
      <c r="D1415" t="inlineStr">
        <is>
          <t>Shop</t>
        </is>
      </c>
      <c r="E1415" t="n">
        <v>101.4</v>
      </c>
      <c r="F1415" t="inlineStr">
        <is>
          <t>NC-PI-3</t>
        </is>
      </c>
      <c r="G1415" t="inlineStr">
        <is>
          <t>Tenanted</t>
        </is>
      </c>
    </row>
    <row r="1416">
      <c r="A1416" t="inlineStr">
        <is>
          <t>U-PI625-01-05</t>
        </is>
      </c>
      <c r="B1416" t="inlineStr">
        <is>
          <t>Pasir Indah</t>
        </is>
      </c>
      <c r="C1416" t="inlineStr">
        <is>
          <t>Blk 625 Jalan Pasir Indah #01-05 Singapura 510625</t>
        </is>
      </c>
      <c r="D1416" t="inlineStr">
        <is>
          <t>Shop</t>
        </is>
      </c>
      <c r="E1416" t="n">
        <v>97.3</v>
      </c>
      <c r="F1416" t="inlineStr">
        <is>
          <t>NC-PI-3</t>
        </is>
      </c>
      <c r="G1416" t="inlineStr">
        <is>
          <t>Tenanted</t>
        </is>
      </c>
    </row>
    <row r="1417">
      <c r="A1417" t="inlineStr">
        <is>
          <t>U-PI625-01-06</t>
        </is>
      </c>
      <c r="B1417" t="inlineStr">
        <is>
          <t>Pasir Indah</t>
        </is>
      </c>
      <c r="C1417" t="inlineStr">
        <is>
          <t>Blk 625 Jalan Pasir Indah #01-06 Singapura 510625</t>
        </is>
      </c>
      <c r="D1417" t="inlineStr">
        <is>
          <t>Shop</t>
        </is>
      </c>
      <c r="E1417" t="n">
        <v>76.2</v>
      </c>
      <c r="F1417" t="inlineStr">
        <is>
          <t>NC-PI-3</t>
        </is>
      </c>
      <c r="G1417" t="inlineStr">
        <is>
          <t>Tenanted</t>
        </is>
      </c>
    </row>
    <row r="1418">
      <c r="A1418" t="inlineStr">
        <is>
          <t>U-PI625-01-07</t>
        </is>
      </c>
      <c r="B1418" t="inlineStr">
        <is>
          <t>Pasir Indah</t>
        </is>
      </c>
      <c r="C1418" t="inlineStr">
        <is>
          <t>Blk 625 Jalan Pasir Indah #01-07 Singapura 510625</t>
        </is>
      </c>
      <c r="D1418" t="inlineStr">
        <is>
          <t>Shop</t>
        </is>
      </c>
      <c r="E1418" t="n">
        <v>92.7</v>
      </c>
      <c r="F1418" t="inlineStr">
        <is>
          <t>NC-PI-3</t>
        </is>
      </c>
      <c r="G1418" t="inlineStr">
        <is>
          <t>Tenanted</t>
        </is>
      </c>
    </row>
    <row r="1419">
      <c r="A1419" t="inlineStr">
        <is>
          <t>U-PI625-01-08</t>
        </is>
      </c>
      <c r="B1419" t="inlineStr">
        <is>
          <t>Pasir Indah</t>
        </is>
      </c>
      <c r="C1419" t="inlineStr">
        <is>
          <t>Blk 625 Jalan Pasir Indah #01-08 Singapura 510625</t>
        </is>
      </c>
      <c r="D1419" t="inlineStr">
        <is>
          <t>Shop</t>
        </is>
      </c>
      <c r="E1419" t="n">
        <v>68.40000000000001</v>
      </c>
      <c r="F1419" t="inlineStr">
        <is>
          <t>NC-PI-3</t>
        </is>
      </c>
      <c r="G1419" t="inlineStr">
        <is>
          <t>Tenanted</t>
        </is>
      </c>
    </row>
    <row r="1420">
      <c r="A1420" t="inlineStr">
        <is>
          <t>U-PI625-01-09</t>
        </is>
      </c>
      <c r="B1420" t="inlineStr">
        <is>
          <t>Pasir Indah</t>
        </is>
      </c>
      <c r="C1420" t="inlineStr">
        <is>
          <t>Blk 625 Jalan Pasir Indah #01-09 Singapura 510625</t>
        </is>
      </c>
      <c r="D1420" t="inlineStr">
        <is>
          <t>Shop</t>
        </is>
      </c>
      <c r="E1420" t="n">
        <v>104</v>
      </c>
      <c r="F1420" t="inlineStr">
        <is>
          <t>NC-PI-3</t>
        </is>
      </c>
      <c r="G1420" t="inlineStr">
        <is>
          <t>Tenanted</t>
        </is>
      </c>
    </row>
    <row r="1421">
      <c r="A1421" t="inlineStr">
        <is>
          <t>U-PI626-01-01</t>
        </is>
      </c>
      <c r="B1421" t="inlineStr">
        <is>
          <t>Pasir Indah</t>
        </is>
      </c>
      <c r="C1421" t="inlineStr">
        <is>
          <t>Blk 626 Jalan Pasir Indah #01-01 Singapura 510626</t>
        </is>
      </c>
      <c r="D1421" t="inlineStr">
        <is>
          <t>Shop</t>
        </is>
      </c>
      <c r="E1421" t="n">
        <v>96.2</v>
      </c>
      <c r="F1421" t="inlineStr">
        <is>
          <t>NC-PI-3</t>
        </is>
      </c>
      <c r="G1421" t="inlineStr">
        <is>
          <t>Tenanted</t>
        </is>
      </c>
    </row>
    <row r="1422">
      <c r="A1422" t="inlineStr">
        <is>
          <t>U-PI626-01-02</t>
        </is>
      </c>
      <c r="B1422" t="inlineStr">
        <is>
          <t>Pasir Indah</t>
        </is>
      </c>
      <c r="C1422" t="inlineStr">
        <is>
          <t>Blk 626 Jalan Pasir Indah #01-02 Singapura 510626</t>
        </is>
      </c>
      <c r="D1422" t="inlineStr">
        <is>
          <t>Shop</t>
        </is>
      </c>
      <c r="E1422" t="n">
        <v>53.1</v>
      </c>
      <c r="F1422" t="inlineStr">
        <is>
          <t>NC-PI-3</t>
        </is>
      </c>
      <c r="G1422" t="inlineStr">
        <is>
          <t>Tenanted</t>
        </is>
      </c>
    </row>
    <row r="1423">
      <c r="A1423" t="inlineStr">
        <is>
          <t>U-PI626-01-03</t>
        </is>
      </c>
      <c r="B1423" t="inlineStr">
        <is>
          <t>Pasir Indah</t>
        </is>
      </c>
      <c r="C1423" t="inlineStr">
        <is>
          <t>Blk 626 Jalan Pasir Indah #01-03 Singapura 510626</t>
        </is>
      </c>
      <c r="D1423" t="inlineStr">
        <is>
          <t>Shop</t>
        </is>
      </c>
      <c r="E1423" t="n">
        <v>97.3</v>
      </c>
      <c r="F1423" t="inlineStr">
        <is>
          <t>NC-PI-3</t>
        </is>
      </c>
      <c r="G1423" t="inlineStr">
        <is>
          <t>Tenanted</t>
        </is>
      </c>
    </row>
    <row r="1424">
      <c r="A1424" t="inlineStr">
        <is>
          <t>U-PI626-01-04</t>
        </is>
      </c>
      <c r="B1424" t="inlineStr">
        <is>
          <t>Pasir Indah</t>
        </is>
      </c>
      <c r="C1424" t="inlineStr">
        <is>
          <t>Blk 626 Jalan Pasir Indah #01-04 Singapura 510626</t>
        </is>
      </c>
      <c r="D1424" t="inlineStr">
        <is>
          <t>Kiosk</t>
        </is>
      </c>
      <c r="E1424" t="n">
        <v>7</v>
      </c>
      <c r="F1424" t="inlineStr">
        <is>
          <t>NC-PI-3</t>
        </is>
      </c>
      <c r="G1424" t="inlineStr">
        <is>
          <t>Tenanted</t>
        </is>
      </c>
    </row>
    <row r="1425">
      <c r="A1425" t="inlineStr">
        <is>
          <t>U-PI626-01-05</t>
        </is>
      </c>
      <c r="B1425" t="inlineStr">
        <is>
          <t>Pasir Indah</t>
        </is>
      </c>
      <c r="C1425" t="inlineStr">
        <is>
          <t>Blk 626 Jalan Pasir Indah #01-05 Singapura 510626</t>
        </is>
      </c>
      <c r="D1425" t="inlineStr">
        <is>
          <t>Shop</t>
        </is>
      </c>
      <c r="E1425" t="n">
        <v>55</v>
      </c>
      <c r="F1425" t="inlineStr">
        <is>
          <t>NC-PI-3</t>
        </is>
      </c>
      <c r="G1425" t="inlineStr">
        <is>
          <t>Tenanted</t>
        </is>
      </c>
    </row>
    <row r="1426">
      <c r="A1426" t="inlineStr">
        <is>
          <t>U-PI626-02-06</t>
        </is>
      </c>
      <c r="B1426" t="inlineStr">
        <is>
          <t>Pasir Indah</t>
        </is>
      </c>
      <c r="C1426" t="inlineStr">
        <is>
          <t>Blk 626 Jalan Pasir Indah #02-06 Singapura 510626</t>
        </is>
      </c>
      <c r="D1426" t="inlineStr">
        <is>
          <t>Office</t>
        </is>
      </c>
      <c r="E1426" t="n">
        <v>95.7</v>
      </c>
      <c r="F1426" t="inlineStr">
        <is>
          <t>NC-PI-3</t>
        </is>
      </c>
      <c r="G1426" t="inlineStr">
        <is>
          <t>Tenanted</t>
        </is>
      </c>
    </row>
    <row r="1427">
      <c r="A1427" t="inlineStr">
        <is>
          <t>U-PI626-01-07</t>
        </is>
      </c>
      <c r="B1427" t="inlineStr">
        <is>
          <t>Pasir Indah</t>
        </is>
      </c>
      <c r="C1427" t="inlineStr">
        <is>
          <t>Blk 626 Jalan Pasir Indah #01-07 Singapura 510626</t>
        </is>
      </c>
      <c r="D1427" t="inlineStr">
        <is>
          <t>Shop with Living Quarters</t>
        </is>
      </c>
      <c r="E1427" t="n">
        <v>95.8</v>
      </c>
      <c r="F1427" t="inlineStr">
        <is>
          <t>NC-PI-3</t>
        </is>
      </c>
      <c r="G1427" t="inlineStr">
        <is>
          <t>Tenanted</t>
        </is>
      </c>
    </row>
    <row r="1428">
      <c r="A1428" t="inlineStr">
        <is>
          <t>U-PI626-01-08</t>
        </is>
      </c>
      <c r="B1428" t="inlineStr">
        <is>
          <t>Pasir Indah</t>
        </is>
      </c>
      <c r="C1428" t="inlineStr">
        <is>
          <t>Blk 626 Jalan Pasir Indah #01-08 Singapura 510626</t>
        </is>
      </c>
      <c r="D1428" t="inlineStr">
        <is>
          <t>Shop</t>
        </is>
      </c>
      <c r="E1428" t="n">
        <v>73.2</v>
      </c>
      <c r="F1428" t="inlineStr">
        <is>
          <t>NC-PI-3</t>
        </is>
      </c>
      <c r="G1428" t="inlineStr">
        <is>
          <t>Tenanted</t>
        </is>
      </c>
    </row>
    <row r="1429">
      <c r="A1429" t="inlineStr">
        <is>
          <t>U-PI626-01-09</t>
        </is>
      </c>
      <c r="B1429" t="inlineStr">
        <is>
          <t>Pasir Indah</t>
        </is>
      </c>
      <c r="C1429" t="inlineStr">
        <is>
          <t>Blk 626 Jalan Pasir Indah #01-09 Singapura 510626</t>
        </is>
      </c>
      <c r="D1429" t="inlineStr">
        <is>
          <t>Office</t>
        </is>
      </c>
      <c r="E1429" t="n">
        <v>108.9</v>
      </c>
      <c r="F1429" t="inlineStr">
        <is>
          <t>NC-PI-3</t>
        </is>
      </c>
      <c r="G1429" t="inlineStr">
        <is>
          <t>Tenanted</t>
        </is>
      </c>
    </row>
    <row r="1430">
      <c r="A1430" t="inlineStr">
        <is>
          <t>U-PI626-01-10</t>
        </is>
      </c>
      <c r="B1430" t="inlineStr">
        <is>
          <t>Pasir Indah</t>
        </is>
      </c>
      <c r="C1430" t="inlineStr">
        <is>
          <t>Blk 626 Jalan Pasir Indah #01-10 Singapura 510626</t>
        </is>
      </c>
      <c r="D1430" t="inlineStr">
        <is>
          <t>Kiosk</t>
        </is>
      </c>
      <c r="E1430" t="n">
        <v>10.1</v>
      </c>
      <c r="F1430" t="inlineStr">
        <is>
          <t>NC-PI-3</t>
        </is>
      </c>
      <c r="G1430" t="inlineStr">
        <is>
          <t>Tenanted</t>
        </is>
      </c>
    </row>
    <row r="1431">
      <c r="A1431" t="inlineStr">
        <is>
          <t>U-PI626-01-11</t>
        </is>
      </c>
      <c r="B1431" t="inlineStr">
        <is>
          <t>Pasir Indah</t>
        </is>
      </c>
      <c r="C1431" t="inlineStr">
        <is>
          <t>Blk 626 Jalan Pasir Indah #01-11 Singapura 510626</t>
        </is>
      </c>
      <c r="D1431" t="inlineStr">
        <is>
          <t>Shop</t>
        </is>
      </c>
      <c r="E1431" t="n">
        <v>116.5</v>
      </c>
      <c r="F1431" t="inlineStr">
        <is>
          <t>NC-PI-3</t>
        </is>
      </c>
      <c r="G1431" t="inlineStr">
        <is>
          <t>Tenanted</t>
        </is>
      </c>
    </row>
    <row r="1432">
      <c r="A1432" t="inlineStr">
        <is>
          <t>U-PI626-01-12</t>
        </is>
      </c>
      <c r="B1432" t="inlineStr">
        <is>
          <t>Pasir Indah</t>
        </is>
      </c>
      <c r="C1432" t="inlineStr">
        <is>
          <t>Blk 626 Jalan Pasir Indah #01-12 Singapura 510626</t>
        </is>
      </c>
      <c r="D1432" t="inlineStr">
        <is>
          <t>Shop</t>
        </is>
      </c>
      <c r="E1432" t="n">
        <v>79.90000000000001</v>
      </c>
      <c r="F1432" t="inlineStr">
        <is>
          <t>NC-PI-3</t>
        </is>
      </c>
      <c r="G1432" t="inlineStr">
        <is>
          <t>Tenanted</t>
        </is>
      </c>
    </row>
    <row r="1433">
      <c r="A1433" t="inlineStr">
        <is>
          <t>U-PI626-01-13</t>
        </is>
      </c>
      <c r="B1433" t="inlineStr">
        <is>
          <t>Pasir Indah</t>
        </is>
      </c>
      <c r="C1433" t="inlineStr">
        <is>
          <t>Blk 626 Jalan Pasir Indah #01-13 Singapura 510626</t>
        </is>
      </c>
      <c r="D1433" t="inlineStr">
        <is>
          <t>Shop</t>
        </is>
      </c>
      <c r="E1433" t="n">
        <v>43.9</v>
      </c>
      <c r="F1433" t="inlineStr">
        <is>
          <t>NC-PI-3</t>
        </is>
      </c>
      <c r="G1433" t="inlineStr">
        <is>
          <t>Tenanted</t>
        </is>
      </c>
    </row>
    <row r="1434">
      <c r="A1434" t="inlineStr">
        <is>
          <t>U-PI626-01-14</t>
        </is>
      </c>
      <c r="B1434" t="inlineStr">
        <is>
          <t>Pasir Indah</t>
        </is>
      </c>
      <c r="C1434" t="inlineStr">
        <is>
          <t>Blk 626 Jalan Pasir Indah #01-14 Singapura 510626</t>
        </is>
      </c>
      <c r="D1434" t="inlineStr">
        <is>
          <t>Office</t>
        </is>
      </c>
      <c r="E1434" t="n">
        <v>98.3</v>
      </c>
      <c r="F1434" t="inlineStr">
        <is>
          <t>NC-PI-3</t>
        </is>
      </c>
      <c r="G1434" t="inlineStr">
        <is>
          <t>Tenanted</t>
        </is>
      </c>
    </row>
    <row r="1435">
      <c r="A1435" t="inlineStr">
        <is>
          <t>U-PI627-01-01</t>
        </is>
      </c>
      <c r="B1435" t="inlineStr">
        <is>
          <t>Pasir Indah</t>
        </is>
      </c>
      <c r="C1435" t="inlineStr">
        <is>
          <t>Blk 627 Pasir Indah Street 62 #01-01 Singapura 510627</t>
        </is>
      </c>
      <c r="D1435" t="inlineStr">
        <is>
          <t>Shop with Living Quarters</t>
        </is>
      </c>
      <c r="E1435" t="n">
        <v>105.5</v>
      </c>
      <c r="F1435" t="inlineStr">
        <is>
          <t>NC-PI-1</t>
        </is>
      </c>
      <c r="G1435" t="inlineStr">
        <is>
          <t>Tenanted</t>
        </is>
      </c>
    </row>
    <row r="1436">
      <c r="A1436" t="inlineStr">
        <is>
          <t>U-PI627-01-02</t>
        </is>
      </c>
      <c r="B1436" t="inlineStr">
        <is>
          <t>Pasir Indah</t>
        </is>
      </c>
      <c r="C1436" t="inlineStr">
        <is>
          <t>Blk 627 Pasir Indah Street 62 #01-02 Singapura 510627</t>
        </is>
      </c>
      <c r="D1436" t="inlineStr">
        <is>
          <t>Kiosk</t>
        </is>
      </c>
      <c r="E1436" t="n">
        <v>7.6</v>
      </c>
      <c r="F1436" t="inlineStr">
        <is>
          <t>NC-PI-1</t>
        </is>
      </c>
      <c r="G1436" t="inlineStr">
        <is>
          <t>Tenanted</t>
        </is>
      </c>
    </row>
    <row r="1437">
      <c r="A1437" t="inlineStr">
        <is>
          <t>U-PI627-01-03</t>
        </is>
      </c>
      <c r="B1437" t="inlineStr">
        <is>
          <t>Pasir Indah</t>
        </is>
      </c>
      <c r="C1437" t="inlineStr">
        <is>
          <t>Blk 627 Pasir Indah Street 62 #01-03 Singapura 510627</t>
        </is>
      </c>
      <c r="D1437" t="inlineStr">
        <is>
          <t>Shop with Living Quarters</t>
        </is>
      </c>
      <c r="E1437" t="n">
        <v>65.2</v>
      </c>
      <c r="F1437" t="inlineStr">
        <is>
          <t>NC-PI-1</t>
        </is>
      </c>
      <c r="G1437" t="inlineStr">
        <is>
          <t>Tenanted</t>
        </is>
      </c>
    </row>
    <row r="1438">
      <c r="A1438" t="inlineStr">
        <is>
          <t>U-PI627-01-04</t>
        </is>
      </c>
      <c r="B1438" t="inlineStr">
        <is>
          <t>Pasir Indah</t>
        </is>
      </c>
      <c r="C1438" t="inlineStr">
        <is>
          <t>Blk 627 Pasir Indah Street 62 #01-04 Singapura 510627</t>
        </is>
      </c>
      <c r="D1438" t="inlineStr">
        <is>
          <t>Shop</t>
        </is>
      </c>
      <c r="E1438" t="n">
        <v>88.5</v>
      </c>
      <c r="F1438" t="inlineStr">
        <is>
          <t>NC-PI-1</t>
        </is>
      </c>
      <c r="G1438" t="inlineStr">
        <is>
          <t>Tenanted</t>
        </is>
      </c>
    </row>
    <row r="1439">
      <c r="A1439" t="inlineStr">
        <is>
          <t>U-PI627-01-05</t>
        </is>
      </c>
      <c r="B1439" t="inlineStr">
        <is>
          <t>Pasir Indah</t>
        </is>
      </c>
      <c r="C1439" t="inlineStr">
        <is>
          <t>Blk 627 Pasir Indah Street 62 #01-05 Singapura 510627</t>
        </is>
      </c>
      <c r="D1439" t="inlineStr">
        <is>
          <t>Shop</t>
        </is>
      </c>
      <c r="E1439" t="n">
        <v>110.5</v>
      </c>
      <c r="F1439" t="inlineStr">
        <is>
          <t>NC-PI-1</t>
        </is>
      </c>
      <c r="G1439" t="inlineStr">
        <is>
          <t>Tenanted</t>
        </is>
      </c>
    </row>
    <row r="1440">
      <c r="A1440" t="inlineStr">
        <is>
          <t>U-PI627-01-06</t>
        </is>
      </c>
      <c r="B1440" t="inlineStr">
        <is>
          <t>Pasir Indah</t>
        </is>
      </c>
      <c r="C1440" t="inlineStr">
        <is>
          <t>Blk 627 Pasir Indah Street 62 #01-06 Singapura 510627</t>
        </is>
      </c>
      <c r="D1440" t="inlineStr">
        <is>
          <t>Shop</t>
        </is>
      </c>
      <c r="E1440" t="n">
        <v>88.7</v>
      </c>
      <c r="F1440" t="inlineStr">
        <is>
          <t>NC-PI-1</t>
        </is>
      </c>
      <c r="G1440" t="inlineStr">
        <is>
          <t>Tenanted</t>
        </is>
      </c>
    </row>
    <row r="1441">
      <c r="A1441" t="inlineStr">
        <is>
          <t>U-PI627-01-07</t>
        </is>
      </c>
      <c r="B1441" t="inlineStr">
        <is>
          <t>Pasir Indah</t>
        </is>
      </c>
      <c r="C1441" t="inlineStr">
        <is>
          <t>Blk 627 Pasir Indah Street 62 #01-07 Singapura 510627</t>
        </is>
      </c>
      <c r="D1441" t="inlineStr">
        <is>
          <t>Kiosk</t>
        </is>
      </c>
      <c r="E1441" t="n">
        <v>8.199999999999999</v>
      </c>
      <c r="F1441" t="inlineStr">
        <is>
          <t>NC-PI-1</t>
        </is>
      </c>
      <c r="G1441" t="inlineStr">
        <is>
          <t>Tenanted</t>
        </is>
      </c>
    </row>
    <row r="1442">
      <c r="A1442" t="inlineStr">
        <is>
          <t>U-PI627-01-08</t>
        </is>
      </c>
      <c r="B1442" t="inlineStr">
        <is>
          <t>Pasir Indah</t>
        </is>
      </c>
      <c r="C1442" t="inlineStr">
        <is>
          <t>Blk 627 Pasir Indah Street 62 #01-08 Singapura 510627</t>
        </is>
      </c>
      <c r="D1442" t="inlineStr">
        <is>
          <t>Shop</t>
        </is>
      </c>
      <c r="E1442" t="n">
        <v>71.8</v>
      </c>
      <c r="F1442" t="inlineStr">
        <is>
          <t>NC-PI-1</t>
        </is>
      </c>
      <c r="G1442" t="inlineStr">
        <is>
          <t>Tenanted</t>
        </is>
      </c>
    </row>
    <row r="1443">
      <c r="A1443" t="inlineStr">
        <is>
          <t>U-PI627-01-09</t>
        </is>
      </c>
      <c r="B1443" t="inlineStr">
        <is>
          <t>Pasir Indah</t>
        </is>
      </c>
      <c r="C1443" t="inlineStr">
        <is>
          <t>Blk 627 Pasir Indah Street 62 #01-09 Singapura 510627</t>
        </is>
      </c>
      <c r="D1443" t="inlineStr">
        <is>
          <t>Shop</t>
        </is>
      </c>
      <c r="E1443" t="n">
        <v>63.5</v>
      </c>
      <c r="F1443" t="inlineStr">
        <is>
          <t>NC-PI-1</t>
        </is>
      </c>
      <c r="G1443" t="inlineStr">
        <is>
          <t>Tenanted</t>
        </is>
      </c>
    </row>
    <row r="1444">
      <c r="A1444" t="inlineStr">
        <is>
          <t>U-PI627-01-10</t>
        </is>
      </c>
      <c r="B1444" t="inlineStr">
        <is>
          <t>Pasir Indah</t>
        </is>
      </c>
      <c r="C1444" t="inlineStr">
        <is>
          <t>Blk 627 Pasir Indah Street 62 #01-10 Singapura 510627</t>
        </is>
      </c>
      <c r="D1444" t="inlineStr">
        <is>
          <t>Shop with Living Quarters</t>
        </is>
      </c>
      <c r="E1444" t="n">
        <v>66.90000000000001</v>
      </c>
      <c r="F1444" t="inlineStr">
        <is>
          <t>NC-PI-1</t>
        </is>
      </c>
      <c r="G1444" t="inlineStr">
        <is>
          <t>Tenanted</t>
        </is>
      </c>
    </row>
    <row r="1445">
      <c r="A1445" t="inlineStr">
        <is>
          <t>U-PI627-01-11</t>
        </is>
      </c>
      <c r="B1445" t="inlineStr">
        <is>
          <t>Pasir Indah</t>
        </is>
      </c>
      <c r="C1445" t="inlineStr">
        <is>
          <t>Blk 627 Pasir Indah Street 62 #01-11 Singapura 510627</t>
        </is>
      </c>
      <c r="D1445" t="inlineStr">
        <is>
          <t>Shop</t>
        </is>
      </c>
      <c r="E1445" t="n">
        <v>110.9</v>
      </c>
      <c r="F1445" t="inlineStr">
        <is>
          <t>NC-PI-1</t>
        </is>
      </c>
      <c r="G1445" t="inlineStr">
        <is>
          <t>Tenanted</t>
        </is>
      </c>
    </row>
    <row r="1446">
      <c r="A1446" t="inlineStr">
        <is>
          <t>U-PI627-01-12</t>
        </is>
      </c>
      <c r="B1446" t="inlineStr">
        <is>
          <t>Pasir Indah</t>
        </is>
      </c>
      <c r="C1446" t="inlineStr">
        <is>
          <t>Blk 627 Pasir Indah Street 62 #01-12 Singapura 510627</t>
        </is>
      </c>
      <c r="D1446" t="inlineStr">
        <is>
          <t>Shop</t>
        </is>
      </c>
      <c r="E1446" t="n">
        <v>107.4</v>
      </c>
      <c r="F1446" t="inlineStr">
        <is>
          <t>NC-PI-1</t>
        </is>
      </c>
      <c r="G1446" t="inlineStr">
        <is>
          <t>Tenanted</t>
        </is>
      </c>
    </row>
    <row r="1447">
      <c r="A1447" t="inlineStr">
        <is>
          <t>U-PI627-01-13</t>
        </is>
      </c>
      <c r="B1447" t="inlineStr">
        <is>
          <t>Pasir Indah</t>
        </is>
      </c>
      <c r="C1447" t="inlineStr">
        <is>
          <t>Blk 627 Pasir Indah Street 62 #01-13 Singapura 510627</t>
        </is>
      </c>
      <c r="D1447" t="inlineStr">
        <is>
          <t>Shop</t>
        </is>
      </c>
      <c r="E1447" t="n">
        <v>65.09999999999999</v>
      </c>
      <c r="F1447" t="inlineStr">
        <is>
          <t>NC-PI-1</t>
        </is>
      </c>
      <c r="G1447" t="inlineStr">
        <is>
          <t>Tenanted</t>
        </is>
      </c>
    </row>
    <row r="1448">
      <c r="A1448" t="inlineStr">
        <is>
          <t>U-PI627-01-14</t>
        </is>
      </c>
      <c r="B1448" t="inlineStr">
        <is>
          <t>Pasir Indah</t>
        </is>
      </c>
      <c r="C1448" t="inlineStr">
        <is>
          <t>Blk 627 Pasir Indah Street 62 #01-14 Singapura 510627</t>
        </is>
      </c>
      <c r="D1448" t="inlineStr">
        <is>
          <t>Kiosk</t>
        </is>
      </c>
      <c r="E1448" t="n">
        <v>11</v>
      </c>
      <c r="F1448" t="inlineStr">
        <is>
          <t>NC-PI-1</t>
        </is>
      </c>
      <c r="G1448" t="inlineStr">
        <is>
          <t>Tenanted</t>
        </is>
      </c>
    </row>
    <row r="1449">
      <c r="A1449" t="inlineStr">
        <is>
          <t>U-PI627-01-15</t>
        </is>
      </c>
      <c r="B1449" t="inlineStr">
        <is>
          <t>Pasir Indah</t>
        </is>
      </c>
      <c r="C1449" t="inlineStr">
        <is>
          <t>Blk 627 Pasir Indah Street 62 #01-15 Singapura 510627</t>
        </is>
      </c>
      <c r="D1449" t="inlineStr">
        <is>
          <t>Shop</t>
        </is>
      </c>
      <c r="E1449" t="n">
        <v>56.8</v>
      </c>
      <c r="F1449" t="inlineStr">
        <is>
          <t>NC-PI-1</t>
        </is>
      </c>
      <c r="G1449" t="inlineStr">
        <is>
          <t>Tenanted</t>
        </is>
      </c>
    </row>
    <row r="1450">
      <c r="A1450" t="inlineStr">
        <is>
          <t>U-PI627-01-16</t>
        </is>
      </c>
      <c r="B1450" t="inlineStr">
        <is>
          <t>Pasir Indah</t>
        </is>
      </c>
      <c r="C1450" t="inlineStr">
        <is>
          <t>Blk 627 Pasir Indah Street 62 #01-16 Singapura 510627</t>
        </is>
      </c>
      <c r="D1450" t="inlineStr">
        <is>
          <t>Kiosk</t>
        </is>
      </c>
      <c r="E1450" t="n">
        <v>12.2</v>
      </c>
      <c r="F1450" t="inlineStr">
        <is>
          <t>NC-PI-1</t>
        </is>
      </c>
      <c r="G1450" t="inlineStr">
        <is>
          <t>Tenanted</t>
        </is>
      </c>
    </row>
    <row r="1451">
      <c r="A1451" t="inlineStr">
        <is>
          <t>U-PI627-02-17</t>
        </is>
      </c>
      <c r="B1451" t="inlineStr">
        <is>
          <t>Pasir Indah</t>
        </is>
      </c>
      <c r="C1451" t="inlineStr">
        <is>
          <t>Blk 627 Pasir Indah Street 62 #02-17 Singapura 510627</t>
        </is>
      </c>
      <c r="D1451" t="inlineStr">
        <is>
          <t>Office</t>
        </is>
      </c>
      <c r="E1451" t="n">
        <v>121</v>
      </c>
      <c r="F1451" t="inlineStr">
        <is>
          <t>NC-PI-1</t>
        </is>
      </c>
      <c r="G1451" t="inlineStr">
        <is>
          <t>Tenanted</t>
        </is>
      </c>
    </row>
    <row r="1452">
      <c r="A1452" t="inlineStr">
        <is>
          <t>U-PI627-02-18</t>
        </is>
      </c>
      <c r="B1452" t="inlineStr">
        <is>
          <t>Pasir Indah</t>
        </is>
      </c>
      <c r="C1452" t="inlineStr">
        <is>
          <t>Blk 627 Pasir Indah Street 62 #02-18 Singapura 510627</t>
        </is>
      </c>
      <c r="D1452" t="inlineStr">
        <is>
          <t>Office</t>
        </is>
      </c>
      <c r="E1452" t="n">
        <v>104.2</v>
      </c>
      <c r="F1452" t="inlineStr">
        <is>
          <t>NC-PI-1</t>
        </is>
      </c>
      <c r="G1452" t="inlineStr">
        <is>
          <t>Tenanted</t>
        </is>
      </c>
    </row>
    <row r="1453">
      <c r="A1453" t="inlineStr">
        <is>
          <t>U-PI627-01-19</t>
        </is>
      </c>
      <c r="B1453" t="inlineStr">
        <is>
          <t>Pasir Indah</t>
        </is>
      </c>
      <c r="C1453" t="inlineStr">
        <is>
          <t>Blk 627 Pasir Indah Street 62 #01-19 Singapura 510627</t>
        </is>
      </c>
      <c r="D1453" t="inlineStr">
        <is>
          <t>Shop</t>
        </is>
      </c>
      <c r="E1453" t="n">
        <v>96.8</v>
      </c>
      <c r="F1453" t="inlineStr">
        <is>
          <t>NC-PI-1</t>
        </is>
      </c>
      <c r="G1453" t="inlineStr">
        <is>
          <t>Tenanted</t>
        </is>
      </c>
    </row>
    <row r="1454">
      <c r="A1454" t="inlineStr">
        <is>
          <t>U-PI627-01-20</t>
        </is>
      </c>
      <c r="B1454" t="inlineStr">
        <is>
          <t>Pasir Indah</t>
        </is>
      </c>
      <c r="C1454" t="inlineStr">
        <is>
          <t>Blk 627 Pasir Indah Street 62 #01-20 Singapura 510627</t>
        </is>
      </c>
      <c r="D1454" t="inlineStr">
        <is>
          <t>Kiosk</t>
        </is>
      </c>
      <c r="E1454" t="n">
        <v>11.1</v>
      </c>
      <c r="F1454" t="inlineStr">
        <is>
          <t>NC-PI-1</t>
        </is>
      </c>
      <c r="G1454" t="inlineStr">
        <is>
          <t>Tenanted</t>
        </is>
      </c>
    </row>
    <row r="1455">
      <c r="A1455" t="inlineStr">
        <is>
          <t>U-PI627-01-21</t>
        </is>
      </c>
      <c r="B1455" t="inlineStr">
        <is>
          <t>Pasir Indah</t>
        </is>
      </c>
      <c r="C1455" t="inlineStr">
        <is>
          <t>Blk 627 Pasir Indah Street 62 #01-21 Singapura 510627</t>
        </is>
      </c>
      <c r="D1455" t="inlineStr">
        <is>
          <t>Shop</t>
        </is>
      </c>
      <c r="E1455" t="n">
        <v>115.4</v>
      </c>
      <c r="F1455" t="inlineStr">
        <is>
          <t>NC-PI-1</t>
        </is>
      </c>
      <c r="G1455" t="inlineStr">
        <is>
          <t>Tenanted</t>
        </is>
      </c>
    </row>
    <row r="1456">
      <c r="A1456" t="inlineStr">
        <is>
          <t>U-PI627-01-22</t>
        </is>
      </c>
      <c r="B1456" t="inlineStr">
        <is>
          <t>Pasir Indah</t>
        </is>
      </c>
      <c r="C1456" t="inlineStr">
        <is>
          <t>Blk 627 Pasir Indah Street 62 #01-22 Singapura 510627</t>
        </is>
      </c>
      <c r="D1456" t="inlineStr">
        <is>
          <t>Kiosk</t>
        </is>
      </c>
      <c r="E1456" t="n">
        <v>12.1</v>
      </c>
      <c r="F1456" t="inlineStr">
        <is>
          <t>NC-PI-1</t>
        </is>
      </c>
      <c r="G1456" t="inlineStr">
        <is>
          <t>Tenanted</t>
        </is>
      </c>
    </row>
    <row r="1457">
      <c r="A1457" t="inlineStr">
        <is>
          <t>U-PI627-02-23</t>
        </is>
      </c>
      <c r="B1457" t="inlineStr">
        <is>
          <t>Pasir Indah</t>
        </is>
      </c>
      <c r="C1457" t="inlineStr">
        <is>
          <t>Blk 627 Pasir Indah Street 62 #02-23 Singapura 510627</t>
        </is>
      </c>
      <c r="D1457" t="inlineStr">
        <is>
          <t>Office</t>
        </is>
      </c>
      <c r="E1457" t="n">
        <v>137.7</v>
      </c>
      <c r="F1457" t="inlineStr">
        <is>
          <t>NC-PI-1</t>
        </is>
      </c>
      <c r="G1457" t="inlineStr">
        <is>
          <t>Tenanted</t>
        </is>
      </c>
    </row>
    <row r="1458">
      <c r="A1458" t="inlineStr">
        <is>
          <t>U-PI627-01-24</t>
        </is>
      </c>
      <c r="B1458" t="inlineStr">
        <is>
          <t>Pasir Indah</t>
        </is>
      </c>
      <c r="C1458" t="inlineStr">
        <is>
          <t>Blk 627 Pasir Indah Street 62 #01-24 Singapura 510627</t>
        </is>
      </c>
      <c r="D1458" t="inlineStr">
        <is>
          <t>Shop</t>
        </is>
      </c>
      <c r="E1458" t="n">
        <v>41</v>
      </c>
      <c r="F1458" t="inlineStr">
        <is>
          <t>NC-PI-1</t>
        </is>
      </c>
      <c r="G1458" t="inlineStr">
        <is>
          <t>Tenanted</t>
        </is>
      </c>
    </row>
    <row r="1459">
      <c r="A1459" t="inlineStr">
        <is>
          <t>U-PI627-01-25</t>
        </is>
      </c>
      <c r="B1459" t="inlineStr">
        <is>
          <t>Pasir Indah</t>
        </is>
      </c>
      <c r="C1459" t="inlineStr">
        <is>
          <t>Blk 627 Pasir Indah Street 62 #01-25 Singapura 510627</t>
        </is>
      </c>
      <c r="D1459" t="inlineStr">
        <is>
          <t>Shop</t>
        </is>
      </c>
      <c r="E1459" t="n">
        <v>70.5</v>
      </c>
      <c r="F1459" t="inlineStr">
        <is>
          <t>NC-PI-1</t>
        </is>
      </c>
      <c r="G1459" t="inlineStr">
        <is>
          <t>Tenanted</t>
        </is>
      </c>
    </row>
    <row r="1460">
      <c r="A1460" t="inlineStr">
        <is>
          <t>U-PI627-01-26</t>
        </is>
      </c>
      <c r="B1460" t="inlineStr">
        <is>
          <t>Pasir Indah</t>
        </is>
      </c>
      <c r="C1460" t="inlineStr">
        <is>
          <t>Blk 627 Pasir Indah Street 62 #01-26 Singapura 510627</t>
        </is>
      </c>
      <c r="D1460" t="inlineStr">
        <is>
          <t>Shop</t>
        </is>
      </c>
      <c r="E1460" t="n">
        <v>44.5</v>
      </c>
      <c r="F1460" t="inlineStr">
        <is>
          <t>NC-PI-1</t>
        </is>
      </c>
      <c r="G1460" t="inlineStr">
        <is>
          <t>Tenanted</t>
        </is>
      </c>
    </row>
    <row r="1461">
      <c r="A1461" t="inlineStr">
        <is>
          <t>U-PI627-01-27</t>
        </is>
      </c>
      <c r="B1461" t="inlineStr">
        <is>
          <t>Pasir Indah</t>
        </is>
      </c>
      <c r="C1461" t="inlineStr">
        <is>
          <t>Blk 627 Pasir Indah Street 62 #01-27 Singapura 510627</t>
        </is>
      </c>
      <c r="D1461" t="inlineStr">
        <is>
          <t>Shop</t>
        </is>
      </c>
      <c r="E1461" t="n">
        <v>102.8</v>
      </c>
      <c r="F1461" t="inlineStr">
        <is>
          <t>NC-PI-1</t>
        </is>
      </c>
      <c r="G1461" t="inlineStr">
        <is>
          <t>Tenanted</t>
        </is>
      </c>
    </row>
    <row r="1462">
      <c r="A1462" t="inlineStr">
        <is>
          <t>U-PI627-02-28</t>
        </is>
      </c>
      <c r="B1462" t="inlineStr">
        <is>
          <t>Pasir Indah</t>
        </is>
      </c>
      <c r="C1462" t="inlineStr">
        <is>
          <t>Blk 627 Pasir Indah Street 62 #02-28 Singapura 510627</t>
        </is>
      </c>
      <c r="D1462" t="inlineStr">
        <is>
          <t>Office</t>
        </is>
      </c>
      <c r="E1462" t="n">
        <v>64.59999999999999</v>
      </c>
      <c r="F1462" t="inlineStr">
        <is>
          <t>NC-PI-1</t>
        </is>
      </c>
      <c r="G1462" t="inlineStr">
        <is>
          <t>Tenanted</t>
        </is>
      </c>
    </row>
    <row r="1463">
      <c r="A1463" t="inlineStr">
        <is>
          <t>U-PI627-01-29</t>
        </is>
      </c>
      <c r="B1463" t="inlineStr">
        <is>
          <t>Pasir Indah</t>
        </is>
      </c>
      <c r="C1463" t="inlineStr">
        <is>
          <t>Blk 627 Pasir Indah Street 62 #01-29 Singapura 510627</t>
        </is>
      </c>
      <c r="D1463" t="inlineStr">
        <is>
          <t>Shop</t>
        </is>
      </c>
      <c r="E1463" t="n">
        <v>102.7</v>
      </c>
      <c r="F1463" t="inlineStr">
        <is>
          <t>NC-PI-1</t>
        </is>
      </c>
      <c r="G1463" t="inlineStr">
        <is>
          <t>Tenanted</t>
        </is>
      </c>
    </row>
    <row r="1464">
      <c r="A1464" t="inlineStr">
        <is>
          <t>U-PI627-01-30</t>
        </is>
      </c>
      <c r="B1464" t="inlineStr">
        <is>
          <t>Pasir Indah</t>
        </is>
      </c>
      <c r="C1464" t="inlineStr">
        <is>
          <t>Blk 627 Pasir Indah Street 62 #01-30 Singapura 510627</t>
        </is>
      </c>
      <c r="D1464" t="inlineStr">
        <is>
          <t>Shop</t>
        </is>
      </c>
      <c r="E1464" t="n">
        <v>83.3</v>
      </c>
      <c r="F1464" t="inlineStr">
        <is>
          <t>NC-PI-1</t>
        </is>
      </c>
      <c r="G1464" t="inlineStr">
        <is>
          <t>Tenanted</t>
        </is>
      </c>
    </row>
    <row r="1465">
      <c r="A1465" t="inlineStr">
        <is>
          <t>U-PI627-01-31</t>
        </is>
      </c>
      <c r="B1465" t="inlineStr">
        <is>
          <t>Pasir Indah</t>
        </is>
      </c>
      <c r="C1465" t="inlineStr">
        <is>
          <t>Blk 627 Pasir Indah Street 62 #01-31 Singapura 510627</t>
        </is>
      </c>
      <c r="D1465" t="inlineStr">
        <is>
          <t>Shop</t>
        </is>
      </c>
      <c r="E1465" t="n">
        <v>76.2</v>
      </c>
      <c r="F1465" t="inlineStr">
        <is>
          <t>NC-PI-1</t>
        </is>
      </c>
      <c r="G1465" t="inlineStr">
        <is>
          <t>Tenanted</t>
        </is>
      </c>
    </row>
    <row r="1466">
      <c r="A1466" t="inlineStr">
        <is>
          <t>U-PI627-01-32</t>
        </is>
      </c>
      <c r="B1466" t="inlineStr">
        <is>
          <t>Pasir Indah</t>
        </is>
      </c>
      <c r="C1466" t="inlineStr">
        <is>
          <t>Blk 627 Pasir Indah Street 62 #01-32 Singapura 510627</t>
        </is>
      </c>
      <c r="D1466" t="inlineStr">
        <is>
          <t>Shop</t>
        </is>
      </c>
      <c r="E1466" t="n">
        <v>94</v>
      </c>
      <c r="F1466" t="inlineStr">
        <is>
          <t>NC-PI-1</t>
        </is>
      </c>
      <c r="G1466" t="inlineStr">
        <is>
          <t>Tenanted</t>
        </is>
      </c>
    </row>
    <row r="1467">
      <c r="A1467" t="inlineStr">
        <is>
          <t>U-PI627-01-33</t>
        </is>
      </c>
      <c r="B1467" t="inlineStr">
        <is>
          <t>Pasir Indah</t>
        </is>
      </c>
      <c r="C1467" t="inlineStr">
        <is>
          <t>Blk 627 Pasir Indah Street 62 #01-33 Singapura 510627</t>
        </is>
      </c>
      <c r="D1467" t="inlineStr">
        <is>
          <t>Shop</t>
        </is>
      </c>
      <c r="E1467" t="n">
        <v>57.9</v>
      </c>
      <c r="F1467" t="inlineStr">
        <is>
          <t>NC-PI-1</t>
        </is>
      </c>
      <c r="G1467" t="inlineStr">
        <is>
          <t>Tenanted</t>
        </is>
      </c>
    </row>
    <row r="1468">
      <c r="A1468" t="inlineStr">
        <is>
          <t>U-PI627-01-34</t>
        </is>
      </c>
      <c r="B1468" t="inlineStr">
        <is>
          <t>Pasir Indah</t>
        </is>
      </c>
      <c r="C1468" t="inlineStr">
        <is>
          <t>Blk 627 Pasir Indah Street 62 #01-34 Singapura 510627</t>
        </is>
      </c>
      <c r="D1468" t="inlineStr">
        <is>
          <t>Shop</t>
        </is>
      </c>
      <c r="E1468" t="n">
        <v>71.09999999999999</v>
      </c>
      <c r="F1468" t="inlineStr">
        <is>
          <t>NC-PI-1</t>
        </is>
      </c>
      <c r="G1468" t="inlineStr">
        <is>
          <t>Tenanted</t>
        </is>
      </c>
    </row>
    <row r="1469">
      <c r="A1469" t="inlineStr">
        <is>
          <t>U-PI634-01-01</t>
        </is>
      </c>
      <c r="B1469" t="inlineStr">
        <is>
          <t>Pasir Indah</t>
        </is>
      </c>
      <c r="C1469" t="inlineStr">
        <is>
          <t>Blk 634 Pasir Indah Avenue 6 #01-01 Singapura 510634</t>
        </is>
      </c>
      <c r="D1469" t="inlineStr">
        <is>
          <t>Shop with Living Quarters</t>
        </is>
      </c>
      <c r="E1469" t="n">
        <v>99.90000000000001</v>
      </c>
      <c r="F1469" t="inlineStr">
        <is>
          <t>NC-PI-3</t>
        </is>
      </c>
      <c r="G1469" t="inlineStr">
        <is>
          <t>Tenanted</t>
        </is>
      </c>
    </row>
    <row r="1470">
      <c r="A1470" t="inlineStr">
        <is>
          <t>U-PI634-01-02</t>
        </is>
      </c>
      <c r="B1470" t="inlineStr">
        <is>
          <t>Pasir Indah</t>
        </is>
      </c>
      <c r="C1470" t="inlineStr">
        <is>
          <t>Blk 634 Pasir Indah Avenue 6 #01-02 Singapura 510634</t>
        </is>
      </c>
      <c r="D1470" t="inlineStr">
        <is>
          <t>Shop</t>
        </is>
      </c>
      <c r="E1470" t="n">
        <v>93.2</v>
      </c>
      <c r="F1470" t="inlineStr">
        <is>
          <t>NC-PI-3</t>
        </is>
      </c>
      <c r="G1470" t="inlineStr">
        <is>
          <t>Tenanted</t>
        </is>
      </c>
    </row>
    <row r="1471">
      <c r="A1471" t="inlineStr">
        <is>
          <t>U-PI634-02-03</t>
        </is>
      </c>
      <c r="B1471" t="inlineStr">
        <is>
          <t>Pasir Indah</t>
        </is>
      </c>
      <c r="C1471" t="inlineStr">
        <is>
          <t>Blk 634 Pasir Indah Avenue 6 #02-03 Singapura 510634</t>
        </is>
      </c>
      <c r="D1471" t="inlineStr">
        <is>
          <t>Office</t>
        </is>
      </c>
      <c r="E1471" t="n">
        <v>145.7</v>
      </c>
      <c r="F1471" t="inlineStr">
        <is>
          <t>NC-PI-3</t>
        </is>
      </c>
      <c r="G1471" t="inlineStr">
        <is>
          <t>Tenanted</t>
        </is>
      </c>
    </row>
    <row r="1472">
      <c r="A1472" t="inlineStr">
        <is>
          <t>U-PI634-02-04</t>
        </is>
      </c>
      <c r="B1472" t="inlineStr">
        <is>
          <t>Pasir Indah</t>
        </is>
      </c>
      <c r="C1472" t="inlineStr">
        <is>
          <t>Blk 634 Pasir Indah Avenue 6 #02-04 Singapura 510634</t>
        </is>
      </c>
      <c r="D1472" t="inlineStr">
        <is>
          <t>Office</t>
        </is>
      </c>
      <c r="E1472" t="n">
        <v>105.2</v>
      </c>
      <c r="F1472" t="inlineStr">
        <is>
          <t>NC-PI-3</t>
        </is>
      </c>
      <c r="G1472" t="inlineStr">
        <is>
          <t>Tenanted</t>
        </is>
      </c>
    </row>
    <row r="1473">
      <c r="A1473" t="inlineStr">
        <is>
          <t>U-PI634-01-05</t>
        </is>
      </c>
      <c r="B1473" t="inlineStr">
        <is>
          <t>Pasir Indah</t>
        </is>
      </c>
      <c r="C1473" t="inlineStr">
        <is>
          <t>Blk 634 Pasir Indah Avenue 6 #01-05 Singapura 510634</t>
        </is>
      </c>
      <c r="D1473" t="inlineStr">
        <is>
          <t>Shop</t>
        </is>
      </c>
      <c r="E1473" t="n">
        <v>60.1</v>
      </c>
      <c r="F1473" t="inlineStr">
        <is>
          <t>NC-PI-3</t>
        </is>
      </c>
      <c r="G1473" t="inlineStr">
        <is>
          <t>Tenanted</t>
        </is>
      </c>
    </row>
    <row r="1474">
      <c r="A1474" t="inlineStr">
        <is>
          <t>U-PI634-01-06</t>
        </is>
      </c>
      <c r="B1474" t="inlineStr">
        <is>
          <t>Pasir Indah</t>
        </is>
      </c>
      <c r="C1474" t="inlineStr">
        <is>
          <t>Blk 634 Pasir Indah Avenue 6 #01-06 Singapura 510634</t>
        </is>
      </c>
      <c r="D1474" t="inlineStr">
        <is>
          <t>Shop</t>
        </is>
      </c>
      <c r="E1474" t="n">
        <v>102.5</v>
      </c>
      <c r="F1474" t="inlineStr">
        <is>
          <t>NC-PI-3</t>
        </is>
      </c>
      <c r="G1474" t="inlineStr">
        <is>
          <t>Tenanted</t>
        </is>
      </c>
    </row>
    <row r="1475">
      <c r="A1475" t="inlineStr">
        <is>
          <t>U-PI634-01-07</t>
        </is>
      </c>
      <c r="B1475" t="inlineStr">
        <is>
          <t>Pasir Indah</t>
        </is>
      </c>
      <c r="C1475" t="inlineStr">
        <is>
          <t>Blk 634 Pasir Indah Avenue 6 #01-07 Singapura 510634</t>
        </is>
      </c>
      <c r="D1475" t="inlineStr">
        <is>
          <t>Office</t>
        </is>
      </c>
      <c r="E1475" t="n">
        <v>141.1</v>
      </c>
      <c r="F1475" t="inlineStr">
        <is>
          <t>NC-PI-3</t>
        </is>
      </c>
      <c r="G1475" t="inlineStr">
        <is>
          <t>Tenanted</t>
        </is>
      </c>
    </row>
    <row r="1476">
      <c r="A1476" t="inlineStr">
        <is>
          <t>U-PI634-01-08</t>
        </is>
      </c>
      <c r="B1476" t="inlineStr">
        <is>
          <t>Pasir Indah</t>
        </is>
      </c>
      <c r="C1476" t="inlineStr">
        <is>
          <t>Blk 634 Pasir Indah Avenue 6 #01-08 Singapura 510634</t>
        </is>
      </c>
      <c r="D1476" t="inlineStr">
        <is>
          <t>Kiosk</t>
        </is>
      </c>
      <c r="E1476" t="n">
        <v>11.8</v>
      </c>
      <c r="F1476" t="inlineStr">
        <is>
          <t>NC-PI-3</t>
        </is>
      </c>
      <c r="G1476" t="inlineStr">
        <is>
          <t>Tenanted</t>
        </is>
      </c>
    </row>
    <row r="1477">
      <c r="A1477" t="inlineStr">
        <is>
          <t>U-PI634-01-09</t>
        </is>
      </c>
      <c r="B1477" t="inlineStr">
        <is>
          <t>Pasir Indah</t>
        </is>
      </c>
      <c r="C1477" t="inlineStr">
        <is>
          <t>Blk 634 Pasir Indah Avenue 6 #01-09 Singapura 510634</t>
        </is>
      </c>
      <c r="D1477" t="inlineStr">
        <is>
          <t>Kiosk</t>
        </is>
      </c>
      <c r="E1477" t="n">
        <v>10.9</v>
      </c>
      <c r="F1477" t="inlineStr">
        <is>
          <t>NC-PI-3</t>
        </is>
      </c>
      <c r="G1477" t="inlineStr">
        <is>
          <t>Vacant</t>
        </is>
      </c>
    </row>
    <row r="1478">
      <c r="A1478" t="inlineStr">
        <is>
          <t>U-PI634-01-10</t>
        </is>
      </c>
      <c r="B1478" t="inlineStr">
        <is>
          <t>Pasir Indah</t>
        </is>
      </c>
      <c r="C1478" t="inlineStr">
        <is>
          <t>Blk 634 Pasir Indah Avenue 6 #01-10 Singapura 510634</t>
        </is>
      </c>
      <c r="D1478" t="inlineStr">
        <is>
          <t>Shop</t>
        </is>
      </c>
      <c r="E1478" t="n">
        <v>102.1</v>
      </c>
      <c r="F1478" t="inlineStr">
        <is>
          <t>NC-PI-3</t>
        </is>
      </c>
      <c r="G1478" t="inlineStr">
        <is>
          <t>Tenanted</t>
        </is>
      </c>
    </row>
    <row r="1479">
      <c r="A1479" t="inlineStr">
        <is>
          <t>U-PI634-02-11</t>
        </is>
      </c>
      <c r="B1479" t="inlineStr">
        <is>
          <t>Pasir Indah</t>
        </is>
      </c>
      <c r="C1479" t="inlineStr">
        <is>
          <t>Blk 634 Pasir Indah Avenue 6 #02-11 Singapura 510634</t>
        </is>
      </c>
      <c r="D1479" t="inlineStr">
        <is>
          <t>Office</t>
        </is>
      </c>
      <c r="E1479" t="n">
        <v>67.7</v>
      </c>
      <c r="F1479" t="inlineStr">
        <is>
          <t>NC-PI-3</t>
        </is>
      </c>
      <c r="G1479" t="inlineStr">
        <is>
          <t>Tenanted</t>
        </is>
      </c>
    </row>
    <row r="1480">
      <c r="A1480" t="inlineStr">
        <is>
          <t>U-PI634-01-12</t>
        </is>
      </c>
      <c r="B1480" t="inlineStr">
        <is>
          <t>Pasir Indah</t>
        </is>
      </c>
      <c r="C1480" t="inlineStr">
        <is>
          <t>Blk 634 Pasir Indah Avenue 6 #01-12 Singapura 510634</t>
        </is>
      </c>
      <c r="D1480" t="inlineStr">
        <is>
          <t>Kiosk</t>
        </is>
      </c>
      <c r="E1480" t="n">
        <v>7.7</v>
      </c>
      <c r="F1480" t="inlineStr">
        <is>
          <t>NC-PI-3</t>
        </is>
      </c>
      <c r="G1480" t="inlineStr">
        <is>
          <t>Tenanted</t>
        </is>
      </c>
    </row>
    <row r="1481">
      <c r="A1481" t="inlineStr">
        <is>
          <t>U-PI634-01-13</t>
        </is>
      </c>
      <c r="B1481" t="inlineStr">
        <is>
          <t>Pasir Indah</t>
        </is>
      </c>
      <c r="C1481" t="inlineStr">
        <is>
          <t>Blk 634 Pasir Indah Avenue 6 #01-13 Singapura 510634</t>
        </is>
      </c>
      <c r="D1481" t="inlineStr">
        <is>
          <t>Shop</t>
        </is>
      </c>
      <c r="E1481" t="n">
        <v>81.09999999999999</v>
      </c>
      <c r="F1481" t="inlineStr">
        <is>
          <t>NC-PI-3</t>
        </is>
      </c>
      <c r="G1481" t="inlineStr">
        <is>
          <t>Tenanted</t>
        </is>
      </c>
    </row>
    <row r="1482">
      <c r="A1482" t="inlineStr">
        <is>
          <t>U-PI634-01-14</t>
        </is>
      </c>
      <c r="B1482" t="inlineStr">
        <is>
          <t>Pasir Indah</t>
        </is>
      </c>
      <c r="C1482" t="inlineStr">
        <is>
          <t>Blk 634 Pasir Indah Avenue 6 #01-14 Singapura 510634</t>
        </is>
      </c>
      <c r="D1482" t="inlineStr">
        <is>
          <t>Shop</t>
        </is>
      </c>
      <c r="E1482" t="n">
        <v>74.3</v>
      </c>
      <c r="F1482" t="inlineStr">
        <is>
          <t>NC-PI-3</t>
        </is>
      </c>
      <c r="G1482" t="inlineStr">
        <is>
          <t>Tenanted</t>
        </is>
      </c>
    </row>
    <row r="1483">
      <c r="A1483" t="inlineStr">
        <is>
          <t>U-PI642-01-01</t>
        </is>
      </c>
      <c r="B1483" t="inlineStr">
        <is>
          <t>Pasir Indah</t>
        </is>
      </c>
      <c r="C1483" t="inlineStr">
        <is>
          <t>Blk 642 Pasir Indah Avenue 6 #01-01 Singapura 510642</t>
        </is>
      </c>
      <c r="D1483" t="inlineStr">
        <is>
          <t>Shop</t>
        </is>
      </c>
      <c r="E1483" t="n">
        <v>52.9</v>
      </c>
      <c r="F1483" t="inlineStr">
        <is>
          <t>NC-PI-2</t>
        </is>
      </c>
      <c r="G1483" t="inlineStr">
        <is>
          <t>Tenanted</t>
        </is>
      </c>
    </row>
    <row r="1484">
      <c r="A1484" t="inlineStr">
        <is>
          <t>U-PI642-01-02</t>
        </is>
      </c>
      <c r="B1484" t="inlineStr">
        <is>
          <t>Pasir Indah</t>
        </is>
      </c>
      <c r="C1484" t="inlineStr">
        <is>
          <t>Blk 642 Pasir Indah Avenue 6 #01-02 Singapura 510642</t>
        </is>
      </c>
      <c r="D1484" t="inlineStr">
        <is>
          <t>Shop with Living Quarters</t>
        </is>
      </c>
      <c r="E1484" t="n">
        <v>60.3</v>
      </c>
      <c r="F1484" t="inlineStr">
        <is>
          <t>NC-PI-2</t>
        </is>
      </c>
      <c r="G1484" t="inlineStr">
        <is>
          <t>Tenanted</t>
        </is>
      </c>
    </row>
    <row r="1485">
      <c r="A1485" t="inlineStr">
        <is>
          <t>U-PI642-01-03</t>
        </is>
      </c>
      <c r="B1485" t="inlineStr">
        <is>
          <t>Pasir Indah</t>
        </is>
      </c>
      <c r="C1485" t="inlineStr">
        <is>
          <t>Blk 642 Pasir Indah Avenue 6 #01-03 Singapura 510642</t>
        </is>
      </c>
      <c r="D1485" t="inlineStr">
        <is>
          <t>Shop</t>
        </is>
      </c>
      <c r="E1485" t="n">
        <v>115</v>
      </c>
      <c r="F1485" t="inlineStr">
        <is>
          <t>NC-PI-2</t>
        </is>
      </c>
      <c r="G1485" t="inlineStr">
        <is>
          <t>Tenanted</t>
        </is>
      </c>
    </row>
    <row r="1486">
      <c r="A1486" t="inlineStr">
        <is>
          <t>U-PI642-01-04</t>
        </is>
      </c>
      <c r="B1486" t="inlineStr">
        <is>
          <t>Pasir Indah</t>
        </is>
      </c>
      <c r="C1486" t="inlineStr">
        <is>
          <t>Blk 642 Pasir Indah Avenue 6 #01-04 Singapura 510642</t>
        </is>
      </c>
      <c r="D1486" t="inlineStr">
        <is>
          <t>Shop</t>
        </is>
      </c>
      <c r="E1486" t="n">
        <v>114.3</v>
      </c>
      <c r="F1486" t="inlineStr">
        <is>
          <t>NC-PI-2</t>
        </is>
      </c>
      <c r="G1486" t="inlineStr">
        <is>
          <t>Tenanted</t>
        </is>
      </c>
    </row>
    <row r="1487">
      <c r="A1487" t="inlineStr">
        <is>
          <t>U-PI642-01-05</t>
        </is>
      </c>
      <c r="B1487" t="inlineStr">
        <is>
          <t>Pasir Indah</t>
        </is>
      </c>
      <c r="C1487" t="inlineStr">
        <is>
          <t>Blk 642 Pasir Indah Avenue 6 #01-05 Singapura 510642</t>
        </is>
      </c>
      <c r="D1487" t="inlineStr">
        <is>
          <t>Shop</t>
        </is>
      </c>
      <c r="E1487" t="n">
        <v>101.9</v>
      </c>
      <c r="F1487" t="inlineStr">
        <is>
          <t>NC-PI-2</t>
        </is>
      </c>
      <c r="G1487" t="inlineStr">
        <is>
          <t>Tenanted</t>
        </is>
      </c>
    </row>
    <row r="1488">
      <c r="A1488" t="inlineStr">
        <is>
          <t>U-PI642-01-06</t>
        </is>
      </c>
      <c r="B1488" t="inlineStr">
        <is>
          <t>Pasir Indah</t>
        </is>
      </c>
      <c r="C1488" t="inlineStr">
        <is>
          <t>Blk 642 Pasir Indah Avenue 6 #01-06 Singapura 510642</t>
        </is>
      </c>
      <c r="D1488" t="inlineStr">
        <is>
          <t>Shop</t>
        </is>
      </c>
      <c r="E1488" t="n">
        <v>107.5</v>
      </c>
      <c r="F1488" t="inlineStr">
        <is>
          <t>NC-PI-2</t>
        </is>
      </c>
      <c r="G1488" t="inlineStr">
        <is>
          <t>Tenanted</t>
        </is>
      </c>
    </row>
    <row r="1489">
      <c r="A1489" t="inlineStr">
        <is>
          <t>U-PI642-01-07</t>
        </is>
      </c>
      <c r="B1489" t="inlineStr">
        <is>
          <t>Pasir Indah</t>
        </is>
      </c>
      <c r="C1489" t="inlineStr">
        <is>
          <t>Blk 642 Pasir Indah Avenue 6 #01-07 Singapura 510642</t>
        </is>
      </c>
      <c r="D1489" t="inlineStr">
        <is>
          <t>Shop</t>
        </is>
      </c>
      <c r="E1489" t="n">
        <v>103.2</v>
      </c>
      <c r="F1489" t="inlineStr">
        <is>
          <t>NC-PI-2</t>
        </is>
      </c>
      <c r="G1489" t="inlineStr">
        <is>
          <t>Tenanted</t>
        </is>
      </c>
    </row>
    <row r="1490">
      <c r="A1490" t="inlineStr">
        <is>
          <t>U-PI642-01-08</t>
        </is>
      </c>
      <c r="B1490" t="inlineStr">
        <is>
          <t>Pasir Indah</t>
        </is>
      </c>
      <c r="C1490" t="inlineStr">
        <is>
          <t>Blk 642 Pasir Indah Avenue 6 #01-08 Singapura 510642</t>
        </is>
      </c>
      <c r="D1490" t="inlineStr">
        <is>
          <t>Shop</t>
        </is>
      </c>
      <c r="E1490" t="n">
        <v>45.8</v>
      </c>
      <c r="F1490" t="inlineStr">
        <is>
          <t>NC-PI-2</t>
        </is>
      </c>
      <c r="G1490" t="inlineStr">
        <is>
          <t>Tenanted</t>
        </is>
      </c>
    </row>
    <row r="1491">
      <c r="A1491" t="inlineStr">
        <is>
          <t>U-PI642-01-09</t>
        </is>
      </c>
      <c r="B1491" t="inlineStr">
        <is>
          <t>Pasir Indah</t>
        </is>
      </c>
      <c r="C1491" t="inlineStr">
        <is>
          <t>Blk 642 Pasir Indah Avenue 6 #01-09 Singapura 510642</t>
        </is>
      </c>
      <c r="D1491" t="inlineStr">
        <is>
          <t>Kiosk</t>
        </is>
      </c>
      <c r="E1491" t="n">
        <v>10.7</v>
      </c>
      <c r="F1491" t="inlineStr">
        <is>
          <t>NC-PI-2</t>
        </is>
      </c>
      <c r="G1491" t="inlineStr">
        <is>
          <t>Tenanted</t>
        </is>
      </c>
    </row>
    <row r="1492">
      <c r="A1492" t="inlineStr">
        <is>
          <t>U-PI642-02-10</t>
        </is>
      </c>
      <c r="B1492" t="inlineStr">
        <is>
          <t>Pasir Indah</t>
        </is>
      </c>
      <c r="C1492" t="inlineStr">
        <is>
          <t>Blk 642 Pasir Indah Avenue 6 #02-10 Singapura 510642</t>
        </is>
      </c>
      <c r="D1492" t="inlineStr">
        <is>
          <t>Office</t>
        </is>
      </c>
      <c r="E1492" t="n">
        <v>128.6</v>
      </c>
      <c r="F1492" t="inlineStr">
        <is>
          <t>NC-PI-2</t>
        </is>
      </c>
      <c r="G1492" t="inlineStr">
        <is>
          <t>Tenanted</t>
        </is>
      </c>
    </row>
    <row r="1493">
      <c r="A1493" t="inlineStr">
        <is>
          <t>U-PI642-01-11</t>
        </is>
      </c>
      <c r="B1493" t="inlineStr">
        <is>
          <t>Pasir Indah</t>
        </is>
      </c>
      <c r="C1493" t="inlineStr">
        <is>
          <t>Blk 642 Pasir Indah Avenue 6 #01-11 Singapura 510642</t>
        </is>
      </c>
      <c r="D1493" t="inlineStr">
        <is>
          <t>Shop</t>
        </is>
      </c>
      <c r="E1493" t="n">
        <v>83.40000000000001</v>
      </c>
      <c r="F1493" t="inlineStr">
        <is>
          <t>NC-PI-2</t>
        </is>
      </c>
      <c r="G1493" t="inlineStr">
        <is>
          <t>Tenanted</t>
        </is>
      </c>
    </row>
    <row r="1494">
      <c r="A1494" t="inlineStr">
        <is>
          <t>U-PI642-01-12</t>
        </is>
      </c>
      <c r="B1494" t="inlineStr">
        <is>
          <t>Pasir Indah</t>
        </is>
      </c>
      <c r="C1494" t="inlineStr">
        <is>
          <t>Blk 642 Pasir Indah Avenue 6 #01-12 Singapura 510642</t>
        </is>
      </c>
      <c r="D1494" t="inlineStr">
        <is>
          <t>Shop</t>
        </is>
      </c>
      <c r="E1494" t="n">
        <v>68</v>
      </c>
      <c r="F1494" t="inlineStr">
        <is>
          <t>NC-PI-2</t>
        </is>
      </c>
      <c r="G1494" t="inlineStr">
        <is>
          <t>Tenanted</t>
        </is>
      </c>
    </row>
    <row r="1495">
      <c r="A1495" t="inlineStr">
        <is>
          <t>U-PI642-02-13</t>
        </is>
      </c>
      <c r="B1495" t="inlineStr">
        <is>
          <t>Pasir Indah</t>
        </is>
      </c>
      <c r="C1495" t="inlineStr">
        <is>
          <t>Blk 642 Pasir Indah Avenue 6 #02-13 Singapura 510642</t>
        </is>
      </c>
      <c r="D1495" t="inlineStr">
        <is>
          <t>Office</t>
        </is>
      </c>
      <c r="E1495" t="n">
        <v>83.09999999999999</v>
      </c>
      <c r="F1495" t="inlineStr">
        <is>
          <t>NC-PI-2</t>
        </is>
      </c>
      <c r="G1495" t="inlineStr">
        <is>
          <t>Tenanted</t>
        </is>
      </c>
    </row>
    <row r="1496">
      <c r="A1496" t="inlineStr">
        <is>
          <t>U-PI642-01-14</t>
        </is>
      </c>
      <c r="B1496" t="inlineStr">
        <is>
          <t>Pasir Indah</t>
        </is>
      </c>
      <c r="C1496" t="inlineStr">
        <is>
          <t>Blk 642 Pasir Indah Avenue 6 #01-14 Singapura 510642</t>
        </is>
      </c>
      <c r="D1496" t="inlineStr">
        <is>
          <t>Shop</t>
        </is>
      </c>
      <c r="E1496" t="n">
        <v>116</v>
      </c>
      <c r="F1496" t="inlineStr">
        <is>
          <t>NC-PI-2</t>
        </is>
      </c>
      <c r="G1496" t="inlineStr">
        <is>
          <t>Tenanted</t>
        </is>
      </c>
    </row>
    <row r="1497">
      <c r="A1497" t="inlineStr">
        <is>
          <t>U-PI644-01-01</t>
        </is>
      </c>
      <c r="B1497" t="inlineStr">
        <is>
          <t>Pasir Indah</t>
        </is>
      </c>
      <c r="C1497" t="inlineStr">
        <is>
          <t>Blk 644 Jalan Pasir Indah #01-01 Singapura 510644</t>
        </is>
      </c>
      <c r="D1497" t="inlineStr">
        <is>
          <t>Shop</t>
        </is>
      </c>
      <c r="E1497" t="n">
        <v>84.90000000000001</v>
      </c>
      <c r="F1497" t="inlineStr">
        <is>
          <t>NC-PI-3</t>
        </is>
      </c>
      <c r="G1497" t="inlineStr">
        <is>
          <t>Tenanted</t>
        </is>
      </c>
    </row>
    <row r="1498">
      <c r="A1498" t="inlineStr">
        <is>
          <t>U-PI644-01-02</t>
        </is>
      </c>
      <c r="B1498" t="inlineStr">
        <is>
          <t>Pasir Indah</t>
        </is>
      </c>
      <c r="C1498" t="inlineStr">
        <is>
          <t>Blk 644 Jalan Pasir Indah #01-02 Singapura 510644</t>
        </is>
      </c>
      <c r="D1498" t="inlineStr">
        <is>
          <t>Kiosk</t>
        </is>
      </c>
      <c r="E1498" t="n">
        <v>11.8</v>
      </c>
      <c r="F1498" t="inlineStr">
        <is>
          <t>NC-PI-3</t>
        </is>
      </c>
      <c r="G1498" t="inlineStr">
        <is>
          <t>Tenanted</t>
        </is>
      </c>
    </row>
    <row r="1499">
      <c r="A1499" t="inlineStr">
        <is>
          <t>U-PI644-01-03</t>
        </is>
      </c>
      <c r="B1499" t="inlineStr">
        <is>
          <t>Pasir Indah</t>
        </is>
      </c>
      <c r="C1499" t="inlineStr">
        <is>
          <t>Blk 644 Jalan Pasir Indah #01-03 Singapura 510644</t>
        </is>
      </c>
      <c r="D1499" t="inlineStr">
        <is>
          <t>Shop</t>
        </is>
      </c>
      <c r="E1499" t="n">
        <v>67.7</v>
      </c>
      <c r="F1499" t="inlineStr">
        <is>
          <t>NC-PI-3</t>
        </is>
      </c>
      <c r="G1499" t="inlineStr">
        <is>
          <t>Tenanted</t>
        </is>
      </c>
    </row>
    <row r="1500">
      <c r="A1500" t="inlineStr">
        <is>
          <t>U-PI644-01-04</t>
        </is>
      </c>
      <c r="B1500" t="inlineStr">
        <is>
          <t>Pasir Indah</t>
        </is>
      </c>
      <c r="C1500" t="inlineStr">
        <is>
          <t>Blk 644 Jalan Pasir Indah #01-04 Singapura 510644</t>
        </is>
      </c>
      <c r="D1500" t="inlineStr">
        <is>
          <t>Shop</t>
        </is>
      </c>
      <c r="E1500" t="n">
        <v>91.40000000000001</v>
      </c>
      <c r="F1500" t="inlineStr">
        <is>
          <t>NC-PI-3</t>
        </is>
      </c>
      <c r="G1500" t="inlineStr">
        <is>
          <t>Tenanted</t>
        </is>
      </c>
    </row>
    <row r="1501">
      <c r="A1501" t="inlineStr">
        <is>
          <t>U-PI644-02-05</t>
        </is>
      </c>
      <c r="B1501" t="inlineStr">
        <is>
          <t>Pasir Indah</t>
        </is>
      </c>
      <c r="C1501" t="inlineStr">
        <is>
          <t>Blk 644 Jalan Pasir Indah #02-05 Singapura 510644</t>
        </is>
      </c>
      <c r="D1501" t="inlineStr">
        <is>
          <t>Office</t>
        </is>
      </c>
      <c r="E1501" t="n">
        <v>54</v>
      </c>
      <c r="F1501" t="inlineStr">
        <is>
          <t>NC-PI-3</t>
        </is>
      </c>
      <c r="G1501" t="inlineStr">
        <is>
          <t>Tenanted</t>
        </is>
      </c>
    </row>
    <row r="1502">
      <c r="A1502" t="inlineStr">
        <is>
          <t>U-PI644-02-06</t>
        </is>
      </c>
      <c r="B1502" t="inlineStr">
        <is>
          <t>Pasir Indah</t>
        </is>
      </c>
      <c r="C1502" t="inlineStr">
        <is>
          <t>Blk 644 Jalan Pasir Indah #02-06 Singapura 510644</t>
        </is>
      </c>
      <c r="D1502" t="inlineStr">
        <is>
          <t>Office</t>
        </is>
      </c>
      <c r="E1502" t="n">
        <v>129.6</v>
      </c>
      <c r="F1502" t="inlineStr">
        <is>
          <t>NC-PI-3</t>
        </is>
      </c>
      <c r="G1502" t="inlineStr">
        <is>
          <t>Tenanted</t>
        </is>
      </c>
    </row>
    <row r="1503">
      <c r="A1503" t="inlineStr">
        <is>
          <t>U-PI644-01-07</t>
        </is>
      </c>
      <c r="B1503" t="inlineStr">
        <is>
          <t>Pasir Indah</t>
        </is>
      </c>
      <c r="C1503" t="inlineStr">
        <is>
          <t>Blk 644 Jalan Pasir Indah #01-07 Singapura 510644</t>
        </is>
      </c>
      <c r="D1503" t="inlineStr">
        <is>
          <t>Shop</t>
        </is>
      </c>
      <c r="E1503" t="n">
        <v>60.5</v>
      </c>
      <c r="F1503" t="inlineStr">
        <is>
          <t>NC-PI-3</t>
        </is>
      </c>
      <c r="G1503" t="inlineStr">
        <is>
          <t>Tenanted</t>
        </is>
      </c>
    </row>
    <row r="1504">
      <c r="A1504" t="inlineStr">
        <is>
          <t>U-PI644-01-08</t>
        </is>
      </c>
      <c r="B1504" t="inlineStr">
        <is>
          <t>Pasir Indah</t>
        </is>
      </c>
      <c r="C1504" t="inlineStr">
        <is>
          <t>Blk 644 Jalan Pasir Indah #01-08 Singapura 510644</t>
        </is>
      </c>
      <c r="D1504" t="inlineStr">
        <is>
          <t>Kiosk</t>
        </is>
      </c>
      <c r="E1504" t="n">
        <v>6.2</v>
      </c>
      <c r="F1504" t="inlineStr">
        <is>
          <t>NC-PI-3</t>
        </is>
      </c>
      <c r="G1504" t="inlineStr">
        <is>
          <t>Tenanted</t>
        </is>
      </c>
    </row>
    <row r="1505">
      <c r="A1505" t="inlineStr">
        <is>
          <t>U-PI644-01-09</t>
        </is>
      </c>
      <c r="B1505" t="inlineStr">
        <is>
          <t>Pasir Indah</t>
        </is>
      </c>
      <c r="C1505" t="inlineStr">
        <is>
          <t>Blk 644 Jalan Pasir Indah #01-09 Singapura 510644</t>
        </is>
      </c>
      <c r="D1505" t="inlineStr">
        <is>
          <t>Shop</t>
        </is>
      </c>
      <c r="E1505" t="n">
        <v>101.6</v>
      </c>
      <c r="F1505" t="inlineStr">
        <is>
          <t>NC-PI-3</t>
        </is>
      </c>
      <c r="G1505" t="inlineStr">
        <is>
          <t>Tenanted</t>
        </is>
      </c>
    </row>
    <row r="1506">
      <c r="A1506" t="inlineStr">
        <is>
          <t>U-PI644-01-10</t>
        </is>
      </c>
      <c r="B1506" t="inlineStr">
        <is>
          <t>Pasir Indah</t>
        </is>
      </c>
      <c r="C1506" t="inlineStr">
        <is>
          <t>Blk 644 Jalan Pasir Indah #01-10 Singapura 510644</t>
        </is>
      </c>
      <c r="D1506" t="inlineStr">
        <is>
          <t>Shop</t>
        </is>
      </c>
      <c r="E1506" t="n">
        <v>80.7</v>
      </c>
      <c r="F1506" t="inlineStr">
        <is>
          <t>NC-PI-3</t>
        </is>
      </c>
      <c r="G1506" t="inlineStr">
        <is>
          <t>Tenanted</t>
        </is>
      </c>
    </row>
    <row r="1507">
      <c r="A1507" t="inlineStr">
        <is>
          <t>U-PI644-01-11</t>
        </is>
      </c>
      <c r="B1507" t="inlineStr">
        <is>
          <t>Pasir Indah</t>
        </is>
      </c>
      <c r="C1507" t="inlineStr">
        <is>
          <t>Blk 644 Jalan Pasir Indah #01-11 Singapura 510644</t>
        </is>
      </c>
      <c r="D1507" t="inlineStr">
        <is>
          <t>Shop</t>
        </is>
      </c>
      <c r="E1507" t="n">
        <v>63.7</v>
      </c>
      <c r="F1507" t="inlineStr">
        <is>
          <t>NC-PI-3</t>
        </is>
      </c>
      <c r="G1507" t="inlineStr">
        <is>
          <t>Tenanted</t>
        </is>
      </c>
    </row>
    <row r="1508">
      <c r="A1508" t="inlineStr">
        <is>
          <t>U-PI644-01-12</t>
        </is>
      </c>
      <c r="B1508" t="inlineStr">
        <is>
          <t>Pasir Indah</t>
        </is>
      </c>
      <c r="C1508" t="inlineStr">
        <is>
          <t>Blk 644 Jalan Pasir Indah #01-12 Singapura 510644</t>
        </is>
      </c>
      <c r="D1508" t="inlineStr">
        <is>
          <t>Shop</t>
        </is>
      </c>
      <c r="E1508" t="n">
        <v>65.59999999999999</v>
      </c>
      <c r="F1508" t="inlineStr">
        <is>
          <t>NC-PI-3</t>
        </is>
      </c>
      <c r="G1508" t="inlineStr">
        <is>
          <t>Tenanted</t>
        </is>
      </c>
    </row>
    <row r="1509">
      <c r="A1509" t="inlineStr">
        <is>
          <t>U-PI644-01-13</t>
        </is>
      </c>
      <c r="B1509" t="inlineStr">
        <is>
          <t>Pasir Indah</t>
        </is>
      </c>
      <c r="C1509" t="inlineStr">
        <is>
          <t>Blk 644 Jalan Pasir Indah #01-13 Singapura 510644</t>
        </is>
      </c>
      <c r="D1509" t="inlineStr">
        <is>
          <t>Shop</t>
        </is>
      </c>
      <c r="E1509" t="n">
        <v>47.7</v>
      </c>
      <c r="F1509" t="inlineStr">
        <is>
          <t>NC-PI-3</t>
        </is>
      </c>
      <c r="G1509" t="inlineStr">
        <is>
          <t>Tenanted</t>
        </is>
      </c>
    </row>
    <row r="1510">
      <c r="A1510" t="inlineStr">
        <is>
          <t>U-PI644-01-14</t>
        </is>
      </c>
      <c r="B1510" t="inlineStr">
        <is>
          <t>Pasir Indah</t>
        </is>
      </c>
      <c r="C1510" t="inlineStr">
        <is>
          <t>Blk 644 Jalan Pasir Indah #01-14 Singapura 510644</t>
        </is>
      </c>
      <c r="D1510" t="inlineStr">
        <is>
          <t>Office</t>
        </is>
      </c>
      <c r="E1510" t="n">
        <v>103.3</v>
      </c>
      <c r="F1510" t="inlineStr">
        <is>
          <t>NC-PI-3</t>
        </is>
      </c>
      <c r="G1510" t="inlineStr">
        <is>
          <t>Tenanted</t>
        </is>
      </c>
    </row>
    <row r="1511">
      <c r="A1511" t="inlineStr">
        <is>
          <t>U-PI646-01-01</t>
        </is>
      </c>
      <c r="B1511" t="inlineStr">
        <is>
          <t>Pasir Indah</t>
        </is>
      </c>
      <c r="C1511" t="inlineStr">
        <is>
          <t>Blk 646 Pasir Indah Street 62 #01-01 Singapura 510646</t>
        </is>
      </c>
      <c r="D1511" t="inlineStr">
        <is>
          <t>Shop</t>
        </is>
      </c>
      <c r="E1511" t="n">
        <v>90.40000000000001</v>
      </c>
      <c r="F1511" t="inlineStr">
        <is>
          <t>NC-PI-2</t>
        </is>
      </c>
      <c r="G1511" t="inlineStr">
        <is>
          <t>Tenanted</t>
        </is>
      </c>
    </row>
    <row r="1512">
      <c r="A1512" t="inlineStr">
        <is>
          <t>U-PI646-01-02</t>
        </is>
      </c>
      <c r="B1512" t="inlineStr">
        <is>
          <t>Pasir Indah</t>
        </is>
      </c>
      <c r="C1512" t="inlineStr">
        <is>
          <t>Blk 646 Pasir Indah Street 62 #01-02 Singapura 510646</t>
        </is>
      </c>
      <c r="D1512" t="inlineStr">
        <is>
          <t>Shop</t>
        </is>
      </c>
      <c r="E1512" t="n">
        <v>94.8</v>
      </c>
      <c r="F1512" t="inlineStr">
        <is>
          <t>NC-PI-2</t>
        </is>
      </c>
      <c r="G1512" t="inlineStr">
        <is>
          <t>Tenanted</t>
        </is>
      </c>
    </row>
    <row r="1513">
      <c r="A1513" t="inlineStr">
        <is>
          <t>U-PI646-01-03</t>
        </is>
      </c>
      <c r="B1513" t="inlineStr">
        <is>
          <t>Pasir Indah</t>
        </is>
      </c>
      <c r="C1513" t="inlineStr">
        <is>
          <t>Blk 646 Pasir Indah Street 62 #01-03 Singapura 510646</t>
        </is>
      </c>
      <c r="D1513" t="inlineStr">
        <is>
          <t>Shop with Living Quarters</t>
        </is>
      </c>
      <c r="E1513" t="n">
        <v>70.3</v>
      </c>
      <c r="F1513" t="inlineStr">
        <is>
          <t>NC-PI-2</t>
        </is>
      </c>
      <c r="G1513" t="inlineStr">
        <is>
          <t>Tenanted</t>
        </is>
      </c>
    </row>
    <row r="1514">
      <c r="A1514" t="inlineStr">
        <is>
          <t>U-PI646-01-04</t>
        </is>
      </c>
      <c r="B1514" t="inlineStr">
        <is>
          <t>Pasir Indah</t>
        </is>
      </c>
      <c r="C1514" t="inlineStr">
        <is>
          <t>Blk 646 Pasir Indah Street 62 #01-04 Singapura 510646</t>
        </is>
      </c>
      <c r="D1514" t="inlineStr">
        <is>
          <t>Shop with Living Quarters</t>
        </is>
      </c>
      <c r="E1514" t="n">
        <v>103.9</v>
      </c>
      <c r="F1514" t="inlineStr">
        <is>
          <t>NC-PI-2</t>
        </is>
      </c>
      <c r="G1514" t="inlineStr">
        <is>
          <t>Tenanted</t>
        </is>
      </c>
    </row>
    <row r="1515">
      <c r="A1515" t="inlineStr">
        <is>
          <t>U-PI646-01-05</t>
        </is>
      </c>
      <c r="B1515" t="inlineStr">
        <is>
          <t>Pasir Indah</t>
        </is>
      </c>
      <c r="C1515" t="inlineStr">
        <is>
          <t>Blk 646 Pasir Indah Street 62 #01-05 Singapura 510646</t>
        </is>
      </c>
      <c r="D1515" t="inlineStr">
        <is>
          <t>Kiosk</t>
        </is>
      </c>
      <c r="E1515" t="n">
        <v>9.9</v>
      </c>
      <c r="F1515" t="inlineStr">
        <is>
          <t>NC-PI-2</t>
        </is>
      </c>
      <c r="G1515" t="inlineStr">
        <is>
          <t>Tenanted</t>
        </is>
      </c>
    </row>
    <row r="1516">
      <c r="A1516" t="inlineStr">
        <is>
          <t>U-PI646-01-06</t>
        </is>
      </c>
      <c r="B1516" t="inlineStr">
        <is>
          <t>Pasir Indah</t>
        </is>
      </c>
      <c r="C1516" t="inlineStr">
        <is>
          <t>Blk 646 Pasir Indah Street 62 #01-06 Singapura 510646</t>
        </is>
      </c>
      <c r="D1516" t="inlineStr">
        <is>
          <t>Shop with Living Quarters</t>
        </is>
      </c>
      <c r="E1516" t="n">
        <v>63.6</v>
      </c>
      <c r="F1516" t="inlineStr">
        <is>
          <t>NC-PI-2</t>
        </is>
      </c>
      <c r="G1516" t="inlineStr">
        <is>
          <t>Tenanted</t>
        </is>
      </c>
    </row>
    <row r="1517">
      <c r="A1517" t="inlineStr">
        <is>
          <t>U-PI646-01-07</t>
        </is>
      </c>
      <c r="B1517" t="inlineStr">
        <is>
          <t>Pasir Indah</t>
        </is>
      </c>
      <c r="C1517" t="inlineStr">
        <is>
          <t>Blk 646 Pasir Indah Street 62 #01-07 Singapura 510646</t>
        </is>
      </c>
      <c r="D1517" t="inlineStr">
        <is>
          <t>Kiosk</t>
        </is>
      </c>
      <c r="E1517" t="n">
        <v>6.2</v>
      </c>
      <c r="F1517" t="inlineStr">
        <is>
          <t>NC-PI-2</t>
        </is>
      </c>
      <c r="G1517" t="inlineStr">
        <is>
          <t>Tenanted</t>
        </is>
      </c>
    </row>
    <row r="1518">
      <c r="A1518" t="inlineStr">
        <is>
          <t>U-PI648-01-01</t>
        </is>
      </c>
      <c r="B1518" t="inlineStr">
        <is>
          <t>Pasir Indah</t>
        </is>
      </c>
      <c r="C1518" t="inlineStr">
        <is>
          <t>Blk 648 Pasir Indah Avenue 6 #01-01 Singapura 510648</t>
        </is>
      </c>
      <c r="D1518" t="inlineStr">
        <is>
          <t>Shop</t>
        </is>
      </c>
      <c r="E1518" t="n">
        <v>45.9</v>
      </c>
      <c r="F1518" t="inlineStr">
        <is>
          <t>NC-PI-3</t>
        </is>
      </c>
      <c r="G1518" t="inlineStr">
        <is>
          <t>Tenanted</t>
        </is>
      </c>
    </row>
    <row r="1519">
      <c r="A1519" t="inlineStr">
        <is>
          <t>U-PI648-01-02</t>
        </is>
      </c>
      <c r="B1519" t="inlineStr">
        <is>
          <t>Pasir Indah</t>
        </is>
      </c>
      <c r="C1519" t="inlineStr">
        <is>
          <t>Blk 648 Pasir Indah Avenue 6 #01-02 Singapura 510648</t>
        </is>
      </c>
      <c r="D1519" t="inlineStr">
        <is>
          <t>Shop</t>
        </is>
      </c>
      <c r="E1519" t="n">
        <v>60.2</v>
      </c>
      <c r="F1519" t="inlineStr">
        <is>
          <t>NC-PI-3</t>
        </is>
      </c>
      <c r="G1519" t="inlineStr">
        <is>
          <t>Tenanted</t>
        </is>
      </c>
    </row>
    <row r="1520">
      <c r="A1520" t="inlineStr">
        <is>
          <t>U-PI648-01-03</t>
        </is>
      </c>
      <c r="B1520" t="inlineStr">
        <is>
          <t>Pasir Indah</t>
        </is>
      </c>
      <c r="C1520" t="inlineStr">
        <is>
          <t>Blk 648 Pasir Indah Avenue 6 #01-03 Singapura 510648</t>
        </is>
      </c>
      <c r="D1520" t="inlineStr">
        <is>
          <t>Shop</t>
        </is>
      </c>
      <c r="E1520" t="n">
        <v>105.7</v>
      </c>
      <c r="F1520" t="inlineStr">
        <is>
          <t>NC-PI-3</t>
        </is>
      </c>
      <c r="G1520" t="inlineStr">
        <is>
          <t>Tenanted</t>
        </is>
      </c>
    </row>
    <row r="1521">
      <c r="A1521" t="inlineStr">
        <is>
          <t>U-PI648-02-04</t>
        </is>
      </c>
      <c r="B1521" t="inlineStr">
        <is>
          <t>Pasir Indah</t>
        </is>
      </c>
      <c r="C1521" t="inlineStr">
        <is>
          <t>Blk 648 Pasir Indah Avenue 6 #02-04 Singapura 510648</t>
        </is>
      </c>
      <c r="D1521" t="inlineStr">
        <is>
          <t>Office</t>
        </is>
      </c>
      <c r="E1521" t="n">
        <v>95.09999999999999</v>
      </c>
      <c r="F1521" t="inlineStr">
        <is>
          <t>NC-PI-3</t>
        </is>
      </c>
      <c r="G1521" t="inlineStr">
        <is>
          <t>Tenanted</t>
        </is>
      </c>
    </row>
    <row r="1522">
      <c r="A1522" t="inlineStr">
        <is>
          <t>U-PI648-01-05</t>
        </is>
      </c>
      <c r="B1522" t="inlineStr">
        <is>
          <t>Pasir Indah</t>
        </is>
      </c>
      <c r="C1522" t="inlineStr">
        <is>
          <t>Blk 648 Pasir Indah Avenue 6 #01-05 Singapura 510648</t>
        </is>
      </c>
      <c r="D1522" t="inlineStr">
        <is>
          <t>Shop</t>
        </is>
      </c>
      <c r="E1522" t="n">
        <v>65.3</v>
      </c>
      <c r="F1522" t="inlineStr">
        <is>
          <t>NC-PI-3</t>
        </is>
      </c>
      <c r="G1522" t="inlineStr">
        <is>
          <t>Tenanted</t>
        </is>
      </c>
    </row>
    <row r="1523">
      <c r="A1523" t="inlineStr">
        <is>
          <t>U-PI648-01-06</t>
        </is>
      </c>
      <c r="B1523" t="inlineStr">
        <is>
          <t>Pasir Indah</t>
        </is>
      </c>
      <c r="C1523" t="inlineStr">
        <is>
          <t>Blk 648 Pasir Indah Avenue 6 #01-06 Singapura 510648</t>
        </is>
      </c>
      <c r="D1523" t="inlineStr">
        <is>
          <t>Shop</t>
        </is>
      </c>
      <c r="E1523" t="n">
        <v>49.5</v>
      </c>
      <c r="F1523" t="inlineStr">
        <is>
          <t>NC-PI-3</t>
        </is>
      </c>
      <c r="G1523" t="inlineStr">
        <is>
          <t>Tenanted</t>
        </is>
      </c>
    </row>
    <row r="1524">
      <c r="A1524" t="inlineStr">
        <is>
          <t>U-PI648-01-07</t>
        </is>
      </c>
      <c r="B1524" t="inlineStr">
        <is>
          <t>Pasir Indah</t>
        </is>
      </c>
      <c r="C1524" t="inlineStr">
        <is>
          <t>Blk 648 Pasir Indah Avenue 6 #01-07 Singapura 510648</t>
        </is>
      </c>
      <c r="D1524" t="inlineStr">
        <is>
          <t>Shop</t>
        </is>
      </c>
      <c r="E1524" t="n">
        <v>97.59999999999999</v>
      </c>
      <c r="F1524" t="inlineStr">
        <is>
          <t>NC-PI-3</t>
        </is>
      </c>
      <c r="G1524" t="inlineStr">
        <is>
          <t>Tenanted</t>
        </is>
      </c>
    </row>
    <row r="1525">
      <c r="A1525" t="inlineStr">
        <is>
          <t>U-PI648-01-08</t>
        </is>
      </c>
      <c r="B1525" t="inlineStr">
        <is>
          <t>Pasir Indah</t>
        </is>
      </c>
      <c r="C1525" t="inlineStr">
        <is>
          <t>Blk 648 Pasir Indah Avenue 6 #01-08 Singapura 510648</t>
        </is>
      </c>
      <c r="D1525" t="inlineStr">
        <is>
          <t>Shop</t>
        </is>
      </c>
      <c r="E1525" t="n">
        <v>99.7</v>
      </c>
      <c r="F1525" t="inlineStr">
        <is>
          <t>NC-PI-3</t>
        </is>
      </c>
      <c r="G1525" t="inlineStr">
        <is>
          <t>Tenanted</t>
        </is>
      </c>
    </row>
    <row r="1526">
      <c r="A1526" t="inlineStr">
        <is>
          <t>U-PI648-01-09</t>
        </is>
      </c>
      <c r="B1526" t="inlineStr">
        <is>
          <t>Pasir Indah</t>
        </is>
      </c>
      <c r="C1526" t="inlineStr">
        <is>
          <t>Blk 648 Pasir Indah Avenue 6 #01-09 Singapura 510648</t>
        </is>
      </c>
      <c r="D1526" t="inlineStr">
        <is>
          <t>Shop</t>
        </is>
      </c>
      <c r="E1526" t="n">
        <v>107.9</v>
      </c>
      <c r="F1526" t="inlineStr">
        <is>
          <t>NC-PI-3</t>
        </is>
      </c>
      <c r="G1526" t="inlineStr">
        <is>
          <t>Tenanted</t>
        </is>
      </c>
    </row>
    <row r="1527">
      <c r="A1527" t="inlineStr">
        <is>
          <t>U-PI648-01-10</t>
        </is>
      </c>
      <c r="B1527" t="inlineStr">
        <is>
          <t>Pasir Indah</t>
        </is>
      </c>
      <c r="C1527" t="inlineStr">
        <is>
          <t>Blk 648 Pasir Indah Avenue 6 #01-10 Singapura 510648</t>
        </is>
      </c>
      <c r="D1527" t="inlineStr">
        <is>
          <t>Shop</t>
        </is>
      </c>
      <c r="E1527" t="n">
        <v>80.2</v>
      </c>
      <c r="F1527" t="inlineStr">
        <is>
          <t>NC-PI-3</t>
        </is>
      </c>
      <c r="G1527" t="inlineStr">
        <is>
          <t>Tenanted</t>
        </is>
      </c>
    </row>
    <row r="1528">
      <c r="A1528" t="inlineStr">
        <is>
          <t>U-PI648-01-11</t>
        </is>
      </c>
      <c r="B1528" t="inlineStr">
        <is>
          <t>Pasir Indah</t>
        </is>
      </c>
      <c r="C1528" t="inlineStr">
        <is>
          <t>Blk 648 Pasir Indah Avenue 6 #01-11 Singapura 510648</t>
        </is>
      </c>
      <c r="D1528" t="inlineStr">
        <is>
          <t>Shop</t>
        </is>
      </c>
      <c r="E1528" t="n">
        <v>94.90000000000001</v>
      </c>
      <c r="F1528" t="inlineStr">
        <is>
          <t>NC-PI-3</t>
        </is>
      </c>
      <c r="G1528" t="inlineStr">
        <is>
          <t>Tenanted</t>
        </is>
      </c>
    </row>
    <row r="1529">
      <c r="A1529" t="inlineStr">
        <is>
          <t>U-PI651-01-01</t>
        </is>
      </c>
      <c r="B1529" t="inlineStr">
        <is>
          <t>Pasir Indah</t>
        </is>
      </c>
      <c r="C1529" t="inlineStr">
        <is>
          <t>Blk 651 Jalan Pasir Indah #01-01 Singapura 510651</t>
        </is>
      </c>
      <c r="D1529" t="inlineStr">
        <is>
          <t>Shop</t>
        </is>
      </c>
      <c r="E1529" t="n">
        <v>114.1</v>
      </c>
      <c r="F1529" t="inlineStr">
        <is>
          <t>NC-PI-2</t>
        </is>
      </c>
      <c r="G1529" t="inlineStr">
        <is>
          <t>Tenanted</t>
        </is>
      </c>
    </row>
    <row r="1530">
      <c r="A1530" t="inlineStr">
        <is>
          <t>U-PI651-01-02</t>
        </is>
      </c>
      <c r="B1530" t="inlineStr">
        <is>
          <t>Pasir Indah</t>
        </is>
      </c>
      <c r="C1530" t="inlineStr">
        <is>
          <t>Blk 651 Jalan Pasir Indah #01-02 Singapura 510651</t>
        </is>
      </c>
      <c r="D1530" t="inlineStr">
        <is>
          <t>Shop</t>
        </is>
      </c>
      <c r="E1530" t="n">
        <v>105.8</v>
      </c>
      <c r="F1530" t="inlineStr">
        <is>
          <t>NC-PI-2</t>
        </is>
      </c>
      <c r="G1530" t="inlineStr">
        <is>
          <t>Tenanted</t>
        </is>
      </c>
    </row>
    <row r="1531">
      <c r="A1531" t="inlineStr">
        <is>
          <t>U-PI651-01-03</t>
        </is>
      </c>
      <c r="B1531" t="inlineStr">
        <is>
          <t>Pasir Indah</t>
        </is>
      </c>
      <c r="C1531" t="inlineStr">
        <is>
          <t>Blk 651 Jalan Pasir Indah #01-03 Singapura 510651</t>
        </is>
      </c>
      <c r="D1531" t="inlineStr">
        <is>
          <t>Shop</t>
        </is>
      </c>
      <c r="E1531" t="n">
        <v>52.5</v>
      </c>
      <c r="F1531" t="inlineStr">
        <is>
          <t>NC-PI-2</t>
        </is>
      </c>
      <c r="G1531" t="inlineStr">
        <is>
          <t>Tenanted</t>
        </is>
      </c>
    </row>
    <row r="1532">
      <c r="A1532" t="inlineStr">
        <is>
          <t>U-PI651-01-04</t>
        </is>
      </c>
      <c r="B1532" t="inlineStr">
        <is>
          <t>Pasir Indah</t>
        </is>
      </c>
      <c r="C1532" t="inlineStr">
        <is>
          <t>Blk 651 Jalan Pasir Indah #01-04 Singapura 510651</t>
        </is>
      </c>
      <c r="D1532" t="inlineStr">
        <is>
          <t>Shop</t>
        </is>
      </c>
      <c r="E1532" t="n">
        <v>99.7</v>
      </c>
      <c r="F1532" t="inlineStr">
        <is>
          <t>NC-PI-2</t>
        </is>
      </c>
      <c r="G1532" t="inlineStr">
        <is>
          <t>Tenanted</t>
        </is>
      </c>
    </row>
    <row r="1533">
      <c r="A1533" t="inlineStr">
        <is>
          <t>U-PI651-01-05</t>
        </is>
      </c>
      <c r="B1533" t="inlineStr">
        <is>
          <t>Pasir Indah</t>
        </is>
      </c>
      <c r="C1533" t="inlineStr">
        <is>
          <t>Blk 651 Jalan Pasir Indah #01-05 Singapura 510651</t>
        </is>
      </c>
      <c r="D1533" t="inlineStr">
        <is>
          <t>Shop with Living Quarters</t>
        </is>
      </c>
      <c r="E1533" t="n">
        <v>102.5</v>
      </c>
      <c r="F1533" t="inlineStr">
        <is>
          <t>NC-PI-2</t>
        </is>
      </c>
      <c r="G1533" t="inlineStr">
        <is>
          <t>Tenanted</t>
        </is>
      </c>
    </row>
    <row r="1534">
      <c r="A1534" t="inlineStr">
        <is>
          <t>U-PI651-01-06</t>
        </is>
      </c>
      <c r="B1534" t="inlineStr">
        <is>
          <t>Pasir Indah</t>
        </is>
      </c>
      <c r="C1534" t="inlineStr">
        <is>
          <t>Blk 651 Jalan Pasir Indah #01-06 Singapura 510651</t>
        </is>
      </c>
      <c r="D1534" t="inlineStr">
        <is>
          <t>Shop</t>
        </is>
      </c>
      <c r="E1534" t="n">
        <v>90.7</v>
      </c>
      <c r="F1534" t="inlineStr">
        <is>
          <t>NC-PI-2</t>
        </is>
      </c>
      <c r="G1534" t="inlineStr">
        <is>
          <t>Tenanted</t>
        </is>
      </c>
    </row>
    <row r="1535">
      <c r="A1535" t="inlineStr">
        <is>
          <t>U-PI651-01-07</t>
        </is>
      </c>
      <c r="B1535" t="inlineStr">
        <is>
          <t>Pasir Indah</t>
        </is>
      </c>
      <c r="C1535" t="inlineStr">
        <is>
          <t>Blk 651 Jalan Pasir Indah #01-07 Singapura 510651</t>
        </is>
      </c>
      <c r="D1535" t="inlineStr">
        <is>
          <t>Shop</t>
        </is>
      </c>
      <c r="E1535" t="n">
        <v>111</v>
      </c>
      <c r="F1535" t="inlineStr">
        <is>
          <t>NC-PI-2</t>
        </is>
      </c>
      <c r="G1535" t="inlineStr">
        <is>
          <t>Tenanted</t>
        </is>
      </c>
    </row>
    <row r="1536">
      <c r="A1536" t="inlineStr">
        <is>
          <t>U-PI657-02-01</t>
        </is>
      </c>
      <c r="B1536" t="inlineStr">
        <is>
          <t>Pasir Indah</t>
        </is>
      </c>
      <c r="C1536" t="inlineStr">
        <is>
          <t>Blk 657 Pasir Indah Avenue 6 #02-01 Singapura 510657</t>
        </is>
      </c>
      <c r="D1536" t="inlineStr">
        <is>
          <t>Office</t>
        </is>
      </c>
      <c r="E1536" t="n">
        <v>137.5</v>
      </c>
      <c r="F1536" t="inlineStr">
        <is>
          <t>NC-PI-3</t>
        </is>
      </c>
      <c r="G1536" t="inlineStr">
        <is>
          <t>Tenanted</t>
        </is>
      </c>
    </row>
    <row r="1537">
      <c r="A1537" t="inlineStr">
        <is>
          <t>U-PI657-01-02</t>
        </is>
      </c>
      <c r="B1537" t="inlineStr">
        <is>
          <t>Pasir Indah</t>
        </is>
      </c>
      <c r="C1537" t="inlineStr">
        <is>
          <t>Blk 657 Pasir Indah Avenue 6 #01-02 Singapura 510657</t>
        </is>
      </c>
      <c r="D1537" t="inlineStr">
        <is>
          <t>Shop</t>
        </is>
      </c>
      <c r="E1537" t="n">
        <v>43.3</v>
      </c>
      <c r="F1537" t="inlineStr">
        <is>
          <t>NC-PI-3</t>
        </is>
      </c>
      <c r="G1537" t="inlineStr">
        <is>
          <t>Tenanted</t>
        </is>
      </c>
    </row>
    <row r="1538">
      <c r="A1538" t="inlineStr">
        <is>
          <t>U-PI657-01-03</t>
        </is>
      </c>
      <c r="B1538" t="inlineStr">
        <is>
          <t>Pasir Indah</t>
        </is>
      </c>
      <c r="C1538" t="inlineStr">
        <is>
          <t>Blk 657 Pasir Indah Avenue 6 #01-03 Singapura 510657</t>
        </is>
      </c>
      <c r="D1538" t="inlineStr">
        <is>
          <t>Shop</t>
        </is>
      </c>
      <c r="E1538" t="n">
        <v>71.5</v>
      </c>
      <c r="F1538" t="inlineStr">
        <is>
          <t>NC-PI-3</t>
        </is>
      </c>
      <c r="G1538" t="inlineStr">
        <is>
          <t>Tenanted</t>
        </is>
      </c>
    </row>
    <row r="1539">
      <c r="A1539" t="inlineStr">
        <is>
          <t>U-PI657-01-04</t>
        </is>
      </c>
      <c r="B1539" t="inlineStr">
        <is>
          <t>Pasir Indah</t>
        </is>
      </c>
      <c r="C1539" t="inlineStr">
        <is>
          <t>Blk 657 Pasir Indah Avenue 6 #01-04 Singapura 510657</t>
        </is>
      </c>
      <c r="D1539" t="inlineStr">
        <is>
          <t>Shop</t>
        </is>
      </c>
      <c r="E1539" t="n">
        <v>46.8</v>
      </c>
      <c r="F1539" t="inlineStr">
        <is>
          <t>NC-PI-3</t>
        </is>
      </c>
      <c r="G1539" t="inlineStr">
        <is>
          <t>Tenanted</t>
        </is>
      </c>
    </row>
    <row r="1540">
      <c r="A1540" t="inlineStr">
        <is>
          <t>U-PI657-01-05</t>
        </is>
      </c>
      <c r="B1540" t="inlineStr">
        <is>
          <t>Pasir Indah</t>
        </is>
      </c>
      <c r="C1540" t="inlineStr">
        <is>
          <t>Blk 657 Pasir Indah Avenue 6 #01-05 Singapura 510657</t>
        </is>
      </c>
      <c r="D1540" t="inlineStr">
        <is>
          <t>Shop</t>
        </is>
      </c>
      <c r="E1540" t="n">
        <v>99.3</v>
      </c>
      <c r="F1540" t="inlineStr">
        <is>
          <t>NC-PI-3</t>
        </is>
      </c>
      <c r="G1540" t="inlineStr">
        <is>
          <t>Tenanted</t>
        </is>
      </c>
    </row>
    <row r="1541">
      <c r="A1541" t="inlineStr">
        <is>
          <t>U-PI657-01-06</t>
        </is>
      </c>
      <c r="B1541" t="inlineStr">
        <is>
          <t>Pasir Indah</t>
        </is>
      </c>
      <c r="C1541" t="inlineStr">
        <is>
          <t>Blk 657 Pasir Indah Avenue 6 #01-06 Singapura 510657</t>
        </is>
      </c>
      <c r="D1541" t="inlineStr">
        <is>
          <t>Kiosk</t>
        </is>
      </c>
      <c r="E1541" t="n">
        <v>7.9</v>
      </c>
      <c r="F1541" t="inlineStr">
        <is>
          <t>NC-PI-3</t>
        </is>
      </c>
      <c r="G1541" t="inlineStr">
        <is>
          <t>Tenanted</t>
        </is>
      </c>
    </row>
    <row r="1542">
      <c r="A1542" t="inlineStr">
        <is>
          <t>U-PI657-01-07</t>
        </is>
      </c>
      <c r="B1542" t="inlineStr">
        <is>
          <t>Pasir Indah</t>
        </is>
      </c>
      <c r="C1542" t="inlineStr">
        <is>
          <t>Blk 657 Pasir Indah Avenue 6 #01-07 Singapura 510657</t>
        </is>
      </c>
      <c r="D1542" t="inlineStr">
        <is>
          <t>Office</t>
        </is>
      </c>
      <c r="E1542" t="n">
        <v>64.2</v>
      </c>
      <c r="F1542" t="inlineStr">
        <is>
          <t>NC-PI-3</t>
        </is>
      </c>
      <c r="G1542" t="inlineStr">
        <is>
          <t>Tenanted</t>
        </is>
      </c>
    </row>
    <row r="1543">
      <c r="A1543" t="inlineStr">
        <is>
          <t>U-PI657-01-08</t>
        </is>
      </c>
      <c r="B1543" t="inlineStr">
        <is>
          <t>Pasir Indah</t>
        </is>
      </c>
      <c r="C1543" t="inlineStr">
        <is>
          <t>Blk 657 Pasir Indah Avenue 6 #01-08 Singapura 510657</t>
        </is>
      </c>
      <c r="D1543" t="inlineStr">
        <is>
          <t>Shop</t>
        </is>
      </c>
      <c r="E1543" t="n">
        <v>89.40000000000001</v>
      </c>
      <c r="F1543" t="inlineStr">
        <is>
          <t>NC-PI-3</t>
        </is>
      </c>
      <c r="G1543" t="inlineStr">
        <is>
          <t>Tenanted</t>
        </is>
      </c>
    </row>
    <row r="1544">
      <c r="A1544" t="inlineStr">
        <is>
          <t>U-PI657-01-09</t>
        </is>
      </c>
      <c r="B1544" t="inlineStr">
        <is>
          <t>Pasir Indah</t>
        </is>
      </c>
      <c r="C1544" t="inlineStr">
        <is>
          <t>Blk 657 Pasir Indah Avenue 6 #01-09 Singapura 510657</t>
        </is>
      </c>
      <c r="D1544" t="inlineStr">
        <is>
          <t>Shop</t>
        </is>
      </c>
      <c r="E1544" t="n">
        <v>49.2</v>
      </c>
      <c r="F1544" t="inlineStr">
        <is>
          <t>NC-PI-3</t>
        </is>
      </c>
      <c r="G1544" t="inlineStr">
        <is>
          <t>Tenanted</t>
        </is>
      </c>
    </row>
    <row r="1545">
      <c r="A1545" t="inlineStr">
        <is>
          <t>U-PI657-01-10</t>
        </is>
      </c>
      <c r="B1545" t="inlineStr">
        <is>
          <t>Pasir Indah</t>
        </is>
      </c>
      <c r="C1545" t="inlineStr">
        <is>
          <t>Blk 657 Pasir Indah Avenue 6 #01-10 Singapura 510657</t>
        </is>
      </c>
      <c r="D1545" t="inlineStr">
        <is>
          <t>Shop</t>
        </is>
      </c>
      <c r="E1545" t="n">
        <v>85.40000000000001</v>
      </c>
      <c r="F1545" t="inlineStr">
        <is>
          <t>NC-PI-3</t>
        </is>
      </c>
      <c r="G1545" t="inlineStr">
        <is>
          <t>Tenanted</t>
        </is>
      </c>
    </row>
    <row r="1546">
      <c r="A1546" t="inlineStr">
        <is>
          <t>U-PI657-01-11</t>
        </is>
      </c>
      <c r="B1546" t="inlineStr">
        <is>
          <t>Pasir Indah</t>
        </is>
      </c>
      <c r="C1546" t="inlineStr">
        <is>
          <t>Blk 657 Pasir Indah Avenue 6 #01-11 Singapura 510657</t>
        </is>
      </c>
      <c r="D1546" t="inlineStr">
        <is>
          <t>Shop</t>
        </is>
      </c>
      <c r="E1546" t="n">
        <v>100.1</v>
      </c>
      <c r="F1546" t="inlineStr">
        <is>
          <t>NC-PI-3</t>
        </is>
      </c>
      <c r="G1546" t="inlineStr">
        <is>
          <t>Tenanted</t>
        </is>
      </c>
    </row>
    <row r="1547">
      <c r="A1547" t="inlineStr">
        <is>
          <t>U-PI667-01-01</t>
        </is>
      </c>
      <c r="B1547" t="inlineStr">
        <is>
          <t>Pasir Indah</t>
        </is>
      </c>
      <c r="C1547" t="inlineStr">
        <is>
          <t>Blk 667 Jalan Pasir Indah #01-01 Singapura 510667</t>
        </is>
      </c>
      <c r="D1547" t="inlineStr">
        <is>
          <t>Shop</t>
        </is>
      </c>
      <c r="E1547" t="n">
        <v>84</v>
      </c>
      <c r="F1547" t="inlineStr">
        <is>
          <t>NC-PI-3</t>
        </is>
      </c>
      <c r="G1547" t="inlineStr">
        <is>
          <t>Tenanted</t>
        </is>
      </c>
    </row>
    <row r="1548">
      <c r="A1548" t="inlineStr">
        <is>
          <t>U-PI667-01-02</t>
        </is>
      </c>
      <c r="B1548" t="inlineStr">
        <is>
          <t>Pasir Indah</t>
        </is>
      </c>
      <c r="C1548" t="inlineStr">
        <is>
          <t>Blk 667 Jalan Pasir Indah #01-02 Singapura 510667</t>
        </is>
      </c>
      <c r="D1548" t="inlineStr">
        <is>
          <t>Shop</t>
        </is>
      </c>
      <c r="E1548" t="n">
        <v>45.4</v>
      </c>
      <c r="F1548" t="inlineStr">
        <is>
          <t>NC-PI-3</t>
        </is>
      </c>
      <c r="G1548" t="inlineStr">
        <is>
          <t>Tenanted</t>
        </is>
      </c>
    </row>
    <row r="1549">
      <c r="A1549" t="inlineStr">
        <is>
          <t>U-PI667-01-03</t>
        </is>
      </c>
      <c r="B1549" t="inlineStr">
        <is>
          <t>Pasir Indah</t>
        </is>
      </c>
      <c r="C1549" t="inlineStr">
        <is>
          <t>Blk 667 Jalan Pasir Indah #01-03 Singapura 510667</t>
        </is>
      </c>
      <c r="D1549" t="inlineStr">
        <is>
          <t>Shop</t>
        </is>
      </c>
      <c r="E1549" t="n">
        <v>98</v>
      </c>
      <c r="F1549" t="inlineStr">
        <is>
          <t>NC-PI-3</t>
        </is>
      </c>
      <c r="G1549" t="inlineStr">
        <is>
          <t>Tenanted</t>
        </is>
      </c>
    </row>
    <row r="1550">
      <c r="A1550" t="inlineStr">
        <is>
          <t>U-PI667-01-04</t>
        </is>
      </c>
      <c r="B1550" t="inlineStr">
        <is>
          <t>Pasir Indah</t>
        </is>
      </c>
      <c r="C1550" t="inlineStr">
        <is>
          <t>Blk 667 Jalan Pasir Indah #01-04 Singapura 510667</t>
        </is>
      </c>
      <c r="D1550" t="inlineStr">
        <is>
          <t>Shop</t>
        </is>
      </c>
      <c r="E1550" t="n">
        <v>66.5</v>
      </c>
      <c r="F1550" t="inlineStr">
        <is>
          <t>NC-PI-3</t>
        </is>
      </c>
      <c r="G1550" t="inlineStr">
        <is>
          <t>Tenanted</t>
        </is>
      </c>
    </row>
    <row r="1551">
      <c r="A1551" t="inlineStr">
        <is>
          <t>U-PI667-01-05</t>
        </is>
      </c>
      <c r="B1551" t="inlineStr">
        <is>
          <t>Pasir Indah</t>
        </is>
      </c>
      <c r="C1551" t="inlineStr">
        <is>
          <t>Blk 667 Jalan Pasir Indah #01-05 Singapura 510667</t>
        </is>
      </c>
      <c r="D1551" t="inlineStr">
        <is>
          <t>Shop</t>
        </is>
      </c>
      <c r="E1551" t="n">
        <v>92.40000000000001</v>
      </c>
      <c r="F1551" t="inlineStr">
        <is>
          <t>NC-PI-3</t>
        </is>
      </c>
      <c r="G1551" t="inlineStr">
        <is>
          <t>Tenanted</t>
        </is>
      </c>
    </row>
    <row r="1552">
      <c r="A1552" t="inlineStr">
        <is>
          <t>U-PI667-01-06</t>
        </is>
      </c>
      <c r="B1552" t="inlineStr">
        <is>
          <t>Pasir Indah</t>
        </is>
      </c>
      <c r="C1552" t="inlineStr">
        <is>
          <t>Blk 667 Jalan Pasir Indah #01-06 Singapura 510667</t>
        </is>
      </c>
      <c r="D1552" t="inlineStr">
        <is>
          <t>Shop</t>
        </is>
      </c>
      <c r="E1552" t="n">
        <v>89.59999999999999</v>
      </c>
      <c r="F1552" t="inlineStr">
        <is>
          <t>NC-PI-3</t>
        </is>
      </c>
      <c r="G1552" t="inlineStr">
        <is>
          <t>Tenanted</t>
        </is>
      </c>
    </row>
    <row r="1553">
      <c r="A1553" t="inlineStr">
        <is>
          <t>U-PI667-02-07</t>
        </is>
      </c>
      <c r="B1553" t="inlineStr">
        <is>
          <t>Pasir Indah</t>
        </is>
      </c>
      <c r="C1553" t="inlineStr">
        <is>
          <t>Blk 667 Jalan Pasir Indah #02-07 Singapura 510667</t>
        </is>
      </c>
      <c r="D1553" t="inlineStr">
        <is>
          <t>Office</t>
        </is>
      </c>
      <c r="E1553" t="n">
        <v>95.09999999999999</v>
      </c>
      <c r="F1553" t="inlineStr">
        <is>
          <t>NC-PI-3</t>
        </is>
      </c>
      <c r="G1553" t="inlineStr">
        <is>
          <t>Tenanted</t>
        </is>
      </c>
    </row>
    <row r="1554">
      <c r="A1554" t="inlineStr">
        <is>
          <t>U-PI667-01-08</t>
        </is>
      </c>
      <c r="B1554" t="inlineStr">
        <is>
          <t>Pasir Indah</t>
        </is>
      </c>
      <c r="C1554" t="inlineStr">
        <is>
          <t>Blk 667 Jalan Pasir Indah #01-08 Singapura 510667</t>
        </is>
      </c>
      <c r="D1554" t="inlineStr">
        <is>
          <t>Shop</t>
        </is>
      </c>
      <c r="E1554" t="n">
        <v>64.5</v>
      </c>
      <c r="F1554" t="inlineStr">
        <is>
          <t>NC-PI-3</t>
        </is>
      </c>
      <c r="G1554" t="inlineStr">
        <is>
          <t>Tenanted</t>
        </is>
      </c>
    </row>
    <row r="1555">
      <c r="A1555" t="inlineStr">
        <is>
          <t>U-PI667-01-09</t>
        </is>
      </c>
      <c r="B1555" t="inlineStr">
        <is>
          <t>Pasir Indah</t>
        </is>
      </c>
      <c r="C1555" t="inlineStr">
        <is>
          <t>Blk 667 Jalan Pasir Indah #01-09 Singapura 510667</t>
        </is>
      </c>
      <c r="D1555" t="inlineStr">
        <is>
          <t>Shop</t>
        </is>
      </c>
      <c r="E1555" t="n">
        <v>85.2</v>
      </c>
      <c r="F1555" t="inlineStr">
        <is>
          <t>NC-PI-3</t>
        </is>
      </c>
      <c r="G1555" t="inlineStr">
        <is>
          <t>Tenanted</t>
        </is>
      </c>
    </row>
    <row r="1556">
      <c r="A1556" t="inlineStr">
        <is>
          <t>U-PI667-01-10</t>
        </is>
      </c>
      <c r="B1556" t="inlineStr">
        <is>
          <t>Pasir Indah</t>
        </is>
      </c>
      <c r="C1556" t="inlineStr">
        <is>
          <t>Blk 667 Jalan Pasir Indah #01-10 Singapura 510667</t>
        </is>
      </c>
      <c r="D1556" t="inlineStr">
        <is>
          <t>Shop</t>
        </is>
      </c>
      <c r="E1556" t="n">
        <v>65.3</v>
      </c>
      <c r="F1556" t="inlineStr">
        <is>
          <t>NC-PI-3</t>
        </is>
      </c>
      <c r="G1556" t="inlineStr">
        <is>
          <t>Tenanted</t>
        </is>
      </c>
    </row>
    <row r="1557">
      <c r="A1557" t="inlineStr">
        <is>
          <t>U-PI667-01-11</t>
        </is>
      </c>
      <c r="B1557" t="inlineStr">
        <is>
          <t>Pasir Indah</t>
        </is>
      </c>
      <c r="C1557" t="inlineStr">
        <is>
          <t>Blk 667 Jalan Pasir Indah #01-11 Singapura 510667</t>
        </is>
      </c>
      <c r="D1557" t="inlineStr">
        <is>
          <t>Shop</t>
        </is>
      </c>
      <c r="E1557" t="n">
        <v>40.4</v>
      </c>
      <c r="F1557" t="inlineStr">
        <is>
          <t>NC-PI-3</t>
        </is>
      </c>
      <c r="G1557" t="inlineStr">
        <is>
          <t>Tenanted</t>
        </is>
      </c>
    </row>
    <row r="1558">
      <c r="A1558" t="inlineStr">
        <is>
          <t>U-PI667-01-12</t>
        </is>
      </c>
      <c r="B1558" t="inlineStr">
        <is>
          <t>Pasir Indah</t>
        </is>
      </c>
      <c r="C1558" t="inlineStr">
        <is>
          <t>Blk 667 Jalan Pasir Indah #01-12 Singapura 510667</t>
        </is>
      </c>
      <c r="D1558" t="inlineStr">
        <is>
          <t>Shop</t>
        </is>
      </c>
      <c r="E1558" t="n">
        <v>57.7</v>
      </c>
      <c r="F1558" t="inlineStr">
        <is>
          <t>NC-PI-3</t>
        </is>
      </c>
      <c r="G1558" t="inlineStr">
        <is>
          <t>Tenanted</t>
        </is>
      </c>
    </row>
    <row r="1559">
      <c r="A1559" t="inlineStr">
        <is>
          <t>U-PI667-01-13</t>
        </is>
      </c>
      <c r="B1559" t="inlineStr">
        <is>
          <t>Pasir Indah</t>
        </is>
      </c>
      <c r="C1559" t="inlineStr">
        <is>
          <t>Blk 667 Jalan Pasir Indah #01-13 Singapura 510667</t>
        </is>
      </c>
      <c r="D1559" t="inlineStr">
        <is>
          <t>Kiosk</t>
        </is>
      </c>
      <c r="E1559" t="n">
        <v>9.9</v>
      </c>
      <c r="F1559" t="inlineStr">
        <is>
          <t>NC-PI-3</t>
        </is>
      </c>
      <c r="G1559" t="inlineStr">
        <is>
          <t>Tenanted</t>
        </is>
      </c>
    </row>
    <row r="1560">
      <c r="A1560" t="inlineStr">
        <is>
          <t>U-PI667-01-14</t>
        </is>
      </c>
      <c r="B1560" t="inlineStr">
        <is>
          <t>Pasir Indah</t>
        </is>
      </c>
      <c r="C1560" t="inlineStr">
        <is>
          <t>Blk 667 Jalan Pasir Indah #01-14 Singapura 510667</t>
        </is>
      </c>
      <c r="D1560" t="inlineStr">
        <is>
          <t>Shop with Living Quarters</t>
        </is>
      </c>
      <c r="E1560" t="n">
        <v>66.7</v>
      </c>
      <c r="F1560" t="inlineStr">
        <is>
          <t>NC-PI-3</t>
        </is>
      </c>
      <c r="G1560" t="inlineStr">
        <is>
          <t>Tenanted</t>
        </is>
      </c>
    </row>
    <row r="1561">
      <c r="A1561" t="inlineStr">
        <is>
          <t>U-PI668-01-01</t>
        </is>
      </c>
      <c r="B1561" t="inlineStr">
        <is>
          <t>Pasir Indah</t>
        </is>
      </c>
      <c r="C1561" t="inlineStr">
        <is>
          <t>Blk 668 Pasir Indah Avenue 6 #01-01 Singapura 510668</t>
        </is>
      </c>
      <c r="D1561" t="inlineStr">
        <is>
          <t>Eating House</t>
        </is>
      </c>
      <c r="E1561" t="n">
        <v>322.9</v>
      </c>
      <c r="F1561" t="inlineStr">
        <is>
          <t>NC-PI-1</t>
        </is>
      </c>
      <c r="G1561" t="inlineStr">
        <is>
          <t>Tenanted</t>
        </is>
      </c>
    </row>
    <row r="1562">
      <c r="A1562" t="inlineStr">
        <is>
          <t>U-PI668-01-02</t>
        </is>
      </c>
      <c r="B1562" t="inlineStr">
        <is>
          <t>Pasir Indah</t>
        </is>
      </c>
      <c r="C1562" t="inlineStr">
        <is>
          <t>Blk 668 Pasir Indah Avenue 6 #01-02 Singapura 510668</t>
        </is>
      </c>
      <c r="D1562" t="inlineStr">
        <is>
          <t>Shop</t>
        </is>
      </c>
      <c r="E1562" t="n">
        <v>68.7</v>
      </c>
      <c r="F1562" t="inlineStr">
        <is>
          <t>NC-PI-1</t>
        </is>
      </c>
      <c r="G1562" t="inlineStr">
        <is>
          <t>Tenanted</t>
        </is>
      </c>
    </row>
    <row r="1563">
      <c r="A1563" t="inlineStr">
        <is>
          <t>U-PI668-01-03</t>
        </is>
      </c>
      <c r="B1563" t="inlineStr">
        <is>
          <t>Pasir Indah</t>
        </is>
      </c>
      <c r="C1563" t="inlineStr">
        <is>
          <t>Blk 668 Pasir Indah Avenue 6 #01-03 Singapura 510668</t>
        </is>
      </c>
      <c r="D1563" t="inlineStr">
        <is>
          <t>Shop</t>
        </is>
      </c>
      <c r="E1563" t="n">
        <v>84.09999999999999</v>
      </c>
      <c r="F1563" t="inlineStr">
        <is>
          <t>NC-PI-1</t>
        </is>
      </c>
      <c r="G1563" t="inlineStr">
        <is>
          <t>Tenanted</t>
        </is>
      </c>
    </row>
    <row r="1564">
      <c r="A1564" t="inlineStr">
        <is>
          <t>U-PI668-01-04</t>
        </is>
      </c>
      <c r="B1564" t="inlineStr">
        <is>
          <t>Pasir Indah</t>
        </is>
      </c>
      <c r="C1564" t="inlineStr">
        <is>
          <t>Blk 668 Pasir Indah Avenue 6 #01-04 Singapura 510668</t>
        </is>
      </c>
      <c r="D1564" t="inlineStr">
        <is>
          <t>Shop</t>
        </is>
      </c>
      <c r="E1564" t="n">
        <v>88.5</v>
      </c>
      <c r="F1564" t="inlineStr">
        <is>
          <t>NC-PI-1</t>
        </is>
      </c>
      <c r="G1564" t="inlineStr">
        <is>
          <t>Tenanted</t>
        </is>
      </c>
    </row>
    <row r="1565">
      <c r="A1565" t="inlineStr">
        <is>
          <t>U-PI668-01-05</t>
        </is>
      </c>
      <c r="B1565" t="inlineStr">
        <is>
          <t>Pasir Indah</t>
        </is>
      </c>
      <c r="C1565" t="inlineStr">
        <is>
          <t>Blk 668 Pasir Indah Avenue 6 #01-05 Singapura 510668</t>
        </is>
      </c>
      <c r="D1565" t="inlineStr">
        <is>
          <t>Shop with Living Quarters</t>
        </is>
      </c>
      <c r="E1565" t="n">
        <v>102.9</v>
      </c>
      <c r="F1565" t="inlineStr">
        <is>
          <t>NC-PI-1</t>
        </is>
      </c>
      <c r="G1565" t="inlineStr">
        <is>
          <t>Tenanted</t>
        </is>
      </c>
    </row>
    <row r="1566">
      <c r="A1566" t="inlineStr">
        <is>
          <t>U-PI668-01-06</t>
        </is>
      </c>
      <c r="B1566" t="inlineStr">
        <is>
          <t>Pasir Indah</t>
        </is>
      </c>
      <c r="C1566" t="inlineStr">
        <is>
          <t>Blk 668 Pasir Indah Avenue 6 #01-06 Singapura 510668</t>
        </is>
      </c>
      <c r="D1566" t="inlineStr">
        <is>
          <t>Shop</t>
        </is>
      </c>
      <c r="E1566" t="n">
        <v>83.09999999999999</v>
      </c>
      <c r="F1566" t="inlineStr">
        <is>
          <t>NC-PI-1</t>
        </is>
      </c>
      <c r="G1566" t="inlineStr">
        <is>
          <t>Tenanted</t>
        </is>
      </c>
    </row>
    <row r="1567">
      <c r="A1567" t="inlineStr">
        <is>
          <t>U-PI668-01-07</t>
        </is>
      </c>
      <c r="B1567" t="inlineStr">
        <is>
          <t>Pasir Indah</t>
        </is>
      </c>
      <c r="C1567" t="inlineStr">
        <is>
          <t>Blk 668 Pasir Indah Avenue 6 #01-07 Singapura 510668</t>
        </is>
      </c>
      <c r="D1567" t="inlineStr">
        <is>
          <t>Shop</t>
        </is>
      </c>
      <c r="E1567" t="n">
        <v>110.9</v>
      </c>
      <c r="F1567" t="inlineStr">
        <is>
          <t>NC-PI-1</t>
        </is>
      </c>
      <c r="G1567" t="inlineStr">
        <is>
          <t>Under Tender</t>
        </is>
      </c>
    </row>
    <row r="1568">
      <c r="A1568" t="inlineStr">
        <is>
          <t>U-PI668-01-08</t>
        </is>
      </c>
      <c r="B1568" t="inlineStr">
        <is>
          <t>Pasir Indah</t>
        </is>
      </c>
      <c r="C1568" t="inlineStr">
        <is>
          <t>Blk 668 Pasir Indah Avenue 6 #01-08 Singapura 510668</t>
        </is>
      </c>
      <c r="D1568" t="inlineStr">
        <is>
          <t>Shop</t>
        </is>
      </c>
      <c r="E1568" t="n">
        <v>46</v>
      </c>
      <c r="F1568" t="inlineStr">
        <is>
          <t>NC-PI-1</t>
        </is>
      </c>
      <c r="G1568" t="inlineStr">
        <is>
          <t>Tenanted</t>
        </is>
      </c>
    </row>
    <row r="1569">
      <c r="A1569" t="inlineStr">
        <is>
          <t>U-PI668-01-09</t>
        </is>
      </c>
      <c r="B1569" t="inlineStr">
        <is>
          <t>Pasir Indah</t>
        </is>
      </c>
      <c r="C1569" t="inlineStr">
        <is>
          <t>Blk 668 Pasir Indah Avenue 6 #01-09 Singapura 510668</t>
        </is>
      </c>
      <c r="D1569" t="inlineStr">
        <is>
          <t>Shop</t>
        </is>
      </c>
      <c r="E1569" t="n">
        <v>80.59999999999999</v>
      </c>
      <c r="F1569" t="inlineStr">
        <is>
          <t>NC-PI-1</t>
        </is>
      </c>
      <c r="G1569" t="inlineStr">
        <is>
          <t>Tenanted</t>
        </is>
      </c>
    </row>
    <row r="1570">
      <c r="A1570" t="inlineStr">
        <is>
          <t>U-PI668-01-10</t>
        </is>
      </c>
      <c r="B1570" t="inlineStr">
        <is>
          <t>Pasir Indah</t>
        </is>
      </c>
      <c r="C1570" t="inlineStr">
        <is>
          <t>Blk 668 Pasir Indah Avenue 6 #01-10 Singapura 510668</t>
        </is>
      </c>
      <c r="D1570" t="inlineStr">
        <is>
          <t>Shop</t>
        </is>
      </c>
      <c r="E1570" t="n">
        <v>86.59999999999999</v>
      </c>
      <c r="F1570" t="inlineStr">
        <is>
          <t>NC-PI-1</t>
        </is>
      </c>
      <c r="G1570" t="inlineStr">
        <is>
          <t>Tenanted</t>
        </is>
      </c>
    </row>
    <row r="1571">
      <c r="A1571" t="inlineStr">
        <is>
          <t>U-PI668-01-11</t>
        </is>
      </c>
      <c r="B1571" t="inlineStr">
        <is>
          <t>Pasir Indah</t>
        </is>
      </c>
      <c r="C1571" t="inlineStr">
        <is>
          <t>Blk 668 Pasir Indah Avenue 6 #01-11 Singapura 510668</t>
        </is>
      </c>
      <c r="D1571" t="inlineStr">
        <is>
          <t>Shop</t>
        </is>
      </c>
      <c r="E1571" t="n">
        <v>87.2</v>
      </c>
      <c r="F1571" t="inlineStr">
        <is>
          <t>NC-PI-1</t>
        </is>
      </c>
      <c r="G1571" t="inlineStr">
        <is>
          <t>Tenanted</t>
        </is>
      </c>
    </row>
    <row r="1572">
      <c r="A1572" t="inlineStr">
        <is>
          <t>U-PI670-01-01</t>
        </is>
      </c>
      <c r="B1572" t="inlineStr">
        <is>
          <t>Pasir Indah</t>
        </is>
      </c>
      <c r="C1572" t="inlineStr">
        <is>
          <t>Blk 670 Pasir Indah Avenue 6 #01-01 Singapura 510670</t>
        </is>
      </c>
      <c r="D1572" t="inlineStr">
        <is>
          <t>Shop</t>
        </is>
      </c>
      <c r="E1572" t="n">
        <v>83.5</v>
      </c>
      <c r="F1572" t="inlineStr">
        <is>
          <t>NC-PI-1</t>
        </is>
      </c>
      <c r="G1572" t="inlineStr">
        <is>
          <t>Tenanted</t>
        </is>
      </c>
    </row>
    <row r="1573">
      <c r="A1573" t="inlineStr">
        <is>
          <t>U-PI670-02-02</t>
        </is>
      </c>
      <c r="B1573" t="inlineStr">
        <is>
          <t>Pasir Indah</t>
        </is>
      </c>
      <c r="C1573" t="inlineStr">
        <is>
          <t>Blk 670 Pasir Indah Avenue 6 #02-02 Singapura 510670</t>
        </is>
      </c>
      <c r="D1573" t="inlineStr">
        <is>
          <t>Office</t>
        </is>
      </c>
      <c r="E1573" t="n">
        <v>127.5</v>
      </c>
      <c r="F1573" t="inlineStr">
        <is>
          <t>NC-PI-1</t>
        </is>
      </c>
      <c r="G1573" t="inlineStr">
        <is>
          <t>Tenanted</t>
        </is>
      </c>
    </row>
    <row r="1574">
      <c r="A1574" t="inlineStr">
        <is>
          <t>U-PI670-01-03</t>
        </is>
      </c>
      <c r="B1574" t="inlineStr">
        <is>
          <t>Pasir Indah</t>
        </is>
      </c>
      <c r="C1574" t="inlineStr">
        <is>
          <t>Blk 670 Pasir Indah Avenue 6 #01-03 Singapura 510670</t>
        </is>
      </c>
      <c r="D1574" t="inlineStr">
        <is>
          <t>Shop</t>
        </is>
      </c>
      <c r="E1574" t="n">
        <v>57.9</v>
      </c>
      <c r="F1574" t="inlineStr">
        <is>
          <t>NC-PI-1</t>
        </is>
      </c>
      <c r="G1574" t="inlineStr">
        <is>
          <t>Tenanted</t>
        </is>
      </c>
    </row>
    <row r="1575">
      <c r="A1575" t="inlineStr">
        <is>
          <t>U-PI670-01-04</t>
        </is>
      </c>
      <c r="B1575" t="inlineStr">
        <is>
          <t>Pasir Indah</t>
        </is>
      </c>
      <c r="C1575" t="inlineStr">
        <is>
          <t>Blk 670 Pasir Indah Avenue 6 #01-04 Singapura 510670</t>
        </is>
      </c>
      <c r="D1575" t="inlineStr">
        <is>
          <t>Kiosk</t>
        </is>
      </c>
      <c r="E1575" t="n">
        <v>12.6</v>
      </c>
      <c r="F1575" t="inlineStr">
        <is>
          <t>NC-PI-1</t>
        </is>
      </c>
      <c r="G1575" t="inlineStr">
        <is>
          <t>Tenanted</t>
        </is>
      </c>
    </row>
    <row r="1576">
      <c r="A1576" t="inlineStr">
        <is>
          <t>U-PI670-01-05</t>
        </is>
      </c>
      <c r="B1576" t="inlineStr">
        <is>
          <t>Pasir Indah</t>
        </is>
      </c>
      <c r="C1576" t="inlineStr">
        <is>
          <t>Blk 670 Pasir Indah Avenue 6 #01-05 Singapura 510670</t>
        </is>
      </c>
      <c r="D1576" t="inlineStr">
        <is>
          <t>Shop</t>
        </is>
      </c>
      <c r="E1576" t="n">
        <v>77.2</v>
      </c>
      <c r="F1576" t="inlineStr">
        <is>
          <t>NC-PI-1</t>
        </is>
      </c>
      <c r="G1576" t="inlineStr">
        <is>
          <t>Tenanted</t>
        </is>
      </c>
    </row>
    <row r="1577">
      <c r="A1577" t="inlineStr">
        <is>
          <t>U-PI670-01-06</t>
        </is>
      </c>
      <c r="B1577" t="inlineStr">
        <is>
          <t>Pasir Indah</t>
        </is>
      </c>
      <c r="C1577" t="inlineStr">
        <is>
          <t>Blk 670 Pasir Indah Avenue 6 #01-06 Singapura 510670</t>
        </is>
      </c>
      <c r="D1577" t="inlineStr">
        <is>
          <t>Shop</t>
        </is>
      </c>
      <c r="E1577" t="n">
        <v>71.7</v>
      </c>
      <c r="F1577" t="inlineStr">
        <is>
          <t>NC-PI-1</t>
        </is>
      </c>
      <c r="G1577" t="inlineStr">
        <is>
          <t>Tenanted</t>
        </is>
      </c>
    </row>
    <row r="1578">
      <c r="A1578" t="inlineStr">
        <is>
          <t>U-PI675-01-01</t>
        </is>
      </c>
      <c r="B1578" t="inlineStr">
        <is>
          <t>Pasir Indah</t>
        </is>
      </c>
      <c r="C1578" t="inlineStr">
        <is>
          <t>Blk 675 Pasir Indah Avenue 6 #01-01 Singapura 510675</t>
        </is>
      </c>
      <c r="D1578" t="inlineStr">
        <is>
          <t>Shop</t>
        </is>
      </c>
      <c r="E1578" t="n">
        <v>59.1</v>
      </c>
      <c r="F1578" t="inlineStr">
        <is>
          <t>NC-PI-1</t>
        </is>
      </c>
      <c r="G1578" t="inlineStr">
        <is>
          <t>Vacant</t>
        </is>
      </c>
    </row>
    <row r="1579">
      <c r="A1579" t="inlineStr">
        <is>
          <t>U-PI675-01-02</t>
        </is>
      </c>
      <c r="B1579" t="inlineStr">
        <is>
          <t>Pasir Indah</t>
        </is>
      </c>
      <c r="C1579" t="inlineStr">
        <is>
          <t>Blk 675 Pasir Indah Avenue 6 #01-02 Singapura 510675</t>
        </is>
      </c>
      <c r="D1579" t="inlineStr">
        <is>
          <t>Office</t>
        </is>
      </c>
      <c r="E1579" t="n">
        <v>118.4</v>
      </c>
      <c r="F1579" t="inlineStr">
        <is>
          <t>NC-PI-1</t>
        </is>
      </c>
      <c r="G1579" t="inlineStr">
        <is>
          <t>Tenanted</t>
        </is>
      </c>
    </row>
    <row r="1580">
      <c r="A1580" t="inlineStr">
        <is>
          <t>U-PI675-01-03</t>
        </is>
      </c>
      <c r="B1580" t="inlineStr">
        <is>
          <t>Pasir Indah</t>
        </is>
      </c>
      <c r="C1580" t="inlineStr">
        <is>
          <t>Blk 675 Pasir Indah Avenue 6 #01-03 Singapura 510675</t>
        </is>
      </c>
      <c r="D1580" t="inlineStr">
        <is>
          <t>Kiosk</t>
        </is>
      </c>
      <c r="E1580" t="n">
        <v>7.3</v>
      </c>
      <c r="F1580" t="inlineStr">
        <is>
          <t>NC-PI-1</t>
        </is>
      </c>
      <c r="G1580" t="inlineStr">
        <is>
          <t>Tenanted</t>
        </is>
      </c>
    </row>
    <row r="1581">
      <c r="A1581" t="inlineStr">
        <is>
          <t>U-PI675-01-04</t>
        </is>
      </c>
      <c r="B1581" t="inlineStr">
        <is>
          <t>Pasir Indah</t>
        </is>
      </c>
      <c r="C1581" t="inlineStr">
        <is>
          <t>Blk 675 Pasir Indah Avenue 6 #01-04 Singapura 510675</t>
        </is>
      </c>
      <c r="D1581" t="inlineStr">
        <is>
          <t>Shop</t>
        </is>
      </c>
      <c r="E1581" t="n">
        <v>85.3</v>
      </c>
      <c r="F1581" t="inlineStr">
        <is>
          <t>NC-PI-1</t>
        </is>
      </c>
      <c r="G1581" t="inlineStr">
        <is>
          <t>Tenanted</t>
        </is>
      </c>
    </row>
    <row r="1582">
      <c r="A1582" t="inlineStr">
        <is>
          <t>U-PI675-01-05</t>
        </is>
      </c>
      <c r="B1582" t="inlineStr">
        <is>
          <t>Pasir Indah</t>
        </is>
      </c>
      <c r="C1582" t="inlineStr">
        <is>
          <t>Blk 675 Pasir Indah Avenue 6 #01-05 Singapura 510675</t>
        </is>
      </c>
      <c r="D1582" t="inlineStr">
        <is>
          <t>Shop</t>
        </is>
      </c>
      <c r="E1582" t="n">
        <v>109.8</v>
      </c>
      <c r="F1582" t="inlineStr">
        <is>
          <t>NC-PI-1</t>
        </is>
      </c>
      <c r="G1582" t="inlineStr">
        <is>
          <t>Tenanted</t>
        </is>
      </c>
    </row>
    <row r="1583">
      <c r="A1583" t="inlineStr">
        <is>
          <t>U-PI675-01-06</t>
        </is>
      </c>
      <c r="B1583" t="inlineStr">
        <is>
          <t>Pasir Indah</t>
        </is>
      </c>
      <c r="C1583" t="inlineStr">
        <is>
          <t>Blk 675 Pasir Indah Avenue 6 #01-06 Singapura 510675</t>
        </is>
      </c>
      <c r="D1583" t="inlineStr">
        <is>
          <t>Shop</t>
        </is>
      </c>
      <c r="E1583" t="n">
        <v>98.59999999999999</v>
      </c>
      <c r="F1583" t="inlineStr">
        <is>
          <t>NC-PI-1</t>
        </is>
      </c>
      <c r="G1583" t="inlineStr">
        <is>
          <t>Tenanted</t>
        </is>
      </c>
    </row>
    <row r="1584">
      <c r="A1584" t="inlineStr">
        <is>
          <t>U-PI675-02-07</t>
        </is>
      </c>
      <c r="B1584" t="inlineStr">
        <is>
          <t>Pasir Indah</t>
        </is>
      </c>
      <c r="C1584" t="inlineStr">
        <is>
          <t>Blk 675 Pasir Indah Avenue 6 #02-07 Singapura 510675</t>
        </is>
      </c>
      <c r="D1584" t="inlineStr">
        <is>
          <t>Office</t>
        </is>
      </c>
      <c r="E1584" t="n">
        <v>126.1</v>
      </c>
      <c r="F1584" t="inlineStr">
        <is>
          <t>NC-PI-1</t>
        </is>
      </c>
      <c r="G1584" t="inlineStr">
        <is>
          <t>Tenanted</t>
        </is>
      </c>
    </row>
    <row r="1585">
      <c r="A1585" t="inlineStr">
        <is>
          <t>U-PI675-01-08</t>
        </is>
      </c>
      <c r="B1585" t="inlineStr">
        <is>
          <t>Pasir Indah</t>
        </is>
      </c>
      <c r="C1585" t="inlineStr">
        <is>
          <t>Blk 675 Pasir Indah Avenue 6 #01-08 Singapura 510675</t>
        </is>
      </c>
      <c r="D1585" t="inlineStr">
        <is>
          <t>Shop</t>
        </is>
      </c>
      <c r="E1585" t="n">
        <v>61.1</v>
      </c>
      <c r="F1585" t="inlineStr">
        <is>
          <t>NC-PI-1</t>
        </is>
      </c>
      <c r="G1585" t="inlineStr">
        <is>
          <t>Tenanted</t>
        </is>
      </c>
    </row>
    <row r="1586">
      <c r="A1586" t="inlineStr">
        <is>
          <t>U-PI675-01-09</t>
        </is>
      </c>
      <c r="B1586" t="inlineStr">
        <is>
          <t>Pasir Indah</t>
        </is>
      </c>
      <c r="C1586" t="inlineStr">
        <is>
          <t>Blk 675 Pasir Indah Avenue 6 #01-09 Singapura 510675</t>
        </is>
      </c>
      <c r="D1586" t="inlineStr">
        <is>
          <t>Shop</t>
        </is>
      </c>
      <c r="E1586" t="n">
        <v>93.5</v>
      </c>
      <c r="F1586" t="inlineStr">
        <is>
          <t>NC-PI-1</t>
        </is>
      </c>
      <c r="G1586" t="inlineStr">
        <is>
          <t>Vacant</t>
        </is>
      </c>
    </row>
    <row r="1587">
      <c r="A1587" t="inlineStr">
        <is>
          <t>U-PI675-01-10</t>
        </is>
      </c>
      <c r="B1587" t="inlineStr">
        <is>
          <t>Pasir Indah</t>
        </is>
      </c>
      <c r="C1587" t="inlineStr">
        <is>
          <t>Blk 675 Pasir Indah Avenue 6 #01-10 Singapura 510675</t>
        </is>
      </c>
      <c r="D1587" t="inlineStr">
        <is>
          <t>Shop</t>
        </is>
      </c>
      <c r="E1587" t="n">
        <v>103.3</v>
      </c>
      <c r="F1587" t="inlineStr">
        <is>
          <t>NC-PI-1</t>
        </is>
      </c>
      <c r="G1587" t="inlineStr">
        <is>
          <t>Under Tender</t>
        </is>
      </c>
    </row>
    <row r="1588">
      <c r="A1588" t="inlineStr">
        <is>
          <t>U-PI675-01-11</t>
        </is>
      </c>
      <c r="B1588" t="inlineStr">
        <is>
          <t>Pasir Indah</t>
        </is>
      </c>
      <c r="C1588" t="inlineStr">
        <is>
          <t>Blk 675 Pasir Indah Avenue 6 #01-11 Singapura 510675</t>
        </is>
      </c>
      <c r="D1588" t="inlineStr">
        <is>
          <t>Shop</t>
        </is>
      </c>
      <c r="E1588" t="n">
        <v>113.4</v>
      </c>
      <c r="F1588" t="inlineStr">
        <is>
          <t>NC-PI-1</t>
        </is>
      </c>
      <c r="G1588" t="inlineStr">
        <is>
          <t>Vacant</t>
        </is>
      </c>
    </row>
    <row r="1589">
      <c r="A1589" t="inlineStr">
        <is>
          <t>U-PI675-02-12</t>
        </is>
      </c>
      <c r="B1589" t="inlineStr">
        <is>
          <t>Pasir Indah</t>
        </is>
      </c>
      <c r="C1589" t="inlineStr">
        <is>
          <t>Blk 675 Pasir Indah Avenue 6 #02-12 Singapura 510675</t>
        </is>
      </c>
      <c r="D1589" t="inlineStr">
        <is>
          <t>Office</t>
        </is>
      </c>
      <c r="E1589" t="n">
        <v>114.9</v>
      </c>
      <c r="F1589" t="inlineStr">
        <is>
          <t>NC-PI-1</t>
        </is>
      </c>
      <c r="G1589" t="inlineStr">
        <is>
          <t>Tenanted</t>
        </is>
      </c>
    </row>
    <row r="1590">
      <c r="A1590" t="inlineStr">
        <is>
          <t>U-PI675-01-13</t>
        </is>
      </c>
      <c r="B1590" t="inlineStr">
        <is>
          <t>Pasir Indah</t>
        </is>
      </c>
      <c r="C1590" t="inlineStr">
        <is>
          <t>Blk 675 Pasir Indah Avenue 6 #01-13 Singapura 510675</t>
        </is>
      </c>
      <c r="D1590" t="inlineStr">
        <is>
          <t>Shop</t>
        </is>
      </c>
      <c r="E1590" t="n">
        <v>117.5</v>
      </c>
      <c r="F1590" t="inlineStr">
        <is>
          <t>NC-PI-1</t>
        </is>
      </c>
      <c r="G1590" t="inlineStr">
        <is>
          <t>Tenanted</t>
        </is>
      </c>
    </row>
    <row r="1591">
      <c r="A1591" t="inlineStr">
        <is>
          <t>U-PI675-01-14</t>
        </is>
      </c>
      <c r="B1591" t="inlineStr">
        <is>
          <t>Pasir Indah</t>
        </is>
      </c>
      <c r="C1591" t="inlineStr">
        <is>
          <t>Blk 675 Pasir Indah Avenue 6 #01-14 Singapura 510675</t>
        </is>
      </c>
      <c r="D1591" t="inlineStr">
        <is>
          <t>Shop</t>
        </is>
      </c>
      <c r="E1591" t="n">
        <v>61.9</v>
      </c>
      <c r="F1591" t="inlineStr">
        <is>
          <t>NC-PI-1</t>
        </is>
      </c>
      <c r="G1591" t="inlineStr">
        <is>
          <t>Tenanted</t>
        </is>
      </c>
    </row>
    <row r="1592">
      <c r="A1592" t="inlineStr">
        <is>
          <t>U-PI678-01-01</t>
        </is>
      </c>
      <c r="B1592" t="inlineStr">
        <is>
          <t>Pasir Indah</t>
        </is>
      </c>
      <c r="C1592" t="inlineStr">
        <is>
          <t>Blk 678 Jalan Pasir Indah #01-01 Singapura 510678</t>
        </is>
      </c>
      <c r="D1592" t="inlineStr">
        <is>
          <t>Shop</t>
        </is>
      </c>
      <c r="E1592" t="n">
        <v>85.59999999999999</v>
      </c>
      <c r="F1592" t="inlineStr">
        <is>
          <t>NC-PI-2</t>
        </is>
      </c>
      <c r="G1592" t="inlineStr">
        <is>
          <t>Tenanted</t>
        </is>
      </c>
    </row>
    <row r="1593">
      <c r="A1593" t="inlineStr">
        <is>
          <t>U-PI678-01-02</t>
        </is>
      </c>
      <c r="B1593" t="inlineStr">
        <is>
          <t>Pasir Indah</t>
        </is>
      </c>
      <c r="C1593" t="inlineStr">
        <is>
          <t>Blk 678 Jalan Pasir Indah #01-02 Singapura 510678</t>
        </is>
      </c>
      <c r="D1593" t="inlineStr">
        <is>
          <t>Shop</t>
        </is>
      </c>
      <c r="E1593" t="n">
        <v>70.3</v>
      </c>
      <c r="F1593" t="inlineStr">
        <is>
          <t>NC-PI-2</t>
        </is>
      </c>
      <c r="G1593" t="inlineStr">
        <is>
          <t>Vacant</t>
        </is>
      </c>
    </row>
    <row r="1594">
      <c r="A1594" t="inlineStr">
        <is>
          <t>U-PI678-01-03</t>
        </is>
      </c>
      <c r="B1594" t="inlineStr">
        <is>
          <t>Pasir Indah</t>
        </is>
      </c>
      <c r="C1594" t="inlineStr">
        <is>
          <t>Blk 678 Jalan Pasir Indah #01-03 Singapura 510678</t>
        </is>
      </c>
      <c r="D1594" t="inlineStr">
        <is>
          <t>Shop</t>
        </is>
      </c>
      <c r="E1594" t="n">
        <v>111.9</v>
      </c>
      <c r="F1594" t="inlineStr">
        <is>
          <t>NC-PI-2</t>
        </is>
      </c>
      <c r="G1594" t="inlineStr">
        <is>
          <t>Tenanted</t>
        </is>
      </c>
    </row>
    <row r="1595">
      <c r="A1595" t="inlineStr">
        <is>
          <t>U-PI678-01-04</t>
        </is>
      </c>
      <c r="B1595" t="inlineStr">
        <is>
          <t>Pasir Indah</t>
        </is>
      </c>
      <c r="C1595" t="inlineStr">
        <is>
          <t>Blk 678 Jalan Pasir Indah #01-04 Singapura 510678</t>
        </is>
      </c>
      <c r="D1595" t="inlineStr">
        <is>
          <t>Shop</t>
        </is>
      </c>
      <c r="E1595" t="n">
        <v>60.1</v>
      </c>
      <c r="F1595" t="inlineStr">
        <is>
          <t>NC-PI-2</t>
        </is>
      </c>
      <c r="G1595" t="inlineStr">
        <is>
          <t>Tenanted</t>
        </is>
      </c>
    </row>
    <row r="1596">
      <c r="A1596" t="inlineStr">
        <is>
          <t>U-PI678-02-05</t>
        </is>
      </c>
      <c r="B1596" t="inlineStr">
        <is>
          <t>Pasir Indah</t>
        </is>
      </c>
      <c r="C1596" t="inlineStr">
        <is>
          <t>Blk 678 Jalan Pasir Indah #02-05 Singapura 510678</t>
        </is>
      </c>
      <c r="D1596" t="inlineStr">
        <is>
          <t>Office</t>
        </is>
      </c>
      <c r="E1596" t="n">
        <v>90.59999999999999</v>
      </c>
      <c r="F1596" t="inlineStr">
        <is>
          <t>NC-PI-2</t>
        </is>
      </c>
      <c r="G1596" t="inlineStr">
        <is>
          <t>Tenanted</t>
        </is>
      </c>
    </row>
    <row r="1597">
      <c r="A1597" t="inlineStr">
        <is>
          <t>U-PI678-01-06</t>
        </is>
      </c>
      <c r="B1597" t="inlineStr">
        <is>
          <t>Pasir Indah</t>
        </is>
      </c>
      <c r="C1597" t="inlineStr">
        <is>
          <t>Blk 678 Jalan Pasir Indah #01-06 Singapura 510678</t>
        </is>
      </c>
      <c r="D1597" t="inlineStr">
        <is>
          <t>Shop with Living Quarters</t>
        </is>
      </c>
      <c r="E1597" t="n">
        <v>77.3</v>
      </c>
      <c r="F1597" t="inlineStr">
        <is>
          <t>NC-PI-2</t>
        </is>
      </c>
      <c r="G1597" t="inlineStr">
        <is>
          <t>Tenanted</t>
        </is>
      </c>
    </row>
    <row r="1598">
      <c r="A1598" t="inlineStr">
        <is>
          <t>U-PI678-01-07</t>
        </is>
      </c>
      <c r="B1598" t="inlineStr">
        <is>
          <t>Pasir Indah</t>
        </is>
      </c>
      <c r="C1598" t="inlineStr">
        <is>
          <t>Blk 678 Jalan Pasir Indah #01-07 Singapura 510678</t>
        </is>
      </c>
      <c r="D1598" t="inlineStr">
        <is>
          <t>Shop with Living Quarters</t>
        </is>
      </c>
      <c r="E1598" t="n">
        <v>104.4</v>
      </c>
      <c r="F1598" t="inlineStr">
        <is>
          <t>NC-PI-2</t>
        </is>
      </c>
      <c r="G1598" t="inlineStr">
        <is>
          <t>Tenanted</t>
        </is>
      </c>
    </row>
    <row r="1599">
      <c r="A1599" t="inlineStr">
        <is>
          <t>U-PI678-01-08</t>
        </is>
      </c>
      <c r="B1599" t="inlineStr">
        <is>
          <t>Pasir Indah</t>
        </is>
      </c>
      <c r="C1599" t="inlineStr">
        <is>
          <t>Blk 678 Jalan Pasir Indah #01-08 Singapura 510678</t>
        </is>
      </c>
      <c r="D1599" t="inlineStr">
        <is>
          <t>Shop</t>
        </is>
      </c>
      <c r="E1599" t="n">
        <v>110.6</v>
      </c>
      <c r="F1599" t="inlineStr">
        <is>
          <t>NC-PI-2</t>
        </is>
      </c>
      <c r="G1599" t="inlineStr">
        <is>
          <t>Tenanted</t>
        </is>
      </c>
    </row>
    <row r="1600">
      <c r="A1600" t="inlineStr">
        <is>
          <t>U-PI678-01-09</t>
        </is>
      </c>
      <c r="B1600" t="inlineStr">
        <is>
          <t>Pasir Indah</t>
        </is>
      </c>
      <c r="C1600" t="inlineStr">
        <is>
          <t>Blk 678 Jalan Pasir Indah #01-09 Singapura 510678</t>
        </is>
      </c>
      <c r="D1600" t="inlineStr">
        <is>
          <t>Shop</t>
        </is>
      </c>
      <c r="E1600" t="n">
        <v>58.4</v>
      </c>
      <c r="F1600" t="inlineStr">
        <is>
          <t>NC-PI-2</t>
        </is>
      </c>
      <c r="G1600" t="inlineStr">
        <is>
          <t>Tenanted</t>
        </is>
      </c>
    </row>
    <row r="1601">
      <c r="A1601" t="inlineStr">
        <is>
          <t>U-PI678-01-10</t>
        </is>
      </c>
      <c r="B1601" t="inlineStr">
        <is>
          <t>Pasir Indah</t>
        </is>
      </c>
      <c r="C1601" t="inlineStr">
        <is>
          <t>Blk 678 Jalan Pasir Indah #01-10 Singapura 510678</t>
        </is>
      </c>
      <c r="D1601" t="inlineStr">
        <is>
          <t>Shop</t>
        </is>
      </c>
      <c r="E1601" t="n">
        <v>62.5</v>
      </c>
      <c r="F1601" t="inlineStr">
        <is>
          <t>NC-PI-2</t>
        </is>
      </c>
      <c r="G1601" t="inlineStr">
        <is>
          <t>Tenanted</t>
        </is>
      </c>
    </row>
    <row r="1602">
      <c r="A1602" t="inlineStr">
        <is>
          <t>U-PI679-01-01</t>
        </is>
      </c>
      <c r="B1602" t="inlineStr">
        <is>
          <t>Pasir Indah</t>
        </is>
      </c>
      <c r="C1602" t="inlineStr">
        <is>
          <t>Blk 679 Pasir Indah Street 62 #01-01 Singapura 510679</t>
        </is>
      </c>
      <c r="D1602" t="inlineStr">
        <is>
          <t>Shop</t>
        </is>
      </c>
      <c r="E1602" t="n">
        <v>69</v>
      </c>
      <c r="F1602" t="inlineStr">
        <is>
          <t>NC-PI-2</t>
        </is>
      </c>
      <c r="G1602" t="inlineStr">
        <is>
          <t>Tenanted</t>
        </is>
      </c>
    </row>
    <row r="1603">
      <c r="A1603" t="inlineStr">
        <is>
          <t>U-PI679-01-02</t>
        </is>
      </c>
      <c r="B1603" t="inlineStr">
        <is>
          <t>Pasir Indah</t>
        </is>
      </c>
      <c r="C1603" t="inlineStr">
        <is>
          <t>Blk 679 Pasir Indah Street 62 #01-02 Singapura 510679</t>
        </is>
      </c>
      <c r="D1603" t="inlineStr">
        <is>
          <t>Kiosk</t>
        </is>
      </c>
      <c r="E1603" t="n">
        <v>7.1</v>
      </c>
      <c r="F1603" t="inlineStr">
        <is>
          <t>NC-PI-2</t>
        </is>
      </c>
      <c r="G1603" t="inlineStr">
        <is>
          <t>Tenanted</t>
        </is>
      </c>
    </row>
    <row r="1604">
      <c r="A1604" t="inlineStr">
        <is>
          <t>U-PI679-01-03</t>
        </is>
      </c>
      <c r="B1604" t="inlineStr">
        <is>
          <t>Pasir Indah</t>
        </is>
      </c>
      <c r="C1604" t="inlineStr">
        <is>
          <t>Blk 679 Pasir Indah Street 62 #01-03 Singapura 510679</t>
        </is>
      </c>
      <c r="D1604" t="inlineStr">
        <is>
          <t>Shop</t>
        </is>
      </c>
      <c r="E1604" t="n">
        <v>104.9</v>
      </c>
      <c r="F1604" t="inlineStr">
        <is>
          <t>NC-PI-2</t>
        </is>
      </c>
      <c r="G1604" t="inlineStr">
        <is>
          <t>Tenanted</t>
        </is>
      </c>
    </row>
    <row r="1605">
      <c r="A1605" t="inlineStr">
        <is>
          <t>U-PI679-01-04</t>
        </is>
      </c>
      <c r="B1605" t="inlineStr">
        <is>
          <t>Pasir Indah</t>
        </is>
      </c>
      <c r="C1605" t="inlineStr">
        <is>
          <t>Blk 679 Pasir Indah Street 62 #01-04 Singapura 510679</t>
        </is>
      </c>
      <c r="D1605" t="inlineStr">
        <is>
          <t>Kiosk</t>
        </is>
      </c>
      <c r="E1605" t="n">
        <v>10.3</v>
      </c>
      <c r="F1605" t="inlineStr">
        <is>
          <t>NC-PI-2</t>
        </is>
      </c>
      <c r="G1605" t="inlineStr">
        <is>
          <t>Tenanted</t>
        </is>
      </c>
    </row>
    <row r="1606">
      <c r="A1606" t="inlineStr">
        <is>
          <t>U-PI679-01-05</t>
        </is>
      </c>
      <c r="B1606" t="inlineStr">
        <is>
          <t>Pasir Indah</t>
        </is>
      </c>
      <c r="C1606" t="inlineStr">
        <is>
          <t>Blk 679 Pasir Indah Street 62 #01-05 Singapura 510679</t>
        </is>
      </c>
      <c r="D1606" t="inlineStr">
        <is>
          <t>Shop</t>
        </is>
      </c>
      <c r="E1606" t="n">
        <v>56.9</v>
      </c>
      <c r="F1606" t="inlineStr">
        <is>
          <t>NC-PI-2</t>
        </is>
      </c>
      <c r="G1606" t="inlineStr">
        <is>
          <t>Tenanted</t>
        </is>
      </c>
    </row>
    <row r="1607">
      <c r="A1607" t="inlineStr">
        <is>
          <t>U-PI679-01-06</t>
        </is>
      </c>
      <c r="B1607" t="inlineStr">
        <is>
          <t>Pasir Indah</t>
        </is>
      </c>
      <c r="C1607" t="inlineStr">
        <is>
          <t>Blk 679 Pasir Indah Street 62 #01-06 Singapura 510679</t>
        </is>
      </c>
      <c r="D1607" t="inlineStr">
        <is>
          <t>Shop</t>
        </is>
      </c>
      <c r="E1607" t="n">
        <v>106.7</v>
      </c>
      <c r="F1607" t="inlineStr">
        <is>
          <t>NC-PI-2</t>
        </is>
      </c>
      <c r="G1607" t="inlineStr">
        <is>
          <t>Tenanted</t>
        </is>
      </c>
    </row>
    <row r="1608">
      <c r="A1608" t="inlineStr">
        <is>
          <t>U-PI679-01-07</t>
        </is>
      </c>
      <c r="B1608" t="inlineStr">
        <is>
          <t>Pasir Indah</t>
        </is>
      </c>
      <c r="C1608" t="inlineStr">
        <is>
          <t>Blk 679 Pasir Indah Street 62 #01-07 Singapura 510679</t>
        </is>
      </c>
      <c r="D1608" t="inlineStr">
        <is>
          <t>Shop</t>
        </is>
      </c>
      <c r="E1608" t="n">
        <v>43.5</v>
      </c>
      <c r="F1608" t="inlineStr">
        <is>
          <t>NC-PI-2</t>
        </is>
      </c>
      <c r="G1608" t="inlineStr">
        <is>
          <t>Tenanted</t>
        </is>
      </c>
    </row>
    <row r="1609">
      <c r="A1609" t="inlineStr">
        <is>
          <t>U-PI679-01-08</t>
        </is>
      </c>
      <c r="B1609" t="inlineStr">
        <is>
          <t>Pasir Indah</t>
        </is>
      </c>
      <c r="C1609" t="inlineStr">
        <is>
          <t>Blk 679 Pasir Indah Street 62 #01-08 Singapura 510679</t>
        </is>
      </c>
      <c r="D1609" t="inlineStr">
        <is>
          <t>Shop</t>
        </is>
      </c>
      <c r="E1609" t="n">
        <v>52.9</v>
      </c>
      <c r="F1609" t="inlineStr">
        <is>
          <t>NC-PI-2</t>
        </is>
      </c>
      <c r="G1609" t="inlineStr">
        <is>
          <t>Tenanted</t>
        </is>
      </c>
    </row>
    <row r="1610">
      <c r="A1610" t="inlineStr">
        <is>
          <t>U-PI684-01-01</t>
        </is>
      </c>
      <c r="B1610" t="inlineStr">
        <is>
          <t>Pasir Indah</t>
        </is>
      </c>
      <c r="C1610" t="inlineStr">
        <is>
          <t>Blk 684 Jalan Pasir Indah #01-01 Singapura 510684</t>
        </is>
      </c>
      <c r="D1610" t="inlineStr">
        <is>
          <t>Shop</t>
        </is>
      </c>
      <c r="E1610" t="n">
        <v>85.8</v>
      </c>
      <c r="F1610" t="inlineStr">
        <is>
          <t>NC-PI-3</t>
        </is>
      </c>
      <c r="G1610" t="inlineStr">
        <is>
          <t>Tenanted</t>
        </is>
      </c>
    </row>
    <row r="1611">
      <c r="A1611" t="inlineStr">
        <is>
          <t>U-PI684-01-02</t>
        </is>
      </c>
      <c r="B1611" t="inlineStr">
        <is>
          <t>Pasir Indah</t>
        </is>
      </c>
      <c r="C1611" t="inlineStr">
        <is>
          <t>Blk 684 Jalan Pasir Indah #01-02 Singapura 510684</t>
        </is>
      </c>
      <c r="D1611" t="inlineStr">
        <is>
          <t>Shop</t>
        </is>
      </c>
      <c r="E1611" t="n">
        <v>60.7</v>
      </c>
      <c r="F1611" t="inlineStr">
        <is>
          <t>NC-PI-3</t>
        </is>
      </c>
      <c r="G1611" t="inlineStr">
        <is>
          <t>Tenanted</t>
        </is>
      </c>
    </row>
    <row r="1612">
      <c r="A1612" t="inlineStr">
        <is>
          <t>U-PI684-01-03</t>
        </is>
      </c>
      <c r="B1612" t="inlineStr">
        <is>
          <t>Pasir Indah</t>
        </is>
      </c>
      <c r="C1612" t="inlineStr">
        <is>
          <t>Blk 684 Jalan Pasir Indah #01-03 Singapura 510684</t>
        </is>
      </c>
      <c r="D1612" t="inlineStr">
        <is>
          <t>Shop</t>
        </is>
      </c>
      <c r="E1612" t="n">
        <v>116.7</v>
      </c>
      <c r="F1612" t="inlineStr">
        <is>
          <t>NC-PI-3</t>
        </is>
      </c>
      <c r="G1612" t="inlineStr">
        <is>
          <t>Tenanted</t>
        </is>
      </c>
    </row>
    <row r="1613">
      <c r="A1613" t="inlineStr">
        <is>
          <t>U-PI684-01-04</t>
        </is>
      </c>
      <c r="B1613" t="inlineStr">
        <is>
          <t>Pasir Indah</t>
        </is>
      </c>
      <c r="C1613" t="inlineStr">
        <is>
          <t>Blk 684 Jalan Pasir Indah #01-04 Singapura 510684</t>
        </is>
      </c>
      <c r="D1613" t="inlineStr">
        <is>
          <t>Shop</t>
        </is>
      </c>
      <c r="E1613" t="n">
        <v>85.09999999999999</v>
      </c>
      <c r="F1613" t="inlineStr">
        <is>
          <t>NC-PI-3</t>
        </is>
      </c>
      <c r="G1613" t="inlineStr">
        <is>
          <t>Tenanted</t>
        </is>
      </c>
    </row>
    <row r="1614">
      <c r="A1614" t="inlineStr">
        <is>
          <t>U-PI684-01-05</t>
        </is>
      </c>
      <c r="B1614" t="inlineStr">
        <is>
          <t>Pasir Indah</t>
        </is>
      </c>
      <c r="C1614" t="inlineStr">
        <is>
          <t>Blk 684 Jalan Pasir Indah #01-05 Singapura 510684</t>
        </is>
      </c>
      <c r="D1614" t="inlineStr">
        <is>
          <t>Shop</t>
        </is>
      </c>
      <c r="E1614" t="n">
        <v>97.59999999999999</v>
      </c>
      <c r="F1614" t="inlineStr">
        <is>
          <t>NC-PI-3</t>
        </is>
      </c>
      <c r="G1614" t="inlineStr">
        <is>
          <t>Tenanted</t>
        </is>
      </c>
    </row>
    <row r="1615">
      <c r="A1615" t="inlineStr">
        <is>
          <t>U-PI684-01-06</t>
        </is>
      </c>
      <c r="B1615" t="inlineStr">
        <is>
          <t>Pasir Indah</t>
        </is>
      </c>
      <c r="C1615" t="inlineStr">
        <is>
          <t>Blk 684 Jalan Pasir Indah #01-06 Singapura 510684</t>
        </is>
      </c>
      <c r="D1615" t="inlineStr">
        <is>
          <t>Shop</t>
        </is>
      </c>
      <c r="E1615" t="n">
        <v>62.7</v>
      </c>
      <c r="F1615" t="inlineStr">
        <is>
          <t>NC-PI-3</t>
        </is>
      </c>
      <c r="G1615" t="inlineStr">
        <is>
          <t>Tenanted</t>
        </is>
      </c>
    </row>
    <row r="1616">
      <c r="A1616" t="inlineStr">
        <is>
          <t>U-PI684-01-07</t>
        </is>
      </c>
      <c r="B1616" t="inlineStr">
        <is>
          <t>Pasir Indah</t>
        </is>
      </c>
      <c r="C1616" t="inlineStr">
        <is>
          <t>Blk 684 Jalan Pasir Indah #01-07 Singapura 510684</t>
        </is>
      </c>
      <c r="D1616" t="inlineStr">
        <is>
          <t>Shop</t>
        </is>
      </c>
      <c r="E1616" t="n">
        <v>75.90000000000001</v>
      </c>
      <c r="F1616" t="inlineStr">
        <is>
          <t>NC-PI-3</t>
        </is>
      </c>
      <c r="G1616" t="inlineStr">
        <is>
          <t>Tenanted</t>
        </is>
      </c>
    </row>
    <row r="1617">
      <c r="A1617" t="inlineStr">
        <is>
          <t>U-PI684-01-08</t>
        </is>
      </c>
      <c r="B1617" t="inlineStr">
        <is>
          <t>Pasir Indah</t>
        </is>
      </c>
      <c r="C1617" t="inlineStr">
        <is>
          <t>Blk 684 Jalan Pasir Indah #01-08 Singapura 510684</t>
        </is>
      </c>
      <c r="D1617" t="inlineStr">
        <is>
          <t>Office</t>
        </is>
      </c>
      <c r="E1617" t="n">
        <v>67.09999999999999</v>
      </c>
      <c r="F1617" t="inlineStr">
        <is>
          <t>NC-PI-3</t>
        </is>
      </c>
      <c r="G1617" t="inlineStr">
        <is>
          <t>Tenanted</t>
        </is>
      </c>
    </row>
    <row r="1618">
      <c r="A1618" t="inlineStr">
        <is>
          <t>U-PI684-01-09</t>
        </is>
      </c>
      <c r="B1618" t="inlineStr">
        <is>
          <t>Pasir Indah</t>
        </is>
      </c>
      <c r="C1618" t="inlineStr">
        <is>
          <t>Blk 684 Jalan Pasir Indah #01-09 Singapura 510684</t>
        </is>
      </c>
      <c r="D1618" t="inlineStr">
        <is>
          <t>Shop with Living Quarters</t>
        </is>
      </c>
      <c r="E1618" t="n">
        <v>90</v>
      </c>
      <c r="F1618" t="inlineStr">
        <is>
          <t>NC-PI-3</t>
        </is>
      </c>
      <c r="G1618" t="inlineStr">
        <is>
          <t>Tenanted</t>
        </is>
      </c>
    </row>
    <row r="1619">
      <c r="A1619" t="inlineStr">
        <is>
          <t>U-PI684-01-10</t>
        </is>
      </c>
      <c r="B1619" t="inlineStr">
        <is>
          <t>Pasir Indah</t>
        </is>
      </c>
      <c r="C1619" t="inlineStr">
        <is>
          <t>Blk 684 Jalan Pasir Indah #01-10 Singapura 510684</t>
        </is>
      </c>
      <c r="D1619" t="inlineStr">
        <is>
          <t>Shop with Living Quarters</t>
        </is>
      </c>
      <c r="E1619" t="n">
        <v>101</v>
      </c>
      <c r="F1619" t="inlineStr">
        <is>
          <t>NC-PI-3</t>
        </is>
      </c>
      <c r="G1619" t="inlineStr">
        <is>
          <t>Tenanted</t>
        </is>
      </c>
    </row>
    <row r="1620">
      <c r="A1620" t="inlineStr">
        <is>
          <t>U-PI684-01-11</t>
        </is>
      </c>
      <c r="B1620" t="inlineStr">
        <is>
          <t>Pasir Indah</t>
        </is>
      </c>
      <c r="C1620" t="inlineStr">
        <is>
          <t>Blk 684 Jalan Pasir Indah #01-11 Singapura 510684</t>
        </is>
      </c>
      <c r="D1620" t="inlineStr">
        <is>
          <t>Shop</t>
        </is>
      </c>
      <c r="E1620" t="n">
        <v>92.8</v>
      </c>
      <c r="F1620" t="inlineStr">
        <is>
          <t>NC-PI-3</t>
        </is>
      </c>
      <c r="G1620" t="inlineStr">
        <is>
          <t>Tenanted</t>
        </is>
      </c>
    </row>
    <row r="1621">
      <c r="A1621" t="inlineStr">
        <is>
          <t>U-PI684-01-12</t>
        </is>
      </c>
      <c r="B1621" t="inlineStr">
        <is>
          <t>Pasir Indah</t>
        </is>
      </c>
      <c r="C1621" t="inlineStr">
        <is>
          <t>Blk 684 Jalan Pasir Indah #01-12 Singapura 510684</t>
        </is>
      </c>
      <c r="D1621" t="inlineStr">
        <is>
          <t>Shop</t>
        </is>
      </c>
      <c r="E1621" t="n">
        <v>97.90000000000001</v>
      </c>
      <c r="F1621" t="inlineStr">
        <is>
          <t>NC-PI-3</t>
        </is>
      </c>
      <c r="G1621" t="inlineStr">
        <is>
          <t>Tenanted</t>
        </is>
      </c>
    </row>
    <row r="1622">
      <c r="A1622" t="inlineStr">
        <is>
          <t>U-PI684-01-13</t>
        </is>
      </c>
      <c r="B1622" t="inlineStr">
        <is>
          <t>Pasir Indah</t>
        </is>
      </c>
      <c r="C1622" t="inlineStr">
        <is>
          <t>Blk 684 Jalan Pasir Indah #01-13 Singapura 510684</t>
        </is>
      </c>
      <c r="D1622" t="inlineStr">
        <is>
          <t>Shop</t>
        </is>
      </c>
      <c r="E1622" t="n">
        <v>76.3</v>
      </c>
      <c r="F1622" t="inlineStr">
        <is>
          <t>NC-PI-3</t>
        </is>
      </c>
      <c r="G1622" t="inlineStr">
        <is>
          <t>Vacant</t>
        </is>
      </c>
    </row>
    <row r="1623">
      <c r="A1623" t="inlineStr">
        <is>
          <t>U-PI684-01-14</t>
        </is>
      </c>
      <c r="B1623" t="inlineStr">
        <is>
          <t>Pasir Indah</t>
        </is>
      </c>
      <c r="C1623" t="inlineStr">
        <is>
          <t>Blk 684 Jalan Pasir Indah #01-14 Singapura 510684</t>
        </is>
      </c>
      <c r="D1623" t="inlineStr">
        <is>
          <t>Shop</t>
        </is>
      </c>
      <c r="E1623" t="n">
        <v>58.4</v>
      </c>
      <c r="F1623" t="inlineStr">
        <is>
          <t>NC-PI-3</t>
        </is>
      </c>
      <c r="G1623" t="inlineStr">
        <is>
          <t>Vacant</t>
        </is>
      </c>
    </row>
    <row r="1624">
      <c r="A1624" t="inlineStr">
        <is>
          <t>U-PI693-01-01</t>
        </is>
      </c>
      <c r="B1624" t="inlineStr">
        <is>
          <t>Pasir Indah</t>
        </is>
      </c>
      <c r="C1624" t="inlineStr">
        <is>
          <t>Blk 693 Pasir Indah Street 62 #01-01 Singapura 510693</t>
        </is>
      </c>
      <c r="D1624" t="inlineStr">
        <is>
          <t>Shop</t>
        </is>
      </c>
      <c r="E1624" t="n">
        <v>41.3</v>
      </c>
      <c r="F1624" t="inlineStr">
        <is>
          <t>NC-PI-2</t>
        </is>
      </c>
      <c r="G1624" t="inlineStr">
        <is>
          <t>Tenanted</t>
        </is>
      </c>
    </row>
    <row r="1625">
      <c r="A1625" t="inlineStr">
        <is>
          <t>U-PI693-01-02</t>
        </is>
      </c>
      <c r="B1625" t="inlineStr">
        <is>
          <t>Pasir Indah</t>
        </is>
      </c>
      <c r="C1625" t="inlineStr">
        <is>
          <t>Blk 693 Pasir Indah Street 62 #01-02 Singapura 510693</t>
        </is>
      </c>
      <c r="D1625" t="inlineStr">
        <is>
          <t>Shop</t>
        </is>
      </c>
      <c r="E1625" t="n">
        <v>112.7</v>
      </c>
      <c r="F1625" t="inlineStr">
        <is>
          <t>NC-PI-2</t>
        </is>
      </c>
      <c r="G1625" t="inlineStr">
        <is>
          <t>Tenanted</t>
        </is>
      </c>
    </row>
    <row r="1626">
      <c r="A1626" t="inlineStr">
        <is>
          <t>U-PI693-01-03</t>
        </is>
      </c>
      <c r="B1626" t="inlineStr">
        <is>
          <t>Pasir Indah</t>
        </is>
      </c>
      <c r="C1626" t="inlineStr">
        <is>
          <t>Blk 693 Pasir Indah Street 62 #01-03 Singapura 510693</t>
        </is>
      </c>
      <c r="D1626" t="inlineStr">
        <is>
          <t>Kiosk</t>
        </is>
      </c>
      <c r="E1626" t="n">
        <v>13.4</v>
      </c>
      <c r="F1626" t="inlineStr">
        <is>
          <t>NC-PI-2</t>
        </is>
      </c>
      <c r="G1626" t="inlineStr">
        <is>
          <t>Tenanted</t>
        </is>
      </c>
    </row>
    <row r="1627">
      <c r="A1627" t="inlineStr">
        <is>
          <t>U-PI693-01-04</t>
        </is>
      </c>
      <c r="B1627" t="inlineStr">
        <is>
          <t>Pasir Indah</t>
        </is>
      </c>
      <c r="C1627" t="inlineStr">
        <is>
          <t>Blk 693 Pasir Indah Street 62 #01-04 Singapura 510693</t>
        </is>
      </c>
      <c r="D1627" t="inlineStr">
        <is>
          <t>Shop</t>
        </is>
      </c>
      <c r="E1627" t="n">
        <v>54.2</v>
      </c>
      <c r="F1627" t="inlineStr">
        <is>
          <t>NC-PI-2</t>
        </is>
      </c>
      <c r="G1627" t="inlineStr">
        <is>
          <t>Tenanted</t>
        </is>
      </c>
    </row>
    <row r="1628">
      <c r="A1628" t="inlineStr">
        <is>
          <t>U-PI693-02-05</t>
        </is>
      </c>
      <c r="B1628" t="inlineStr">
        <is>
          <t>Pasir Indah</t>
        </is>
      </c>
      <c r="C1628" t="inlineStr">
        <is>
          <t>Blk 693 Pasir Indah Street 62 #02-05 Singapura 510693</t>
        </is>
      </c>
      <c r="D1628" t="inlineStr">
        <is>
          <t>Office</t>
        </is>
      </c>
      <c r="E1628" t="n">
        <v>137.8</v>
      </c>
      <c r="F1628" t="inlineStr">
        <is>
          <t>NC-PI-2</t>
        </is>
      </c>
      <c r="G1628" t="inlineStr">
        <is>
          <t>Tenanted</t>
        </is>
      </c>
    </row>
    <row r="1629">
      <c r="A1629" t="inlineStr">
        <is>
          <t>U-PI693-01-06</t>
        </is>
      </c>
      <c r="B1629" t="inlineStr">
        <is>
          <t>Pasir Indah</t>
        </is>
      </c>
      <c r="C1629" t="inlineStr">
        <is>
          <t>Blk 693 Pasir Indah Street 62 #01-06 Singapura 510693</t>
        </is>
      </c>
      <c r="D1629" t="inlineStr">
        <is>
          <t>Shop</t>
        </is>
      </c>
      <c r="E1629" t="n">
        <v>100.2</v>
      </c>
      <c r="F1629" t="inlineStr">
        <is>
          <t>NC-PI-2</t>
        </is>
      </c>
      <c r="G1629" t="inlineStr">
        <is>
          <t>Tenanted</t>
        </is>
      </c>
    </row>
    <row r="1630">
      <c r="A1630" t="inlineStr">
        <is>
          <t>U-PI693-01-07</t>
        </is>
      </c>
      <c r="B1630" t="inlineStr">
        <is>
          <t>Pasir Indah</t>
        </is>
      </c>
      <c r="C1630" t="inlineStr">
        <is>
          <t>Blk 693 Pasir Indah Street 62 #01-07 Singapura 510693</t>
        </is>
      </c>
      <c r="D1630" t="inlineStr">
        <is>
          <t>Shop</t>
        </is>
      </c>
      <c r="E1630" t="n">
        <v>92.8</v>
      </c>
      <c r="F1630" t="inlineStr">
        <is>
          <t>NC-PI-2</t>
        </is>
      </c>
      <c r="G1630" t="inlineStr">
        <is>
          <t>Tenanted</t>
        </is>
      </c>
    </row>
    <row r="1631">
      <c r="A1631" t="inlineStr">
        <is>
          <t>U-PI693-02-08</t>
        </is>
      </c>
      <c r="B1631" t="inlineStr">
        <is>
          <t>Pasir Indah</t>
        </is>
      </c>
      <c r="C1631" t="inlineStr">
        <is>
          <t>Blk 693 Pasir Indah Street 62 #02-08 Singapura 510693</t>
        </is>
      </c>
      <c r="D1631" t="inlineStr">
        <is>
          <t>Office</t>
        </is>
      </c>
      <c r="E1631" t="n">
        <v>50.1</v>
      </c>
      <c r="F1631" t="inlineStr">
        <is>
          <t>NC-PI-2</t>
        </is>
      </c>
      <c r="G1631" t="inlineStr">
        <is>
          <t>Tenanted</t>
        </is>
      </c>
    </row>
    <row r="1632">
      <c r="A1632" t="inlineStr">
        <is>
          <t>U-PI693-02-09</t>
        </is>
      </c>
      <c r="B1632" t="inlineStr">
        <is>
          <t>Pasir Indah</t>
        </is>
      </c>
      <c r="C1632" t="inlineStr">
        <is>
          <t>Blk 693 Pasir Indah Street 62 #02-09 Singapura 510693</t>
        </is>
      </c>
      <c r="D1632" t="inlineStr">
        <is>
          <t>Office</t>
        </is>
      </c>
      <c r="E1632" t="n">
        <v>93.09999999999999</v>
      </c>
      <c r="F1632" t="inlineStr">
        <is>
          <t>NC-PI-2</t>
        </is>
      </c>
      <c r="G1632" t="inlineStr">
        <is>
          <t>Tenanted</t>
        </is>
      </c>
    </row>
    <row r="1633">
      <c r="A1633" t="inlineStr">
        <is>
          <t>U-PI693-01-10</t>
        </is>
      </c>
      <c r="B1633" t="inlineStr">
        <is>
          <t>Pasir Indah</t>
        </is>
      </c>
      <c r="C1633" t="inlineStr">
        <is>
          <t>Blk 693 Pasir Indah Street 62 #01-10 Singapura 510693</t>
        </is>
      </c>
      <c r="D1633" t="inlineStr">
        <is>
          <t>Shop</t>
        </is>
      </c>
      <c r="E1633" t="n">
        <v>110</v>
      </c>
      <c r="F1633" t="inlineStr">
        <is>
          <t>NC-PI-2</t>
        </is>
      </c>
      <c r="G1633" t="inlineStr">
        <is>
          <t>Tenanted</t>
        </is>
      </c>
    </row>
    <row r="1634">
      <c r="A1634" t="inlineStr">
        <is>
          <t>U-PI693-01-11</t>
        </is>
      </c>
      <c r="B1634" t="inlineStr">
        <is>
          <t>Pasir Indah</t>
        </is>
      </c>
      <c r="C1634" t="inlineStr">
        <is>
          <t>Blk 693 Pasir Indah Street 62 #01-11 Singapura 510693</t>
        </is>
      </c>
      <c r="D1634" t="inlineStr">
        <is>
          <t>Kiosk</t>
        </is>
      </c>
      <c r="E1634" t="n">
        <v>9.9</v>
      </c>
      <c r="F1634" t="inlineStr">
        <is>
          <t>NC-PI-2</t>
        </is>
      </c>
      <c r="G1634" t="inlineStr">
        <is>
          <t>Tenanted</t>
        </is>
      </c>
    </row>
    <row r="1635">
      <c r="A1635" t="inlineStr">
        <is>
          <t>U-PI693-02-12</t>
        </is>
      </c>
      <c r="B1635" t="inlineStr">
        <is>
          <t>Pasir Indah</t>
        </is>
      </c>
      <c r="C1635" t="inlineStr">
        <is>
          <t>Blk 693 Pasir Indah Street 62 #02-12 Singapura 510693</t>
        </is>
      </c>
      <c r="D1635" t="inlineStr">
        <is>
          <t>Office</t>
        </is>
      </c>
      <c r="E1635" t="n">
        <v>126.9</v>
      </c>
      <c r="F1635" t="inlineStr">
        <is>
          <t>NC-PI-2</t>
        </is>
      </c>
      <c r="G1635" t="inlineStr">
        <is>
          <t>Tenanted</t>
        </is>
      </c>
    </row>
    <row r="1636">
      <c r="A1636" t="inlineStr">
        <is>
          <t>U-PI696-01-01</t>
        </is>
      </c>
      <c r="B1636" t="inlineStr">
        <is>
          <t>Pasir Indah</t>
        </is>
      </c>
      <c r="C1636" t="inlineStr">
        <is>
          <t>Blk 696 Jalan Pasir Indah #01-01 Singapura 510696</t>
        </is>
      </c>
      <c r="D1636" t="inlineStr">
        <is>
          <t>Shop</t>
        </is>
      </c>
      <c r="E1636" t="n">
        <v>99.3</v>
      </c>
      <c r="F1636" t="inlineStr">
        <is>
          <t>NC-PI-1</t>
        </is>
      </c>
      <c r="G1636" t="inlineStr">
        <is>
          <t>Tenanted</t>
        </is>
      </c>
    </row>
    <row r="1637">
      <c r="A1637" t="inlineStr">
        <is>
          <t>U-PI696-01-02</t>
        </is>
      </c>
      <c r="B1637" t="inlineStr">
        <is>
          <t>Pasir Indah</t>
        </is>
      </c>
      <c r="C1637" t="inlineStr">
        <is>
          <t>Blk 696 Jalan Pasir Indah #01-02 Singapura 510696</t>
        </is>
      </c>
      <c r="D1637" t="inlineStr">
        <is>
          <t>Kiosk</t>
        </is>
      </c>
      <c r="E1637" t="n">
        <v>12.3</v>
      </c>
      <c r="F1637" t="inlineStr">
        <is>
          <t>NC-PI-1</t>
        </is>
      </c>
      <c r="G1637" t="inlineStr">
        <is>
          <t>Tenanted</t>
        </is>
      </c>
    </row>
    <row r="1638">
      <c r="A1638" t="inlineStr">
        <is>
          <t>U-PI696-01-03</t>
        </is>
      </c>
      <c r="B1638" t="inlineStr">
        <is>
          <t>Pasir Indah</t>
        </is>
      </c>
      <c r="C1638" t="inlineStr">
        <is>
          <t>Blk 696 Jalan Pasir Indah #01-03 Singapura 510696</t>
        </is>
      </c>
      <c r="D1638" t="inlineStr">
        <is>
          <t>Shop</t>
        </is>
      </c>
      <c r="E1638" t="n">
        <v>50.7</v>
      </c>
      <c r="F1638" t="inlineStr">
        <is>
          <t>NC-PI-1</t>
        </is>
      </c>
      <c r="G1638" t="inlineStr">
        <is>
          <t>Tenanted</t>
        </is>
      </c>
    </row>
    <row r="1639">
      <c r="A1639" t="inlineStr">
        <is>
          <t>U-PI696-01-04</t>
        </is>
      </c>
      <c r="B1639" t="inlineStr">
        <is>
          <t>Pasir Indah</t>
        </is>
      </c>
      <c r="C1639" t="inlineStr">
        <is>
          <t>Blk 696 Jalan Pasir Indah #01-04 Singapura 510696</t>
        </is>
      </c>
      <c r="D1639" t="inlineStr">
        <is>
          <t>Shop</t>
        </is>
      </c>
      <c r="E1639" t="n">
        <v>58.6</v>
      </c>
      <c r="F1639" t="inlineStr">
        <is>
          <t>NC-PI-1</t>
        </is>
      </c>
      <c r="G1639" t="inlineStr">
        <is>
          <t>Tenanted</t>
        </is>
      </c>
    </row>
    <row r="1640">
      <c r="A1640" t="inlineStr">
        <is>
          <t>U-PI696-01-05</t>
        </is>
      </c>
      <c r="B1640" t="inlineStr">
        <is>
          <t>Pasir Indah</t>
        </is>
      </c>
      <c r="C1640" t="inlineStr">
        <is>
          <t>Blk 696 Jalan Pasir Indah #01-05 Singapura 510696</t>
        </is>
      </c>
      <c r="D1640" t="inlineStr">
        <is>
          <t>Shop with Living Quarters</t>
        </is>
      </c>
      <c r="E1640" t="n">
        <v>74.2</v>
      </c>
      <c r="F1640" t="inlineStr">
        <is>
          <t>NC-PI-1</t>
        </is>
      </c>
      <c r="G1640" t="inlineStr">
        <is>
          <t>Tenanted</t>
        </is>
      </c>
    </row>
    <row r="1641">
      <c r="A1641" t="inlineStr">
        <is>
          <t>U-PI696-02-06</t>
        </is>
      </c>
      <c r="B1641" t="inlineStr">
        <is>
          <t>Pasir Indah</t>
        </is>
      </c>
      <c r="C1641" t="inlineStr">
        <is>
          <t>Blk 696 Jalan Pasir Indah #02-06 Singapura 510696</t>
        </is>
      </c>
      <c r="D1641" t="inlineStr">
        <is>
          <t>Office</t>
        </is>
      </c>
      <c r="E1641" t="n">
        <v>68.90000000000001</v>
      </c>
      <c r="F1641" t="inlineStr">
        <is>
          <t>NC-PI-1</t>
        </is>
      </c>
      <c r="G1641" t="inlineStr">
        <is>
          <t>Tenanted</t>
        </is>
      </c>
    </row>
    <row r="1642">
      <c r="A1642" t="inlineStr">
        <is>
          <t>U-PI696-01-07</t>
        </is>
      </c>
      <c r="B1642" t="inlineStr">
        <is>
          <t>Pasir Indah</t>
        </is>
      </c>
      <c r="C1642" t="inlineStr">
        <is>
          <t>Blk 696 Jalan Pasir Indah #01-07 Singapura 510696</t>
        </is>
      </c>
      <c r="D1642" t="inlineStr">
        <is>
          <t>Kiosk</t>
        </is>
      </c>
      <c r="E1642" t="n">
        <v>13.1</v>
      </c>
      <c r="F1642" t="inlineStr">
        <is>
          <t>NC-PI-1</t>
        </is>
      </c>
      <c r="G1642" t="inlineStr">
        <is>
          <t>Tenanted</t>
        </is>
      </c>
    </row>
    <row r="1643">
      <c r="A1643" t="inlineStr">
        <is>
          <t>U-PI696-01-08</t>
        </is>
      </c>
      <c r="B1643" t="inlineStr">
        <is>
          <t>Pasir Indah</t>
        </is>
      </c>
      <c r="C1643" t="inlineStr">
        <is>
          <t>Blk 696 Jalan Pasir Indah #01-08 Singapura 510696</t>
        </is>
      </c>
      <c r="D1643" t="inlineStr">
        <is>
          <t>Shop</t>
        </is>
      </c>
      <c r="E1643" t="n">
        <v>49.4</v>
      </c>
      <c r="F1643" t="inlineStr">
        <is>
          <t>NC-PI-1</t>
        </is>
      </c>
      <c r="G1643" t="inlineStr">
        <is>
          <t>Tenanted</t>
        </is>
      </c>
    </row>
    <row r="1644">
      <c r="A1644" t="inlineStr">
        <is>
          <t>U-PI696-01-09</t>
        </is>
      </c>
      <c r="B1644" t="inlineStr">
        <is>
          <t>Pasir Indah</t>
        </is>
      </c>
      <c r="C1644" t="inlineStr">
        <is>
          <t>Blk 696 Jalan Pasir Indah #01-09 Singapura 510696</t>
        </is>
      </c>
      <c r="D1644" t="inlineStr">
        <is>
          <t>Shop</t>
        </is>
      </c>
      <c r="E1644" t="n">
        <v>92.40000000000001</v>
      </c>
      <c r="F1644" t="inlineStr">
        <is>
          <t>NC-PI-1</t>
        </is>
      </c>
      <c r="G1644" t="inlineStr">
        <is>
          <t>Tenanted</t>
        </is>
      </c>
    </row>
    <row r="1645">
      <c r="A1645" t="inlineStr">
        <is>
          <t>U-PI696-01-10</t>
        </is>
      </c>
      <c r="B1645" t="inlineStr">
        <is>
          <t>Pasir Indah</t>
        </is>
      </c>
      <c r="C1645" t="inlineStr">
        <is>
          <t>Blk 696 Jalan Pasir Indah #01-10 Singapura 510696</t>
        </is>
      </c>
      <c r="D1645" t="inlineStr">
        <is>
          <t>Kiosk</t>
        </is>
      </c>
      <c r="E1645" t="n">
        <v>8.800000000000001</v>
      </c>
      <c r="F1645" t="inlineStr">
        <is>
          <t>NC-PI-1</t>
        </is>
      </c>
      <c r="G1645" t="inlineStr">
        <is>
          <t>Tenanted</t>
        </is>
      </c>
    </row>
    <row r="1646">
      <c r="A1646" t="inlineStr">
        <is>
          <t>U-PI696-01-11</t>
        </is>
      </c>
      <c r="B1646" t="inlineStr">
        <is>
          <t>Pasir Indah</t>
        </is>
      </c>
      <c r="C1646" t="inlineStr">
        <is>
          <t>Blk 696 Jalan Pasir Indah #01-11 Singapura 510696</t>
        </is>
      </c>
      <c r="D1646" t="inlineStr">
        <is>
          <t>Shop</t>
        </is>
      </c>
      <c r="E1646" t="n">
        <v>52.4</v>
      </c>
      <c r="F1646" t="inlineStr">
        <is>
          <t>NC-PI-1</t>
        </is>
      </c>
      <c r="G1646" t="inlineStr">
        <is>
          <t>Tenanted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Menon</dc:creator>
  <dc:title xmlns:dc="http://purl.org/dc/elements/1.1/">Rent Roll FY2026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2026-10-10T09:29:40Z</dcterms:modified>
  <cp:lastModifiedBy>Priya Menon</cp:lastModifiedBy>
</cp:coreProperties>
</file>