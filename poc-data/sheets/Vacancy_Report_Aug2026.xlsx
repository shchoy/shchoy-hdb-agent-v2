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cant Units" sheetId="2" state="visible" r:id="rId2"/>
    <sheet xmlns:r="http://schemas.openxmlformats.org/officeDocument/2006/relationships" name="Under Ten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-mmm-yyyy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HOUSING &amp; ESTATES BOARD - PROPERTIES &amp; LAND GROUP</t>
        </is>
      </c>
    </row>
    <row r="2">
      <c r="A2" s="2" t="inlineStr">
        <is>
          <t>MONTHLY VACANCY REPORT - AS AT 31 AUG 2026</t>
        </is>
      </c>
    </row>
    <row r="4">
      <c r="A4" s="3" t="inlineStr">
        <is>
          <t>Town</t>
        </is>
      </c>
      <c r="B4" s="3" t="inlineStr">
        <is>
          <t>Units</t>
        </is>
      </c>
      <c r="D4" s="3" t="inlineStr">
        <is>
          <t>Non-tenanted</t>
        </is>
      </c>
      <c r="G4" s="3" t="inlineStr">
        <is>
          <t>Rates</t>
        </is>
      </c>
    </row>
    <row r="5">
      <c r="B5" s="4" t="inlineStr">
        <is>
          <t>Total</t>
        </is>
      </c>
      <c r="C5" s="4" t="inlineStr">
        <is>
          <t>Tenanted</t>
        </is>
      </c>
      <c r="D5" s="4" t="inlineStr">
        <is>
          <t>Vacant</t>
        </is>
      </c>
      <c r="E5" s="4" t="inlineStr">
        <is>
          <t>Under Tender</t>
        </is>
      </c>
      <c r="F5" s="4" t="inlineStr">
        <is>
          <t>Not Lettable</t>
        </is>
      </c>
      <c r="G5" s="4" t="inlineStr">
        <is>
          <t>Vacancy rate</t>
        </is>
      </c>
      <c r="H5" s="4" t="inlineStr">
        <is>
          <t>Occupancy</t>
        </is>
      </c>
    </row>
    <row r="6">
      <c r="A6" t="inlineStr">
        <is>
          <t>Bayshore Vale</t>
        </is>
      </c>
      <c r="B6" t="n">
        <v>285</v>
      </c>
      <c r="C6">
        <f>B6-D6-E6-F6</f>
        <v/>
      </c>
      <c r="D6" t="n">
        <v>9</v>
      </c>
      <c r="E6" t="n">
        <v>1</v>
      </c>
      <c r="F6" t="n">
        <v>4</v>
      </c>
      <c r="G6" s="5">
        <f>D6/(B6-F6)</f>
        <v/>
      </c>
      <c r="H6" s="5">
        <f>C6/(B6-F6)</f>
        <v/>
      </c>
    </row>
    <row r="7">
      <c r="A7" t="inlineStr">
        <is>
          <t>Cendana</t>
        </is>
      </c>
      <c r="B7" t="n">
        <v>292</v>
      </c>
      <c r="C7">
        <f>B7-D7-E7-F7</f>
        <v/>
      </c>
      <c r="D7" t="n">
        <v>11</v>
      </c>
      <c r="E7" t="n">
        <v>1</v>
      </c>
      <c r="F7" t="n">
        <v>0</v>
      </c>
      <c r="G7" s="5">
        <f>D7/(B7-F7)</f>
        <v/>
      </c>
      <c r="H7" s="5">
        <f>C7/(B7-F7)</f>
        <v/>
      </c>
    </row>
    <row r="8">
      <c r="A8" t="inlineStr">
        <is>
          <t>Kebun Raya</t>
        </is>
      </c>
      <c r="B8" t="n">
        <v>287</v>
      </c>
      <c r="C8">
        <f>B8-D8-E8-F8</f>
        <v/>
      </c>
      <c r="D8" t="n">
        <v>10</v>
      </c>
      <c r="E8" t="n">
        <v>0</v>
      </c>
      <c r="F8" t="n">
        <v>0</v>
      </c>
      <c r="G8" s="5">
        <f>D8/(B8-F8)</f>
        <v/>
      </c>
      <c r="H8" s="5">
        <f>C8/(B8-F8)</f>
        <v/>
      </c>
    </row>
    <row r="9">
      <c r="A9" t="inlineStr">
        <is>
          <t>Rimba Heights</t>
        </is>
      </c>
      <c r="B9" t="n">
        <v>249</v>
      </c>
      <c r="C9">
        <f>B9-D9-E9-F9</f>
        <v/>
      </c>
      <c r="D9" t="n">
        <v>8</v>
      </c>
      <c r="E9" t="n">
        <v>0</v>
      </c>
      <c r="F9" t="n">
        <v>1</v>
      </c>
      <c r="G9" s="5">
        <f>D9/(B9-F9)</f>
        <v/>
      </c>
      <c r="H9" s="5">
        <f>C9/(B9-F9)</f>
        <v/>
      </c>
    </row>
    <row r="10">
      <c r="A10" t="inlineStr">
        <is>
          <t>Sungai Tinggi</t>
        </is>
      </c>
      <c r="B10" t="n">
        <v>243</v>
      </c>
      <c r="C10">
        <f>B10-D10-E10-F10</f>
        <v/>
      </c>
      <c r="D10" t="n">
        <v>2</v>
      </c>
      <c r="E10" t="n">
        <v>1</v>
      </c>
      <c r="F10" t="n">
        <v>1</v>
      </c>
      <c r="G10" s="5">
        <f>D10/(B10-F10)</f>
        <v/>
      </c>
      <c r="H10" s="5">
        <f>C10/(B10-F10)</f>
        <v/>
      </c>
    </row>
    <row r="11">
      <c r="A11" t="inlineStr">
        <is>
          <t>Pasir Indah</t>
        </is>
      </c>
      <c r="B11" t="n">
        <v>289</v>
      </c>
      <c r="C11">
        <f>B11-D11-E11-F11</f>
        <v/>
      </c>
      <c r="D11" t="n">
        <v>7</v>
      </c>
      <c r="E11" t="n">
        <v>2</v>
      </c>
      <c r="F11" t="n">
        <v>0</v>
      </c>
      <c r="G11" s="5">
        <f>D11/(B11-F11)</f>
        <v/>
      </c>
      <c r="H11" s="5">
        <f>C11/(B11-F11)</f>
        <v/>
      </c>
    </row>
    <row r="12">
      <c r="A12" s="6" t="inlineStr">
        <is>
          <t>TOTAL</t>
        </is>
      </c>
      <c r="B12" s="6">
        <f>SUM(B6:B11)</f>
        <v/>
      </c>
      <c r="C12" s="6">
        <f>SUM(C6:C11)</f>
        <v/>
      </c>
      <c r="D12" s="6">
        <f>SUM(D6:D11)</f>
        <v/>
      </c>
      <c r="E12" s="6">
        <f>SUM(E6:E11)</f>
        <v/>
      </c>
      <c r="F12" s="6">
        <f>SUM(F6:F11)</f>
        <v/>
      </c>
      <c r="G12" s="5">
        <f>D12/(B12-F12)</f>
        <v/>
      </c>
      <c r="H12" s="5">
        <f>C12/(B12-F12)</f>
        <v/>
      </c>
    </row>
    <row r="14">
      <c r="A14" s="7" t="inlineStr">
        <is>
          <t>Notes:</t>
        </is>
      </c>
    </row>
    <row r="15">
      <c r="A15" s="8" t="inlineStr">
        <is>
          <t>1. Total vacant units as at 31 Aug 2026: 47.</t>
        </is>
      </c>
    </row>
    <row r="16">
      <c r="A16" s="8" t="inlineStr">
        <is>
          <t>2. Vacant EXCLUDES units under tender and not-lettable units w.e.f. April 2026 report (PLG Mgmt Meeting 4/2026, item 3).</t>
        </is>
      </c>
    </row>
    <row r="17">
      <c r="A17" s="8" t="inlineStr">
        <is>
          <t>3. Prima Dental (U-ST512-01-33) tender awarded Jul 2026, commencement 1 Oct 2026 - counted as tenanted (committed).</t>
        </is>
      </c>
    </row>
    <row r="18">
      <c r="A18" s="8" t="inlineStr">
        <is>
          <t>4. Source: PLG Records extract 01-Sep-2026 07:00. Prepared by K. Goh.</t>
        </is>
      </c>
    </row>
  </sheetData>
  <mergeCells count="6">
    <mergeCell ref="G4:H4"/>
    <mergeCell ref="A4:A5"/>
    <mergeCell ref="A2:H2"/>
    <mergeCell ref="D4:F4"/>
    <mergeCell ref="A1:H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24" customWidth="1" min="4" max="4"/>
    <col width="14" customWidth="1" min="5" max="5"/>
    <col width="10" customWidth="1" min="6" max="6"/>
    <col width="13" customWidth="1" min="7" max="7"/>
    <col width="18" customWidth="1" min="8" max="8"/>
  </cols>
  <sheetData>
    <row r="1">
      <c r="A1" s="4" t="inlineStr">
        <is>
          <t>Unit ID</t>
        </is>
      </c>
      <c r="B1" s="4" t="inlineStr">
        <is>
          <t>Town</t>
        </is>
      </c>
      <c r="C1" s="4" t="inlineStr">
        <is>
          <t>Address</t>
        </is>
      </c>
      <c r="D1" s="4" t="inlineStr">
        <is>
          <t>Unit type</t>
        </is>
      </c>
      <c r="E1" s="4" t="inlineStr">
        <is>
          <t>Floor area (sqm)</t>
        </is>
      </c>
      <c r="F1" s="4" t="inlineStr">
        <is>
          <t>NC</t>
        </is>
      </c>
      <c r="G1" s="4" t="inlineStr">
        <is>
          <t>Vacant since</t>
        </is>
      </c>
      <c r="H1" s="4" t="inlineStr">
        <is>
          <t>Days vacant at 31-Aug</t>
        </is>
      </c>
    </row>
    <row r="2">
      <c r="A2" t="inlineStr">
        <is>
          <t>U-BV216-01-11</t>
        </is>
      </c>
      <c r="B2" t="inlineStr">
        <is>
          <t>Bayshore Vale</t>
        </is>
      </c>
      <c r="C2" t="inlineStr">
        <is>
          <t>Blk 216 Bayshore Vale Street 21 #01-11 Singapura 460216</t>
        </is>
      </c>
      <c r="D2" t="inlineStr">
        <is>
          <t>Kiosk</t>
        </is>
      </c>
      <c r="E2" t="n">
        <v>8.5</v>
      </c>
      <c r="F2" t="inlineStr">
        <is>
          <t>NC-BV-2</t>
        </is>
      </c>
      <c r="G2" s="9" t="n">
        <v>45930</v>
      </c>
      <c r="H2">
        <f>DATE(2026,8,31)-G2</f>
        <v/>
      </c>
    </row>
    <row r="3">
      <c r="A3" t="inlineStr">
        <is>
          <t>U-BV229-01-06</t>
        </is>
      </c>
      <c r="B3" t="inlineStr">
        <is>
          <t>Bayshore Vale</t>
        </is>
      </c>
      <c r="C3" t="inlineStr">
        <is>
          <t>Blk 229 Bayshore Vale Drive #01-06 Singapura 460229</t>
        </is>
      </c>
      <c r="D3" t="inlineStr">
        <is>
          <t>Shop</t>
        </is>
      </c>
      <c r="E3" t="n">
        <v>59.2</v>
      </c>
      <c r="F3" t="inlineStr">
        <is>
          <t>NC-BV-2</t>
        </is>
      </c>
      <c r="G3" s="9" t="n">
        <v>46127</v>
      </c>
      <c r="H3">
        <f>DATE(2026,8,31)-G3</f>
        <v/>
      </c>
    </row>
    <row r="4">
      <c r="A4" t="inlineStr">
        <is>
          <t>U-BV277-01-09</t>
        </is>
      </c>
      <c r="B4" t="inlineStr">
        <is>
          <t>Bayshore Vale</t>
        </is>
      </c>
      <c r="C4" t="inlineStr">
        <is>
          <t>Blk 277 Bayshore Vale Drive #01-09 Singapura 460277</t>
        </is>
      </c>
      <c r="D4" t="inlineStr">
        <is>
          <t>Office</t>
        </is>
      </c>
      <c r="E4" t="n">
        <v>133.3</v>
      </c>
      <c r="F4" t="inlineStr">
        <is>
          <t>NC-BV-2</t>
        </is>
      </c>
      <c r="G4" s="9" t="n">
        <v>45867</v>
      </c>
      <c r="H4">
        <f>DATE(2026,8,31)-G4</f>
        <v/>
      </c>
    </row>
    <row r="5">
      <c r="A5" t="inlineStr">
        <is>
          <t>U-BV279-01-02</t>
        </is>
      </c>
      <c r="B5" t="inlineStr">
        <is>
          <t>Bayshore Vale</t>
        </is>
      </c>
      <c r="C5" t="inlineStr">
        <is>
          <t>Blk 279 Bayshore Vale Avenue 2 #01-02 Singapura 460279</t>
        </is>
      </c>
      <c r="D5" t="inlineStr">
        <is>
          <t>Shop</t>
        </is>
      </c>
      <c r="E5" t="n">
        <v>64.7</v>
      </c>
      <c r="F5" t="inlineStr">
        <is>
          <t>NC-BV-1</t>
        </is>
      </c>
      <c r="G5" s="9" t="n">
        <v>45879</v>
      </c>
      <c r="H5">
        <f>DATE(2026,8,31)-G5</f>
        <v/>
      </c>
    </row>
    <row r="6">
      <c r="A6" t="inlineStr">
        <is>
          <t>U-BV284-01-01</t>
        </is>
      </c>
      <c r="B6" t="inlineStr">
        <is>
          <t>Bayshore Vale</t>
        </is>
      </c>
      <c r="C6" t="inlineStr">
        <is>
          <t>Blk 284 Bayshore Vale Drive #01-01 Singapura 460284</t>
        </is>
      </c>
      <c r="D6" t="inlineStr">
        <is>
          <t>Shop</t>
        </is>
      </c>
      <c r="E6" t="n">
        <v>49.9</v>
      </c>
      <c r="F6" t="inlineStr">
        <is>
          <t>NC-BV-3</t>
        </is>
      </c>
      <c r="G6" s="9" t="n">
        <v>45897</v>
      </c>
      <c r="H6">
        <f>DATE(2026,8,31)-G6</f>
        <v/>
      </c>
    </row>
    <row r="7">
      <c r="A7" t="inlineStr">
        <is>
          <t>U-BV284-01-06</t>
        </is>
      </c>
      <c r="B7" t="inlineStr">
        <is>
          <t>Bayshore Vale</t>
        </is>
      </c>
      <c r="C7" t="inlineStr">
        <is>
          <t>Blk 284 Bayshore Vale Drive #01-06 Singapura 460284</t>
        </is>
      </c>
      <c r="D7" t="inlineStr">
        <is>
          <t>Shop</t>
        </is>
      </c>
      <c r="E7" t="n">
        <v>115.5</v>
      </c>
      <c r="F7" t="inlineStr">
        <is>
          <t>NC-BV-3</t>
        </is>
      </c>
      <c r="G7" s="9" t="n">
        <v>46132</v>
      </c>
      <c r="H7">
        <f>DATE(2026,8,31)-G7</f>
        <v/>
      </c>
    </row>
    <row r="8">
      <c r="A8" t="inlineStr">
        <is>
          <t>U-BV288-01-02</t>
        </is>
      </c>
      <c r="B8" t="inlineStr">
        <is>
          <t>Bayshore Vale</t>
        </is>
      </c>
      <c r="C8" t="inlineStr">
        <is>
          <t>Blk 288 Bayshore Vale Drive #01-02 Singapura 460288</t>
        </is>
      </c>
      <c r="D8" t="inlineStr">
        <is>
          <t>Shop with Living Quarters</t>
        </is>
      </c>
      <c r="E8" t="n">
        <v>105.5</v>
      </c>
      <c r="F8" t="inlineStr">
        <is>
          <t>NC-BV-3</t>
        </is>
      </c>
      <c r="G8" s="9" t="n">
        <v>46050</v>
      </c>
      <c r="H8">
        <f>DATE(2026,8,31)-G8</f>
        <v/>
      </c>
    </row>
    <row r="9">
      <c r="A9" t="inlineStr">
        <is>
          <t>U-BV288-01-11</t>
        </is>
      </c>
      <c r="B9" t="inlineStr">
        <is>
          <t>Bayshore Vale</t>
        </is>
      </c>
      <c r="C9" t="inlineStr">
        <is>
          <t>Blk 288 Bayshore Vale Drive #01-11 Singapura 460288</t>
        </is>
      </c>
      <c r="D9" t="inlineStr">
        <is>
          <t>Shop</t>
        </is>
      </c>
      <c r="E9" t="n">
        <v>79.09999999999999</v>
      </c>
      <c r="F9" t="inlineStr">
        <is>
          <t>NC-BV-3</t>
        </is>
      </c>
      <c r="G9" s="9" t="n">
        <v>45894</v>
      </c>
      <c r="H9">
        <f>DATE(2026,8,31)-G9</f>
        <v/>
      </c>
    </row>
    <row r="10">
      <c r="A10" t="inlineStr">
        <is>
          <t>U-BV290-01-08</t>
        </is>
      </c>
      <c r="B10" t="inlineStr">
        <is>
          <t>Bayshore Vale</t>
        </is>
      </c>
      <c r="C10" t="inlineStr">
        <is>
          <t>Blk 290 Bayshore Vale Drive #01-08 Singapura 460290</t>
        </is>
      </c>
      <c r="D10" t="inlineStr">
        <is>
          <t>Shop</t>
        </is>
      </c>
      <c r="E10" t="n">
        <v>91.2</v>
      </c>
      <c r="F10" t="inlineStr">
        <is>
          <t>NC-BV-3</t>
        </is>
      </c>
      <c r="G10" s="9" t="n">
        <v>46174</v>
      </c>
      <c r="H10">
        <f>DATE(2026,8,31)-G10</f>
        <v/>
      </c>
    </row>
    <row r="11">
      <c r="A11" t="inlineStr">
        <is>
          <t>U-CD118-01-13</t>
        </is>
      </c>
      <c r="B11" t="inlineStr">
        <is>
          <t>Cendana</t>
        </is>
      </c>
      <c r="C11" t="inlineStr">
        <is>
          <t>Blk 118 Cendana Road #01-13 Singapura 470118</t>
        </is>
      </c>
      <c r="D11" t="inlineStr">
        <is>
          <t>Shop</t>
        </is>
      </c>
      <c r="E11" t="n">
        <v>64.7</v>
      </c>
      <c r="F11" t="inlineStr">
        <is>
          <t>NC-CD-1</t>
        </is>
      </c>
      <c r="G11" s="9" t="n">
        <v>45958</v>
      </c>
      <c r="H11">
        <f>DATE(2026,8,31)-G11</f>
        <v/>
      </c>
    </row>
    <row r="12">
      <c r="A12" t="inlineStr">
        <is>
          <t>U-CD120-01-04</t>
        </is>
      </c>
      <c r="B12" t="inlineStr">
        <is>
          <t>Cendana</t>
        </is>
      </c>
      <c r="C12" t="inlineStr">
        <is>
          <t>Blk 120 Jalan Cendana Indah #01-04 Singapura 470120</t>
        </is>
      </c>
      <c r="D12" t="inlineStr">
        <is>
          <t>Shop</t>
        </is>
      </c>
      <c r="E12" t="n">
        <v>75.2</v>
      </c>
      <c r="F12" t="inlineStr">
        <is>
          <t>NC-CD-1</t>
        </is>
      </c>
      <c r="G12" s="9" t="n">
        <v>45859</v>
      </c>
      <c r="H12">
        <f>DATE(2026,8,31)-G12</f>
        <v/>
      </c>
    </row>
    <row r="13">
      <c r="A13" t="inlineStr">
        <is>
          <t>U-CD142-01-11</t>
        </is>
      </c>
      <c r="B13" t="inlineStr">
        <is>
          <t>Cendana</t>
        </is>
      </c>
      <c r="C13" t="inlineStr">
        <is>
          <t>Blk 142 Cendana Street 11 #01-11 Singapura 470142</t>
        </is>
      </c>
      <c r="D13" t="inlineStr">
        <is>
          <t>Shop</t>
        </is>
      </c>
      <c r="E13" t="n">
        <v>57.3</v>
      </c>
      <c r="F13" t="inlineStr">
        <is>
          <t>NC-CD-3</t>
        </is>
      </c>
      <c r="G13" s="9" t="n">
        <v>45961</v>
      </c>
      <c r="H13">
        <f>DATE(2026,8,31)-G13</f>
        <v/>
      </c>
    </row>
    <row r="14">
      <c r="A14" t="inlineStr">
        <is>
          <t>U-CD143-01-06</t>
        </is>
      </c>
      <c r="B14" t="inlineStr">
        <is>
          <t>Cendana</t>
        </is>
      </c>
      <c r="C14" t="inlineStr">
        <is>
          <t>Blk 143 Cendana Street 11 #01-06 Singapura 470143</t>
        </is>
      </c>
      <c r="D14" t="inlineStr">
        <is>
          <t>Shop</t>
        </is>
      </c>
      <c r="E14" t="n">
        <v>97.5</v>
      </c>
      <c r="F14" t="inlineStr">
        <is>
          <t>NC-CD-2</t>
        </is>
      </c>
      <c r="G14" s="9" t="n">
        <v>46065</v>
      </c>
      <c r="H14">
        <f>DATE(2026,8,31)-G14</f>
        <v/>
      </c>
    </row>
    <row r="15">
      <c r="A15" t="inlineStr">
        <is>
          <t>U-CD152-01-08</t>
        </is>
      </c>
      <c r="B15" t="inlineStr">
        <is>
          <t>Cendana</t>
        </is>
      </c>
      <c r="C15" t="inlineStr">
        <is>
          <t>Blk 152 Cendana Road #01-08 Singapura 470152</t>
        </is>
      </c>
      <c r="D15" t="inlineStr">
        <is>
          <t>Kiosk</t>
        </is>
      </c>
      <c r="E15" t="n">
        <v>7.2</v>
      </c>
      <c r="F15" t="inlineStr">
        <is>
          <t>NC-CD-2</t>
        </is>
      </c>
      <c r="G15" s="9" t="n">
        <v>45788</v>
      </c>
      <c r="H15">
        <f>DATE(2026,8,31)-G15</f>
        <v/>
      </c>
    </row>
    <row r="16">
      <c r="A16" t="inlineStr">
        <is>
          <t>U-CD152-02-03</t>
        </is>
      </c>
      <c r="B16" t="inlineStr">
        <is>
          <t>Cendana</t>
        </is>
      </c>
      <c r="C16" t="inlineStr">
        <is>
          <t>Blk 152 Cendana Road #02-03 Singapura 470152</t>
        </is>
      </c>
      <c r="D16" t="inlineStr">
        <is>
          <t>Office</t>
        </is>
      </c>
      <c r="E16" t="n">
        <v>88.7</v>
      </c>
      <c r="F16" t="inlineStr">
        <is>
          <t>NC-CD-2</t>
        </is>
      </c>
      <c r="G16" s="9" t="n">
        <v>46180</v>
      </c>
      <c r="H16">
        <f>DATE(2026,8,31)-G16</f>
        <v/>
      </c>
    </row>
    <row r="17">
      <c r="A17" t="inlineStr">
        <is>
          <t>U-CD170-01-05</t>
        </is>
      </c>
      <c r="B17" t="inlineStr">
        <is>
          <t>Cendana</t>
        </is>
      </c>
      <c r="C17" t="inlineStr">
        <is>
          <t>Blk 170 Cendana Street 11 #01-05 Singapura 470170</t>
        </is>
      </c>
      <c r="D17" t="inlineStr">
        <is>
          <t>Kiosk</t>
        </is>
      </c>
      <c r="E17" t="n">
        <v>7.9</v>
      </c>
      <c r="F17" t="inlineStr">
        <is>
          <t>NC-CD-1</t>
        </is>
      </c>
      <c r="G17" s="9" t="n">
        <v>46116</v>
      </c>
      <c r="H17">
        <f>DATE(2026,8,31)-G17</f>
        <v/>
      </c>
    </row>
    <row r="18">
      <c r="A18" t="inlineStr">
        <is>
          <t>U-CD189-01-03</t>
        </is>
      </c>
      <c r="B18" t="inlineStr">
        <is>
          <t>Cendana</t>
        </is>
      </c>
      <c r="C18" t="inlineStr">
        <is>
          <t>Blk 189 Jalan Cendana Indah #01-03 Singapura 470189</t>
        </is>
      </c>
      <c r="D18" t="inlineStr">
        <is>
          <t>Shop</t>
        </is>
      </c>
      <c r="E18" t="n">
        <v>61.4</v>
      </c>
      <c r="F18" t="inlineStr">
        <is>
          <t>NC-CD-1</t>
        </is>
      </c>
      <c r="G18" s="9" t="n">
        <v>46162</v>
      </c>
      <c r="H18">
        <f>DATE(2026,8,31)-G18</f>
        <v/>
      </c>
    </row>
    <row r="19">
      <c r="A19" t="inlineStr">
        <is>
          <t>U-CD189-01-11</t>
        </is>
      </c>
      <c r="B19" t="inlineStr">
        <is>
          <t>Cendana</t>
        </is>
      </c>
      <c r="C19" t="inlineStr">
        <is>
          <t>Blk 189 Jalan Cendana Indah #01-11 Singapura 470189</t>
        </is>
      </c>
      <c r="D19" t="inlineStr">
        <is>
          <t>Shop</t>
        </is>
      </c>
      <c r="E19" t="n">
        <v>41.9</v>
      </c>
      <c r="F19" t="inlineStr">
        <is>
          <t>NC-CD-1</t>
        </is>
      </c>
      <c r="G19" s="9" t="n">
        <v>45917</v>
      </c>
      <c r="H19">
        <f>DATE(2026,8,31)-G19</f>
        <v/>
      </c>
    </row>
    <row r="20">
      <c r="A20" t="inlineStr">
        <is>
          <t>U-CD190-01-01</t>
        </is>
      </c>
      <c r="B20" t="inlineStr">
        <is>
          <t>Cendana</t>
        </is>
      </c>
      <c r="C20" t="inlineStr">
        <is>
          <t>Blk 190 Jalan Cendana Indah #01-01 Singapura 470190</t>
        </is>
      </c>
      <c r="D20" t="inlineStr">
        <is>
          <t>Shop</t>
        </is>
      </c>
      <c r="E20" t="n">
        <v>117.3</v>
      </c>
      <c r="F20" t="inlineStr">
        <is>
          <t>NC-CD-1</t>
        </is>
      </c>
      <c r="G20" s="9" t="n">
        <v>46105</v>
      </c>
      <c r="H20">
        <f>DATE(2026,8,31)-G20</f>
        <v/>
      </c>
    </row>
    <row r="21">
      <c r="A21" t="inlineStr">
        <is>
          <t>U-CD190-01-12</t>
        </is>
      </c>
      <c r="B21" t="inlineStr">
        <is>
          <t>Cendana</t>
        </is>
      </c>
      <c r="C21" t="inlineStr">
        <is>
          <t>Blk 190 Jalan Cendana Indah #01-12 Singapura 470190</t>
        </is>
      </c>
      <c r="D21" t="inlineStr">
        <is>
          <t>Shop</t>
        </is>
      </c>
      <c r="E21" t="n">
        <v>119.1</v>
      </c>
      <c r="F21" t="inlineStr">
        <is>
          <t>NC-CD-1</t>
        </is>
      </c>
      <c r="G21" s="9" t="n">
        <v>46026</v>
      </c>
      <c r="H21">
        <f>DATE(2026,8,31)-G21</f>
        <v/>
      </c>
    </row>
    <row r="22">
      <c r="A22" t="inlineStr">
        <is>
          <t>U-KR305-01-03</t>
        </is>
      </c>
      <c r="B22" t="inlineStr">
        <is>
          <t>Kebun Raya</t>
        </is>
      </c>
      <c r="C22" t="inlineStr">
        <is>
          <t>Blk 305 Kebun Raya Avenue 3 #01-03 Singapura 650305</t>
        </is>
      </c>
      <c r="D22" t="inlineStr">
        <is>
          <t>Shop</t>
        </is>
      </c>
      <c r="E22" t="n">
        <v>119.2</v>
      </c>
      <c r="F22" t="inlineStr">
        <is>
          <t>NC-KR-1</t>
        </is>
      </c>
      <c r="G22" s="9" t="n">
        <v>45927</v>
      </c>
      <c r="H22">
        <f>DATE(2026,8,31)-G22</f>
        <v/>
      </c>
    </row>
    <row r="23">
      <c r="A23" t="inlineStr">
        <is>
          <t>U-KR317-01-07</t>
        </is>
      </c>
      <c r="B23" t="inlineStr">
        <is>
          <t>Kebun Raya</t>
        </is>
      </c>
      <c r="C23" t="inlineStr">
        <is>
          <t>Blk 317 Kebun Raya Avenue 3 #01-07 Singapura 650317</t>
        </is>
      </c>
      <c r="D23" t="inlineStr">
        <is>
          <t>Shop</t>
        </is>
      </c>
      <c r="E23" t="n">
        <v>66.40000000000001</v>
      </c>
      <c r="F23" t="inlineStr">
        <is>
          <t>NC-KR-3</t>
        </is>
      </c>
      <c r="G23" s="9" t="n">
        <v>45939</v>
      </c>
      <c r="H23">
        <f>DATE(2026,8,31)-G23</f>
        <v/>
      </c>
    </row>
    <row r="24">
      <c r="A24" t="inlineStr">
        <is>
          <t>U-KR327-01-07</t>
        </is>
      </c>
      <c r="B24" t="inlineStr">
        <is>
          <t>Kebun Raya</t>
        </is>
      </c>
      <c r="C24" t="inlineStr">
        <is>
          <t>Blk 327 Kebun Raya Avenue 3 #01-07 Singapura 650327</t>
        </is>
      </c>
      <c r="D24" t="inlineStr">
        <is>
          <t>Shop</t>
        </is>
      </c>
      <c r="E24" t="n">
        <v>60.9</v>
      </c>
      <c r="F24" t="inlineStr">
        <is>
          <t>NC-KR-2</t>
        </is>
      </c>
      <c r="G24" s="9" t="n">
        <v>46067</v>
      </c>
      <c r="H24">
        <f>DATE(2026,8,31)-G24</f>
        <v/>
      </c>
    </row>
    <row r="25">
      <c r="A25" t="inlineStr">
        <is>
          <t>U-KR333-01-11</t>
        </is>
      </c>
      <c r="B25" t="inlineStr">
        <is>
          <t>Kebun Raya</t>
        </is>
      </c>
      <c r="C25" t="inlineStr">
        <is>
          <t>Blk 333 Kebun Raya Crescent #01-11 Singapura 650333</t>
        </is>
      </c>
      <c r="D25" t="inlineStr">
        <is>
          <t>Shop</t>
        </is>
      </c>
      <c r="E25" t="n">
        <v>50.8</v>
      </c>
      <c r="F25" t="inlineStr">
        <is>
          <t>NC-KR-3</t>
        </is>
      </c>
      <c r="G25" s="9" t="n">
        <v>46210</v>
      </c>
      <c r="H25">
        <f>DATE(2026,8,31)-G25</f>
        <v/>
      </c>
    </row>
    <row r="26">
      <c r="A26" t="inlineStr">
        <is>
          <t>U-KR335-01-01</t>
        </is>
      </c>
      <c r="B26" t="inlineStr">
        <is>
          <t>Kebun Raya</t>
        </is>
      </c>
      <c r="C26" t="inlineStr">
        <is>
          <t>Blk 335 Kebun Raya Street 31 #01-01 Singapura 650335</t>
        </is>
      </c>
      <c r="D26" t="inlineStr">
        <is>
          <t>Shop</t>
        </is>
      </c>
      <c r="E26" t="n">
        <v>94.59999999999999</v>
      </c>
      <c r="F26" t="inlineStr">
        <is>
          <t>NC-KR-1</t>
        </is>
      </c>
      <c r="G26" s="9" t="n">
        <v>46110</v>
      </c>
      <c r="H26">
        <f>DATE(2026,8,31)-G26</f>
        <v/>
      </c>
    </row>
    <row r="27">
      <c r="A27" t="inlineStr">
        <is>
          <t>U-KR353-01-03</t>
        </is>
      </c>
      <c r="B27" t="inlineStr">
        <is>
          <t>Kebun Raya</t>
        </is>
      </c>
      <c r="C27" t="inlineStr">
        <is>
          <t>Blk 353 Kebun Raya Avenue 3 #01-03 Singapura 650353</t>
        </is>
      </c>
      <c r="D27" t="inlineStr">
        <is>
          <t>Kiosk</t>
        </is>
      </c>
      <c r="E27" t="n">
        <v>12.7</v>
      </c>
      <c r="F27" t="inlineStr">
        <is>
          <t>NC-KR-3</t>
        </is>
      </c>
      <c r="G27" s="9" t="n">
        <v>46050</v>
      </c>
      <c r="H27">
        <f>DATE(2026,8,31)-G27</f>
        <v/>
      </c>
    </row>
    <row r="28">
      <c r="A28" t="inlineStr">
        <is>
          <t>U-KR356-01-07</t>
        </is>
      </c>
      <c r="B28" t="inlineStr">
        <is>
          <t>Kebun Raya</t>
        </is>
      </c>
      <c r="C28" t="inlineStr">
        <is>
          <t>Blk 356 Kebun Raya Street 31 #01-07 Singapura 650356</t>
        </is>
      </c>
      <c r="D28" t="inlineStr">
        <is>
          <t>Shop</t>
        </is>
      </c>
      <c r="E28" t="n">
        <v>92.40000000000001</v>
      </c>
      <c r="F28" t="inlineStr">
        <is>
          <t>NC-KR-1</t>
        </is>
      </c>
      <c r="G28" s="9" t="n">
        <v>45809</v>
      </c>
      <c r="H28">
        <f>DATE(2026,8,31)-G28</f>
        <v/>
      </c>
    </row>
    <row r="29">
      <c r="A29" t="inlineStr">
        <is>
          <t>U-KR371-01-05</t>
        </is>
      </c>
      <c r="B29" t="inlineStr">
        <is>
          <t>Kebun Raya</t>
        </is>
      </c>
      <c r="C29" t="inlineStr">
        <is>
          <t>Blk 371 Kebun Raya Crescent #01-05 Singapura 650371</t>
        </is>
      </c>
      <c r="D29" t="inlineStr">
        <is>
          <t>Shop</t>
        </is>
      </c>
      <c r="E29" t="n">
        <v>96.90000000000001</v>
      </c>
      <c r="F29" t="inlineStr">
        <is>
          <t>NC-KR-1</t>
        </is>
      </c>
      <c r="G29" s="9" t="n">
        <v>45828</v>
      </c>
      <c r="H29">
        <f>DATE(2026,8,31)-G29</f>
        <v/>
      </c>
    </row>
    <row r="30">
      <c r="A30" t="inlineStr">
        <is>
          <t>U-KR386-01-07</t>
        </is>
      </c>
      <c r="B30" t="inlineStr">
        <is>
          <t>Kebun Raya</t>
        </is>
      </c>
      <c r="C30" t="inlineStr">
        <is>
          <t>Blk 386 Kebun Raya Avenue 3 #01-07 Singapura 650386</t>
        </is>
      </c>
      <c r="D30" t="inlineStr">
        <is>
          <t>Kiosk</t>
        </is>
      </c>
      <c r="E30" t="n">
        <v>13.3</v>
      </c>
      <c r="F30" t="inlineStr">
        <is>
          <t>NC-KR-1</t>
        </is>
      </c>
      <c r="G30" s="9" t="n">
        <v>46032</v>
      </c>
      <c r="H30">
        <f>DATE(2026,8,31)-G30</f>
        <v/>
      </c>
    </row>
    <row r="31">
      <c r="A31" t="inlineStr">
        <is>
          <t>U-KR386-01-09</t>
        </is>
      </c>
      <c r="B31" t="inlineStr">
        <is>
          <t>Kebun Raya</t>
        </is>
      </c>
      <c r="C31" t="inlineStr">
        <is>
          <t>Blk 386 Kebun Raya Avenue 3 #01-09 Singapura 650386</t>
        </is>
      </c>
      <c r="D31" t="inlineStr">
        <is>
          <t>Shop</t>
        </is>
      </c>
      <c r="E31" t="n">
        <v>59.9</v>
      </c>
      <c r="F31" t="inlineStr">
        <is>
          <t>NC-KR-1</t>
        </is>
      </c>
      <c r="G31" s="9" t="n">
        <v>46223</v>
      </c>
      <c r="H31">
        <f>DATE(2026,8,31)-G31</f>
        <v/>
      </c>
    </row>
    <row r="32">
      <c r="A32" t="inlineStr">
        <is>
          <t>U-PI634-01-09</t>
        </is>
      </c>
      <c r="B32" t="inlineStr">
        <is>
          <t>Pasir Indah</t>
        </is>
      </c>
      <c r="C32" t="inlineStr">
        <is>
          <t>Blk 634 Pasir Indah Avenue 6 #01-09 Singapura 510634</t>
        </is>
      </c>
      <c r="D32" t="inlineStr">
        <is>
          <t>Kiosk</t>
        </is>
      </c>
      <c r="E32" t="n">
        <v>10.9</v>
      </c>
      <c r="F32" t="inlineStr">
        <is>
          <t>NC-PI-3</t>
        </is>
      </c>
      <c r="G32" s="9" t="n">
        <v>46015</v>
      </c>
      <c r="H32">
        <f>DATE(2026,8,31)-G32</f>
        <v/>
      </c>
    </row>
    <row r="33">
      <c r="A33" t="inlineStr">
        <is>
          <t>U-PI675-01-01</t>
        </is>
      </c>
      <c r="B33" t="inlineStr">
        <is>
          <t>Pasir Indah</t>
        </is>
      </c>
      <c r="C33" t="inlineStr">
        <is>
          <t>Blk 675 Pasir Indah Avenue 6 #01-01 Singapura 510675</t>
        </is>
      </c>
      <c r="D33" t="inlineStr">
        <is>
          <t>Shop</t>
        </is>
      </c>
      <c r="E33" t="n">
        <v>59.1</v>
      </c>
      <c r="F33" t="inlineStr">
        <is>
          <t>NC-PI-1</t>
        </is>
      </c>
      <c r="G33" s="9" t="n">
        <v>45784</v>
      </c>
      <c r="H33">
        <f>DATE(2026,8,31)-G33</f>
        <v/>
      </c>
    </row>
    <row r="34">
      <c r="A34" t="inlineStr">
        <is>
          <t>U-PI675-01-09</t>
        </is>
      </c>
      <c r="B34" t="inlineStr">
        <is>
          <t>Pasir Indah</t>
        </is>
      </c>
      <c r="C34" t="inlineStr">
        <is>
          <t>Blk 675 Pasir Indah Avenue 6 #01-09 Singapura 510675</t>
        </is>
      </c>
      <c r="D34" t="inlineStr">
        <is>
          <t>Shop</t>
        </is>
      </c>
      <c r="E34" t="n">
        <v>93.5</v>
      </c>
      <c r="F34" t="inlineStr">
        <is>
          <t>NC-PI-1</t>
        </is>
      </c>
      <c r="G34" s="9" t="n">
        <v>45816</v>
      </c>
      <c r="H34">
        <f>DATE(2026,8,31)-G34</f>
        <v/>
      </c>
    </row>
    <row r="35">
      <c r="A35" t="inlineStr">
        <is>
          <t>U-PI675-01-11</t>
        </is>
      </c>
      <c r="B35" t="inlineStr">
        <is>
          <t>Pasir Indah</t>
        </is>
      </c>
      <c r="C35" t="inlineStr">
        <is>
          <t>Blk 675 Pasir Indah Avenue 6 #01-11 Singapura 510675</t>
        </is>
      </c>
      <c r="D35" t="inlineStr">
        <is>
          <t>Shop</t>
        </is>
      </c>
      <c r="E35" t="n">
        <v>113.4</v>
      </c>
      <c r="F35" t="inlineStr">
        <is>
          <t>NC-PI-1</t>
        </is>
      </c>
      <c r="G35" s="9" t="n">
        <v>46191</v>
      </c>
      <c r="H35">
        <f>DATE(2026,8,31)-G35</f>
        <v/>
      </c>
    </row>
    <row r="36">
      <c r="A36" t="inlineStr">
        <is>
          <t>U-PI678-01-02</t>
        </is>
      </c>
      <c r="B36" t="inlineStr">
        <is>
          <t>Pasir Indah</t>
        </is>
      </c>
      <c r="C36" t="inlineStr">
        <is>
          <t>Blk 678 Jalan Pasir Indah #01-02 Singapura 510678</t>
        </is>
      </c>
      <c r="D36" t="inlineStr">
        <is>
          <t>Shop</t>
        </is>
      </c>
      <c r="E36" t="n">
        <v>70.3</v>
      </c>
      <c r="F36" t="inlineStr">
        <is>
          <t>NC-PI-2</t>
        </is>
      </c>
      <c r="G36" s="9" t="n">
        <v>46215</v>
      </c>
      <c r="H36">
        <f>DATE(2026,8,31)-G36</f>
        <v/>
      </c>
    </row>
    <row r="37">
      <c r="A37" t="inlineStr">
        <is>
          <t>U-PI684-01-13</t>
        </is>
      </c>
      <c r="B37" t="inlineStr">
        <is>
          <t>Pasir Indah</t>
        </is>
      </c>
      <c r="C37" t="inlineStr">
        <is>
          <t>Blk 684 Jalan Pasir Indah #01-13 Singapura 510684</t>
        </is>
      </c>
      <c r="D37" t="inlineStr">
        <is>
          <t>Shop</t>
        </is>
      </c>
      <c r="E37" t="n">
        <v>76.3</v>
      </c>
      <c r="F37" t="inlineStr">
        <is>
          <t>NC-PI-3</t>
        </is>
      </c>
      <c r="G37" s="9" t="n">
        <v>46172</v>
      </c>
      <c r="H37">
        <f>DATE(2026,8,31)-G37</f>
        <v/>
      </c>
    </row>
    <row r="38">
      <c r="A38" t="inlineStr">
        <is>
          <t>U-PI684-01-14</t>
        </is>
      </c>
      <c r="B38" t="inlineStr">
        <is>
          <t>Pasir Indah</t>
        </is>
      </c>
      <c r="C38" t="inlineStr">
        <is>
          <t>Blk 684 Jalan Pasir Indah #01-14 Singapura 510684</t>
        </is>
      </c>
      <c r="D38" t="inlineStr">
        <is>
          <t>Shop</t>
        </is>
      </c>
      <c r="E38" t="n">
        <v>58.4</v>
      </c>
      <c r="F38" t="inlineStr">
        <is>
          <t>NC-PI-3</t>
        </is>
      </c>
      <c r="G38" s="9" t="n">
        <v>45717</v>
      </c>
      <c r="H38">
        <f>DATE(2026,8,31)-G38</f>
        <v/>
      </c>
    </row>
    <row r="39">
      <c r="A39" t="inlineStr">
        <is>
          <t>U-RH408-01-09</t>
        </is>
      </c>
      <c r="B39" t="inlineStr">
        <is>
          <t>Rimba Heights</t>
        </is>
      </c>
      <c r="C39" t="inlineStr">
        <is>
          <t>Blk 408 Rimba Walk #01-09 Singapura 670408</t>
        </is>
      </c>
      <c r="D39" t="inlineStr">
        <is>
          <t>Shop</t>
        </is>
      </c>
      <c r="E39" t="n">
        <v>71.09999999999999</v>
      </c>
      <c r="F39" t="inlineStr">
        <is>
          <t>NC-RH-1</t>
        </is>
      </c>
      <c r="G39" s="9" t="n">
        <v>46140</v>
      </c>
      <c r="H39">
        <f>DATE(2026,8,31)-G39</f>
        <v/>
      </c>
    </row>
    <row r="40">
      <c r="A40" t="inlineStr">
        <is>
          <t>U-RH408-01-10</t>
        </is>
      </c>
      <c r="B40" t="inlineStr">
        <is>
          <t>Rimba Heights</t>
        </is>
      </c>
      <c r="C40" t="inlineStr">
        <is>
          <t>Blk 408 Rimba Walk #01-10 Singapura 670408</t>
        </is>
      </c>
      <c r="D40" t="inlineStr">
        <is>
          <t>Kiosk</t>
        </is>
      </c>
      <c r="E40" t="n">
        <v>7.9</v>
      </c>
      <c r="F40" t="inlineStr">
        <is>
          <t>NC-RH-1</t>
        </is>
      </c>
      <c r="G40" s="9" t="n">
        <v>45834</v>
      </c>
      <c r="H40">
        <f>DATE(2026,8,31)-G40</f>
        <v/>
      </c>
    </row>
    <row r="41">
      <c r="A41" t="inlineStr">
        <is>
          <t>U-RH408-02-05</t>
        </is>
      </c>
      <c r="B41" t="inlineStr">
        <is>
          <t>Rimba Heights</t>
        </is>
      </c>
      <c r="C41" t="inlineStr">
        <is>
          <t>Blk 408 Rimba Walk #02-05 Singapura 670408</t>
        </is>
      </c>
      <c r="D41" t="inlineStr">
        <is>
          <t>Office</t>
        </is>
      </c>
      <c r="E41" t="n">
        <v>90.5</v>
      </c>
      <c r="F41" t="inlineStr">
        <is>
          <t>NC-RH-1</t>
        </is>
      </c>
      <c r="G41" s="9" t="n">
        <v>45966</v>
      </c>
      <c r="H41">
        <f>DATE(2026,8,31)-G41</f>
        <v/>
      </c>
    </row>
    <row r="42">
      <c r="A42" t="inlineStr">
        <is>
          <t>U-RH455-01-02</t>
        </is>
      </c>
      <c r="B42" t="inlineStr">
        <is>
          <t>Rimba Heights</t>
        </is>
      </c>
      <c r="C42" t="inlineStr">
        <is>
          <t>Blk 455 Rimba Heights Street 45 #01-02 Singapura 670455</t>
        </is>
      </c>
      <c r="D42" t="inlineStr">
        <is>
          <t>Shop</t>
        </is>
      </c>
      <c r="E42" t="n">
        <v>61.5</v>
      </c>
      <c r="F42" t="inlineStr">
        <is>
          <t>NC-RH-1</t>
        </is>
      </c>
      <c r="G42" s="9" t="n">
        <v>45796</v>
      </c>
      <c r="H42">
        <f>DATE(2026,8,31)-G42</f>
        <v/>
      </c>
    </row>
    <row r="43">
      <c r="A43" t="inlineStr">
        <is>
          <t>U-RH455-01-12</t>
        </is>
      </c>
      <c r="B43" t="inlineStr">
        <is>
          <t>Rimba Heights</t>
        </is>
      </c>
      <c r="C43" t="inlineStr">
        <is>
          <t>Blk 455 Rimba Heights Street 45 #01-12 Singapura 670455</t>
        </is>
      </c>
      <c r="D43" t="inlineStr">
        <is>
          <t>Shop</t>
        </is>
      </c>
      <c r="E43" t="n">
        <v>92</v>
      </c>
      <c r="F43" t="inlineStr">
        <is>
          <t>NC-RH-1</t>
        </is>
      </c>
      <c r="G43" s="9" t="n">
        <v>46158</v>
      </c>
      <c r="H43">
        <f>DATE(2026,8,31)-G43</f>
        <v/>
      </c>
    </row>
    <row r="44">
      <c r="A44" t="inlineStr">
        <is>
          <t>U-RH455-01-15</t>
        </is>
      </c>
      <c r="B44" t="inlineStr">
        <is>
          <t>Rimba Heights</t>
        </is>
      </c>
      <c r="C44" t="inlineStr">
        <is>
          <t>Blk 455 Rimba Heights Street 45 #01-15 Singapura 670455</t>
        </is>
      </c>
      <c r="D44" t="inlineStr">
        <is>
          <t>Shop</t>
        </is>
      </c>
      <c r="E44" t="n">
        <v>69.7</v>
      </c>
      <c r="F44" t="inlineStr">
        <is>
          <t>NC-RH-1</t>
        </is>
      </c>
      <c r="G44" s="9" t="n">
        <v>45779</v>
      </c>
      <c r="H44">
        <f>DATE(2026,8,31)-G44</f>
        <v/>
      </c>
    </row>
    <row r="45">
      <c r="A45" t="inlineStr">
        <is>
          <t>U-RH460-01-04</t>
        </is>
      </c>
      <c r="B45" t="inlineStr">
        <is>
          <t>Rimba Heights</t>
        </is>
      </c>
      <c r="C45" t="inlineStr">
        <is>
          <t>Blk 460 Rimba Heights Street 45 #01-04 Singapura 670460</t>
        </is>
      </c>
      <c r="D45" t="inlineStr">
        <is>
          <t>Shop</t>
        </is>
      </c>
      <c r="E45" t="n">
        <v>70.90000000000001</v>
      </c>
      <c r="F45" t="inlineStr">
        <is>
          <t>NC-RH-2</t>
        </is>
      </c>
      <c r="G45" s="9" t="n">
        <v>45789</v>
      </c>
      <c r="H45">
        <f>DATE(2026,8,31)-G45</f>
        <v/>
      </c>
    </row>
    <row r="46">
      <c r="A46" t="inlineStr">
        <is>
          <t>U-RH473-01-05</t>
        </is>
      </c>
      <c r="B46" t="inlineStr">
        <is>
          <t>Rimba Heights</t>
        </is>
      </c>
      <c r="C46" t="inlineStr">
        <is>
          <t>Blk 473 Rimba Heights Street 45 #01-05 Singapura 670473</t>
        </is>
      </c>
      <c r="D46" t="inlineStr">
        <is>
          <t>Office</t>
        </is>
      </c>
      <c r="E46" t="n">
        <v>127.4</v>
      </c>
      <c r="F46" t="inlineStr">
        <is>
          <t>NC-RH-2</t>
        </is>
      </c>
      <c r="G46" s="9" t="n">
        <v>45869</v>
      </c>
      <c r="H46">
        <f>DATE(2026,8,31)-G46</f>
        <v/>
      </c>
    </row>
    <row r="47">
      <c r="A47" t="inlineStr">
        <is>
          <t>U-ST535-01-04</t>
        </is>
      </c>
      <c r="B47" t="inlineStr">
        <is>
          <t>Sungai Tinggi</t>
        </is>
      </c>
      <c r="C47" t="inlineStr">
        <is>
          <t>Blk 535 Sungai Tinggi Street 52 #01-04 Singapura 730535</t>
        </is>
      </c>
      <c r="D47" t="inlineStr">
        <is>
          <t>Shop</t>
        </is>
      </c>
      <c r="E47" t="n">
        <v>96</v>
      </c>
      <c r="F47" t="inlineStr">
        <is>
          <t>NC-ST-3</t>
        </is>
      </c>
      <c r="G47" s="9" t="n">
        <v>46189</v>
      </c>
      <c r="H47">
        <f>DATE(2026,8,31)-G47</f>
        <v/>
      </c>
    </row>
    <row r="48">
      <c r="A48" t="inlineStr">
        <is>
          <t>U-ST536-01-06</t>
        </is>
      </c>
      <c r="B48" t="inlineStr">
        <is>
          <t>Sungai Tinggi</t>
        </is>
      </c>
      <c r="C48" t="inlineStr">
        <is>
          <t>Blk 536 Sungai Tinggi Drive #01-06 Singapura 730536</t>
        </is>
      </c>
      <c r="D48" t="inlineStr">
        <is>
          <t>Shop</t>
        </is>
      </c>
      <c r="E48" t="n">
        <v>51.5</v>
      </c>
      <c r="F48" t="inlineStr">
        <is>
          <t>NC-ST-1</t>
        </is>
      </c>
      <c r="G48" s="9" t="n">
        <v>46052</v>
      </c>
      <c r="H48">
        <f>DATE(2026,8,31)-G48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24" customWidth="1" min="4" max="4"/>
    <col width="14" customWidth="1" min="5" max="5"/>
    <col width="13" customWidth="1" min="6" max="6"/>
  </cols>
  <sheetData>
    <row r="1">
      <c r="A1" s="4" t="inlineStr">
        <is>
          <t>Unit ID</t>
        </is>
      </c>
      <c r="B1" s="4" t="inlineStr">
        <is>
          <t>Town</t>
        </is>
      </c>
      <c r="C1" s="4" t="inlineStr">
        <is>
          <t>Address</t>
        </is>
      </c>
      <c r="D1" s="4" t="inlineStr">
        <is>
          <t>Unit type</t>
        </is>
      </c>
      <c r="E1" s="4" t="inlineStr">
        <is>
          <t>Floor area (sqm)</t>
        </is>
      </c>
      <c r="F1" s="4" t="inlineStr">
        <is>
          <t>Since</t>
        </is>
      </c>
    </row>
    <row r="2">
      <c r="A2" t="inlineStr">
        <is>
          <t>U-BV237-01-02</t>
        </is>
      </c>
      <c r="B2" t="inlineStr">
        <is>
          <t>Bayshore Vale</t>
        </is>
      </c>
      <c r="C2" t="inlineStr">
        <is>
          <t>Blk 237 Bayshore Vale Drive #01-02 Singapura 460237</t>
        </is>
      </c>
      <c r="D2" t="inlineStr">
        <is>
          <t>Shop</t>
        </is>
      </c>
      <c r="E2" t="n">
        <v>58</v>
      </c>
      <c r="F2" s="9" t="n">
        <v>46199</v>
      </c>
    </row>
    <row r="3">
      <c r="A3" t="inlineStr">
        <is>
          <t>U-CD142-01-10</t>
        </is>
      </c>
      <c r="B3" t="inlineStr">
        <is>
          <t>Cendana</t>
        </is>
      </c>
      <c r="C3" t="inlineStr">
        <is>
          <t>Blk 142 Cendana Street 11 #01-10 Singapura 470142</t>
        </is>
      </c>
      <c r="D3" t="inlineStr">
        <is>
          <t>Shop</t>
        </is>
      </c>
      <c r="E3" t="n">
        <v>112.5</v>
      </c>
      <c r="F3" s="9" t="n">
        <v>46165</v>
      </c>
    </row>
    <row r="4">
      <c r="A4" t="inlineStr">
        <is>
          <t>U-PI668-01-07</t>
        </is>
      </c>
      <c r="B4" t="inlineStr">
        <is>
          <t>Pasir Indah</t>
        </is>
      </c>
      <c r="C4" t="inlineStr">
        <is>
          <t>Blk 668 Pasir Indah Avenue 6 #01-07 Singapura 510668</t>
        </is>
      </c>
      <c r="D4" t="inlineStr">
        <is>
          <t>Shop</t>
        </is>
      </c>
      <c r="E4" t="n">
        <v>110.9</v>
      </c>
      <c r="F4" s="9" t="n">
        <v>46135</v>
      </c>
    </row>
    <row r="5">
      <c r="A5" t="inlineStr">
        <is>
          <t>U-PI675-01-10</t>
        </is>
      </c>
      <c r="B5" t="inlineStr">
        <is>
          <t>Pasir Indah</t>
        </is>
      </c>
      <c r="C5" t="inlineStr">
        <is>
          <t>Blk 675 Pasir Indah Avenue 6 #01-10 Singapura 510675</t>
        </is>
      </c>
      <c r="D5" t="inlineStr">
        <is>
          <t>Shop</t>
        </is>
      </c>
      <c r="E5" t="n">
        <v>103.3</v>
      </c>
      <c r="F5" s="9" t="n">
        <v>46130</v>
      </c>
    </row>
    <row r="6">
      <c r="A6" t="inlineStr">
        <is>
          <t>U-ST536-01-05</t>
        </is>
      </c>
      <c r="B6" t="inlineStr">
        <is>
          <t>Sungai Tinggi</t>
        </is>
      </c>
      <c r="C6" t="inlineStr">
        <is>
          <t>Blk 536 Sungai Tinggi Drive #01-05 Singapura 730536</t>
        </is>
      </c>
      <c r="D6" t="inlineStr">
        <is>
          <t>Shop</t>
        </is>
      </c>
      <c r="E6" t="n">
        <v>43</v>
      </c>
      <c r="F6" s="9" t="n">
        <v>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Kelvin Goh</dc:creator>
  <dc:title xmlns:dc="http://purl.org/dc/elements/1.1/">Monthly Vacancy Report Aug 2026</dc:title>
  <dcterms:created xmlns:dcterms="http://purl.org/dc/terms/" xmlns:xsi="http://www.w3.org/2001/XMLSchema-instance" xsi:type="dcterms:W3CDTF">2026-09-02T09:00:00Z</dcterms:created>
  <dcterms:modified xmlns:dcterms="http://purl.org/dc/terms/" xmlns:xsi="http://www.w3.org/2001/XMLSchema-instance" xsi:type="dcterms:W3CDTF">2026-10-10T09:29:40Z</dcterms:modified>
  <cp:lastModifiedBy>Kelvin Goh</cp:lastModifiedBy>
</cp:coreProperties>
</file>